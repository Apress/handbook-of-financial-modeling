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480" yWindow="285" windowWidth="20730" windowHeight="9795"/>
  </bookViews>
  <sheets>
    <sheet name="Figure 17-1" sheetId="1" r:id="rId1"/>
    <sheet name="Figure 17-2" sheetId="3" r:id="rId2"/>
    <sheet name="Figure 17-3" sheetId="2" r:id="rId3"/>
    <sheet name="Figure 17-4" sheetId="5" r:id="rId4"/>
    <sheet name="Figure 17-5a" sheetId="6" r:id="rId5"/>
    <sheet name="Figure 17-6" sheetId="7" r:id="rId6"/>
    <sheet name="Figure 17-7" sheetId="17" r:id="rId7"/>
    <sheet name="Figure 17-8" sheetId="8" r:id="rId8"/>
    <sheet name="Figure 17-9" sheetId="9" r:id="rId9"/>
    <sheet name="Figure 17-10" sheetId="10" r:id="rId10"/>
    <sheet name="Figure 17-11a" sheetId="18" r:id="rId11"/>
    <sheet name="Figure 17-11b" sheetId="20" r:id="rId12"/>
    <sheet name="Figure 17-11c" sheetId="27" r:id="rId13"/>
    <sheet name="Figure 17-11d" sheetId="23" r:id="rId14"/>
    <sheet name="Figure 17-11e" sheetId="26" r:id="rId15"/>
    <sheet name="Figure 17-11f" sheetId="24" r:id="rId16"/>
    <sheet name="Figure 17-11g" sheetId="25" r:id="rId17"/>
    <sheet name="Figure 17-11h" sheetId="28" r:id="rId18"/>
    <sheet name="Figure 17-11i" sheetId="29" r:id="rId19"/>
    <sheet name="Figure 17-12" sheetId="12" r:id="rId20"/>
    <sheet name="Figure 17-15" sheetId="13" r:id="rId21"/>
    <sheet name="Figure 17-16" sheetId="22" r:id="rId22"/>
    <sheet name="Figure 17-17" sheetId="14" r:id="rId23"/>
    <sheet name="Figure 17-19" sheetId="15" r:id="rId24"/>
    <sheet name="Figure 17-20" sheetId="16" r:id="rId25"/>
    <sheet name="Inp_User" sheetId="21" r:id="rId26"/>
  </sheets>
  <externalReferences>
    <externalReference r:id="rId27"/>
    <externalReference r:id="rId28"/>
    <externalReference r:id="rId29"/>
    <externalReference r:id="rId30"/>
    <externalReference r:id="rId31"/>
    <externalReference r:id="rId32"/>
    <externalReference r:id="rId33"/>
    <externalReference r:id="rId34"/>
  </externalReferences>
  <definedNames>
    <definedName name="__EFK02">[1]Rates!$B$150:$E$157</definedName>
    <definedName name="__EFK38">[1]Rates!$B$159:$E$166</definedName>
    <definedName name="__EFK9">[1]Rates!$B$168:$E$175</definedName>
    <definedName name="_44_0_nnnn_nnn_nnn" localSheetId="19">'Figure 17-12'!#REF!</definedName>
    <definedName name="_44_0_nnnn_nnn_nnn" localSheetId="20">'Figure 17-15'!#REF!</definedName>
    <definedName name="_44_0_nnnn_nnn_nnn" localSheetId="21">'Figure 17-16'!#REF!</definedName>
    <definedName name="_CoM02">[2]CoM!$AD$18</definedName>
    <definedName name="_EFK02">[3]Rates!$B$150:$E$157</definedName>
    <definedName name="_EFK38">[3]Rates!$B$159:$E$166</definedName>
    <definedName name="_EFK9">[3]Rates!$B$168:$E$175</definedName>
    <definedName name="_MSG01">'[2]Financial Dashboard'!$C$74</definedName>
    <definedName name="_MSG02">'[2]Financial Dashboard'!$C$75</definedName>
    <definedName name="_MSG03">'[2]Financial Dashboard'!$C$76</definedName>
    <definedName name="_MSG04">'[2]Financial Dashboard'!$C$77</definedName>
    <definedName name="_MSG05">'[2]Financial Dashboard'!$C$78</definedName>
    <definedName name="_MSG06">'[2]Financial Dashboard'!$C$79</definedName>
    <definedName name="_MSG07">'[2]Financial Dashboard'!$C$80</definedName>
    <definedName name="_MSG08">'[2]Financial Dashboard'!$C$81</definedName>
    <definedName name="_MSG09">'[2]Financial Dashboard'!$C$82</definedName>
    <definedName name="_MSG10">'[2]Financial Dashboard'!$C$83</definedName>
    <definedName name="_PLA1">'[2]Instructions &amp; Notes'!$A$4</definedName>
    <definedName name="_PLA10">'[2]Main Input'!$A$4</definedName>
    <definedName name="_PLA11">[2]Conversion!$A$4</definedName>
    <definedName name="_PLA12">'[2]Cost Plus'!$A$4</definedName>
    <definedName name="_PLA13">'[2]Profile before CoM'!$A$4</definedName>
    <definedName name="_PLA14">'[2]Profile with CoM'!$A$4</definedName>
    <definedName name="_PLA15">[2]Capital!$A$4</definedName>
    <definedName name="_PLA16">'[2]Final Price'!$A$4</definedName>
    <definedName name="_PLA17">'[2]Service Prices'!$A$4</definedName>
    <definedName name="_PLA18">[2]Interface!$A$4</definedName>
    <definedName name="_PLA19">[2]Audit!$A$4</definedName>
    <definedName name="_PLA2">[2]Styles!$A$4</definedName>
    <definedName name="_PLA20">'[2]Change Control'!$A$4</definedName>
    <definedName name="_PLA22">[2]CoM!$A$4</definedName>
    <definedName name="_PLA3">[2]Contents!$A$4</definedName>
    <definedName name="_PLA4">'[2]Model Logic'!$A$4</definedName>
    <definedName name="_PLA5">'[2]Error Checks'!$A$4</definedName>
    <definedName name="_PLA6">[2]Constants!$A$4</definedName>
    <definedName name="_PLA7" localSheetId="12">'Figure 17-11c'!#REF!</definedName>
    <definedName name="_PLA7" localSheetId="14">'Figure 17-11e'!#REF!</definedName>
    <definedName name="_PLA7" localSheetId="15">'Figure 17-11f'!#REF!</definedName>
    <definedName name="_PLA7" localSheetId="16">'Figure 17-11g'!#REF!</definedName>
    <definedName name="_PLA7" localSheetId="17">'Figure 17-11h'!#REF!</definedName>
    <definedName name="_PLA7" localSheetId="18">'Figure 17-11i'!#REF!</definedName>
    <definedName name="_PLA7">'Figure 17-11d'!#REF!</definedName>
    <definedName name="_PLA8">'[2]Customer Charges'!$A$4</definedName>
    <definedName name="_PLA9">'[2]Financial Dashboard'!$A$4</definedName>
    <definedName name="_PMI26" localSheetId="12">[2]Interface!#REF!</definedName>
    <definedName name="_PMI26" localSheetId="14">[2]Interface!#REF!</definedName>
    <definedName name="_PMI26" localSheetId="15">[2]Interface!#REF!</definedName>
    <definedName name="_PMI26" localSheetId="16">[2]Interface!#REF!</definedName>
    <definedName name="_PMI26" localSheetId="17">[2]Interface!#REF!</definedName>
    <definedName name="_PMI26" localSheetId="18">[2]Interface!#REF!</definedName>
    <definedName name="_PMI26">[2]Interface!#REF!</definedName>
    <definedName name="_PMI27" localSheetId="12">[2]Interface!#REF!</definedName>
    <definedName name="_PMI27" localSheetId="14">[2]Interface!#REF!</definedName>
    <definedName name="_PMI27" localSheetId="15">[2]Interface!#REF!</definedName>
    <definedName name="_PMI27" localSheetId="16">[2]Interface!#REF!</definedName>
    <definedName name="_PMI27" localSheetId="17">[2]Interface!#REF!</definedName>
    <definedName name="_PMI27" localSheetId="18">[2]Interface!#REF!</definedName>
    <definedName name="_PMI27">[2]Interface!#REF!</definedName>
    <definedName name="_PMI28" localSheetId="12">[2]Interface!#REF!</definedName>
    <definedName name="_PMI28" localSheetId="14">[2]Interface!#REF!</definedName>
    <definedName name="_PMI28" localSheetId="15">[2]Interface!#REF!</definedName>
    <definedName name="_PMI28" localSheetId="16">[2]Interface!#REF!</definedName>
    <definedName name="_PMI28" localSheetId="17">[2]Interface!#REF!</definedName>
    <definedName name="_PMI28" localSheetId="18">[2]Interface!#REF!</definedName>
    <definedName name="_PMI28">[2]Interface!#REF!</definedName>
    <definedName name="_PMI29" localSheetId="12">[2]Interface!#REF!</definedName>
    <definedName name="_PMI29" localSheetId="14">[2]Interface!#REF!</definedName>
    <definedName name="_PMI29" localSheetId="15">[2]Interface!#REF!</definedName>
    <definedName name="_PMI29" localSheetId="16">[2]Interface!#REF!</definedName>
    <definedName name="_PMI29" localSheetId="17">[2]Interface!#REF!</definedName>
    <definedName name="_PMI29" localSheetId="18">[2]Interface!#REF!</definedName>
    <definedName name="_PMI29">[2]Interface!#REF!</definedName>
    <definedName name="_Toc18551417" localSheetId="0">'Figure 17-1'!$C$5</definedName>
    <definedName name="_Toc18551418" localSheetId="0">'Figure 17-1'!$C$10</definedName>
    <definedName name="_Toc18551420" localSheetId="0">'Figure 17-1'!$C$15</definedName>
    <definedName name="_Toc18551421" localSheetId="0">'Figure 17-1'!$C$19</definedName>
    <definedName name="_Toc18551422" localSheetId="0">'Figure 17-1'!$C$26</definedName>
    <definedName name="_Toc18551427" localSheetId="0">'Figure 17-1'!$C$31</definedName>
    <definedName name="ActiveMonthCountdown" localSheetId="12">'Figure 17-11c'!$F$22:$DY$22</definedName>
    <definedName name="ActiveMonthCountdown" localSheetId="14">'Figure 17-11e'!$F$22:$DY$22</definedName>
    <definedName name="ActiveMonthCountdown" localSheetId="15">'Figure 17-11f'!$F$22:$DY$22</definedName>
    <definedName name="ActiveMonthCountdown" localSheetId="16">'Figure 17-11g'!$F$22:$DY$22</definedName>
    <definedName name="ActiveMonthCountdown" localSheetId="17">'Figure 17-11h'!$F$22:$DY$22</definedName>
    <definedName name="ActiveMonthCountdown" localSheetId="18">'Figure 17-11i'!$F$22:$DY$22</definedName>
    <definedName name="ActiveMonthCountdown">'Figure 17-11d'!$F$22:$DY$22</definedName>
    <definedName name="ActiveMthsInYR" localSheetId="12">'Figure 17-11c'!#REF!</definedName>
    <definedName name="ActiveMthsInYR" localSheetId="14">'Figure 17-11e'!#REF!</definedName>
    <definedName name="ActiveMthsInYR" localSheetId="15">'Figure 17-11f'!#REF!</definedName>
    <definedName name="ActiveMthsInYR" localSheetId="16">'Figure 17-11g'!#REF!</definedName>
    <definedName name="ActiveMthsInYR" localSheetId="17">'Figure 17-11h'!#REF!</definedName>
    <definedName name="ActiveMthsInYR" localSheetId="18">'Figure 17-11i'!#REF!</definedName>
    <definedName name="ActiveMthsInYR">'Figure 17-11d'!#REF!</definedName>
    <definedName name="ActivePeriodFlag" localSheetId="10">'Figure 17-11a'!$R$25:$EK$25</definedName>
    <definedName name="ActivePeriodFlag" localSheetId="11">'Figure 17-11b'!$R$25:$EK$25</definedName>
    <definedName name="ActivePeriodFlag" localSheetId="12">'Figure 17-11c'!$F$21:$DY$21</definedName>
    <definedName name="ActivePeriodFlag" localSheetId="13">'Figure 17-11d'!$F$21:$DY$21</definedName>
    <definedName name="ActivePeriodFlag" localSheetId="14">'Figure 17-11e'!$F$21:$DY$21</definedName>
    <definedName name="ActivePeriodFlag" localSheetId="15">'Figure 17-11f'!$F$21:$DY$21</definedName>
    <definedName name="ActivePeriodFlag" localSheetId="16">'Figure 17-11g'!$F$21:$DY$21</definedName>
    <definedName name="ActivePeriodFlag" localSheetId="17">'Figure 17-11h'!$F$21:$DY$21</definedName>
    <definedName name="ActivePeriodFlag" localSheetId="18">'Figure 17-11i'!$F$21:$DY$21</definedName>
    <definedName name="ActivePeriodFlag">'Figure 17-10'!$R$25:$EK$25</definedName>
    <definedName name="ActivePeriods" localSheetId="19">[4]Calc_Timeline!$F$21:$GO$21</definedName>
    <definedName name="ActivePeriods" localSheetId="20">[4]Calc_Timeline!$F$21:$GO$21</definedName>
    <definedName name="ActivePeriods" localSheetId="21">[4]Calc_Timeline!$F$21:$GO$21</definedName>
    <definedName name="ActivePeriods" localSheetId="22">[4]Calc_Timeline!$F$21:$GO$21</definedName>
    <definedName name="ActivePeriods" localSheetId="23">[4]Calc_Timeline!$F$21:$GO$21</definedName>
    <definedName name="ActivePeriods" localSheetId="24">[4]Calc_Timeline!$F$21:$GO$21</definedName>
    <definedName name="ActivePeriods">[4]Calc_Timeline!$T$21:$HC$21</definedName>
    <definedName name="AnnSum" localSheetId="12">'Figure 17-11c'!#REF!</definedName>
    <definedName name="AnnSum" localSheetId="14">'Figure 17-11e'!#REF!</definedName>
    <definedName name="AnnSum" localSheetId="15">'Figure 17-11f'!#REF!</definedName>
    <definedName name="AnnSum" localSheetId="16">'Figure 17-11g'!#REF!</definedName>
    <definedName name="AnnSum" localSheetId="17">'Figure 17-11h'!#REF!</definedName>
    <definedName name="AnnSum" localSheetId="18">'Figure 17-11i'!#REF!</definedName>
    <definedName name="AnnSum">'Figure 17-11d'!#REF!</definedName>
    <definedName name="AUDCOP5">[2]Audit!$S$18</definedName>
    <definedName name="AUDCOP7">[2]Audit!$A$15:$A$18</definedName>
    <definedName name="Audit_error">[4]Audit!$E$1</definedName>
    <definedName name="AuthorisedUser" localSheetId="19">'Figure 17-12'!#REF!</definedName>
    <definedName name="AuthorisedUser" localSheetId="20">'Figure 17-15'!#REF!</definedName>
    <definedName name="AuthorisedUser" localSheetId="21">'Figure 17-16'!#REF!</definedName>
    <definedName name="BABot">[2]Constants!$A$78</definedName>
    <definedName name="BaitBoxes">[3]Rates!$A$69:$C$88</definedName>
    <definedName name="BAList">[2]Constants!$E$48:$E$77</definedName>
    <definedName name="BARcodes">[2]Constants!$E$49:$E$77</definedName>
    <definedName name="BaseCur">[2]Constants!$E$268</definedName>
    <definedName name="BASwitches">[2]Constants!$G$48:$G$77</definedName>
    <definedName name="BATop">[2]Constants!$E$48</definedName>
    <definedName name="BidName">[2]Constants!$E$115</definedName>
    <definedName name="BillOffNum">[2]Constants!$E$1078</definedName>
    <definedName name="Bookname">'[2]Instructions &amp; Notes'!$A$1</definedName>
    <definedName name="BusinessDevelopmentManagerEmailIn">[5]Constants!$D$34</definedName>
    <definedName name="BusinessDevelopmentManagerNameIn">[5]Constants!$D$32</definedName>
    <definedName name="BusinessDevelopmentManagerPhoneIn">[5]Constants!$D$33</definedName>
    <definedName name="BusinessUnitIn" localSheetId="12">[2]Constants!$E$116</definedName>
    <definedName name="BusinessUnitIn" localSheetId="13">[2]Constants!$E$116</definedName>
    <definedName name="BusinessUnitIn" localSheetId="14">[2]Constants!$E$116</definedName>
    <definedName name="BusinessUnitIn" localSheetId="15">[2]Constants!$E$116</definedName>
    <definedName name="BusinessUnitIn" localSheetId="16">[2]Constants!$E$116</definedName>
    <definedName name="BusinessUnitIn" localSheetId="17">[2]Constants!$E$116</definedName>
    <definedName name="BusinessUnitIn" localSheetId="18">[2]Constants!$E$116</definedName>
    <definedName name="BusinessUnitIn">[4]Inp_Constants!$D$12</definedName>
    <definedName name="Calculation_FC_S2">[4]Calc_Main!$F$35:$AR$35</definedName>
    <definedName name="Calculation_FC_S3">[4]Calc_Main!$F$36:$AR$36</definedName>
    <definedName name="Calculations_C1_S1">'Figure 17-17'!$AK$3</definedName>
    <definedName name="Calculations_FC_S1">[4]Calc_Main!$F$34:$AR$34</definedName>
    <definedName name="Calculations_Timeperiods">'Figure 17-17'!$AK$2</definedName>
    <definedName name="CalendarMonth" localSheetId="12">'Figure 17-11c'!$F$17:$DY$17</definedName>
    <definedName name="CalendarMonth" localSheetId="14">'Figure 17-11e'!$F$17:$DY$17</definedName>
    <definedName name="CalendarMonth" localSheetId="15">'Figure 17-11f'!$F$17:$DY$17</definedName>
    <definedName name="CalendarMonth" localSheetId="16">'Figure 17-11g'!$F$17:$DY$17</definedName>
    <definedName name="CalendarMonth" localSheetId="17">'Figure 17-11h'!$F$17:$DY$17</definedName>
    <definedName name="CalendarMonth" localSheetId="18">'Figure 17-11i'!$F$17:$DY$17</definedName>
    <definedName name="CalendarMonth">'Figure 17-11d'!$F$17:$DY$17</definedName>
    <definedName name="CCABot">[2]Constants!$A$307</definedName>
    <definedName name="CCAList">[2]Constants!$E$289:$E$306</definedName>
    <definedName name="CCASwitches">[2]Constants!$G$289:$G$306</definedName>
    <definedName name="CCATop">[2]Constants!$E$289</definedName>
    <definedName name="CCBBot">[2]Constants!$A$318</definedName>
    <definedName name="CCBList">[2]Constants!$E$310:$E$317</definedName>
    <definedName name="CCBot">[2]Constants!$A$215</definedName>
    <definedName name="CCBTop">[2]Constants!$E$310</definedName>
    <definedName name="CCCBot">[2]Constants!$A$329</definedName>
    <definedName name="CCCList">[2]Constants!$E$321:$E$328</definedName>
    <definedName name="CCCTop">[2]Constants!$E$321</definedName>
    <definedName name="CCDBot">[2]Constants!$A$340</definedName>
    <definedName name="CCDList">[2]Constants!$E$332:$E$339</definedName>
    <definedName name="CCDTop">[2]Constants!$E$332</definedName>
    <definedName name="CCEBot">[2]Constants!$A$351</definedName>
    <definedName name="CCEList">[2]Constants!$E$343:$E$350</definedName>
    <definedName name="CCETop">[2]Constants!$E$343</definedName>
    <definedName name="CCFBot">[2]Constants!$A$362</definedName>
    <definedName name="CCFList">[2]Constants!$E$354:$E$361</definedName>
    <definedName name="CCFTop">[2]Constants!$E$354</definedName>
    <definedName name="CCList">[2]Constants!$E$188:$E$214</definedName>
    <definedName name="CCTop">[2]Constants!$E$188</definedName>
    <definedName name="CHECKCOP5">[4]Audit!$U$18</definedName>
    <definedName name="CHECKCOP7">[4]Audit!$A$15:$A$18</definedName>
    <definedName name="CheckCur">[2]Constants!$EZ$259</definedName>
    <definedName name="ChkRow1">'[2]Main Input'!$A$115</definedName>
    <definedName name="CivilWorks">[4]Inp_Constants!$H$68</definedName>
    <definedName name="Client" localSheetId="10">[4]Inp_Constants!#REF!</definedName>
    <definedName name="Client" localSheetId="11">[4]Inp_Constants!#REF!</definedName>
    <definedName name="Client" localSheetId="12">[4]Inp_Constants!#REF!</definedName>
    <definedName name="Client" localSheetId="14">[4]Inp_Constants!#REF!</definedName>
    <definedName name="Client" localSheetId="15">[4]Inp_Constants!#REF!</definedName>
    <definedName name="Client" localSheetId="16">[4]Inp_Constants!#REF!</definedName>
    <definedName name="Client" localSheetId="17">[4]Inp_Constants!#REF!</definedName>
    <definedName name="Client" localSheetId="18">[4]Inp_Constants!#REF!</definedName>
    <definedName name="Client" localSheetId="19">[4]Inp_Constants!#REF!</definedName>
    <definedName name="Client" localSheetId="20">[4]Inp_Constants!#REF!</definedName>
    <definedName name="Client" localSheetId="21">[4]Inp_Constants!#REF!</definedName>
    <definedName name="Client" localSheetId="22">[4]Inp_Constants!#REF!</definedName>
    <definedName name="Client" localSheetId="23">[4]Inp_Constants!#REF!</definedName>
    <definedName name="Client" localSheetId="24">[4]Inp_Constants!#REF!</definedName>
    <definedName name="Client" localSheetId="6">[4]Inp_Constants!#REF!</definedName>
    <definedName name="Client" localSheetId="7">[4]Inp_Constants!#REF!</definedName>
    <definedName name="Client" localSheetId="8">[4]Inp_Constants!#REF!</definedName>
    <definedName name="Client">[4]Inp_Constants!#REF!</definedName>
    <definedName name="ClientNameIn" localSheetId="12">[2]Constants!$E$114</definedName>
    <definedName name="ClientNameIn" localSheetId="13">[2]Constants!$E$114</definedName>
    <definedName name="ClientNameIn" localSheetId="14">[2]Constants!$E$114</definedName>
    <definedName name="ClientNameIn" localSheetId="15">[2]Constants!$E$114</definedName>
    <definedName name="ClientNameIn" localSheetId="16">[2]Constants!$E$114</definedName>
    <definedName name="ClientNameIn" localSheetId="17">[2]Constants!$E$114</definedName>
    <definedName name="ClientNameIn" localSheetId="18">[2]Constants!$E$114</definedName>
    <definedName name="ClientNameIn">[4]Inp_Constants!$D$10</definedName>
    <definedName name="CoBot">[2]Constants!$A$497</definedName>
    <definedName name="CoList">[2]Constants!$E$368:$E$496</definedName>
    <definedName name="Commercial_Assurance">[4]Inp_Constants!$H$45</definedName>
    <definedName name="CommercialDirectorsEmailIn">[5]Constants!$D$30</definedName>
    <definedName name="CommercialDirectorsNameIn">[5]Constants!$D$28</definedName>
    <definedName name="CommercialDirectorsPhoneIn">[5]Constants!$D$29</definedName>
    <definedName name="Commissioning">[4]Inp_Constants!$H$70</definedName>
    <definedName name="Commissioning_PM">[4]Inp_Constants!$H$72</definedName>
    <definedName name="CoMON">'[2]Financial Dashboard'!$E$78</definedName>
    <definedName name="CompanyMonth" localSheetId="12">'Figure 17-11c'!$F$24:$DY$24</definedName>
    <definedName name="CompanyMonth" localSheetId="14">'Figure 17-11e'!$F$24:$DY$24</definedName>
    <definedName name="CompanyMonth" localSheetId="15">'Figure 17-11f'!$F$24:$DY$24</definedName>
    <definedName name="CompanyMonth" localSheetId="16">'Figure 17-11g'!$F$24:$DY$24</definedName>
    <definedName name="CompanyMonth" localSheetId="17">'Figure 17-11h'!$F$24:$DY$24</definedName>
    <definedName name="CompanyMonth" localSheetId="18">'Figure 17-11i'!$F$24:$DY$24</definedName>
    <definedName name="CompanyMonth">'Figure 17-11d'!$F$24:$DY$24</definedName>
    <definedName name="CompanyYear" localSheetId="12">'Figure 17-11c'!$F$23:$DY$23</definedName>
    <definedName name="CompanyYear" localSheetId="14">'Figure 17-11e'!$F$23:$DY$23</definedName>
    <definedName name="CompanyYear" localSheetId="15">'Figure 17-11f'!$F$23:$DY$23</definedName>
    <definedName name="CompanyYear" localSheetId="16">'Figure 17-11g'!$F$23:$DY$23</definedName>
    <definedName name="CompanyYear" localSheetId="17">'Figure 17-11h'!$F$23:$DY$23</definedName>
    <definedName name="CompanyYear" localSheetId="18">'Figure 17-11i'!$F$23:$DY$23</definedName>
    <definedName name="CompanyYear">'Figure 17-11d'!$F$23:$DY$23</definedName>
    <definedName name="CompanyYearEndDateIn">[2]Constants!$E$107</definedName>
    <definedName name="CompanyYearStartDateIn" localSheetId="12">[2]Constants!$E$106</definedName>
    <definedName name="CompanyYearStartDateIn" localSheetId="13">[2]Constants!$E$106</definedName>
    <definedName name="CompanyYearStartDateIn" localSheetId="14">[2]Constants!$E$106</definedName>
    <definedName name="CompanyYearStartDateIn" localSheetId="15">[2]Constants!$E$106</definedName>
    <definedName name="CompanyYearStartDateIn" localSheetId="16">[2]Constants!$E$106</definedName>
    <definedName name="CompanyYearStartDateIn" localSheetId="17">[2]Constants!$E$106</definedName>
    <definedName name="CompanyYearStartDateIn" localSheetId="18">[2]Constants!$E$106</definedName>
    <definedName name="CompanyYearStartDateIn">[6]Constants!$E$106</definedName>
    <definedName name="CoMTotal">[2]CoM!$AE$21</definedName>
    <definedName name="CONAT1">[2]Constants!$A$12</definedName>
    <definedName name="CONBC1">[2]Constants!$A$45</definedName>
    <definedName name="CONBD1">[2]Constants!$A$112</definedName>
    <definedName name="CONBE1">[2]Constants!$A$93</definedName>
    <definedName name="CONBR1">[2]Constants!$A$80</definedName>
    <definedName name="CONCC1">[2]Constants!$A$185</definedName>
    <definedName name="CONCD1">[2]Constants!$A$98</definedName>
    <definedName name="CONCM1">[2]Constants!$A$217</definedName>
    <definedName name="CONCO1">[2]Constants!$A$163</definedName>
    <definedName name="CONCP1">[2]Constants!$A$226</definedName>
    <definedName name="CONCS1">[2]Constants!$A$286</definedName>
    <definedName name="CONCS2">[2]Constants!$A$288</definedName>
    <definedName name="CONCS3">[2]Constants!$A$309</definedName>
    <definedName name="CONCS4">[2]Constants!$A$320</definedName>
    <definedName name="CONCS5">[2]Constants!$A$331</definedName>
    <definedName name="CONCS6">[2]Constants!$A$342</definedName>
    <definedName name="CONCS7">[2]Constants!$A$353</definedName>
    <definedName name="CONCT1">[2]Constants!$A$239</definedName>
    <definedName name="CONCU1">[2]Constants!$A$124</definedName>
    <definedName name="CONDC1">[2]Constants!$A$365</definedName>
    <definedName name="CONDE1">[2]Constants!$A$172</definedName>
    <definedName name="ConfidentialityIn" localSheetId="12">'[2]Change Control'!$E$32</definedName>
    <definedName name="ConfidentialityIn" localSheetId="13">'[2]Change Control'!$E$32</definedName>
    <definedName name="ConfidentialityIn" localSheetId="14">'[2]Change Control'!$E$32</definedName>
    <definedName name="ConfidentialityIn" localSheetId="15">'[2]Change Control'!$E$32</definedName>
    <definedName name="ConfidentialityIn" localSheetId="16">'[2]Change Control'!$E$32</definedName>
    <definedName name="ConfidentialityIn" localSheetId="17">'[2]Change Control'!$E$32</definedName>
    <definedName name="ConfidentialityIn" localSheetId="18">'[2]Change Control'!$E$32</definedName>
    <definedName name="ConfidentialityIn" localSheetId="19">'Figure 17-12'!#REF!</definedName>
    <definedName name="ConfidentialityIn" localSheetId="20">'Figure 17-15'!#REF!</definedName>
    <definedName name="ConfidentialityIn" localSheetId="21">'Figure 17-16'!#REF!</definedName>
    <definedName name="ConfidentialityIn" localSheetId="22">[5]Constants!$D$23</definedName>
    <definedName name="ConfidentialityIn" localSheetId="4">[5]Constants!$D$23</definedName>
    <definedName name="ConfidentialityIn" localSheetId="5">[5]Constants!$D$23</definedName>
    <definedName name="ConfidentialityIn" localSheetId="6">[5]Constants!$D$23</definedName>
    <definedName name="ConfidentialityIn" localSheetId="7">[5]Constants!$D$23</definedName>
    <definedName name="ConfidentialityIn" localSheetId="8">[5]Constants!$D$23</definedName>
    <definedName name="ConfidentialityIn">[4]Control!$C$28</definedName>
    <definedName name="CONFV1">[2]Constants!$A$499</definedName>
    <definedName name="CONLF1">[2]Constants!$A$553</definedName>
    <definedName name="CONMA1">[2]Constants!$A$568</definedName>
    <definedName name="CONMC1">[2]Constants!$A$582</definedName>
    <definedName name="ConMonNum" localSheetId="12">'Figure 17-11c'!#REF!</definedName>
    <definedName name="ConMonNum" localSheetId="14">'Figure 17-11e'!#REF!</definedName>
    <definedName name="ConMonNum" localSheetId="15">'Figure 17-11f'!#REF!</definedName>
    <definedName name="ConMonNum" localSheetId="16">'Figure 17-11g'!#REF!</definedName>
    <definedName name="ConMonNum" localSheetId="17">'Figure 17-11h'!#REF!</definedName>
    <definedName name="ConMonNum" localSheetId="18">'Figure 17-11i'!#REF!</definedName>
    <definedName name="ConMonNum">'Figure 17-11d'!#REF!</definedName>
    <definedName name="CONOG1">[2]Constants!$A$1110</definedName>
    <definedName name="CONOR1">[2]Constants!$A$595</definedName>
    <definedName name="CONPA1">[2]Constants!$A$841</definedName>
    <definedName name="CONPR1">[2]Constants!$A$257</definedName>
    <definedName name="CONPT1">[2]Constants!$A$830</definedName>
    <definedName name="CONRE1">[2]Constants!$A$857</definedName>
    <definedName name="CONRO1">[2]Constants!$A$872</definedName>
    <definedName name="CONSI1">[2]Constants!$A$1009</definedName>
    <definedName name="Constant_CapabilityUnit">[4]Inp_Constants!$C$45:$C$57</definedName>
    <definedName name="Constant_Contractor">[4]Inp_Constants!$C$238:$C$242</definedName>
    <definedName name="Constant_CostCentre">[4]Inp_Constants!$C$38:$C$39</definedName>
    <definedName name="Constant_CostType">[4]Inp_Constants!$C$225:$C$232</definedName>
    <definedName name="Constant_Descriptor">[4]Inp_Constants!$C$87:$C$216</definedName>
    <definedName name="Constant_Works">[4]Inp_Constants!$C$65:$C$79</definedName>
    <definedName name="CONSU1">[2]Constants!$A$1036</definedName>
    <definedName name="CONTE1">[2]Constants!$A$1075</definedName>
    <definedName name="Contract_Management">[4]Inp_Constants!$H$78</definedName>
    <definedName name="ContractDurationIn" localSheetId="12">[2]Constants!$E$101</definedName>
    <definedName name="ContractDurationIn" localSheetId="13">[2]Constants!$E$101</definedName>
    <definedName name="ContractDurationIn" localSheetId="14">[2]Constants!$E$101</definedName>
    <definedName name="ContractDurationIn" localSheetId="15">[2]Constants!$E$101</definedName>
    <definedName name="ContractDurationIn" localSheetId="16">[2]Constants!$E$101</definedName>
    <definedName name="ContractDurationIn" localSheetId="17">[2]Constants!$E$101</definedName>
    <definedName name="ContractDurationIn" localSheetId="18">[2]Constants!$E$101</definedName>
    <definedName name="ContractDurationIn">[5]Constants!$D$12</definedName>
    <definedName name="ContractEndDateIn" localSheetId="12">[2]Constants!$E$104</definedName>
    <definedName name="ContractEndDateIn" localSheetId="13">[2]Constants!$E$104</definedName>
    <definedName name="ContractEndDateIn" localSheetId="14">[2]Constants!$E$104</definedName>
    <definedName name="ContractEndDateIn" localSheetId="15">[2]Constants!$E$104</definedName>
    <definedName name="ContractEndDateIn" localSheetId="16">[2]Constants!$E$104</definedName>
    <definedName name="ContractEndDateIn" localSheetId="17">[2]Constants!$E$104</definedName>
    <definedName name="ContractEndDateIn" localSheetId="18">[2]Constants!$E$104</definedName>
    <definedName name="ContractEndDateIn">[7]Constants!$E$104</definedName>
    <definedName name="ContractStartDateIn" localSheetId="22">[5]Constants!$D$14</definedName>
    <definedName name="ContractStartDateIn" localSheetId="4">[5]Constants!$D$14</definedName>
    <definedName name="ContractStartDateIn" localSheetId="5">[5]Constants!$D$14</definedName>
    <definedName name="ContractStartDateIn" localSheetId="6">[5]Constants!$D$14</definedName>
    <definedName name="ContractStartDateIn" localSheetId="7">[5]Constants!$D$14</definedName>
    <definedName name="ContractStartDateIn" localSheetId="8">[5]Constants!$D$14</definedName>
    <definedName name="ContractStartDateIn">[2]Constants!$E$103</definedName>
    <definedName name="Control_error" localSheetId="19">'Figure 17-12'!$D$1</definedName>
    <definedName name="Control_error" localSheetId="20">'Figure 17-15'!$D$1</definedName>
    <definedName name="Control_error" localSheetId="21">'Figure 17-16'!$D$1</definedName>
    <definedName name="Control_error">[4]Control!$D$1</definedName>
    <definedName name="CONUC2">[2]Constants!$A$1122</definedName>
    <definedName name="CONUC3">[2]Constants!$A$1134</definedName>
    <definedName name="CONUN1">[2]Constants!$A$1083</definedName>
    <definedName name="CONWP1">[2]Constants!$A$1168</definedName>
    <definedName name="CosBot">'[2]Financial Dashboard'!$B$105</definedName>
    <definedName name="CosDrop">'[2]Financial Dashboard'!$B$101:$B$104</definedName>
    <definedName name="CostCentre" localSheetId="10">#REF!</definedName>
    <definedName name="CostCentre" localSheetId="11">#REF!</definedName>
    <definedName name="CostCentre" localSheetId="12">#REF!</definedName>
    <definedName name="CostCentre" localSheetId="14">#REF!</definedName>
    <definedName name="CostCentre" localSheetId="15">#REF!</definedName>
    <definedName name="CostCentre" localSheetId="16">#REF!</definedName>
    <definedName name="CostCentre" localSheetId="17">#REF!</definedName>
    <definedName name="CostCentre" localSheetId="18">#REF!</definedName>
    <definedName name="CostCentre" localSheetId="21">#REF!</definedName>
    <definedName name="CostCentre" localSheetId="6">#REF!</definedName>
    <definedName name="CostCentre">#REF!</definedName>
    <definedName name="CostOfMoney" localSheetId="9">#REF!</definedName>
    <definedName name="CostOfMoney" localSheetId="10">#REF!</definedName>
    <definedName name="CostOfMoney" localSheetId="11">#REF!</definedName>
    <definedName name="CostOfMoney" localSheetId="12">'[2]Financial Dashboard'!$F$16</definedName>
    <definedName name="CostOfMoney" localSheetId="13">'[2]Financial Dashboard'!$F$16</definedName>
    <definedName name="CostOfMoney" localSheetId="14">'[2]Financial Dashboard'!$F$16</definedName>
    <definedName name="CostOfMoney" localSheetId="15">'[2]Financial Dashboard'!$F$16</definedName>
    <definedName name="CostOfMoney" localSheetId="16">'[2]Financial Dashboard'!$F$16</definedName>
    <definedName name="CostOfMoney" localSheetId="17">'[2]Financial Dashboard'!$F$16</definedName>
    <definedName name="CostOfMoney" localSheetId="18">'[2]Financial Dashboard'!$F$16</definedName>
    <definedName name="CostOfMoney" localSheetId="19">#REF!</definedName>
    <definedName name="CostOfMoney" localSheetId="20">#REF!</definedName>
    <definedName name="CostOfMoney" localSheetId="21">#REF!</definedName>
    <definedName name="CostOfMoney" localSheetId="22">#REF!</definedName>
    <definedName name="CostOfMoney" localSheetId="23">#REF!</definedName>
    <definedName name="CostOfMoney" localSheetId="24">#REF!</definedName>
    <definedName name="CostOfMoney" localSheetId="6">#REF!</definedName>
    <definedName name="CostOfMoney" localSheetId="7">#REF!</definedName>
    <definedName name="CostOfMoney" localSheetId="8">#REF!</definedName>
    <definedName name="CostOfMoney">#REF!</definedName>
    <definedName name="CosTop">'[2]Financial Dashboard'!$B$101</definedName>
    <definedName name="CostTotal">[2]Conversion!$AE$115</definedName>
    <definedName name="CoTop">[2]Constants!$E$368</definedName>
    <definedName name="CPBot">[2]Constants!$A$237</definedName>
    <definedName name="CPList">[2]Constants!$E$229:$E$236</definedName>
    <definedName name="CPTop">[2]Constants!$E$229</definedName>
    <definedName name="CRBot">[2]Constants!$A$43</definedName>
    <definedName name="CRList">[2]Constants!$E$15:$E$42</definedName>
    <definedName name="CRTop">[2]Constants!$E$15</definedName>
    <definedName name="CTBot">[2]Constants!$A$255</definedName>
    <definedName name="CTList">[2]Constants!$F$242:$F$254</definedName>
    <definedName name="CTSwitches">[2]Constants!$G$242:$G$254</definedName>
    <definedName name="CTTop">[2]Constants!$F$242</definedName>
    <definedName name="CUBot">[2]Constants!$A$161</definedName>
    <definedName name="CUCheck">[4]Inp_Constants!$B$59</definedName>
    <definedName name="CUList">[2]Constants!$F$127:$F$160</definedName>
    <definedName name="CurBot">[2]Constants!$A$281</definedName>
    <definedName name="CurList">[2]Constants!$E$270:$E$280</definedName>
    <definedName name="CurON">'[2]Financial Dashboard'!$E$80</definedName>
    <definedName name="Currency">[2]Constants!$E$586</definedName>
    <definedName name="CurTop">[2]Constants!$E$270</definedName>
    <definedName name="CUTop">[2]Constants!$F$127</definedName>
    <definedName name="CVbloc6">[2]Conversion!$FL$14:$FL$114</definedName>
    <definedName name="CXBot">[2]Constants!$A$170</definedName>
    <definedName name="CXList">[2]Constants!$E$166:$E$169</definedName>
    <definedName name="CXTop">[2]Constants!$E$166</definedName>
    <definedName name="DataManagement_Drawing">[4]Inp_Constants!$H$48</definedName>
    <definedName name="DataManagement_requests">[4]Inp_Constants!$H$76</definedName>
    <definedName name="Date_From" localSheetId="10">'Figure 17-11a'!$F$11:$GO$11</definedName>
    <definedName name="Date_From" localSheetId="11">'Figure 17-11b'!$F$11:$GO$11</definedName>
    <definedName name="Date_From" localSheetId="19">[4]Calc_Timeline!$F$11:$GO$11</definedName>
    <definedName name="Date_From" localSheetId="20">[4]Calc_Timeline!$F$11:$GO$11</definedName>
    <definedName name="Date_From" localSheetId="21">[4]Calc_Timeline!$F$11:$GO$11</definedName>
    <definedName name="Date_From" localSheetId="22">[4]Calc_Timeline!$F$11:$GO$11</definedName>
    <definedName name="Date_From" localSheetId="23">[4]Calc_Timeline!$F$11:$GO$11</definedName>
    <definedName name="Date_From" localSheetId="24">[4]Calc_Timeline!$F$11:$GO$11</definedName>
    <definedName name="Date_From">'Figure 17-10'!$F$11:$GO$11</definedName>
    <definedName name="Date_to" localSheetId="19">[4]Calc_Timeline!$F$12:$GO$12</definedName>
    <definedName name="Date_to" localSheetId="20">[4]Calc_Timeline!$F$12:$GO$12</definedName>
    <definedName name="Date_to" localSheetId="21">[4]Calc_Timeline!$F$12:$GO$12</definedName>
    <definedName name="Date_to" localSheetId="22">[4]Calc_Timeline!$F$12:$GO$12</definedName>
    <definedName name="Date_to" localSheetId="23">[4]Calc_Timeline!$F$12:$GO$12</definedName>
    <definedName name="Date_to" localSheetId="24">[4]Calc_Timeline!$F$12:$GO$12</definedName>
    <definedName name="Date_to">[4]Calc_Timeline!$T$12:$HC$12</definedName>
    <definedName name="DateFromMth" localSheetId="12">'Figure 17-11c'!$F$11:$DY$11</definedName>
    <definedName name="DateFromMth" localSheetId="14">'Figure 17-11e'!$F$11:$DY$11</definedName>
    <definedName name="DateFromMth" localSheetId="15">'Figure 17-11f'!$F$11:$DY$11</definedName>
    <definedName name="DateFromMth" localSheetId="16">'Figure 17-11g'!$F$11:$DY$11</definedName>
    <definedName name="DateFromMth" localSheetId="17">'Figure 17-11h'!$F$11:$DY$11</definedName>
    <definedName name="DateFromMth" localSheetId="18">'Figure 17-11i'!$F$11:$DY$11</definedName>
    <definedName name="DateFromMth">'Figure 17-11d'!$F$11:$DY$11</definedName>
    <definedName name="DateFromYr" localSheetId="12">'Figure 17-11c'!#REF!</definedName>
    <definedName name="DateFromYr" localSheetId="14">'Figure 17-11e'!#REF!</definedName>
    <definedName name="DateFromYr" localSheetId="15">'Figure 17-11f'!#REF!</definedName>
    <definedName name="DateFromYr" localSheetId="16">'Figure 17-11g'!#REF!</definedName>
    <definedName name="DateFromYr" localSheetId="17">'Figure 17-11h'!#REF!</definedName>
    <definedName name="DateFromYr" localSheetId="18">'Figure 17-11i'!#REF!</definedName>
    <definedName name="DateFromYr">'Figure 17-11d'!#REF!</definedName>
    <definedName name="DateToMth" localSheetId="10">'Figure 17-11a'!$R$19:$EK$19</definedName>
    <definedName name="DateToMth" localSheetId="11">'Figure 17-11b'!$R$19:$EK$19</definedName>
    <definedName name="DateToMth" localSheetId="12">'Figure 17-11c'!$F$12:$DY$12</definedName>
    <definedName name="DateToMth" localSheetId="13">'Figure 17-11d'!$F$12:$DY$12</definedName>
    <definedName name="DateToMth" localSheetId="14">'Figure 17-11e'!$F$12:$DY$12</definedName>
    <definedName name="DateToMth" localSheetId="15">'Figure 17-11f'!$F$12:$DY$12</definedName>
    <definedName name="DateToMth" localSheetId="16">'Figure 17-11g'!$F$12:$DY$12</definedName>
    <definedName name="DateToMth" localSheetId="17">'Figure 17-11h'!$F$12:$DY$12</definedName>
    <definedName name="DateToMth" localSheetId="18">'Figure 17-11i'!$F$12:$DY$12</definedName>
    <definedName name="DateToMth">'Figure 17-10'!$R$19:$EK$19</definedName>
    <definedName name="DateToYr" localSheetId="12">'Figure 17-11c'!#REF!</definedName>
    <definedName name="DateToYr" localSheetId="14">'Figure 17-11e'!#REF!</definedName>
    <definedName name="DateToYr" localSheetId="15">'Figure 17-11f'!#REF!</definedName>
    <definedName name="DateToYr" localSheetId="16">'Figure 17-11g'!#REF!</definedName>
    <definedName name="DateToYr" localSheetId="17">'Figure 17-11h'!#REF!</definedName>
    <definedName name="DateToYr" localSheetId="18">'Figure 17-11i'!#REF!</definedName>
    <definedName name="DateToYr">'Figure 17-11d'!#REF!</definedName>
    <definedName name="DeBot">[2]Constants!$A$183</definedName>
    <definedName name="DeList">[2]Constants!$E$177:$E$182</definedName>
    <definedName name="Depreciation">'[2]Financial Dashboard'!$C$15</definedName>
    <definedName name="DepreciationOn">'[2]Financial Dashboard'!$E$82</definedName>
    <definedName name="Descriptor" localSheetId="10">#REF!</definedName>
    <definedName name="Descriptor" localSheetId="11">#REF!</definedName>
    <definedName name="Descriptor" localSheetId="12">#REF!</definedName>
    <definedName name="Descriptor" localSheetId="14">#REF!</definedName>
    <definedName name="Descriptor" localSheetId="15">#REF!</definedName>
    <definedName name="Descriptor" localSheetId="16">#REF!</definedName>
    <definedName name="Descriptor" localSheetId="17">#REF!</definedName>
    <definedName name="Descriptor" localSheetId="18">#REF!</definedName>
    <definedName name="Descriptor" localSheetId="21">#REF!</definedName>
    <definedName name="Descriptor" localSheetId="6">#REF!</definedName>
    <definedName name="Descriptor">#REF!</definedName>
    <definedName name="DeTop">[2]Constants!$E$177</definedName>
    <definedName name="DevelopmentHistory" localSheetId="19">'Figure 17-12'!#REF!</definedName>
    <definedName name="DevelopmentHistory" localSheetId="20">'Figure 17-15'!#REF!</definedName>
    <definedName name="DevelopmentHistory" localSheetId="21">'Figure 17-16'!#REF!</definedName>
    <definedName name="DinM">[2]Constants!$E$590</definedName>
    <definedName name="Discount">'[2]Financial Dashboard'!$F$15</definedName>
    <definedName name="DisON">'[2]Financial Dashboard'!$E$76</definedName>
    <definedName name="DisPer" localSheetId="12">'Figure 17-11c'!#REF!</definedName>
    <definedName name="DisPer" localSheetId="14">'Figure 17-11e'!#REF!</definedName>
    <definedName name="DisPer" localSheetId="15">'Figure 17-11f'!#REF!</definedName>
    <definedName name="DisPer" localSheetId="16">'Figure 17-11g'!#REF!</definedName>
    <definedName name="DisPer" localSheetId="17">'Figure 17-11h'!#REF!</definedName>
    <definedName name="DisPer" localSheetId="18">'Figure 17-11i'!#REF!</definedName>
    <definedName name="DisPer">'Figure 17-11d'!#REF!</definedName>
    <definedName name="EFKTubeLookup">[3]Rates!$B$178:$C$186</definedName>
    <definedName name="EndOfSheet">[2]Constants!$E$584</definedName>
    <definedName name="Equipment_Storage">[4]Inp_Constants!$H$66</definedName>
    <definedName name="Error_Constants">[4]Inp_Constants!$D$1</definedName>
    <definedName name="Error_Cost" localSheetId="10">#REF!</definedName>
    <definedName name="Error_Cost" localSheetId="11">#REF!</definedName>
    <definedName name="Error_Cost" localSheetId="12">#REF!</definedName>
    <definedName name="Error_Cost" localSheetId="14">#REF!</definedName>
    <definedName name="Error_Cost" localSheetId="15">#REF!</definedName>
    <definedName name="Error_Cost" localSheetId="16">#REF!</definedName>
    <definedName name="Error_Cost" localSheetId="17">#REF!</definedName>
    <definedName name="Error_Cost" localSheetId="18">#REF!</definedName>
    <definedName name="Error_Cost" localSheetId="21">#REF!</definedName>
    <definedName name="Error_Cost" localSheetId="6">#REF!</definedName>
    <definedName name="Error_Cost">#REF!</definedName>
    <definedName name="Error_Error">[4]Error!$E$1</definedName>
    <definedName name="Error_MainInput" localSheetId="10">#REF!</definedName>
    <definedName name="Error_MainInput" localSheetId="11">#REF!</definedName>
    <definedName name="Error_MainInput" localSheetId="12">#REF!</definedName>
    <definedName name="Error_MainInput" localSheetId="14">#REF!</definedName>
    <definedName name="Error_MainInput" localSheetId="15">#REF!</definedName>
    <definedName name="Error_MainInput" localSheetId="16">#REF!</definedName>
    <definedName name="Error_MainInput" localSheetId="17">#REF!</definedName>
    <definedName name="Error_MainInput" localSheetId="18">#REF!</definedName>
    <definedName name="Error_MainInput" localSheetId="21">#REF!</definedName>
    <definedName name="Error_MainInput" localSheetId="6">#REF!</definedName>
    <definedName name="Error_MainInput">#REF!</definedName>
    <definedName name="Error_Timelines" localSheetId="10">'Figure 17-11a'!$E$1</definedName>
    <definedName name="Error_Timelines" localSheetId="11">'Figure 17-11b'!$E$1</definedName>
    <definedName name="Error_Timelines" localSheetId="19">[4]Calc_Timeline!$E$1</definedName>
    <definedName name="Error_Timelines" localSheetId="20">[4]Calc_Timeline!$E$1</definedName>
    <definedName name="Error_Timelines" localSheetId="21">[4]Calc_Timeline!$E$1</definedName>
    <definedName name="Error_Timelines" localSheetId="22">[4]Calc_Timeline!$E$1</definedName>
    <definedName name="Error_Timelines" localSheetId="23">[4]Calc_Timeline!$E$1</definedName>
    <definedName name="Error_Timelines" localSheetId="24">[4]Calc_Timeline!$E$1</definedName>
    <definedName name="Error_Timelines">'Figure 17-10'!$E$1</definedName>
    <definedName name="ErrorsPresent">'[2]Error Checks'!$E$1</definedName>
    <definedName name="ErrTol">[2]Constants!$E$591</definedName>
    <definedName name="ESBot">[2]Constants!$A$91</definedName>
    <definedName name="ESList">[2]Constants!$B$83:$B$90</definedName>
    <definedName name="ESTop">[2]Constants!$F$83</definedName>
    <definedName name="f_BAListMU">OFFSET(BATop,1,0,BABot,1)</definedName>
    <definedName name="f_CCAListMU">OFFSET(CCATop,1,0,CCABot,1)</definedName>
    <definedName name="f_CCBListMU">OFFSET(CCBTop,1,0,CCBBot,1)</definedName>
    <definedName name="f_CCCListMU">OFFSET(CCCTop,1,0,CCCBot,1)</definedName>
    <definedName name="f_CCDListMU">OFFSET(CCDTop,1,0,CCDBot,1)</definedName>
    <definedName name="f_CCEListMU">OFFSET(CCETop,1,0,CCEBot,1)</definedName>
    <definedName name="f_CCFListMU">OFFSET(CCFTop,1,0,CCFBot,1)</definedName>
    <definedName name="f_CCListMu">OFFSET(CCTop,1,0,CCBot,1)</definedName>
    <definedName name="f_ChkCon">OR([2]Conversion!$FL1=1,[2]Conversion!$P1=0,[2]Conversion!$Q1=0)</definedName>
    <definedName name="f_CoListMU">OFFSET(CoTop,1,0,CoBot,1)</definedName>
    <definedName name="f_CoMC01">IF(CoMON,_CoM02,1)</definedName>
    <definedName name="f_CostDropMU">OFFSET(CosTop,1,0,CosBot,1)</definedName>
    <definedName name="f_CPListMU">OFFSET(CPTop,1,0,CPBot,1)</definedName>
    <definedName name="f_CR2ListMU" localSheetId="12">OFFSET(CR2Top,1,0,CR2Bot,1)</definedName>
    <definedName name="f_CR2ListMU" localSheetId="14">OFFSET(CR2Top,1,0,CR2Bot,1)</definedName>
    <definedName name="f_CR2ListMU" localSheetId="15">OFFSET(CR2Top,1,0,CR2Bot,1)</definedName>
    <definedName name="f_CR2ListMU" localSheetId="16">OFFSET(CR2Top,1,0,CR2Bot,1)</definedName>
    <definedName name="f_CR2ListMU" localSheetId="17">OFFSET(CR2Top,1,0,CR2Bot,1)</definedName>
    <definedName name="f_CR2ListMU" localSheetId="18">OFFSET(CR2Top,1,0,CR2Bot,1)</definedName>
    <definedName name="f_CR2ListMU">OFFSET(CR2Top,1,0,CR2Bot,1)</definedName>
    <definedName name="f_CRListMU">OFFSET(CRTop,1,0,CRBot,1)</definedName>
    <definedName name="f_CTListMU">OFFSET(CTTop,1,0,CTBot,1)</definedName>
    <definedName name="f_CUListMU">OFFSET(CUTop,1,0,CUBot,1)</definedName>
    <definedName name="f_CurCon">SUMIF(CurList,[2]Conversion!$Q1,[2]Constants!A$270:A$280)</definedName>
    <definedName name="f_CurListMU">OFFSET(CurTop,1,0,CurBot,1)</definedName>
    <definedName name="f_CX2ListMU" localSheetId="12">OFFSET(CX2Top,1,0,CX2Bot,1)</definedName>
    <definedName name="f_CX2ListMU" localSheetId="14">OFFSET(CX2Top,1,0,CX2Bot,1)</definedName>
    <definedName name="f_CX2ListMU" localSheetId="15">OFFSET(CX2Top,1,0,CX2Bot,1)</definedName>
    <definedName name="f_CX2ListMU" localSheetId="16">OFFSET(CX2Top,1,0,CX2Bot,1)</definedName>
    <definedName name="f_CX2ListMU" localSheetId="17">OFFSET(CX2Top,1,0,CX2Bot,1)</definedName>
    <definedName name="f_CX2ListMU" localSheetId="18">OFFSET(CX2Top,1,0,CX2Bot,1)</definedName>
    <definedName name="f_CX2ListMU">OFFSET(CX2Top,1,0,CX2Bot,1)</definedName>
    <definedName name="f_CXListMU">OFFSET(CXTop,1,0,CXBot,1)</definedName>
    <definedName name="f_De2ListMU" localSheetId="12">OFFSET(De2Top,1,0,De2Bot,1)</definedName>
    <definedName name="f_De2ListMU" localSheetId="14">OFFSET(De2Top,1,0,De2Bot,1)</definedName>
    <definedName name="f_De2ListMU" localSheetId="15">OFFSET(De2Top,1,0,De2Bot,1)</definedName>
    <definedName name="f_De2ListMU" localSheetId="16">OFFSET(De2Top,1,0,De2Bot,1)</definedName>
    <definedName name="f_De2ListMU" localSheetId="17">OFFSET(De2Top,1,0,De2Bot,1)</definedName>
    <definedName name="f_De2ListMU" localSheetId="18">OFFSET(De2Top,1,0,De2Bot,1)</definedName>
    <definedName name="f_De2ListMU">OFFSET(De2Top,1,0,De2Bot,1)</definedName>
    <definedName name="f_DeListMU">OFFSET(DeTop,1,0,DeBot,1)</definedName>
    <definedName name="f_ESListMU">OFFSET(ESTop,1,0,ESBot,1)</definedName>
    <definedName name="f_FiListMU">OFFSET(FiTop,1,0,FiBot,1)</definedName>
    <definedName name="f_FinCalc">1+IF(FinON,'[2]Final Price'!$FJ1,0)</definedName>
    <definedName name="f_FoListMU">OFFSET(FoTop,1,0,FoBot,1)</definedName>
    <definedName name="f_GMMar">1-IF(MargON,'[2]Cost Plus'!$FI1,0)</definedName>
    <definedName name="f_IndCon">1+IF(Indexed,SUMIF(InList,[2]Conversion!$EZ1,[2]Constants!A$533:A$548),0)</definedName>
    <definedName name="f_InListMU">OFFSET(InTop,1,0,InBot,1)</definedName>
    <definedName name="f_MilPro">SUMIF(ServList,'[2]Profile before CoM'!$V1,'[2]Customer Charges'!A$273:A$290)</definedName>
    <definedName name="f_MultiCon">'[2]Main Input'!A1*[2]Conversion!$P1</definedName>
    <definedName name="f_OrListMU">OFFSET(OrTop,1,0,OrBot,1)</definedName>
    <definedName name="f_PAListMU">OFFSET(PATop,1,0,PABot,1)</definedName>
    <definedName name="f_PriceDropMU">OFFSET(PriTop,1,0,PriBot,1)</definedName>
    <definedName name="f_RCListMU">OFFSET(RCTop,1,0,RCBot,1)</definedName>
    <definedName name="f_ReListMU">OFFSET(ReTop,1,0,ReBot,1)</definedName>
    <definedName name="f_ResVal">IF(DepreciationOn,SUMIF(ResList1,'[2]Cost Plus'!$FB1,[2]Capital!A$28:A$33),1)</definedName>
    <definedName name="f_RoListMU">OFFSET(RoTop,1,0,RoBot,1)</definedName>
    <definedName name="f_RRListMU">OFFSET(RRTop,1,0,RRBot,1)</definedName>
    <definedName name="f_SiListMU">OFFSET(SiTop,1,0,SiBot,1)</definedName>
    <definedName name="f_SuListMU">OFFSET(SuTop,1,0,SuBot,1)</definedName>
    <definedName name="f_SumCalc11">SUMIF([2]Conversion!$AF$5:$EY$5,[2]Conversion!A$4,[2]Conversion!$AF1:$EY1)</definedName>
    <definedName name="f_SumCalc12">SUMIF('[2]Cost Plus'!$AF$5:$EY$5,'[2]Cost Plus'!A$4,'[2]Cost Plus'!$AF1:$EY1)</definedName>
    <definedName name="f_SumCalc13">SUMIF('[2]Profile before CoM'!$AF$5:$EY$5,'[2]Profile before CoM'!A$4,'[2]Profile before CoM'!$AF1:$EY1)</definedName>
    <definedName name="f_SumCalc14">SUMIF('[2]Profile with CoM'!$AF$5:$EY$5,'[2]Profile with CoM'!A$4,'[2]Profile with CoM'!$AF1:$EY1)</definedName>
    <definedName name="f_SumCalc15">SUMIF([2]Capital!$AF$5:$EY$5,[2]Capital!A$5,[2]Capital!$AF1:$EY1)</definedName>
    <definedName name="f_SumCalc16">SUMIF('[2]Final Price'!$AF$5:$EY$5,'[2]Final Price'!A$4,'[2]Final Price'!$AF1:$EY1)</definedName>
    <definedName name="f_UC1ListMU">OFFSET(UC1Top,1,0,UC1Bot,1)</definedName>
    <definedName name="f_UC2ListMU">OFFSET(UC2Top,1,0,UC2Bot,1)</definedName>
    <definedName name="f_UC3ListMU">OFFSET(UC3Top,1,0,UC3Bot,1)</definedName>
    <definedName name="f_UnListMU">OFFSET(UnTop,1,0,UnBot,1)</definedName>
    <definedName name="Fault_Control">[4]Inp_Constants!$H$47</definedName>
    <definedName name="FiBot">[2]Constants!$A$566</definedName>
    <definedName name="FilenameIn">[2]Audit!$D$13</definedName>
    <definedName name="FiList">[2]Constants!$E$556:$E$565</definedName>
    <definedName name="FinancialPeriod" localSheetId="19">[4]Calc_Timeline!$F$14:$GO$14</definedName>
    <definedName name="FinancialPeriod" localSheetId="20">[4]Calc_Timeline!$F$14:$GO$14</definedName>
    <definedName name="FinancialPeriod" localSheetId="21">[4]Calc_Timeline!$F$14:$GO$14</definedName>
    <definedName name="FinancialPeriod" localSheetId="22">[4]Calc_Timeline!$F$14:$GO$14</definedName>
    <definedName name="FinancialPeriod" localSheetId="23">[4]Calc_Timeline!$F$14:$GO$14</definedName>
    <definedName name="FinancialPeriod" localSheetId="24">[4]Calc_Timeline!$F$14:$GO$14</definedName>
    <definedName name="FinancialPeriod">[4]Calc_Timeline!$T$14:$HC$14</definedName>
    <definedName name="FinancialYear" localSheetId="10">'Figure 17-11a'!$F$15:$GO$15</definedName>
    <definedName name="FinancialYear" localSheetId="11">'Figure 17-11b'!$F$15:$GO$15</definedName>
    <definedName name="FinancialYear" localSheetId="19">[4]Calc_Timeline!$F$15:$GO$15</definedName>
    <definedName name="FinancialYear" localSheetId="20">[4]Calc_Timeline!$F$15:$GO$15</definedName>
    <definedName name="FinancialYear" localSheetId="21">[4]Calc_Timeline!$F$15:$GO$15</definedName>
    <definedName name="FinancialYear" localSheetId="22">[4]Calc_Timeline!$F$15:$GO$15</definedName>
    <definedName name="FinancialYear" localSheetId="23">[4]Calc_Timeline!$F$15:$GO$15</definedName>
    <definedName name="FinancialYear" localSheetId="24">[4]Calc_Timeline!$F$15:$GO$15</definedName>
    <definedName name="FinancialYear">'Figure 17-10'!$F$15:$GO$15</definedName>
    <definedName name="Financing">'[2]Financial Dashboard'!$I$14</definedName>
    <definedName name="FINCB1">'[2]Financial Dashboard'!$A$110</definedName>
    <definedName name="FINFD1">'[2]Financial Dashboard'!$A$12</definedName>
    <definedName name="FINGD1">'[2]Financial Dashboard'!$A$86</definedName>
    <definedName name="FinON">'[2]Financial Dashboard'!$E$79</definedName>
    <definedName name="FINSR1">'[2]Financial Dashboard'!$A$45</definedName>
    <definedName name="FINST1">'[2]Financial Dashboard'!$A$71</definedName>
    <definedName name="FiRate">[2]Constants!$G$556:$G$565</definedName>
    <definedName name="FiTop">[2]Constants!$E$556</definedName>
    <definedName name="FixedBaits">[3]Rates!$C$90</definedName>
    <definedName name="FlexedTotal" localSheetId="10">#REF!</definedName>
    <definedName name="FlexedTotal" localSheetId="11">#REF!</definedName>
    <definedName name="FlexedTotal" localSheetId="12">#REF!</definedName>
    <definedName name="FlexedTotal" localSheetId="14">#REF!</definedName>
    <definedName name="FlexedTotal" localSheetId="15">#REF!</definedName>
    <definedName name="FlexedTotal" localSheetId="16">#REF!</definedName>
    <definedName name="FlexedTotal" localSheetId="17">#REF!</definedName>
    <definedName name="FlexedTotal" localSheetId="18">#REF!</definedName>
    <definedName name="FlexedTotal" localSheetId="21">#REF!</definedName>
    <definedName name="FlexedTotal" localSheetId="6">#REF!</definedName>
    <definedName name="FlexedTotal">#REF!</definedName>
    <definedName name="FoBot">[2]Constants!$A$506</definedName>
    <definedName name="FoList">[2]Constants!$E$502:$E$505</definedName>
    <definedName name="Forward_Planning">[4]Inp_Constants!$H$57</definedName>
    <definedName name="FoTop">[2]Constants!$E$502</definedName>
    <definedName name="FPTotal">'[2]Final Price'!$AE$115</definedName>
    <definedName name="GMList">[2]Constants!$B$571:$B$579</definedName>
    <definedName name="GMTable">[2]Constants!$E$571:$E$579</definedName>
    <definedName name="GrossTotal">'[2]Profile with CoM'!$AE$115</definedName>
    <definedName name="HSEFK">[3]Rates!$B$193:$H$201</definedName>
    <definedName name="HSStickyboardPrices">[3]Rates!$B$206:$H$212</definedName>
    <definedName name="IAsheet">[3]Rates!$C$60</definedName>
    <definedName name="InBot">[2]Constants!$A$529</definedName>
    <definedName name="Index_Types">[5]Inputs!$A$31:$A$34</definedName>
    <definedName name="Indexation">'[2]Financial Dashboard'!$C$14</definedName>
    <definedName name="Indexed">'[2]Financial Dashboard'!$E$74</definedName>
    <definedName name="InList">[2]Constants!$B$513:$B$528</definedName>
    <definedName name="Inp_CreditorsRecovery">[5]Inputs!$C$110</definedName>
    <definedName name="Inp_DebtorsPayments">[5]Inputs!$C$108</definedName>
    <definedName name="Inp_Insurance">[5]Inputs!$C$62</definedName>
    <definedName name="Inp_InterestCharged">[5]Inputs!$C$116</definedName>
    <definedName name="Inp_InterestReceived">[5]Inputs!$C$114</definedName>
    <definedName name="Inp_Mobilsation_AmortisationYears">[5]Inputs!$C$57</definedName>
    <definedName name="Inp_OverheadRate">[5]Inputs!$C$51</definedName>
    <definedName name="Inp_PensionRate">[5]Inputs!$C$12</definedName>
    <definedName name="Inp_ProftMargin">[5]Inputs!$C$54</definedName>
    <definedName name="Inspectorate">[4]Inp_Constants!$H$46</definedName>
    <definedName name="INTBP1">[2]Interface!$A$190</definedName>
    <definedName name="INTCO1">[2]Interface!$A$12</definedName>
    <definedName name="INTCP1">[2]Interface!$A$145</definedName>
    <definedName name="InTop">[2]Constants!$B$513</definedName>
    <definedName name="INTOT1">[2]Interface!$A$204</definedName>
    <definedName name="Invoicing">'[2]Financial Dashboard'!$L$14</definedName>
    <definedName name="KMult">[2]Constants!$E$592</definedName>
    <definedName name="LabelQtr" localSheetId="12">'Figure 17-11c'!#REF!</definedName>
    <definedName name="LabelQtr" localSheetId="14">'Figure 17-11e'!#REF!</definedName>
    <definedName name="LabelQtr" localSheetId="15">'Figure 17-11f'!#REF!</definedName>
    <definedName name="LabelQtr" localSheetId="16">'Figure 17-11g'!#REF!</definedName>
    <definedName name="LabelQtr" localSheetId="17">'Figure 17-11h'!#REF!</definedName>
    <definedName name="LabelQtr" localSheetId="18">'Figure 17-11i'!#REF!</definedName>
    <definedName name="LabelQtr">'Figure 17-11d'!#REF!</definedName>
    <definedName name="MainRows1">'[2]Main Input'!$A$14:$A$114</definedName>
    <definedName name="Margin" localSheetId="9">#REF!</definedName>
    <definedName name="Margin" localSheetId="10">#REF!</definedName>
    <definedName name="Margin" localSheetId="11">#REF!</definedName>
    <definedName name="Margin" localSheetId="12">'[2]Financial Dashboard'!$C$16</definedName>
    <definedName name="Margin" localSheetId="13">'[2]Financial Dashboard'!$C$16</definedName>
    <definedName name="Margin" localSheetId="14">'[2]Financial Dashboard'!$C$16</definedName>
    <definedName name="Margin" localSheetId="15">'[2]Financial Dashboard'!$C$16</definedName>
    <definedName name="Margin" localSheetId="16">'[2]Financial Dashboard'!$C$16</definedName>
    <definedName name="Margin" localSheetId="17">'[2]Financial Dashboard'!$C$16</definedName>
    <definedName name="Margin" localSheetId="18">'[2]Financial Dashboard'!$C$16</definedName>
    <definedName name="Margin" localSheetId="19">#REF!</definedName>
    <definedName name="Margin" localSheetId="20">#REF!</definedName>
    <definedName name="Margin" localSheetId="21">#REF!</definedName>
    <definedName name="Margin" localSheetId="22">#REF!</definedName>
    <definedName name="Margin" localSheetId="23">#REF!</definedName>
    <definedName name="Margin" localSheetId="24">#REF!</definedName>
    <definedName name="Margin" localSheetId="6">#REF!</definedName>
    <definedName name="Margin" localSheetId="7">#REF!</definedName>
    <definedName name="Margin" localSheetId="8">#REF!</definedName>
    <definedName name="Margin">#REF!</definedName>
    <definedName name="MargON">'[2]Financial Dashboard'!$E$75</definedName>
    <definedName name="Markers" localSheetId="12">'Figure 17-11c'!#REF!</definedName>
    <definedName name="Markers" localSheetId="14">'Figure 17-11e'!#REF!</definedName>
    <definedName name="Markers" localSheetId="15">'Figure 17-11f'!#REF!</definedName>
    <definedName name="Markers" localSheetId="16">'Figure 17-11g'!#REF!</definedName>
    <definedName name="Markers" localSheetId="17">'Figure 17-11h'!#REF!</definedName>
    <definedName name="Markers" localSheetId="18">'Figure 17-11i'!#REF!</definedName>
    <definedName name="Markers">'Figure 17-11d'!#REF!</definedName>
    <definedName name="MileON">'[2]Financial Dashboard'!$E$77</definedName>
    <definedName name="Milestones">'[2]Financial Dashboard'!$F$14</definedName>
    <definedName name="MinY" localSheetId="12">[2]Constants!$E$589</definedName>
    <definedName name="MinY" localSheetId="13">[2]Constants!$E$589</definedName>
    <definedName name="MinY" localSheetId="14">[2]Constants!$E$589</definedName>
    <definedName name="MinY" localSheetId="15">[2]Constants!$E$589</definedName>
    <definedName name="MinY" localSheetId="16">[2]Constants!$E$589</definedName>
    <definedName name="MinY" localSheetId="17">[2]Constants!$E$589</definedName>
    <definedName name="MinY" localSheetId="18">[2]Constants!$E$589</definedName>
    <definedName name="MinY">[7]Constants!$E$589</definedName>
    <definedName name="Model" localSheetId="19">'Figure 17-12'!#REF!</definedName>
    <definedName name="Model" localSheetId="20">'Figure 17-15'!#REF!</definedName>
    <definedName name="Model" localSheetId="21">'Figure 17-16'!#REF!</definedName>
    <definedName name="ModelDescription" localSheetId="19">'Figure 17-12'!#REF!</definedName>
    <definedName name="ModelDescription" localSheetId="20">'Figure 17-15'!#REF!</definedName>
    <definedName name="ModelDescription" localSheetId="21">'Figure 17-16'!#REF!</definedName>
    <definedName name="ModelDetails" localSheetId="19">'Figure 17-12'!$A$7</definedName>
    <definedName name="ModelDetails" localSheetId="20">'Figure 17-15'!$A$7</definedName>
    <definedName name="ModelDetails" localSheetId="21">'Figure 17-16'!$A$7</definedName>
    <definedName name="ModelNameIn" localSheetId="12">'[2]Change Control'!$E$17</definedName>
    <definedName name="ModelNameIn" localSheetId="13">'[2]Change Control'!$E$17</definedName>
    <definedName name="ModelNameIn" localSheetId="14">'[2]Change Control'!$E$17</definedName>
    <definedName name="ModelNameIn" localSheetId="15">'[2]Change Control'!$E$17</definedName>
    <definedName name="ModelNameIn" localSheetId="16">'[2]Change Control'!$E$17</definedName>
    <definedName name="ModelNameIn" localSheetId="17">'[2]Change Control'!$E$17</definedName>
    <definedName name="ModelNameIn" localSheetId="18">'[2]Change Control'!$E$17</definedName>
    <definedName name="ModelNameIn" localSheetId="19">'Figure 17-12'!#REF!</definedName>
    <definedName name="ModelNameIn" localSheetId="20">'Figure 17-15'!#REF!</definedName>
    <definedName name="ModelNameIn" localSheetId="21">'Figure 17-16'!#REF!</definedName>
    <definedName name="ModelNameIn" localSheetId="22">[5]Constants!$D$43</definedName>
    <definedName name="ModelNameIn" localSheetId="4">[5]Constants!$D$43</definedName>
    <definedName name="ModelNameIn" localSheetId="5">[5]Constants!$D$43</definedName>
    <definedName name="ModelNameIn" localSheetId="6">[5]Constants!$D$43</definedName>
    <definedName name="ModelNameIn" localSheetId="7">[5]Constants!$D$43</definedName>
    <definedName name="ModelNameIn" localSheetId="8">[5]Constants!$D$43</definedName>
    <definedName name="ModelNameIn">[4]Control!$C$13</definedName>
    <definedName name="ModelOwnerEmailIn" localSheetId="19">'Figure 17-12'!#REF!</definedName>
    <definedName name="ModelOwnerEmailIn" localSheetId="20">'Figure 17-15'!#REF!</definedName>
    <definedName name="ModelOwnerEmailIn" localSheetId="21">'Figure 17-16'!#REF!</definedName>
    <definedName name="ModelOwnerEmailIn">[4]Control!$C$26</definedName>
    <definedName name="ModelOwnerNameIn" localSheetId="19">'Figure 17-12'!#REF!</definedName>
    <definedName name="ModelOwnerNameIn" localSheetId="20">'Figure 17-15'!#REF!</definedName>
    <definedName name="ModelOwnerNameIn" localSheetId="21">'Figure 17-16'!#REF!</definedName>
    <definedName name="ModelOwnerNameIn">[4]Control!$C$24</definedName>
    <definedName name="ModelOwnerPhoneIn" localSheetId="19">'Figure 17-12'!#REF!</definedName>
    <definedName name="ModelOwnerPhoneIn" localSheetId="20">'Figure 17-15'!#REF!</definedName>
    <definedName name="ModelOwnerPhoneIn" localSheetId="21">'Figure 17-16'!#REF!</definedName>
    <definedName name="ModelOwnerPhoneIn">[4]Control!$C$25</definedName>
    <definedName name="ModelOwnersEmailIn">[5]Constants!$D$38</definedName>
    <definedName name="ModelOwnersNameIn">[5]Constants!$D$36</definedName>
    <definedName name="ModelOwnersPhoneIn">[5]Constants!$D$37</definedName>
    <definedName name="ModelVersionNumber" localSheetId="19">'Figure 17-12'!#REF!</definedName>
    <definedName name="ModelVersionNumber" localSheetId="20">'Figure 17-15'!#REF!</definedName>
    <definedName name="ModelVersionNumber" localSheetId="21">'Figure 17-16'!#REF!</definedName>
    <definedName name="Modernisation">[4]Inp_Constants!$H$75</definedName>
    <definedName name="MonthInYear" localSheetId="12">'Figure 17-11c'!$F$16:$DY$16</definedName>
    <definedName name="MonthInYear" localSheetId="14">'Figure 17-11e'!$F$16:$DY$16</definedName>
    <definedName name="MonthInYear" localSheetId="15">'Figure 17-11f'!$F$16:$DY$16</definedName>
    <definedName name="MonthInYear" localSheetId="16">'Figure 17-11g'!$F$16:$DY$16</definedName>
    <definedName name="MonthInYear" localSheetId="17">'Figure 17-11h'!$F$16:$DY$16</definedName>
    <definedName name="MonthInYear" localSheetId="18">'Figure 17-11i'!$F$16:$DY$16</definedName>
    <definedName name="MonthInYear">'Figure 17-11d'!$F$16:$DY$16</definedName>
    <definedName name="MonthListIn" localSheetId="10">'Figure 17-11a'!$R$13:$AC$13</definedName>
    <definedName name="MonthListIn" localSheetId="11">'Figure 17-11b'!$R$13:$AC$13</definedName>
    <definedName name="MonthListIn" localSheetId="12">'Figure 17-11c'!$F$7:$Q$7</definedName>
    <definedName name="MonthListIn" localSheetId="13">'Figure 17-11d'!$F$7:$Q$7</definedName>
    <definedName name="MonthListIn" localSheetId="14">'Figure 17-11e'!$F$7:$Q$7</definedName>
    <definedName name="MonthListIn" localSheetId="15">'Figure 17-11f'!$F$7:$Q$7</definedName>
    <definedName name="MonthListIn" localSheetId="16">'Figure 17-11g'!$F$7:$Q$7</definedName>
    <definedName name="MonthListIn" localSheetId="17">'Figure 17-11h'!$F$7:$Q$7</definedName>
    <definedName name="MonthListIn" localSheetId="18">'Figure 17-11i'!$F$7:$Q$7</definedName>
    <definedName name="MonthListIn">'Figure 17-10'!$R$13:$AC$13</definedName>
    <definedName name="MonthName" localSheetId="12">'Figure 17-11c'!$F$18:$DY$18</definedName>
    <definedName name="MonthName" localSheetId="13">'Figure 17-11d'!$F$18:$DY$18</definedName>
    <definedName name="MonthName" localSheetId="14">'Figure 17-11e'!$F$18:$DY$18</definedName>
    <definedName name="MonthName" localSheetId="15">'Figure 17-11f'!$F$18:$DY$18</definedName>
    <definedName name="MonthName" localSheetId="16">'Figure 17-11g'!$F$18:$DY$18</definedName>
    <definedName name="MonthName" localSheetId="17">'Figure 17-11h'!$F$18:$DY$18</definedName>
    <definedName name="MonthName" localSheetId="18">'Figure 17-11i'!$F$18:$DY$18</definedName>
    <definedName name="MonthName" localSheetId="19">[4]Calc_Timeline!$F$7:$Q$7</definedName>
    <definedName name="MonthName" localSheetId="20">[4]Calc_Timeline!$F$7:$Q$7</definedName>
    <definedName name="MonthName" localSheetId="21">[4]Calc_Timeline!$F$7:$Q$7</definedName>
    <definedName name="MonthName" localSheetId="22">[4]Calc_Timeline!$F$7:$Q$7</definedName>
    <definedName name="MonthName" localSheetId="23">[4]Calc_Timeline!$F$7:$Q$7</definedName>
    <definedName name="MonthName" localSheetId="24">[4]Calc_Timeline!$F$7:$Q$7</definedName>
    <definedName name="MonthName">[4]Calc_Timeline!$T$7:$AE$7</definedName>
    <definedName name="MonthsInYear">[4]Inp_Constants!$C$286</definedName>
    <definedName name="MthsInYR" localSheetId="12">'Figure 17-11c'!#REF!</definedName>
    <definedName name="MthsInYR" localSheetId="14">'Figure 17-11e'!#REF!</definedName>
    <definedName name="MthsInYR" localSheetId="15">'Figure 17-11f'!#REF!</definedName>
    <definedName name="MthsInYR" localSheetId="16">'Figure 17-11g'!#REF!</definedName>
    <definedName name="MthsInYR" localSheetId="17">'Figure 17-11h'!#REF!</definedName>
    <definedName name="MthsInYR" localSheetId="18">'Figure 17-11i'!#REF!</definedName>
    <definedName name="MthsInYR">'Figure 17-11d'!#REF!</definedName>
    <definedName name="Network_Performance">[4]Inp_Constants!$H$56</definedName>
    <definedName name="NOT_SELECTED" localSheetId="19">'Figure 17-12'!#REF!</definedName>
    <definedName name="NOT_SELECTED" localSheetId="20">'Figure 17-15'!#REF!</definedName>
    <definedName name="NOT_SELECTED" localSheetId="21">'Figure 17-16'!#REF!</definedName>
    <definedName name="OperationNameIn" localSheetId="19">'Figure 17-12'!#REF!</definedName>
    <definedName name="OperationNameIn" localSheetId="20">'Figure 17-15'!#REF!</definedName>
    <definedName name="OperationNameIn" localSheetId="21">'Figure 17-16'!#REF!</definedName>
    <definedName name="OperationNameIn">[4]Control!$C$20</definedName>
    <definedName name="OperationsEmailIn" localSheetId="19">'Figure 17-12'!#REF!</definedName>
    <definedName name="OperationsEmailIn" localSheetId="20">'Figure 17-15'!#REF!</definedName>
    <definedName name="OperationsEmailIn" localSheetId="21">'Figure 17-16'!#REF!</definedName>
    <definedName name="OperationsEmailIn">[4]Control!$C$22</definedName>
    <definedName name="OperationsPhoneIn" localSheetId="19">'Figure 17-12'!#REF!</definedName>
    <definedName name="OperationsPhoneIn" localSheetId="20">'Figure 17-15'!#REF!</definedName>
    <definedName name="OperationsPhoneIn" localSheetId="21">'Figure 17-16'!#REF!</definedName>
    <definedName name="OperationsPhoneIn">[4]Control!$C$21</definedName>
    <definedName name="OrBot">[2]Constants!$A$828</definedName>
    <definedName name="OrList">[2]Constants!$E$598:$E$827</definedName>
    <definedName name="OrTop">[2]Constants!$E$598</definedName>
    <definedName name="OutCon">[2]Constants!A$283</definedName>
    <definedName name="OutCur" localSheetId="9">#REF!</definedName>
    <definedName name="OutCur" localSheetId="10">#REF!</definedName>
    <definedName name="OutCur" localSheetId="11">#REF!</definedName>
    <definedName name="OutCur" localSheetId="12">'[2]Financial Dashboard'!$L$16</definedName>
    <definedName name="OutCur" localSheetId="13">'[2]Financial Dashboard'!$L$16</definedName>
    <definedName name="OutCur" localSheetId="14">'[2]Financial Dashboard'!$L$16</definedName>
    <definedName name="OutCur" localSheetId="15">'[2]Financial Dashboard'!$L$16</definedName>
    <definedName name="OutCur" localSheetId="16">'[2]Financial Dashboard'!$L$16</definedName>
    <definedName name="OutCur" localSheetId="17">'[2]Financial Dashboard'!$L$16</definedName>
    <definedName name="OutCur" localSheetId="18">'[2]Financial Dashboard'!$L$16</definedName>
    <definedName name="OutCur" localSheetId="19">#REF!</definedName>
    <definedName name="OutCur" localSheetId="20">#REF!</definedName>
    <definedName name="OutCur" localSheetId="21">#REF!</definedName>
    <definedName name="OutCur" localSheetId="22">#REF!</definedName>
    <definedName name="OutCur" localSheetId="23">#REF!</definedName>
    <definedName name="OutCur" localSheetId="24">#REF!</definedName>
    <definedName name="OutCur" localSheetId="6">#REF!</definedName>
    <definedName name="OutCur" localSheetId="7">#REF!</definedName>
    <definedName name="OutCur" localSheetId="8">#REF!</definedName>
    <definedName name="OutCur">#REF!</definedName>
    <definedName name="OVD_VMS">[4]Inp_Constants!$H$55</definedName>
    <definedName name="OVERDRAFT">'[8]Input Sheet'!$D$20</definedName>
    <definedName name="Overhead">'[2]Service Prices'!$AD$22</definedName>
    <definedName name="OverON">'[2]Financial Dashboard'!$E$81</definedName>
    <definedName name="OverProf" localSheetId="9">#REF!</definedName>
    <definedName name="OverProf" localSheetId="10">#REF!</definedName>
    <definedName name="OverProf" localSheetId="11">#REF!</definedName>
    <definedName name="OverProf" localSheetId="12">'[2]Financial Dashboard'!$I$16</definedName>
    <definedName name="OverProf" localSheetId="13">'[2]Financial Dashboard'!$I$16</definedName>
    <definedName name="OverProf" localSheetId="14">'[2]Financial Dashboard'!$I$16</definedName>
    <definedName name="OverProf" localSheetId="15">'[2]Financial Dashboard'!$I$16</definedName>
    <definedName name="OverProf" localSheetId="16">'[2]Financial Dashboard'!$I$16</definedName>
    <definedName name="OverProf" localSheetId="17">'[2]Financial Dashboard'!$I$16</definedName>
    <definedName name="OverProf" localSheetId="18">'[2]Financial Dashboard'!$I$16</definedName>
    <definedName name="OverProf" localSheetId="19">#REF!</definedName>
    <definedName name="OverProf" localSheetId="20">#REF!</definedName>
    <definedName name="OverProf" localSheetId="21">#REF!</definedName>
    <definedName name="OverProf" localSheetId="22">#REF!</definedName>
    <definedName name="OverProf" localSheetId="23">#REF!</definedName>
    <definedName name="OverProf" localSheetId="24">#REF!</definedName>
    <definedName name="OverProf" localSheetId="6">#REF!</definedName>
    <definedName name="OverProf" localSheetId="7">#REF!</definedName>
    <definedName name="OverProf" localSheetId="8">#REF!</definedName>
    <definedName name="OverProf">#REF!</definedName>
    <definedName name="OverProfOn">'[2]Financial Dashboard'!$E$83</definedName>
    <definedName name="OwnereMailIn">'[2]Change Control'!$E$26</definedName>
    <definedName name="OwnerNameIn">'[2]Change Control'!$E$24</definedName>
    <definedName name="OwnerPhoneIn">'[2]Change Control'!$E$25</definedName>
    <definedName name="PABot">[2]Constants!$A$855</definedName>
    <definedName name="PAList">[2]Constants!$E$844:$E$854</definedName>
    <definedName name="PATop">[2]Constants!$E$844</definedName>
    <definedName name="PeriodCounter" localSheetId="10">'Figure 17-11a'!$R$34:$EK$34</definedName>
    <definedName name="PeriodCounter" localSheetId="11">'Figure 17-11b'!$R$34:$EK$34</definedName>
    <definedName name="PeriodCounter" localSheetId="12">'Figure 17-11c'!$F$14:$DY$14</definedName>
    <definedName name="PeriodCounter" localSheetId="13">'Figure 17-11d'!$F$14:$DY$14</definedName>
    <definedName name="PeriodCounter" localSheetId="14">'Figure 17-11e'!$F$14:$DY$14</definedName>
    <definedName name="PeriodCounter" localSheetId="15">'Figure 17-11f'!$F$14:$DY$14</definedName>
    <definedName name="PeriodCounter" localSheetId="16">'Figure 17-11g'!$F$14:$DY$14</definedName>
    <definedName name="PeriodCounter" localSheetId="17">'Figure 17-11h'!$F$14:$DY$14</definedName>
    <definedName name="PeriodCounter" localSheetId="18">'Figure 17-11i'!$F$14:$DY$14</definedName>
    <definedName name="PeriodCounter">'Figure 17-10'!$R$34:$EK$34</definedName>
    <definedName name="Periodic_Inspection">[4]Inp_Constants!$H$74</definedName>
    <definedName name="PeriodNoMonths" localSheetId="19">[4]Calc_Timeline!$F$13:$GO$13</definedName>
    <definedName name="PeriodNoMonths" localSheetId="20">[4]Calc_Timeline!$F$13:$GO$13</definedName>
    <definedName name="PeriodNoMonths" localSheetId="21">[4]Calc_Timeline!$F$13:$GO$13</definedName>
    <definedName name="PeriodNoMonths" localSheetId="22">[4]Calc_Timeline!$F$13:$GO$13</definedName>
    <definedName name="PeriodNoMonths" localSheetId="23">[4]Calc_Timeline!$F$13:$GO$13</definedName>
    <definedName name="PeriodNoMonths" localSheetId="24">[4]Calc_Timeline!$F$13:$GO$13</definedName>
    <definedName name="PeriodNoMonths">[4]Calc_Timeline!$T$13:$HC$13</definedName>
    <definedName name="PeriodNoMth" localSheetId="10">'Figure 17-11a'!$R$33:$EK$33</definedName>
    <definedName name="PeriodNoMth" localSheetId="11">'Figure 17-11b'!$R$33:$EK$33</definedName>
    <definedName name="PeriodNoMth" localSheetId="12">'Figure 17-11c'!$F$13:$DY$13</definedName>
    <definedName name="PeriodNoMth" localSheetId="13">'Figure 17-11d'!$F$13:$DY$13</definedName>
    <definedName name="PeriodNoMth" localSheetId="14">'Figure 17-11e'!$F$13:$DY$13</definedName>
    <definedName name="PeriodNoMth" localSheetId="15">'Figure 17-11f'!$F$13:$DY$13</definedName>
    <definedName name="PeriodNoMth" localSheetId="16">'Figure 17-11g'!$F$13:$DY$13</definedName>
    <definedName name="PeriodNoMth" localSheetId="17">'Figure 17-11h'!$F$13:$DY$13</definedName>
    <definedName name="PeriodNoMth" localSheetId="18">'Figure 17-11i'!$F$13:$DY$13</definedName>
    <definedName name="PeriodNoMth">'Figure 17-10'!$R$33:$EK$33</definedName>
    <definedName name="PeriodNoYr" localSheetId="12">'Figure 17-11c'!#REF!</definedName>
    <definedName name="PeriodNoYr" localSheetId="14">'Figure 17-11e'!#REF!</definedName>
    <definedName name="PeriodNoYr" localSheetId="15">'Figure 17-11f'!#REF!</definedName>
    <definedName name="PeriodNoYr" localSheetId="16">'Figure 17-11g'!#REF!</definedName>
    <definedName name="PeriodNoYr" localSheetId="17">'Figure 17-11h'!#REF!</definedName>
    <definedName name="PeriodNoYr" localSheetId="18">'Figure 17-11i'!#REF!</definedName>
    <definedName name="PeriodNoYr">'Figure 17-11d'!#REF!</definedName>
    <definedName name="PLA10B">'[2]Main Input'!$D$1</definedName>
    <definedName name="PLA11B">[2]Conversion!$D$1</definedName>
    <definedName name="PLA12B">'[2]Cost Plus'!$D$1</definedName>
    <definedName name="PLA13B">'[2]Profile before CoM'!$D$1</definedName>
    <definedName name="PLA14B">'[2]Profile with CoM'!$D$1</definedName>
    <definedName name="PLA15B">[2]Capital!$AD$1</definedName>
    <definedName name="PLA15E">[2]Capital!$AD$36</definedName>
    <definedName name="PLA15F">[2]Capital!$AD$46</definedName>
    <definedName name="PLA16B">'[2]Final Price'!$D$1</definedName>
    <definedName name="PLA17B">'[2]Service Prices'!$D$1</definedName>
    <definedName name="PLA18B">[2]Interface!$D$1</definedName>
    <definedName name="PLA19B">[2]Audit!$F$1</definedName>
    <definedName name="PLA20B">'[2]Change Control'!$D$1</definedName>
    <definedName name="PLA21A">[2]End!$A$1</definedName>
    <definedName name="PLA22B">[2]CoM!$D$1</definedName>
    <definedName name="PLA6B">[2]Constants!$D$1</definedName>
    <definedName name="PLA7A" localSheetId="12">'Figure 17-11c'!$A$1</definedName>
    <definedName name="PLA7A" localSheetId="14">'Figure 17-11e'!$A$1</definedName>
    <definedName name="PLA7A" localSheetId="15">'Figure 17-11f'!$A$1</definedName>
    <definedName name="PLA7A" localSheetId="16">'Figure 17-11g'!$A$1</definedName>
    <definedName name="PLA7A" localSheetId="17">'Figure 17-11h'!$A$1</definedName>
    <definedName name="PLA7A" localSheetId="18">'Figure 17-11i'!$A$1</definedName>
    <definedName name="PLA7A">'Figure 17-11d'!$A$1</definedName>
    <definedName name="PLA7B" localSheetId="12">'Figure 17-11c'!$E$1</definedName>
    <definedName name="PLA7B" localSheetId="14">'Figure 17-11e'!$E$1</definedName>
    <definedName name="PLA7B" localSheetId="15">'Figure 17-11f'!$E$1</definedName>
    <definedName name="PLA7B" localSheetId="16">'Figure 17-11g'!$E$1</definedName>
    <definedName name="PLA7B" localSheetId="17">'Figure 17-11h'!$E$1</definedName>
    <definedName name="PLA7B" localSheetId="18">'Figure 17-11i'!$E$1</definedName>
    <definedName name="PLA7B">'Figure 17-11d'!$E$1</definedName>
    <definedName name="PLA7C">[2]Constants!$D$266</definedName>
    <definedName name="PLA7D">[2]Constants!$D$508</definedName>
    <definedName name="PLA8B">'[2]Customer Charges'!$D$1</definedName>
    <definedName name="PLA8C">[2]CoM!$EZ$21</definedName>
    <definedName name="PLA9B">'[2]Financial Dashboard'!$F$1</definedName>
    <definedName name="Plan">[3]Rates!$C$58</definedName>
    <definedName name="Planning_Programming_Logistics">[4]Inp_Constants!$H$53</definedName>
    <definedName name="PreContractPeriodDuration" localSheetId="10">'Figure 17-11a'!$D$15</definedName>
    <definedName name="PreContractPeriodDuration" localSheetId="11">'Figure 17-11b'!$D$15</definedName>
    <definedName name="PreContractPeriodDuration" localSheetId="12">'Figure 17-11c'!$D$6</definedName>
    <definedName name="PreContractPeriodDuration" localSheetId="13">'Figure 17-11d'!$D$6</definedName>
    <definedName name="PreContractPeriodDuration" localSheetId="14">'Figure 17-11e'!$D$6</definedName>
    <definedName name="PreContractPeriodDuration" localSheetId="15">'Figure 17-11f'!$D$6</definedName>
    <definedName name="PreContractPeriodDuration" localSheetId="16">'Figure 17-11g'!$D$6</definedName>
    <definedName name="PreContractPeriodDuration" localSheetId="17">'Figure 17-11h'!$D$6</definedName>
    <definedName name="PreContractPeriodDuration" localSheetId="18">'Figure 17-11i'!$D$6</definedName>
    <definedName name="PreContractPeriodDuration">'Figure 17-10'!$D$15</definedName>
    <definedName name="PreContractPeriodDurationIn">[2]Constants!$E$100</definedName>
    <definedName name="PreContractPeriods">[4]Inp_Constants!$D$22</definedName>
    <definedName name="PreContractStartDate">[4]Inp_Constants!$D$26</definedName>
    <definedName name="PreContractStartDateIn" localSheetId="12">[2]Constants!$E$109</definedName>
    <definedName name="PreContractStartDateIn" localSheetId="13">[2]Constants!$E$109</definedName>
    <definedName name="PreContractStartDateIn" localSheetId="14">[2]Constants!$E$109</definedName>
    <definedName name="PreContractStartDateIn" localSheetId="15">[2]Constants!$E$109</definedName>
    <definedName name="PreContractStartDateIn" localSheetId="16">[2]Constants!$E$109</definedName>
    <definedName name="PreContractStartDateIn" localSheetId="17">[2]Constants!$E$109</definedName>
    <definedName name="PreContractStartDateIn" localSheetId="18">[2]Constants!$E$109</definedName>
    <definedName name="PreContractStartDateIn">[7]Constants!$E$109</definedName>
    <definedName name="PriBot">'[2]Financial Dashboard'!$C$107</definedName>
    <definedName name="PriDrop">'[2]Financial Dashboard'!$C$101:$C$106</definedName>
    <definedName name="_xlnm.Print_Area" localSheetId="12">'Figure 17-11c'!$F$5:$EB$27</definedName>
    <definedName name="_xlnm.Print_Area" localSheetId="13">'Figure 17-11d'!$F$5:$EB$27</definedName>
    <definedName name="_xlnm.Print_Area" localSheetId="14">'Figure 17-11e'!$F$5:$EB$27</definedName>
    <definedName name="_xlnm.Print_Area" localSheetId="15">'Figure 17-11f'!$F$5:$EB$27</definedName>
    <definedName name="_xlnm.Print_Area" localSheetId="16">'Figure 17-11g'!$F$5:$EB$27</definedName>
    <definedName name="_xlnm.Print_Area" localSheetId="17">'Figure 17-11h'!$F$5:$EB$27</definedName>
    <definedName name="_xlnm.Print_Area" localSheetId="18">'Figure 17-11i'!$F$5:$EB$27</definedName>
    <definedName name="_xlnm.Print_Titles" localSheetId="12">'Figure 17-11c'!$A:$E,'Figure 17-11c'!$1:$3</definedName>
    <definedName name="_xlnm.Print_Titles" localSheetId="13">'Figure 17-11d'!$A:$E,'Figure 17-11d'!$1:$3</definedName>
    <definedName name="_xlnm.Print_Titles" localSheetId="14">'Figure 17-11e'!$A:$E,'Figure 17-11e'!$1:$3</definedName>
    <definedName name="_xlnm.Print_Titles" localSheetId="15">'Figure 17-11f'!$A:$E,'Figure 17-11f'!$1:$3</definedName>
    <definedName name="_xlnm.Print_Titles" localSheetId="16">'Figure 17-11g'!$A:$E,'Figure 17-11g'!$1:$3</definedName>
    <definedName name="_xlnm.Print_Titles" localSheetId="17">'Figure 17-11h'!$A:$E,'Figure 17-11h'!$1:$3</definedName>
    <definedName name="_xlnm.Print_Titles" localSheetId="18">'Figure 17-11i'!$A:$E,'Figure 17-11i'!$1:$3</definedName>
    <definedName name="PrisonNameIn">[5]Constants!$D$20</definedName>
    <definedName name="PriTop">'[2]Financial Dashboard'!$C$101</definedName>
    <definedName name="ProjectEnd">[4]Inp_Constants!$D$25</definedName>
    <definedName name="ProjectNameIn">[4]Inp_Constants!$D$11</definedName>
    <definedName name="ProjectStart">[4]Inp_Constants!$D$23</definedName>
    <definedName name="ProjectStartDate" localSheetId="11">'Figure 17-11b'!$Q$3</definedName>
    <definedName name="ProjectStartDate">'Figure 17-11a'!$Q$3</definedName>
    <definedName name="QuarterNumber" localSheetId="12">'Figure 17-11c'!$F$20:$DY$20</definedName>
    <definedName name="QuarterNumber" localSheetId="14">'Figure 17-11e'!$F$20:$DY$20</definedName>
    <definedName name="QuarterNumber" localSheetId="15">'Figure 17-11f'!$F$20:$DY$20</definedName>
    <definedName name="QuarterNumber" localSheetId="16">'Figure 17-11g'!$F$20:$DY$20</definedName>
    <definedName name="QuarterNumber" localSheetId="17">'Figure 17-11h'!$F$20:$DY$20</definedName>
    <definedName name="QuarterNumber" localSheetId="18">'Figure 17-11i'!$F$20:$DY$20</definedName>
    <definedName name="QuarterNumber">'Figure 17-11d'!$F$20:$DY$20</definedName>
    <definedName name="RCBot">[2]Constants!$A$580</definedName>
    <definedName name="RCList">[2]Constants!$B$571:$C$579</definedName>
    <definedName name="RCTop">[2]Constants!$B$571</definedName>
    <definedName name="Reactive_Maintenance">[4]Inp_Constants!$H$73</definedName>
    <definedName name="ReBot">[2]Constants!$A$870</definedName>
    <definedName name="Receivables">'[2]Financial Dashboard'!$L$15</definedName>
    <definedName name="RecOffNum">[2]Constants!$E$1079</definedName>
    <definedName name="ReList">[2]Constants!$E$860:$E$869</definedName>
    <definedName name="ResidualDepreciation">[2]Capital!$AE$53</definedName>
    <definedName name="ResList1">[2]Capital!$C$28:$C$33</definedName>
    <definedName name="ReTop">[2]Constants!$E$860</definedName>
    <definedName name="Roads">[4]Inp_Constants!$H$50</definedName>
    <definedName name="RoBot">[2]Constants!$A$1007</definedName>
    <definedName name="RoList">[2]Constants!$E$875:$E$1006</definedName>
    <definedName name="RoTop">[2]Constants!$E$875</definedName>
    <definedName name="RRBot">[2]Constants!$A$839</definedName>
    <definedName name="RRList">[2]Constants!$E$833:$E$838</definedName>
    <definedName name="RRTop">[2]Constants!$E$833</definedName>
    <definedName name="S_Amortisation">[5]Inputs!$D$59</definedName>
    <definedName name="S_Catering">[5]Inputs!$D$47</definedName>
    <definedName name="S_Cleaning">[5]Inputs!$D$40</definedName>
    <definedName name="S_Food">[5]Inputs!$D$45</definedName>
    <definedName name="S_HardFM">[5]Inputs!$D$39</definedName>
    <definedName name="S_ICT">[5]Inputs!$D$44</definedName>
    <definedName name="S_Landscaping">[5]Inputs!$D$42</definedName>
    <definedName name="S_Management">[5]Inputs!$D$43</definedName>
    <definedName name="S_OSG">[5]Inputs!$D$38</definedName>
    <definedName name="S_PestControl">[5]Inputs!$D$41</definedName>
    <definedName name="S_TvReplacement">[5]Inputs!$D$46</definedName>
    <definedName name="SCENE10">'[2]Cost Plus'!$AF$5:$EY$5</definedName>
    <definedName name="SCENE11">'[2]Profile before CoM'!$AF$5:$EY$5</definedName>
    <definedName name="SCENE12">'[2]Final Price'!$AF$5:$EY$5</definedName>
    <definedName name="SCENE13">[2]Capital!$AF$5:$EY$5</definedName>
    <definedName name="SCENE17">'[2]Customer Charges'!$AF$5:$EY$5</definedName>
    <definedName name="SCENE18">'[2]Service Prices'!$AF$5:$EY$5</definedName>
    <definedName name="SCENE19">[2]Interface!$AF$5:$EY$5</definedName>
    <definedName name="SCENE20">'[2]Profile with CoM'!$AF$5:$EY$5</definedName>
    <definedName name="SCENE21">[2]Constants!$AF$4:$EY$4</definedName>
    <definedName name="SCENE8">'[2]Main Input'!$AF$4:$EY$4</definedName>
    <definedName name="SCENE9">[2]Conversion!$AF$5:$EY$5</definedName>
    <definedName name="Scheme_Closeout">[4]Inp_Constants!$H$71</definedName>
    <definedName name="Scheme_request">[4]Inp_Constants!$H$65</definedName>
    <definedName name="SERSP1">'[2]Customer Charges'!$A$12</definedName>
    <definedName name="SERST1">'[2]Customer Charges'!$A$207</definedName>
    <definedName name="ServiceTime">[3]Rates!$A$3:$C$32</definedName>
    <definedName name="Servicing">'[2]Financial Dashboard'!$I$15</definedName>
    <definedName name="ServList">'[2]Customer Charges'!$AD$273:$AD$290</definedName>
    <definedName name="SiBot">[2]Constants!$A$1034</definedName>
    <definedName name="SiList">[2]Constants!$E$1012:$E$1033</definedName>
    <definedName name="SiTop">[2]Constants!$E$1012</definedName>
    <definedName name="SomeOne_Tfl.gov.uk" localSheetId="19">'Figure 17-12'!#REF!</definedName>
    <definedName name="SomeOne_Tfl.gov.uk" localSheetId="20">'Figure 17-15'!#REF!</definedName>
    <definedName name="SomeOne_Tfl.gov.uk" localSheetId="21">'Figure 17-16'!#REF!</definedName>
    <definedName name="SponsoreMailIn" localSheetId="12">'[2]Change Control'!$E$22</definedName>
    <definedName name="SponsoreMailIn" localSheetId="13">'[2]Change Control'!$E$22</definedName>
    <definedName name="SponsoreMailIn" localSheetId="14">'[2]Change Control'!$E$22</definedName>
    <definedName name="SponsoreMailIn" localSheetId="15">'[2]Change Control'!$E$22</definedName>
    <definedName name="SponsoreMailIn" localSheetId="16">'[2]Change Control'!$E$22</definedName>
    <definedName name="SponsoreMailIn" localSheetId="17">'[2]Change Control'!$E$22</definedName>
    <definedName name="SponsoreMailIn" localSheetId="18">'[2]Change Control'!$E$22</definedName>
    <definedName name="SponsorEmailIn" localSheetId="19">'Figure 17-12'!#REF!</definedName>
    <definedName name="SponsorEmailIn" localSheetId="20">'Figure 17-15'!#REF!</definedName>
    <definedName name="SponsorEmailIn" localSheetId="21">'Figure 17-16'!#REF!</definedName>
    <definedName name="SponsorEmailIn">[4]Control!$C$18</definedName>
    <definedName name="SponsorNameIn" localSheetId="12">'[2]Change Control'!$E$20</definedName>
    <definedName name="SponsorNameIn" localSheetId="13">'[2]Change Control'!$E$20</definedName>
    <definedName name="SponsorNameIn" localSheetId="14">'[2]Change Control'!$E$20</definedName>
    <definedName name="SponsorNameIn" localSheetId="15">'[2]Change Control'!$E$20</definedName>
    <definedName name="SponsorNameIn" localSheetId="16">'[2]Change Control'!$E$20</definedName>
    <definedName name="SponsorNameIn" localSheetId="17">'[2]Change Control'!$E$20</definedName>
    <definedName name="SponsorNameIn" localSheetId="18">'[2]Change Control'!$E$20</definedName>
    <definedName name="SponsorNameIn" localSheetId="19">'Figure 17-12'!#REF!</definedName>
    <definedName name="SponsorNameIn" localSheetId="20">'Figure 17-15'!#REF!</definedName>
    <definedName name="SponsorNameIn" localSheetId="21">'Figure 17-16'!#REF!</definedName>
    <definedName name="SponsorNameIn">[4]Control!$C$16</definedName>
    <definedName name="SponsorPhoneIn" localSheetId="12">'[2]Change Control'!$E$21</definedName>
    <definedName name="SponsorPhoneIn" localSheetId="13">'[2]Change Control'!$E$21</definedName>
    <definedName name="SponsorPhoneIn" localSheetId="14">'[2]Change Control'!$E$21</definedName>
    <definedName name="SponsorPhoneIn" localSheetId="15">'[2]Change Control'!$E$21</definedName>
    <definedName name="SponsorPhoneIn" localSheetId="16">'[2]Change Control'!$E$21</definedName>
    <definedName name="SponsorPhoneIn" localSheetId="17">'[2]Change Control'!$E$21</definedName>
    <definedName name="SponsorPhoneIn" localSheetId="18">'[2]Change Control'!$E$21</definedName>
    <definedName name="SponsorPhoneIn" localSheetId="19">'Figure 17-12'!#REF!</definedName>
    <definedName name="SponsorPhoneIn" localSheetId="20">'Figure 17-15'!#REF!</definedName>
    <definedName name="SponsorPhoneIn" localSheetId="21">'Figure 17-16'!#REF!</definedName>
    <definedName name="SponsorPhoneIn">[4]Control!$C$17</definedName>
    <definedName name="SPRSP1">'[2]Service Prices'!$A$12</definedName>
    <definedName name="SPRST1">'[2]Service Prices'!$A$239</definedName>
    <definedName name="ST_1">[4]Inp_Constants!$D$248</definedName>
    <definedName name="ST_10">[4]Inp_Constants!$D$258</definedName>
    <definedName name="ST_11">[4]Inp_Constants!$D$259</definedName>
    <definedName name="ST_12" localSheetId="10">[4]Inp_Constants!#REF!</definedName>
    <definedName name="ST_12" localSheetId="11">[4]Inp_Constants!#REF!</definedName>
    <definedName name="ST_12" localSheetId="12">[4]Inp_Constants!#REF!</definedName>
    <definedName name="ST_12" localSheetId="14">[4]Inp_Constants!#REF!</definedName>
    <definedName name="ST_12" localSheetId="15">[4]Inp_Constants!#REF!</definedName>
    <definedName name="ST_12" localSheetId="16">[4]Inp_Constants!#REF!</definedName>
    <definedName name="ST_12" localSheetId="17">[4]Inp_Constants!#REF!</definedName>
    <definedName name="ST_12" localSheetId="18">[4]Inp_Constants!#REF!</definedName>
    <definedName name="ST_12" localSheetId="19">[4]Inp_Constants!#REF!</definedName>
    <definedName name="ST_12" localSheetId="20">[4]Inp_Constants!#REF!</definedName>
    <definedName name="ST_12" localSheetId="21">[4]Inp_Constants!#REF!</definedName>
    <definedName name="ST_12" localSheetId="22">[4]Inp_Constants!#REF!</definedName>
    <definedName name="ST_12" localSheetId="23">[4]Inp_Constants!#REF!</definedName>
    <definedName name="ST_12" localSheetId="24">[4]Inp_Constants!#REF!</definedName>
    <definedName name="ST_12" localSheetId="6">[4]Inp_Constants!#REF!</definedName>
    <definedName name="ST_12" localSheetId="7">[4]Inp_Constants!#REF!</definedName>
    <definedName name="ST_12" localSheetId="8">[4]Inp_Constants!#REF!</definedName>
    <definedName name="ST_12">[4]Inp_Constants!#REF!</definedName>
    <definedName name="ST_13">[4]Inp_Constants!$D$250</definedName>
    <definedName name="ST_14">[4]Inp_Constants!$D$265</definedName>
    <definedName name="ST_15">[4]Inp_Constants!$D$266</definedName>
    <definedName name="ST_16">[4]Inp_Constants!$D$267</definedName>
    <definedName name="ST_17">[4]Inp_Constants!$D$268</definedName>
    <definedName name="ST_18">[4]Inp_Constants!$D$269</definedName>
    <definedName name="ST_19">[4]Inp_Constants!$D$270</definedName>
    <definedName name="ST_2">[4]Inp_Constants!$D$249</definedName>
    <definedName name="ST_20">[4]Inp_Constants!$D$271</definedName>
    <definedName name="ST_21">[4]Inp_Constants!$D$272</definedName>
    <definedName name="ST_22">[4]Inp_Constants!$D$273</definedName>
    <definedName name="ST_23">[4]Inp_Constants!$D$274</definedName>
    <definedName name="ST_24">[4]Inp_Constants!$D$275</definedName>
    <definedName name="ST_25">[4]Inp_Constants!$D$276</definedName>
    <definedName name="ST_26">[4]Inp_Constants!$D$277</definedName>
    <definedName name="ST_27">[4]Inp_Constants!$D$278</definedName>
    <definedName name="ST_3">[4]Inp_Constants!$D$251</definedName>
    <definedName name="ST_4">[4]Inp_Constants!$D$252</definedName>
    <definedName name="ST_5">[4]Inp_Constants!$D$253</definedName>
    <definedName name="ST_6">[4]Inp_Constants!$D$254</definedName>
    <definedName name="ST_7">[4]Inp_Constants!$D$255</definedName>
    <definedName name="ST_8">[4]Inp_Constants!$D$256</definedName>
    <definedName name="ST_9">[4]Inp_Constants!$D$257</definedName>
    <definedName name="StartEndDate">[4]Inp_Constants!$D$30</definedName>
    <definedName name="SuBot">[2]Constants!$A$1073</definedName>
    <definedName name="SuList">[2]Constants!$E$1039:$E$1072</definedName>
    <definedName name="SupplementaryWorks_PM">[4]Inp_Constants!$H$77</definedName>
    <definedName name="SURPLUS">'[8]Input Sheet'!$D$19</definedName>
    <definedName name="SuSwitches">[2]Constants!$G$1039:$G$1072</definedName>
    <definedName name="SuTop">[2]Constants!$E$1039</definedName>
    <definedName name="SwitchConvert_CapabilityUnit">[4]Inp_Constants!$G$45:$G$57</definedName>
    <definedName name="SwitchConvert_Contractor">[4]Inp_Constants!$G$238:$G$242</definedName>
    <definedName name="SwitchConvert_CostCentre">[4]Inp_Constants!$G$38:$G$39</definedName>
    <definedName name="SwitchConvert_CostType">[4]Inp_Constants!$G$225:$G$232</definedName>
    <definedName name="SwitchConvert_Descriptor">[4]Inp_Constants!$G$87:$G$216</definedName>
    <definedName name="SwitchConvert_Works">[4]Inp_Constants!$G$65:$G$79</definedName>
    <definedName name="Systems">[4]Inp_Constants!$H$52</definedName>
    <definedName name="Table_Authorised" localSheetId="19">'Figure 17-12'!#REF!</definedName>
    <definedName name="Table_Authorised" localSheetId="20">'Figure 17-15'!#REF!</definedName>
    <definedName name="Table_Authorised" localSheetId="21">'Figure 17-16'!#REF!</definedName>
    <definedName name="Table_Authorised">[4]Control!$B$54:$B$63</definedName>
    <definedName name="TCMS1CM" localSheetId="19">'Figure 17-12'!#REF!</definedName>
    <definedName name="TCMS1CM" localSheetId="20">'Figure 17-15'!#REF!</definedName>
    <definedName name="TCMS1CM" localSheetId="21">'Figure 17-16'!#REF!</definedName>
    <definedName name="TCMS1CM_v1.0" localSheetId="19">'Figure 17-12'!#REF!</definedName>
    <definedName name="TCMS1CM_v1.0" localSheetId="20">'Figure 17-15'!#REF!</definedName>
    <definedName name="TCMS1CM_v1.0" localSheetId="21">'Figure 17-16'!#REF!</definedName>
    <definedName name="TCUpdateSourceData" localSheetId="12">'Figure 17-11c'!$5:$27</definedName>
    <definedName name="TCUpdateSourceData" localSheetId="14">'Figure 17-11e'!$5:$27</definedName>
    <definedName name="TCUpdateSourceData" localSheetId="15">'Figure 17-11f'!$5:$27</definedName>
    <definedName name="TCUpdateSourceData" localSheetId="16">'Figure 17-11g'!$5:$27</definedName>
    <definedName name="TCUpdateSourceData" localSheetId="17">'Figure 17-11h'!$5:$27</definedName>
    <definedName name="TCUpdateSourceData" localSheetId="18">'Figure 17-11i'!$5:$27</definedName>
    <definedName name="TCUpdateSourceData">'Figure 17-11d'!$5:$27</definedName>
    <definedName name="The_Sponsor" localSheetId="19">'Figure 17-12'!#REF!</definedName>
    <definedName name="The_Sponsor" localSheetId="20">'Figure 17-15'!#REF!</definedName>
    <definedName name="The_Sponsor" localSheetId="21">'Figure 17-16'!#REF!</definedName>
    <definedName name="TIbloc1" localSheetId="12">'Figure 17-11c'!$A$1:$DY$27</definedName>
    <definedName name="TIbloc1" localSheetId="14">'Figure 17-11e'!$A$1:$DY$27</definedName>
    <definedName name="TIbloc1" localSheetId="15">'Figure 17-11f'!$A$1:$DY$27</definedName>
    <definedName name="TIbloc1" localSheetId="16">'Figure 17-11g'!$A$1:$DY$27</definedName>
    <definedName name="TIbloc1" localSheetId="17">'Figure 17-11h'!$A$1:$DY$27</definedName>
    <definedName name="TIbloc1" localSheetId="18">'Figure 17-11i'!$A$1:$DY$27</definedName>
    <definedName name="TIbloc1">'Figure 17-11d'!$A$1:$DY$27</definedName>
    <definedName name="TIMAN1" localSheetId="12">'Figure 17-11c'!$A$26</definedName>
    <definedName name="TIMAN1" localSheetId="14">'Figure 17-11e'!$A$26</definedName>
    <definedName name="TIMAN1" localSheetId="15">'Figure 17-11f'!$A$26</definedName>
    <definedName name="TIMAN1" localSheetId="16">'Figure 17-11g'!$A$26</definedName>
    <definedName name="TIMAN1" localSheetId="17">'Figure 17-11h'!$A$26</definedName>
    <definedName name="TIMAN1" localSheetId="18">'Figure 17-11i'!$A$26</definedName>
    <definedName name="TIMAN1">'Figure 17-11d'!$A$26</definedName>
    <definedName name="TIMCR1">[2]Constants!$A$266</definedName>
    <definedName name="TimelineIn" localSheetId="12">'Figure 17-11c'!$F$19:$DY$19</definedName>
    <definedName name="TimelineIn" localSheetId="14">'Figure 17-11e'!$F$19:$DY$19</definedName>
    <definedName name="TimelineIn" localSheetId="15">'Figure 17-11f'!$F$19:$DY$19</definedName>
    <definedName name="TimelineIn" localSheetId="16">'Figure 17-11g'!$F$19:$DY$19</definedName>
    <definedName name="TimelineIn" localSheetId="17">'Figure 17-11h'!$F$19:$DY$19</definedName>
    <definedName name="TimelineIn" localSheetId="18">'Figure 17-11i'!$F$19:$DY$19</definedName>
    <definedName name="TimelineIn">'Figure 17-11d'!$F$19:$DY$19</definedName>
    <definedName name="Timeperiod">[4]Calc_Timeline!$F$19:$GO$19</definedName>
    <definedName name="TIMGE1" localSheetId="12">'Figure 17-11c'!$A$5</definedName>
    <definedName name="TIMGE1" localSheetId="14">'Figure 17-11e'!$A$5</definedName>
    <definedName name="TIMGE1" localSheetId="15">'Figure 17-11f'!$A$5</definedName>
    <definedName name="TIMGE1" localSheetId="16">'Figure 17-11g'!$A$5</definedName>
    <definedName name="TIMGE1" localSheetId="17">'Figure 17-11h'!$A$5</definedName>
    <definedName name="TIMGE1" localSheetId="18">'Figure 17-11i'!$A$5</definedName>
    <definedName name="TIMGE1">'Figure 17-11d'!$A$5</definedName>
    <definedName name="TIMIR1">[2]Constants!$A$508</definedName>
    <definedName name="TIMMO1" localSheetId="12">'Figure 17-11c'!$A$9</definedName>
    <definedName name="TIMMO1" localSheetId="14">'Figure 17-11e'!$A$9</definedName>
    <definedName name="TIMMO1" localSheetId="15">'Figure 17-11f'!$A$9</definedName>
    <definedName name="TIMMO1" localSheetId="16">'Figure 17-11g'!$A$9</definedName>
    <definedName name="TIMMO1" localSheetId="17">'Figure 17-11h'!$A$9</definedName>
    <definedName name="TIMMO1" localSheetId="18">'Figure 17-11i'!$A$9</definedName>
    <definedName name="TIMMO1">'Figure 17-11d'!$A$9</definedName>
    <definedName name="TIMQU1" localSheetId="12">'Figure 17-11c'!#REF!</definedName>
    <definedName name="TIMQU1" localSheetId="14">'Figure 17-11e'!#REF!</definedName>
    <definedName name="TIMQU1" localSheetId="15">'Figure 17-11f'!#REF!</definedName>
    <definedName name="TIMQU1" localSheetId="16">'Figure 17-11g'!#REF!</definedName>
    <definedName name="TIMQU1" localSheetId="17">'Figure 17-11h'!#REF!</definedName>
    <definedName name="TIMQU1" localSheetId="18">'Figure 17-11i'!#REF!</definedName>
    <definedName name="TIMQU1">'Figure 17-11d'!#REF!</definedName>
    <definedName name="TIMVO1">[2]Constants!$A$1146</definedName>
    <definedName name="TitleName" localSheetId="24">[4]Adm_Styles!$A$1</definedName>
    <definedName name="TitleName">'Figure 17-19'!$A$1</definedName>
    <definedName name="TLCheck1" localSheetId="12">'Figure 17-11c'!#REF!</definedName>
    <definedName name="TLCheck1" localSheetId="14">'Figure 17-11e'!#REF!</definedName>
    <definedName name="TLCheck1" localSheetId="15">'Figure 17-11f'!#REF!</definedName>
    <definedName name="TLCheck1" localSheetId="16">'Figure 17-11g'!#REF!</definedName>
    <definedName name="TLCheck1" localSheetId="17">'Figure 17-11h'!#REF!</definedName>
    <definedName name="TLCheck1" localSheetId="18">'Figure 17-11i'!#REF!</definedName>
    <definedName name="TLCheck1">'Figure 17-11d'!#REF!</definedName>
    <definedName name="TLCheck2" localSheetId="12">'Figure 17-11c'!#REF!</definedName>
    <definedName name="TLCheck2" localSheetId="14">'Figure 17-11e'!#REF!</definedName>
    <definedName name="TLCheck2" localSheetId="15">'Figure 17-11f'!#REF!</definedName>
    <definedName name="TLCheck2" localSheetId="16">'Figure 17-11g'!#REF!</definedName>
    <definedName name="TLCheck2" localSheetId="17">'Figure 17-11h'!#REF!</definedName>
    <definedName name="TLCheck2" localSheetId="18">'Figure 17-11i'!#REF!</definedName>
    <definedName name="TLCheck2">'Figure 17-11d'!#REF!</definedName>
    <definedName name="TLCheck3" localSheetId="12">'Figure 17-11c'!#REF!</definedName>
    <definedName name="TLCheck3" localSheetId="14">'Figure 17-11e'!#REF!</definedName>
    <definedName name="TLCheck3" localSheetId="15">'Figure 17-11f'!#REF!</definedName>
    <definedName name="TLCheck3" localSheetId="16">'Figure 17-11g'!#REF!</definedName>
    <definedName name="TLCheck3" localSheetId="17">'Figure 17-11h'!#REF!</definedName>
    <definedName name="TLCheck3" localSheetId="18">'Figure 17-11i'!#REF!</definedName>
    <definedName name="TLCheck3">'Figure 17-11d'!#REF!</definedName>
    <definedName name="TotalCost" localSheetId="10">#REF!</definedName>
    <definedName name="TotalCost" localSheetId="11">#REF!</definedName>
    <definedName name="TotalCost" localSheetId="12">#REF!</definedName>
    <definedName name="TotalCost" localSheetId="14">#REF!</definedName>
    <definedName name="TotalCost" localSheetId="15">#REF!</definedName>
    <definedName name="TotalCost" localSheetId="16">#REF!</definedName>
    <definedName name="TotalCost" localSheetId="17">#REF!</definedName>
    <definedName name="TotalCost" localSheetId="18">#REF!</definedName>
    <definedName name="TotalCost" localSheetId="21">#REF!</definedName>
    <definedName name="TotalCost" localSheetId="6">#REF!</definedName>
    <definedName name="TotalCost">#REF!</definedName>
    <definedName name="TotalCostLines" localSheetId="10">#REF!</definedName>
    <definedName name="TotalCostLines" localSheetId="11">#REF!</definedName>
    <definedName name="TotalCostLines" localSheetId="12">#REF!</definedName>
    <definedName name="TotalCostLines" localSheetId="14">#REF!</definedName>
    <definedName name="TotalCostLines" localSheetId="15">#REF!</definedName>
    <definedName name="TotalCostLines" localSheetId="16">#REF!</definedName>
    <definedName name="TotalCostLines" localSheetId="17">#REF!</definedName>
    <definedName name="TotalCostLines" localSheetId="18">#REF!</definedName>
    <definedName name="TotalCostLines" localSheetId="21">#REF!</definedName>
    <definedName name="TotalCostLines" localSheetId="6">#REF!</definedName>
    <definedName name="TotalCostLines">#REF!</definedName>
    <definedName name="TotalCostPlus">'[2]Cost Plus'!$AE$115</definedName>
    <definedName name="TotalPeriods">[4]Inp_Constants!$D$24</definedName>
    <definedName name="TotalProfile">'[2]Profile before CoM'!$AE$115</definedName>
    <definedName name="TrafficSignal_Design">[4]Inp_Constants!$H$67</definedName>
    <definedName name="TrafficSignal_Installation">[4]Inp_Constants!$H$69</definedName>
    <definedName name="TrafficSignal_Systems">[4]Inp_Constants!$H$54</definedName>
    <definedName name="UC1Bot">[2]Constants!$A$1120</definedName>
    <definedName name="UC1List">[2]Constants!$E$1113:$E$1119</definedName>
    <definedName name="UC1Top">[2]Constants!$E$1113</definedName>
    <definedName name="UC2Bot">[2]Constants!$A$1132</definedName>
    <definedName name="UC2List">[2]Constants!$E$1125:$E$1131</definedName>
    <definedName name="UC2Top">[2]Constants!$E$1125</definedName>
    <definedName name="UC3Bot">[2]Constants!$A$1144</definedName>
    <definedName name="UC3List">[2]Constants!$E$1137:$E$1143</definedName>
    <definedName name="UC3Top">[2]Constants!$E$1137</definedName>
    <definedName name="UnBot">[2]Constants!$A$1108</definedName>
    <definedName name="UnList">[2]Constants!$E$1086:$E$1107</definedName>
    <definedName name="UnTop">[2]Constants!$E$1086</definedName>
    <definedName name="User" localSheetId="19">'Figure 17-12'!#REF!</definedName>
    <definedName name="User" localSheetId="20">'Figure 17-15'!#REF!</definedName>
    <definedName name="User" localSheetId="21">'Figure 17-16'!#REF!</definedName>
    <definedName name="User">[4]Control!$B$69</definedName>
    <definedName name="Users" localSheetId="19">'Figure 17-12'!#REF!</definedName>
    <definedName name="Users" localSheetId="20">'Figure 17-15'!#REF!</definedName>
    <definedName name="Users" localSheetId="21">'Figure 17-16'!#REF!</definedName>
    <definedName name="VolList">[2]Constants!$E$1150:$E$1165</definedName>
    <definedName name="WACCRate">[2]Constants!$E$220</definedName>
    <definedName name="Works" localSheetId="10">#REF!</definedName>
    <definedName name="Works" localSheetId="11">#REF!</definedName>
    <definedName name="Works" localSheetId="12">#REF!</definedName>
    <definedName name="Works" localSheetId="14">#REF!</definedName>
    <definedName name="Works" localSheetId="15">#REF!</definedName>
    <definedName name="Works" localSheetId="16">#REF!</definedName>
    <definedName name="Works" localSheetId="17">#REF!</definedName>
    <definedName name="Works" localSheetId="18">#REF!</definedName>
    <definedName name="Works" localSheetId="21">#REF!</definedName>
    <definedName name="Works" localSheetId="6">#REF!</definedName>
    <definedName name="Works">#REF!</definedName>
    <definedName name="XCheck1">[2]Interface!$AE$45</definedName>
    <definedName name="XCheck10">[2]Interface!$AE$133</definedName>
    <definedName name="XCheck11">[2]Interface!$AE$142</definedName>
    <definedName name="XCheck12" localSheetId="12">[2]Interface!#REF!</definedName>
    <definedName name="XCheck12" localSheetId="14">[2]Interface!#REF!</definedName>
    <definedName name="XCheck12" localSheetId="15">[2]Interface!#REF!</definedName>
    <definedName name="XCheck12" localSheetId="16">[2]Interface!#REF!</definedName>
    <definedName name="XCheck12" localSheetId="17">[2]Interface!#REF!</definedName>
    <definedName name="XCheck12" localSheetId="18">[2]Interface!#REF!</definedName>
    <definedName name="XCheck12">[2]Interface!#REF!</definedName>
    <definedName name="XCheck13" localSheetId="12">[2]Interface!#REF!</definedName>
    <definedName name="XCheck13" localSheetId="14">[2]Interface!#REF!</definedName>
    <definedName name="XCheck13" localSheetId="15">[2]Interface!#REF!</definedName>
    <definedName name="XCheck13" localSheetId="16">[2]Interface!#REF!</definedName>
    <definedName name="XCheck13" localSheetId="17">[2]Interface!#REF!</definedName>
    <definedName name="XCheck13" localSheetId="18">[2]Interface!#REF!</definedName>
    <definedName name="XCheck13">[2]Interface!#REF!</definedName>
    <definedName name="XCheck2">[2]Interface!$AE$76</definedName>
    <definedName name="XCheck3">[2]Interface!$AE$85</definedName>
    <definedName name="XCheck4">[2]Interface!$AE$176</definedName>
    <definedName name="XCheck5">[2]Interface!$AE$187</definedName>
    <definedName name="XCheck6">[2]Interface!$AE$201</definedName>
    <definedName name="XCheck7">[2]Interface!$AE$96</definedName>
    <definedName name="XCheck8">[2]Interface!$AE$103</definedName>
    <definedName name="XCheck9">[2]Interface!$AE$119</definedName>
    <definedName name="YearCounter" localSheetId="12">'Figure 17-11c'!$F$15:$DY$15</definedName>
    <definedName name="YearCounter" localSheetId="14">'Figure 17-11e'!$F$15:$DY$15</definedName>
    <definedName name="YearCounter" localSheetId="15">'Figure 17-11f'!$F$15:$DY$15</definedName>
    <definedName name="YearCounter" localSheetId="16">'Figure 17-11g'!$F$15:$DY$15</definedName>
    <definedName name="YearCounter" localSheetId="17">'Figure 17-11h'!$F$15:$DY$15</definedName>
    <definedName name="YearCounter" localSheetId="18">'Figure 17-11i'!$F$15:$DY$15</definedName>
    <definedName name="YearCounter">'Figure 17-11d'!$F$15:$DY$15</definedName>
  </definedNames>
  <calcPr calcId="144525"/>
</workbook>
</file>

<file path=xl/calcChain.xml><?xml version="1.0" encoding="utf-8"?>
<calcChain xmlns="http://schemas.openxmlformats.org/spreadsheetml/2006/main">
  <c r="F23" i="29" l="1"/>
  <c r="H13" i="29"/>
  <c r="H14" i="29" s="1"/>
  <c r="G13" i="29"/>
  <c r="F11" i="29"/>
  <c r="D6" i="29"/>
  <c r="F15" i="29" s="1"/>
  <c r="E1" i="29"/>
  <c r="F23" i="28"/>
  <c r="G13" i="28"/>
  <c r="F11" i="28"/>
  <c r="F12" i="28" s="1"/>
  <c r="D6" i="28"/>
  <c r="F14" i="28" s="1"/>
  <c r="E1" i="28"/>
  <c r="F23" i="27"/>
  <c r="G13" i="27"/>
  <c r="H13" i="27" s="1"/>
  <c r="F11" i="27"/>
  <c r="F12" i="27" s="1"/>
  <c r="D6" i="27"/>
  <c r="E1" i="27"/>
  <c r="F23" i="26"/>
  <c r="H13" i="26"/>
  <c r="G13" i="26"/>
  <c r="F11" i="26"/>
  <c r="D6" i="26"/>
  <c r="F15" i="26" s="1"/>
  <c r="E1" i="26"/>
  <c r="F23" i="25"/>
  <c r="G13" i="25"/>
  <c r="F11" i="25"/>
  <c r="F12" i="25" s="1"/>
  <c r="D6" i="25"/>
  <c r="F15" i="25" s="1"/>
  <c r="E1" i="25"/>
  <c r="F23" i="24"/>
  <c r="G13" i="24"/>
  <c r="H13" i="24" s="1"/>
  <c r="F11" i="24"/>
  <c r="F12" i="24" s="1"/>
  <c r="D6" i="24"/>
  <c r="F15" i="24" s="1"/>
  <c r="E1" i="24"/>
  <c r="F11" i="23"/>
  <c r="D6" i="23"/>
  <c r="F23" i="23"/>
  <c r="G13" i="23"/>
  <c r="H13" i="23" s="1"/>
  <c r="F12" i="23"/>
  <c r="F14" i="23"/>
  <c r="H20" i="29" l="1"/>
  <c r="H16" i="29"/>
  <c r="G15" i="28"/>
  <c r="F24" i="29"/>
  <c r="G24" i="29" s="1"/>
  <c r="H24" i="29" s="1"/>
  <c r="I24" i="29" s="1"/>
  <c r="J24" i="29" s="1"/>
  <c r="K24" i="29" s="1"/>
  <c r="L24" i="29" s="1"/>
  <c r="M24" i="29" s="1"/>
  <c r="N24" i="29" s="1"/>
  <c r="O24" i="29" s="1"/>
  <c r="P24" i="29" s="1"/>
  <c r="Q24" i="29" s="1"/>
  <c r="R24" i="29" s="1"/>
  <c r="S24" i="29" s="1"/>
  <c r="T24" i="29" s="1"/>
  <c r="U24" i="29" s="1"/>
  <c r="V24" i="29" s="1"/>
  <c r="W24" i="29" s="1"/>
  <c r="X24" i="29" s="1"/>
  <c r="Y24" i="29" s="1"/>
  <c r="Z24" i="29" s="1"/>
  <c r="AA24" i="29" s="1"/>
  <c r="AB24" i="29" s="1"/>
  <c r="AC24" i="29" s="1"/>
  <c r="AD24" i="29" s="1"/>
  <c r="AE24" i="29" s="1"/>
  <c r="AF24" i="29" s="1"/>
  <c r="AG24" i="29" s="1"/>
  <c r="AH24" i="29" s="1"/>
  <c r="AI24" i="29" s="1"/>
  <c r="AJ24" i="29" s="1"/>
  <c r="AK24" i="29" s="1"/>
  <c r="AL24" i="29" s="1"/>
  <c r="AM24" i="29" s="1"/>
  <c r="AN24" i="29" s="1"/>
  <c r="AO24" i="29" s="1"/>
  <c r="AP24" i="29" s="1"/>
  <c r="AQ24" i="29" s="1"/>
  <c r="AR24" i="29" s="1"/>
  <c r="AS24" i="29" s="1"/>
  <c r="AT24" i="29" s="1"/>
  <c r="AU24" i="29" s="1"/>
  <c r="AV24" i="29" s="1"/>
  <c r="AW24" i="29" s="1"/>
  <c r="AX24" i="29" s="1"/>
  <c r="AY24" i="29" s="1"/>
  <c r="AZ24" i="29" s="1"/>
  <c r="BA24" i="29" s="1"/>
  <c r="BB24" i="29" s="1"/>
  <c r="BC24" i="29" s="1"/>
  <c r="BD24" i="29" s="1"/>
  <c r="BE24" i="29" s="1"/>
  <c r="BF24" i="29" s="1"/>
  <c r="BG24" i="29" s="1"/>
  <c r="BH24" i="29" s="1"/>
  <c r="BI24" i="29" s="1"/>
  <c r="BJ24" i="29" s="1"/>
  <c r="BK24" i="29" s="1"/>
  <c r="BL24" i="29" s="1"/>
  <c r="BM24" i="29" s="1"/>
  <c r="BN24" i="29" s="1"/>
  <c r="BO24" i="29" s="1"/>
  <c r="BP24" i="29" s="1"/>
  <c r="BQ24" i="29" s="1"/>
  <c r="BR24" i="29" s="1"/>
  <c r="BS24" i="29" s="1"/>
  <c r="BT24" i="29" s="1"/>
  <c r="BU24" i="29" s="1"/>
  <c r="BV24" i="29" s="1"/>
  <c r="BW24" i="29" s="1"/>
  <c r="BX24" i="29" s="1"/>
  <c r="BY24" i="29" s="1"/>
  <c r="BZ24" i="29" s="1"/>
  <c r="CA24" i="29" s="1"/>
  <c r="CB24" i="29" s="1"/>
  <c r="CC24" i="29" s="1"/>
  <c r="CD24" i="29" s="1"/>
  <c r="CE24" i="29" s="1"/>
  <c r="CF24" i="29" s="1"/>
  <c r="CG24" i="29" s="1"/>
  <c r="CH24" i="29" s="1"/>
  <c r="CI24" i="29" s="1"/>
  <c r="CJ24" i="29" s="1"/>
  <c r="CK24" i="29" s="1"/>
  <c r="CL24" i="29" s="1"/>
  <c r="CM24" i="29" s="1"/>
  <c r="CN24" i="29" s="1"/>
  <c r="CO24" i="29" s="1"/>
  <c r="CP24" i="29" s="1"/>
  <c r="CQ24" i="29" s="1"/>
  <c r="CR24" i="29" s="1"/>
  <c r="CS24" i="29" s="1"/>
  <c r="CT24" i="29" s="1"/>
  <c r="CU24" i="29" s="1"/>
  <c r="CV24" i="29" s="1"/>
  <c r="CW24" i="29" s="1"/>
  <c r="CX24" i="29" s="1"/>
  <c r="CY24" i="29" s="1"/>
  <c r="CZ24" i="29" s="1"/>
  <c r="DA24" i="29" s="1"/>
  <c r="DB24" i="29" s="1"/>
  <c r="DC24" i="29" s="1"/>
  <c r="DD24" i="29" s="1"/>
  <c r="DE24" i="29" s="1"/>
  <c r="DF24" i="29" s="1"/>
  <c r="DG24" i="29" s="1"/>
  <c r="DH24" i="29" s="1"/>
  <c r="DI24" i="29" s="1"/>
  <c r="DJ24" i="29" s="1"/>
  <c r="DK24" i="29" s="1"/>
  <c r="DL24" i="29" s="1"/>
  <c r="DM24" i="29" s="1"/>
  <c r="DN24" i="29" s="1"/>
  <c r="DO24" i="29" s="1"/>
  <c r="DP24" i="29" s="1"/>
  <c r="DQ24" i="29" s="1"/>
  <c r="DR24" i="29" s="1"/>
  <c r="DS24" i="29" s="1"/>
  <c r="DT24" i="29" s="1"/>
  <c r="DU24" i="29" s="1"/>
  <c r="DV24" i="29" s="1"/>
  <c r="DW24" i="29" s="1"/>
  <c r="DX24" i="29" s="1"/>
  <c r="F18" i="29"/>
  <c r="F17" i="29"/>
  <c r="G15" i="29"/>
  <c r="I13" i="29"/>
  <c r="F14" i="29"/>
  <c r="F19" i="29"/>
  <c r="F12" i="29"/>
  <c r="H15" i="29"/>
  <c r="H19" i="29" s="1"/>
  <c r="G14" i="29"/>
  <c r="F20" i="28"/>
  <c r="F16" i="28"/>
  <c r="F21" i="28"/>
  <c r="G11" i="28"/>
  <c r="H14" i="26"/>
  <c r="H16" i="26" s="1"/>
  <c r="H13" i="28"/>
  <c r="G14" i="28"/>
  <c r="F15" i="28"/>
  <c r="F19" i="28" s="1"/>
  <c r="F24" i="28"/>
  <c r="G24" i="28" s="1"/>
  <c r="H24" i="28" s="1"/>
  <c r="I24" i="28" s="1"/>
  <c r="J24" i="28" s="1"/>
  <c r="K24" i="28" s="1"/>
  <c r="L24" i="28" s="1"/>
  <c r="M24" i="28" s="1"/>
  <c r="N24" i="28" s="1"/>
  <c r="O24" i="28" s="1"/>
  <c r="P24" i="28" s="1"/>
  <c r="Q24" i="28" s="1"/>
  <c r="R24" i="28" s="1"/>
  <c r="S24" i="28" s="1"/>
  <c r="T24" i="28" s="1"/>
  <c r="U24" i="28" s="1"/>
  <c r="V24" i="28" s="1"/>
  <c r="W24" i="28" s="1"/>
  <c r="X24" i="28" s="1"/>
  <c r="Y24" i="28" s="1"/>
  <c r="Z24" i="28" s="1"/>
  <c r="AA24" i="28" s="1"/>
  <c r="AB24" i="28" s="1"/>
  <c r="AC24" i="28" s="1"/>
  <c r="AD24" i="28" s="1"/>
  <c r="AE24" i="28" s="1"/>
  <c r="AF24" i="28" s="1"/>
  <c r="AG24" i="28" s="1"/>
  <c r="AH24" i="28" s="1"/>
  <c r="AI24" i="28" s="1"/>
  <c r="AJ24" i="28" s="1"/>
  <c r="AK24" i="28" s="1"/>
  <c r="AL24" i="28" s="1"/>
  <c r="AM24" i="28" s="1"/>
  <c r="AN24" i="28" s="1"/>
  <c r="AO24" i="28" s="1"/>
  <c r="AP24" i="28" s="1"/>
  <c r="AQ24" i="28" s="1"/>
  <c r="AR24" i="28" s="1"/>
  <c r="AS24" i="28" s="1"/>
  <c r="AT24" i="28" s="1"/>
  <c r="AU24" i="28" s="1"/>
  <c r="AV24" i="28" s="1"/>
  <c r="AW24" i="28" s="1"/>
  <c r="AX24" i="28" s="1"/>
  <c r="AY24" i="28" s="1"/>
  <c r="AZ24" i="28" s="1"/>
  <c r="BA24" i="28" s="1"/>
  <c r="BB24" i="28" s="1"/>
  <c r="BC24" i="28" s="1"/>
  <c r="BD24" i="28" s="1"/>
  <c r="BE24" i="28" s="1"/>
  <c r="BF24" i="28" s="1"/>
  <c r="BG24" i="28" s="1"/>
  <c r="BH24" i="28" s="1"/>
  <c r="BI24" i="28" s="1"/>
  <c r="BJ24" i="28" s="1"/>
  <c r="BK24" i="28" s="1"/>
  <c r="BL24" i="28" s="1"/>
  <c r="BM24" i="28" s="1"/>
  <c r="BN24" i="28" s="1"/>
  <c r="BO24" i="28" s="1"/>
  <c r="BP24" i="28" s="1"/>
  <c r="BQ24" i="28" s="1"/>
  <c r="BR24" i="28" s="1"/>
  <c r="BS24" i="28" s="1"/>
  <c r="BT24" i="28" s="1"/>
  <c r="BU24" i="28" s="1"/>
  <c r="BV24" i="28" s="1"/>
  <c r="BW24" i="28" s="1"/>
  <c r="BX24" i="28" s="1"/>
  <c r="BY24" i="28" s="1"/>
  <c r="BZ24" i="28" s="1"/>
  <c r="CA24" i="28" s="1"/>
  <c r="CB24" i="28" s="1"/>
  <c r="CC24" i="28" s="1"/>
  <c r="CD24" i="28" s="1"/>
  <c r="CE24" i="28" s="1"/>
  <c r="CF24" i="28" s="1"/>
  <c r="CG24" i="28" s="1"/>
  <c r="CH24" i="28" s="1"/>
  <c r="CI24" i="28" s="1"/>
  <c r="CJ24" i="28" s="1"/>
  <c r="CK24" i="28" s="1"/>
  <c r="CL24" i="28" s="1"/>
  <c r="CM24" i="28" s="1"/>
  <c r="CN24" i="28" s="1"/>
  <c r="CO24" i="28" s="1"/>
  <c r="CP24" i="28" s="1"/>
  <c r="CQ24" i="28" s="1"/>
  <c r="CR24" i="28" s="1"/>
  <c r="CS24" i="28" s="1"/>
  <c r="CT24" i="28" s="1"/>
  <c r="CU24" i="28" s="1"/>
  <c r="CV24" i="28" s="1"/>
  <c r="CW24" i="28" s="1"/>
  <c r="CX24" i="28" s="1"/>
  <c r="CY24" i="28" s="1"/>
  <c r="CZ24" i="28" s="1"/>
  <c r="DA24" i="28" s="1"/>
  <c r="DB24" i="28" s="1"/>
  <c r="DC24" i="28" s="1"/>
  <c r="DD24" i="28" s="1"/>
  <c r="DE24" i="28" s="1"/>
  <c r="DF24" i="28" s="1"/>
  <c r="DG24" i="28" s="1"/>
  <c r="DH24" i="28" s="1"/>
  <c r="DI24" i="28" s="1"/>
  <c r="DJ24" i="28" s="1"/>
  <c r="DK24" i="28" s="1"/>
  <c r="DL24" i="28" s="1"/>
  <c r="DM24" i="28" s="1"/>
  <c r="DN24" i="28" s="1"/>
  <c r="DO24" i="28" s="1"/>
  <c r="DP24" i="28" s="1"/>
  <c r="DQ24" i="28" s="1"/>
  <c r="DR24" i="28" s="1"/>
  <c r="DS24" i="28" s="1"/>
  <c r="DT24" i="28" s="1"/>
  <c r="DU24" i="28" s="1"/>
  <c r="DV24" i="28" s="1"/>
  <c r="DW24" i="28" s="1"/>
  <c r="DX24" i="28" s="1"/>
  <c r="F18" i="28"/>
  <c r="F17" i="28"/>
  <c r="F21" i="27"/>
  <c r="G11" i="27"/>
  <c r="H14" i="27"/>
  <c r="H15" i="27"/>
  <c r="I13" i="27"/>
  <c r="G15" i="26"/>
  <c r="F14" i="27"/>
  <c r="F15" i="27"/>
  <c r="F24" i="27"/>
  <c r="G24" i="27" s="1"/>
  <c r="H24" i="27" s="1"/>
  <c r="I24" i="27" s="1"/>
  <c r="J24" i="27" s="1"/>
  <c r="K24" i="27" s="1"/>
  <c r="L24" i="27" s="1"/>
  <c r="M24" i="27" s="1"/>
  <c r="N24" i="27" s="1"/>
  <c r="O24" i="27" s="1"/>
  <c r="P24" i="27" s="1"/>
  <c r="Q24" i="27" s="1"/>
  <c r="R24" i="27" s="1"/>
  <c r="S24" i="27" s="1"/>
  <c r="T24" i="27" s="1"/>
  <c r="U24" i="27" s="1"/>
  <c r="V24" i="27" s="1"/>
  <c r="W24" i="27" s="1"/>
  <c r="X24" i="27" s="1"/>
  <c r="Y24" i="27" s="1"/>
  <c r="Z24" i="27" s="1"/>
  <c r="AA24" i="27" s="1"/>
  <c r="AB24" i="27" s="1"/>
  <c r="AC24" i="27" s="1"/>
  <c r="AD24" i="27" s="1"/>
  <c r="AE24" i="27" s="1"/>
  <c r="AF24" i="27" s="1"/>
  <c r="AG24" i="27" s="1"/>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BA24" i="27" s="1"/>
  <c r="BB24" i="27" s="1"/>
  <c r="BC24" i="27" s="1"/>
  <c r="BD24" i="27" s="1"/>
  <c r="BE24" i="27" s="1"/>
  <c r="BF24" i="27" s="1"/>
  <c r="BG24" i="27" s="1"/>
  <c r="BH24" i="27" s="1"/>
  <c r="BI24" i="27" s="1"/>
  <c r="BJ24" i="27" s="1"/>
  <c r="BK24" i="27" s="1"/>
  <c r="BL24" i="27" s="1"/>
  <c r="BM24" i="27" s="1"/>
  <c r="BN24" i="27" s="1"/>
  <c r="BO24" i="27" s="1"/>
  <c r="BP24" i="27" s="1"/>
  <c r="BQ24" i="27" s="1"/>
  <c r="BR24" i="27" s="1"/>
  <c r="BS24" i="27" s="1"/>
  <c r="BT24" i="27" s="1"/>
  <c r="BU24" i="27" s="1"/>
  <c r="BV24" i="27" s="1"/>
  <c r="BW24" i="27" s="1"/>
  <c r="BX24" i="27" s="1"/>
  <c r="BY24" i="27" s="1"/>
  <c r="BZ24" i="27" s="1"/>
  <c r="CA24" i="27" s="1"/>
  <c r="CB24" i="27" s="1"/>
  <c r="CC24" i="27" s="1"/>
  <c r="CD24" i="27" s="1"/>
  <c r="CE24" i="27" s="1"/>
  <c r="CF24" i="27" s="1"/>
  <c r="CG24" i="27" s="1"/>
  <c r="CH24" i="27" s="1"/>
  <c r="CI24" i="27" s="1"/>
  <c r="CJ24" i="27" s="1"/>
  <c r="CK24" i="27" s="1"/>
  <c r="CL24" i="27" s="1"/>
  <c r="CM24" i="27" s="1"/>
  <c r="CN24" i="27" s="1"/>
  <c r="CO24" i="27" s="1"/>
  <c r="CP24" i="27" s="1"/>
  <c r="CQ24" i="27" s="1"/>
  <c r="CR24" i="27" s="1"/>
  <c r="CS24" i="27" s="1"/>
  <c r="CT24" i="27" s="1"/>
  <c r="CU24" i="27" s="1"/>
  <c r="CV24" i="27" s="1"/>
  <c r="CW24" i="27" s="1"/>
  <c r="CX24" i="27" s="1"/>
  <c r="CY24" i="27" s="1"/>
  <c r="CZ24" i="27" s="1"/>
  <c r="DA24" i="27" s="1"/>
  <c r="DB24" i="27" s="1"/>
  <c r="DC24" i="27" s="1"/>
  <c r="DD24" i="27" s="1"/>
  <c r="DE24" i="27" s="1"/>
  <c r="DF24" i="27" s="1"/>
  <c r="DG24" i="27" s="1"/>
  <c r="DH24" i="27" s="1"/>
  <c r="DI24" i="27" s="1"/>
  <c r="DJ24" i="27" s="1"/>
  <c r="DK24" i="27" s="1"/>
  <c r="DL24" i="27" s="1"/>
  <c r="DM24" i="27" s="1"/>
  <c r="DN24" i="27" s="1"/>
  <c r="DO24" i="27" s="1"/>
  <c r="DP24" i="27" s="1"/>
  <c r="DQ24" i="27" s="1"/>
  <c r="DR24" i="27" s="1"/>
  <c r="DS24" i="27" s="1"/>
  <c r="DT24" i="27" s="1"/>
  <c r="DU24" i="27" s="1"/>
  <c r="DV24" i="27" s="1"/>
  <c r="DW24" i="27" s="1"/>
  <c r="DX24" i="27" s="1"/>
  <c r="F18" i="27"/>
  <c r="F17" i="27"/>
  <c r="G15" i="27"/>
  <c r="G14" i="27"/>
  <c r="H20" i="26"/>
  <c r="G14" i="25"/>
  <c r="G20" i="25" s="1"/>
  <c r="F24" i="26"/>
  <c r="G24" i="26" s="1"/>
  <c r="H24" i="26" s="1"/>
  <c r="I24" i="26" s="1"/>
  <c r="J24" i="26" s="1"/>
  <c r="K24" i="26" s="1"/>
  <c r="L24" i="26" s="1"/>
  <c r="M24" i="26" s="1"/>
  <c r="N24" i="26" s="1"/>
  <c r="O24" i="26" s="1"/>
  <c r="P24" i="26" s="1"/>
  <c r="Q24" i="26" s="1"/>
  <c r="R24" i="26" s="1"/>
  <c r="S24" i="26" s="1"/>
  <c r="T24" i="26" s="1"/>
  <c r="U24" i="26" s="1"/>
  <c r="V24" i="26" s="1"/>
  <c r="W24" i="26" s="1"/>
  <c r="X24" i="26" s="1"/>
  <c r="Y24" i="26" s="1"/>
  <c r="Z24" i="26" s="1"/>
  <c r="AA24" i="26" s="1"/>
  <c r="AB24" i="26" s="1"/>
  <c r="AC24" i="26" s="1"/>
  <c r="AD24" i="26" s="1"/>
  <c r="AE24" i="26" s="1"/>
  <c r="AF24" i="26" s="1"/>
  <c r="AG24" i="26" s="1"/>
  <c r="AH24" i="26" s="1"/>
  <c r="AI24" i="26" s="1"/>
  <c r="AJ24" i="26" s="1"/>
  <c r="AK24" i="26" s="1"/>
  <c r="AL24" i="26" s="1"/>
  <c r="AM24" i="26" s="1"/>
  <c r="AN24" i="26" s="1"/>
  <c r="AO24" i="26" s="1"/>
  <c r="AP24" i="26" s="1"/>
  <c r="AQ24" i="26" s="1"/>
  <c r="AR24" i="26" s="1"/>
  <c r="AS24" i="26" s="1"/>
  <c r="AT24" i="26" s="1"/>
  <c r="AU24" i="26" s="1"/>
  <c r="AV24" i="26" s="1"/>
  <c r="AW24" i="26" s="1"/>
  <c r="AX24" i="26" s="1"/>
  <c r="AY24" i="26" s="1"/>
  <c r="AZ24" i="26" s="1"/>
  <c r="BA24" i="26" s="1"/>
  <c r="BB24" i="26" s="1"/>
  <c r="BC24" i="26" s="1"/>
  <c r="BD24" i="26" s="1"/>
  <c r="BE24" i="26" s="1"/>
  <c r="BF24" i="26" s="1"/>
  <c r="BG24" i="26" s="1"/>
  <c r="BH24" i="26" s="1"/>
  <c r="BI24" i="26" s="1"/>
  <c r="BJ24" i="26" s="1"/>
  <c r="BK24" i="26" s="1"/>
  <c r="BL24" i="26" s="1"/>
  <c r="BM24" i="26" s="1"/>
  <c r="BN24" i="26" s="1"/>
  <c r="BO24" i="26" s="1"/>
  <c r="BP24" i="26" s="1"/>
  <c r="BQ24" i="26" s="1"/>
  <c r="BR24" i="26" s="1"/>
  <c r="BS24" i="26" s="1"/>
  <c r="BT24" i="26" s="1"/>
  <c r="BU24" i="26" s="1"/>
  <c r="BV24" i="26" s="1"/>
  <c r="BW24" i="26" s="1"/>
  <c r="BX24" i="26" s="1"/>
  <c r="BY24" i="26" s="1"/>
  <c r="BZ24" i="26" s="1"/>
  <c r="CA24" i="26" s="1"/>
  <c r="CB24" i="26" s="1"/>
  <c r="CC24" i="26" s="1"/>
  <c r="CD24" i="26" s="1"/>
  <c r="CE24" i="26" s="1"/>
  <c r="CF24" i="26" s="1"/>
  <c r="CG24" i="26" s="1"/>
  <c r="CH24" i="26" s="1"/>
  <c r="CI24" i="26" s="1"/>
  <c r="CJ24" i="26" s="1"/>
  <c r="CK24" i="26" s="1"/>
  <c r="CL24" i="26" s="1"/>
  <c r="CM24" i="26" s="1"/>
  <c r="CN24" i="26" s="1"/>
  <c r="CO24" i="26" s="1"/>
  <c r="CP24" i="26" s="1"/>
  <c r="CQ24" i="26" s="1"/>
  <c r="CR24" i="26" s="1"/>
  <c r="CS24" i="26" s="1"/>
  <c r="CT24" i="26" s="1"/>
  <c r="CU24" i="26" s="1"/>
  <c r="CV24" i="26" s="1"/>
  <c r="CW24" i="26" s="1"/>
  <c r="CX24" i="26" s="1"/>
  <c r="CY24" i="26" s="1"/>
  <c r="CZ24" i="26" s="1"/>
  <c r="DA24" i="26" s="1"/>
  <c r="DB24" i="26" s="1"/>
  <c r="DC24" i="26" s="1"/>
  <c r="DD24" i="26" s="1"/>
  <c r="DE24" i="26" s="1"/>
  <c r="DF24" i="26" s="1"/>
  <c r="DG24" i="26" s="1"/>
  <c r="DH24" i="26" s="1"/>
  <c r="DI24" i="26" s="1"/>
  <c r="DJ24" i="26" s="1"/>
  <c r="DK24" i="26" s="1"/>
  <c r="DL24" i="26" s="1"/>
  <c r="DM24" i="26" s="1"/>
  <c r="DN24" i="26" s="1"/>
  <c r="DO24" i="26" s="1"/>
  <c r="DP24" i="26" s="1"/>
  <c r="DQ24" i="26" s="1"/>
  <c r="DR24" i="26" s="1"/>
  <c r="DS24" i="26" s="1"/>
  <c r="DT24" i="26" s="1"/>
  <c r="DU24" i="26" s="1"/>
  <c r="DV24" i="26" s="1"/>
  <c r="DW24" i="26" s="1"/>
  <c r="DX24" i="26" s="1"/>
  <c r="F18" i="26"/>
  <c r="F17" i="26"/>
  <c r="I13" i="26"/>
  <c r="F14" i="26"/>
  <c r="F19" i="26" s="1"/>
  <c r="F12" i="26"/>
  <c r="H15" i="26"/>
  <c r="G14" i="26"/>
  <c r="F21" i="25"/>
  <c r="G11" i="25"/>
  <c r="H13" i="25"/>
  <c r="F24" i="25"/>
  <c r="G24" i="25" s="1"/>
  <c r="H24" i="25" s="1"/>
  <c r="I24" i="25" s="1"/>
  <c r="J24" i="25" s="1"/>
  <c r="K24" i="25" s="1"/>
  <c r="L24" i="25" s="1"/>
  <c r="M24" i="25" s="1"/>
  <c r="N24" i="25" s="1"/>
  <c r="O24" i="25" s="1"/>
  <c r="P24" i="25" s="1"/>
  <c r="Q24" i="25" s="1"/>
  <c r="R24" i="25" s="1"/>
  <c r="S24" i="25" s="1"/>
  <c r="T24" i="25" s="1"/>
  <c r="U24" i="25" s="1"/>
  <c r="V24" i="25" s="1"/>
  <c r="W24" i="25" s="1"/>
  <c r="X24" i="25" s="1"/>
  <c r="Y24" i="25" s="1"/>
  <c r="Z24" i="25" s="1"/>
  <c r="AA24" i="25" s="1"/>
  <c r="AB24" i="25" s="1"/>
  <c r="AC24" i="25" s="1"/>
  <c r="AD24" i="25" s="1"/>
  <c r="AE24" i="25" s="1"/>
  <c r="AF24" i="25" s="1"/>
  <c r="AG24" i="25" s="1"/>
  <c r="AH24" i="25" s="1"/>
  <c r="AI24" i="25" s="1"/>
  <c r="AJ24" i="25" s="1"/>
  <c r="AK24" i="25" s="1"/>
  <c r="AL24" i="25" s="1"/>
  <c r="AM24" i="25" s="1"/>
  <c r="AN24" i="25" s="1"/>
  <c r="AO24" i="25" s="1"/>
  <c r="AP24" i="25" s="1"/>
  <c r="AQ24" i="25" s="1"/>
  <c r="AR24" i="25" s="1"/>
  <c r="AS24" i="25" s="1"/>
  <c r="AT24" i="25" s="1"/>
  <c r="AU24" i="25" s="1"/>
  <c r="AV24" i="25" s="1"/>
  <c r="AW24" i="25" s="1"/>
  <c r="AX24" i="25" s="1"/>
  <c r="AY24" i="25" s="1"/>
  <c r="AZ24" i="25" s="1"/>
  <c r="BA24" i="25" s="1"/>
  <c r="BB24" i="25" s="1"/>
  <c r="BC24" i="25" s="1"/>
  <c r="BD24" i="25" s="1"/>
  <c r="BE24" i="25" s="1"/>
  <c r="BF24" i="25" s="1"/>
  <c r="BG24" i="25" s="1"/>
  <c r="BH24" i="25" s="1"/>
  <c r="BI24" i="25" s="1"/>
  <c r="BJ24" i="25" s="1"/>
  <c r="BK24" i="25" s="1"/>
  <c r="BL24" i="25" s="1"/>
  <c r="BM24" i="25" s="1"/>
  <c r="BN24" i="25" s="1"/>
  <c r="BO24" i="25" s="1"/>
  <c r="BP24" i="25" s="1"/>
  <c r="BQ24" i="25" s="1"/>
  <c r="BR24" i="25" s="1"/>
  <c r="BS24" i="25" s="1"/>
  <c r="BT24" i="25" s="1"/>
  <c r="BU24" i="25" s="1"/>
  <c r="BV24" i="25" s="1"/>
  <c r="BW24" i="25" s="1"/>
  <c r="BX24" i="25" s="1"/>
  <c r="BY24" i="25" s="1"/>
  <c r="BZ24" i="25" s="1"/>
  <c r="CA24" i="25" s="1"/>
  <c r="CB24" i="25" s="1"/>
  <c r="CC24" i="25" s="1"/>
  <c r="CD24" i="25" s="1"/>
  <c r="CE24" i="25" s="1"/>
  <c r="CF24" i="25" s="1"/>
  <c r="CG24" i="25" s="1"/>
  <c r="CH24" i="25" s="1"/>
  <c r="CI24" i="25" s="1"/>
  <c r="CJ24" i="25" s="1"/>
  <c r="CK24" i="25" s="1"/>
  <c r="CL24" i="25" s="1"/>
  <c r="CM24" i="25" s="1"/>
  <c r="CN24" i="25" s="1"/>
  <c r="CO24" i="25" s="1"/>
  <c r="CP24" i="25" s="1"/>
  <c r="CQ24" i="25" s="1"/>
  <c r="CR24" i="25" s="1"/>
  <c r="CS24" i="25" s="1"/>
  <c r="CT24" i="25" s="1"/>
  <c r="CU24" i="25" s="1"/>
  <c r="CV24" i="25" s="1"/>
  <c r="CW24" i="25" s="1"/>
  <c r="CX24" i="25" s="1"/>
  <c r="CY24" i="25" s="1"/>
  <c r="CZ24" i="25" s="1"/>
  <c r="DA24" i="25" s="1"/>
  <c r="DB24" i="25" s="1"/>
  <c r="DC24" i="25" s="1"/>
  <c r="DD24" i="25" s="1"/>
  <c r="DE24" i="25" s="1"/>
  <c r="DF24" i="25" s="1"/>
  <c r="DG24" i="25" s="1"/>
  <c r="DH24" i="25" s="1"/>
  <c r="DI24" i="25" s="1"/>
  <c r="DJ24" i="25" s="1"/>
  <c r="DK24" i="25" s="1"/>
  <c r="DL24" i="25" s="1"/>
  <c r="DM24" i="25" s="1"/>
  <c r="DN24" i="25" s="1"/>
  <c r="DO24" i="25" s="1"/>
  <c r="DP24" i="25" s="1"/>
  <c r="DQ24" i="25" s="1"/>
  <c r="DR24" i="25" s="1"/>
  <c r="DS24" i="25" s="1"/>
  <c r="DT24" i="25" s="1"/>
  <c r="DU24" i="25" s="1"/>
  <c r="DV24" i="25" s="1"/>
  <c r="DW24" i="25" s="1"/>
  <c r="DX24" i="25" s="1"/>
  <c r="F17" i="25"/>
  <c r="F18" i="25"/>
  <c r="G15" i="25"/>
  <c r="F14" i="25"/>
  <c r="F21" i="24"/>
  <c r="G11" i="24"/>
  <c r="H14" i="24"/>
  <c r="H15" i="24"/>
  <c r="I13" i="24"/>
  <c r="F14" i="24"/>
  <c r="F19" i="24" s="1"/>
  <c r="F24" i="24"/>
  <c r="G24" i="24" s="1"/>
  <c r="H24" i="24" s="1"/>
  <c r="I24" i="24" s="1"/>
  <c r="J24" i="24" s="1"/>
  <c r="K24" i="24" s="1"/>
  <c r="L24" i="24" s="1"/>
  <c r="M24" i="24" s="1"/>
  <c r="N24" i="24" s="1"/>
  <c r="O24" i="24" s="1"/>
  <c r="P24" i="24" s="1"/>
  <c r="Q24" i="24" s="1"/>
  <c r="R24" i="24" s="1"/>
  <c r="S24" i="24" s="1"/>
  <c r="T24" i="24" s="1"/>
  <c r="U24" i="24" s="1"/>
  <c r="V24" i="24" s="1"/>
  <c r="W24" i="24" s="1"/>
  <c r="X24" i="24" s="1"/>
  <c r="Y24" i="24" s="1"/>
  <c r="Z24" i="24" s="1"/>
  <c r="AA24" i="24" s="1"/>
  <c r="AB24" i="24" s="1"/>
  <c r="AC24" i="24" s="1"/>
  <c r="AD24" i="24" s="1"/>
  <c r="AE24" i="24" s="1"/>
  <c r="AF24" i="24" s="1"/>
  <c r="AG24" i="24" s="1"/>
  <c r="AH24" i="24" s="1"/>
  <c r="AI24" i="24" s="1"/>
  <c r="AJ24" i="24" s="1"/>
  <c r="AK24" i="24" s="1"/>
  <c r="AL24" i="24" s="1"/>
  <c r="AM24" i="24" s="1"/>
  <c r="AN24" i="24" s="1"/>
  <c r="AO24" i="24" s="1"/>
  <c r="AP24" i="24" s="1"/>
  <c r="AQ24" i="24" s="1"/>
  <c r="AR24" i="24" s="1"/>
  <c r="AS24" i="24" s="1"/>
  <c r="AT24" i="24" s="1"/>
  <c r="AU24" i="24" s="1"/>
  <c r="AV24" i="24" s="1"/>
  <c r="AW24" i="24" s="1"/>
  <c r="AX24" i="24" s="1"/>
  <c r="AY24" i="24" s="1"/>
  <c r="AZ24" i="24" s="1"/>
  <c r="BA24" i="24" s="1"/>
  <c r="BB24" i="24" s="1"/>
  <c r="BC24" i="24" s="1"/>
  <c r="BD24" i="24" s="1"/>
  <c r="BE24" i="24" s="1"/>
  <c r="BF24" i="24" s="1"/>
  <c r="BG24" i="24" s="1"/>
  <c r="BH24" i="24" s="1"/>
  <c r="BI24" i="24" s="1"/>
  <c r="BJ24" i="24" s="1"/>
  <c r="BK24" i="24" s="1"/>
  <c r="BL24" i="24" s="1"/>
  <c r="BM24" i="24" s="1"/>
  <c r="BN24" i="24" s="1"/>
  <c r="BO24" i="24" s="1"/>
  <c r="BP24" i="24" s="1"/>
  <c r="BQ24" i="24" s="1"/>
  <c r="BR24" i="24" s="1"/>
  <c r="BS24" i="24" s="1"/>
  <c r="BT24" i="24" s="1"/>
  <c r="BU24" i="24" s="1"/>
  <c r="BV24" i="24" s="1"/>
  <c r="BW24" i="24" s="1"/>
  <c r="BX24" i="24" s="1"/>
  <c r="BY24" i="24" s="1"/>
  <c r="BZ24" i="24" s="1"/>
  <c r="CA24" i="24" s="1"/>
  <c r="CB24" i="24" s="1"/>
  <c r="CC24" i="24" s="1"/>
  <c r="CD24" i="24" s="1"/>
  <c r="CE24" i="24" s="1"/>
  <c r="CF24" i="24" s="1"/>
  <c r="CG24" i="24" s="1"/>
  <c r="CH24" i="24" s="1"/>
  <c r="CI24" i="24" s="1"/>
  <c r="CJ24" i="24" s="1"/>
  <c r="CK24" i="24" s="1"/>
  <c r="CL24" i="24" s="1"/>
  <c r="CM24" i="24" s="1"/>
  <c r="CN24" i="24" s="1"/>
  <c r="CO24" i="24" s="1"/>
  <c r="CP24" i="24" s="1"/>
  <c r="CQ24" i="24" s="1"/>
  <c r="CR24" i="24" s="1"/>
  <c r="CS24" i="24" s="1"/>
  <c r="CT24" i="24" s="1"/>
  <c r="CU24" i="24" s="1"/>
  <c r="CV24" i="24" s="1"/>
  <c r="CW24" i="24" s="1"/>
  <c r="CX24" i="24" s="1"/>
  <c r="CY24" i="24" s="1"/>
  <c r="CZ24" i="24" s="1"/>
  <c r="DA24" i="24" s="1"/>
  <c r="DB24" i="24" s="1"/>
  <c r="DC24" i="24" s="1"/>
  <c r="DD24" i="24" s="1"/>
  <c r="DE24" i="24" s="1"/>
  <c r="DF24" i="24" s="1"/>
  <c r="DG24" i="24" s="1"/>
  <c r="DH24" i="24" s="1"/>
  <c r="DI24" i="24" s="1"/>
  <c r="DJ24" i="24" s="1"/>
  <c r="DK24" i="24" s="1"/>
  <c r="DL24" i="24" s="1"/>
  <c r="DM24" i="24" s="1"/>
  <c r="DN24" i="24" s="1"/>
  <c r="DO24" i="24" s="1"/>
  <c r="DP24" i="24" s="1"/>
  <c r="DQ24" i="24" s="1"/>
  <c r="DR24" i="24" s="1"/>
  <c r="DS24" i="24" s="1"/>
  <c r="DT24" i="24" s="1"/>
  <c r="DU24" i="24" s="1"/>
  <c r="DV24" i="24" s="1"/>
  <c r="DW24" i="24" s="1"/>
  <c r="DX24" i="24" s="1"/>
  <c r="F18" i="24"/>
  <c r="F17" i="24"/>
  <c r="G15" i="24"/>
  <c r="G14" i="24"/>
  <c r="H14" i="23"/>
  <c r="H16" i="23" s="1"/>
  <c r="G15" i="23"/>
  <c r="F21" i="23"/>
  <c r="G11" i="23"/>
  <c r="H20" i="23"/>
  <c r="F20" i="23"/>
  <c r="F16" i="23"/>
  <c r="G14" i="23"/>
  <c r="G19" i="23" s="1"/>
  <c r="F15" i="23"/>
  <c r="H15" i="23"/>
  <c r="F24" i="23"/>
  <c r="G24" i="23" s="1"/>
  <c r="H24" i="23" s="1"/>
  <c r="I24" i="23" s="1"/>
  <c r="J24" i="23" s="1"/>
  <c r="K24" i="23" s="1"/>
  <c r="L24" i="23" s="1"/>
  <c r="M24" i="23" s="1"/>
  <c r="N24" i="23" s="1"/>
  <c r="O24" i="23" s="1"/>
  <c r="P24" i="23" s="1"/>
  <c r="Q24" i="23" s="1"/>
  <c r="R24" i="23" s="1"/>
  <c r="S24" i="23" s="1"/>
  <c r="T24" i="23" s="1"/>
  <c r="U24" i="23" s="1"/>
  <c r="V24" i="23" s="1"/>
  <c r="W24" i="23" s="1"/>
  <c r="X24" i="23" s="1"/>
  <c r="Y24" i="23" s="1"/>
  <c r="Z24" i="23" s="1"/>
  <c r="AA24" i="23" s="1"/>
  <c r="AB24" i="23" s="1"/>
  <c r="AC24" i="23" s="1"/>
  <c r="AD24" i="23" s="1"/>
  <c r="AE24" i="23" s="1"/>
  <c r="AF24" i="23" s="1"/>
  <c r="AG24" i="23" s="1"/>
  <c r="AH24" i="23" s="1"/>
  <c r="AI24" i="23" s="1"/>
  <c r="AJ24" i="23" s="1"/>
  <c r="AK24" i="23" s="1"/>
  <c r="AL24" i="23" s="1"/>
  <c r="AM24" i="23" s="1"/>
  <c r="AN24" i="23" s="1"/>
  <c r="AO24" i="23" s="1"/>
  <c r="AP24" i="23" s="1"/>
  <c r="AQ24" i="23" s="1"/>
  <c r="AR24" i="23" s="1"/>
  <c r="AS24" i="23" s="1"/>
  <c r="AT24" i="23" s="1"/>
  <c r="AU24" i="23" s="1"/>
  <c r="AV24" i="23" s="1"/>
  <c r="AW24" i="23" s="1"/>
  <c r="AX24" i="23" s="1"/>
  <c r="AY24" i="23" s="1"/>
  <c r="AZ24" i="23" s="1"/>
  <c r="BA24" i="23" s="1"/>
  <c r="BB24" i="23" s="1"/>
  <c r="BC24" i="23" s="1"/>
  <c r="BD24" i="23" s="1"/>
  <c r="BE24" i="23" s="1"/>
  <c r="BF24" i="23" s="1"/>
  <c r="BG24" i="23" s="1"/>
  <c r="BH24" i="23" s="1"/>
  <c r="BI24" i="23" s="1"/>
  <c r="BJ24" i="23" s="1"/>
  <c r="BK24" i="23" s="1"/>
  <c r="BL24" i="23" s="1"/>
  <c r="BM24" i="23" s="1"/>
  <c r="BN24" i="23" s="1"/>
  <c r="BO24" i="23" s="1"/>
  <c r="BP24" i="23" s="1"/>
  <c r="BQ24" i="23" s="1"/>
  <c r="BR24" i="23" s="1"/>
  <c r="BS24" i="23" s="1"/>
  <c r="BT24" i="23" s="1"/>
  <c r="BU24" i="23" s="1"/>
  <c r="BV24" i="23" s="1"/>
  <c r="BW24" i="23" s="1"/>
  <c r="BX24" i="23" s="1"/>
  <c r="BY24" i="23" s="1"/>
  <c r="BZ24" i="23" s="1"/>
  <c r="CA24" i="23" s="1"/>
  <c r="CB24" i="23" s="1"/>
  <c r="CC24" i="23" s="1"/>
  <c r="CD24" i="23" s="1"/>
  <c r="CE24" i="23" s="1"/>
  <c r="CF24" i="23" s="1"/>
  <c r="CG24" i="23" s="1"/>
  <c r="CH24" i="23" s="1"/>
  <c r="CI24" i="23" s="1"/>
  <c r="CJ24" i="23" s="1"/>
  <c r="CK24" i="23" s="1"/>
  <c r="CL24" i="23" s="1"/>
  <c r="CM24" i="23" s="1"/>
  <c r="CN24" i="23" s="1"/>
  <c r="CO24" i="23" s="1"/>
  <c r="CP24" i="23" s="1"/>
  <c r="CQ24" i="23" s="1"/>
  <c r="CR24" i="23" s="1"/>
  <c r="CS24" i="23" s="1"/>
  <c r="CT24" i="23" s="1"/>
  <c r="CU24" i="23" s="1"/>
  <c r="CV24" i="23" s="1"/>
  <c r="CW24" i="23" s="1"/>
  <c r="CX24" i="23" s="1"/>
  <c r="CY24" i="23" s="1"/>
  <c r="CZ24" i="23" s="1"/>
  <c r="DA24" i="23" s="1"/>
  <c r="DB24" i="23" s="1"/>
  <c r="DC24" i="23" s="1"/>
  <c r="DD24" i="23" s="1"/>
  <c r="DE24" i="23" s="1"/>
  <c r="DF24" i="23" s="1"/>
  <c r="DG24" i="23" s="1"/>
  <c r="DH24" i="23" s="1"/>
  <c r="DI24" i="23" s="1"/>
  <c r="DJ24" i="23" s="1"/>
  <c r="DK24" i="23" s="1"/>
  <c r="DL24" i="23" s="1"/>
  <c r="DM24" i="23" s="1"/>
  <c r="DN24" i="23" s="1"/>
  <c r="DO24" i="23" s="1"/>
  <c r="DP24" i="23" s="1"/>
  <c r="DQ24" i="23" s="1"/>
  <c r="DR24" i="23" s="1"/>
  <c r="DS24" i="23" s="1"/>
  <c r="DT24" i="23" s="1"/>
  <c r="DU24" i="23" s="1"/>
  <c r="DV24" i="23" s="1"/>
  <c r="DW24" i="23" s="1"/>
  <c r="DX24" i="23" s="1"/>
  <c r="F18" i="23"/>
  <c r="F17" i="23"/>
  <c r="I13" i="23"/>
  <c r="B14" i="22"/>
  <c r="B15" i="22"/>
  <c r="B50" i="22" s="1"/>
  <c r="B13" i="22"/>
  <c r="B34" i="22" s="1"/>
  <c r="AK43" i="22"/>
  <c r="AE43" i="22"/>
  <c r="AA43" i="22"/>
  <c r="W43" i="22"/>
  <c r="S43" i="22"/>
  <c r="O43" i="22"/>
  <c r="K43" i="22"/>
  <c r="G43" i="22"/>
  <c r="AQ42" i="22"/>
  <c r="AM42" i="22"/>
  <c r="AI42" i="22"/>
  <c r="AE42" i="22"/>
  <c r="AA42" i="22"/>
  <c r="W42" i="22"/>
  <c r="S42" i="22"/>
  <c r="O42" i="22"/>
  <c r="K42" i="22"/>
  <c r="G42" i="22"/>
  <c r="AQ41" i="22"/>
  <c r="AM41" i="22"/>
  <c r="AI41" i="22"/>
  <c r="AE41" i="22"/>
  <c r="B36" i="22"/>
  <c r="B35" i="22"/>
  <c r="AQ33" i="22"/>
  <c r="AO33" i="22"/>
  <c r="AM33" i="22"/>
  <c r="AK33" i="22"/>
  <c r="AI33" i="22"/>
  <c r="AG33" i="22"/>
  <c r="AE33" i="22"/>
  <c r="AC33" i="22"/>
  <c r="AA33" i="22"/>
  <c r="Y33" i="22"/>
  <c r="W33" i="22"/>
  <c r="U33" i="22"/>
  <c r="S33" i="22"/>
  <c r="Q33" i="22"/>
  <c r="O33" i="22"/>
  <c r="M33" i="22"/>
  <c r="K33" i="22"/>
  <c r="I33" i="22"/>
  <c r="G33" i="22"/>
  <c r="AR27" i="22"/>
  <c r="AQ27" i="22"/>
  <c r="AP27" i="22"/>
  <c r="AO27" i="22"/>
  <c r="AN27" i="22"/>
  <c r="AM27" i="22"/>
  <c r="AL27" i="22"/>
  <c r="AK27" i="22"/>
  <c r="AJ27" i="22"/>
  <c r="AI27" i="22"/>
  <c r="AH27" i="22"/>
  <c r="AG27" i="22"/>
  <c r="AF27" i="22"/>
  <c r="AE27" i="22"/>
  <c r="AD27" i="22"/>
  <c r="AC27" i="22"/>
  <c r="AB27" i="22"/>
  <c r="AA27" i="22"/>
  <c r="Z27" i="22"/>
  <c r="Y27" i="22"/>
  <c r="X27" i="22"/>
  <c r="W27" i="22"/>
  <c r="V27" i="22"/>
  <c r="U27" i="22"/>
  <c r="T27" i="22"/>
  <c r="S27" i="22"/>
  <c r="R27" i="22"/>
  <c r="Q27" i="22"/>
  <c r="P27" i="22"/>
  <c r="O27" i="22"/>
  <c r="N27" i="22"/>
  <c r="M27" i="22"/>
  <c r="L27" i="22"/>
  <c r="K27" i="22"/>
  <c r="J27" i="22"/>
  <c r="I27" i="22"/>
  <c r="H27" i="22"/>
  <c r="G27" i="22"/>
  <c r="F27" i="22"/>
  <c r="AR26" i="22"/>
  <c r="AQ26" i="22"/>
  <c r="AP26" i="22"/>
  <c r="AO26" i="22"/>
  <c r="AN26" i="22"/>
  <c r="AM26" i="22"/>
  <c r="AL26" i="22"/>
  <c r="AK26" i="22"/>
  <c r="AJ26" i="22"/>
  <c r="AI26" i="22"/>
  <c r="AH26" i="22"/>
  <c r="AG26" i="22"/>
  <c r="AF26" i="22"/>
  <c r="AE26" i="22"/>
  <c r="AD26" i="22"/>
  <c r="AC26" i="22"/>
  <c r="AB26" i="22"/>
  <c r="AA26" i="22"/>
  <c r="Z26" i="22"/>
  <c r="Y26" i="22"/>
  <c r="X26" i="22"/>
  <c r="W26" i="22"/>
  <c r="V26" i="22"/>
  <c r="U26" i="22"/>
  <c r="T26" i="22"/>
  <c r="S26" i="22"/>
  <c r="R26" i="22"/>
  <c r="Q26" i="22"/>
  <c r="P26" i="22"/>
  <c r="O26" i="22"/>
  <c r="N26" i="22"/>
  <c r="M26" i="22"/>
  <c r="L26" i="22"/>
  <c r="K26" i="22"/>
  <c r="J26" i="22"/>
  <c r="I26" i="22"/>
  <c r="H26" i="22"/>
  <c r="G26" i="22"/>
  <c r="F26" i="22"/>
  <c r="AR25" i="22"/>
  <c r="AQ25" i="22"/>
  <c r="AP25" i="22"/>
  <c r="AO25" i="22"/>
  <c r="AN25" i="22"/>
  <c r="AM25" i="22"/>
  <c r="AL25" i="22"/>
  <c r="AK25" i="22"/>
  <c r="AJ25" i="22"/>
  <c r="AI25" i="22"/>
  <c r="AH25" i="22"/>
  <c r="AG25" i="22"/>
  <c r="AF25" i="22"/>
  <c r="AE25" i="22"/>
  <c r="AD25" i="22"/>
  <c r="AC25" i="22"/>
  <c r="AB25" i="22"/>
  <c r="AA25" i="22"/>
  <c r="Z25" i="22"/>
  <c r="Y25" i="22"/>
  <c r="X25" i="22"/>
  <c r="W25" i="22"/>
  <c r="V25" i="22"/>
  <c r="U25" i="22"/>
  <c r="T25" i="22"/>
  <c r="S25" i="22"/>
  <c r="R25" i="22"/>
  <c r="Q25" i="22"/>
  <c r="P25" i="22"/>
  <c r="O25" i="22"/>
  <c r="N25" i="22"/>
  <c r="M25" i="22"/>
  <c r="L25" i="22"/>
  <c r="K25" i="22"/>
  <c r="J25" i="22"/>
  <c r="I25" i="22"/>
  <c r="H25" i="22"/>
  <c r="G25" i="22"/>
  <c r="F25" i="22"/>
  <c r="AR24" i="22"/>
  <c r="AR33" i="22" s="1"/>
  <c r="AR47" i="22" s="1"/>
  <c r="AQ24" i="22"/>
  <c r="AP24" i="22"/>
  <c r="AP33" i="22" s="1"/>
  <c r="AP47" i="22" s="1"/>
  <c r="AO24" i="22"/>
  <c r="AN24" i="22"/>
  <c r="AN33" i="22" s="1"/>
  <c r="AN47" i="22" s="1"/>
  <c r="AM24" i="22"/>
  <c r="AL24" i="22"/>
  <c r="AL33" i="22" s="1"/>
  <c r="AL47" i="22" s="1"/>
  <c r="AK24" i="22"/>
  <c r="AJ24" i="22"/>
  <c r="AJ33" i="22" s="1"/>
  <c r="AJ47" i="22" s="1"/>
  <c r="AI24" i="22"/>
  <c r="AH24" i="22"/>
  <c r="AH33" i="22" s="1"/>
  <c r="AH47" i="22" s="1"/>
  <c r="AG24" i="22"/>
  <c r="AF24" i="22"/>
  <c r="AF33" i="22" s="1"/>
  <c r="AF47" i="22" s="1"/>
  <c r="AE24" i="22"/>
  <c r="AD24" i="22"/>
  <c r="AD33" i="22" s="1"/>
  <c r="AD40" i="22" s="1"/>
  <c r="AC24" i="22"/>
  <c r="AB24" i="22"/>
  <c r="AB33" i="22" s="1"/>
  <c r="AB47" i="22" s="1"/>
  <c r="AA24" i="22"/>
  <c r="Z24" i="22"/>
  <c r="Z33" i="22" s="1"/>
  <c r="Z47" i="22" s="1"/>
  <c r="Y24" i="22"/>
  <c r="X24" i="22"/>
  <c r="X33" i="22" s="1"/>
  <c r="X47" i="22" s="1"/>
  <c r="W24" i="22"/>
  <c r="V24" i="22"/>
  <c r="V33" i="22" s="1"/>
  <c r="V47" i="22" s="1"/>
  <c r="U24" i="22"/>
  <c r="T24" i="22"/>
  <c r="T33" i="22" s="1"/>
  <c r="T47" i="22" s="1"/>
  <c r="S24" i="22"/>
  <c r="R24" i="22"/>
  <c r="R33" i="22" s="1"/>
  <c r="R47" i="22" s="1"/>
  <c r="Q24" i="22"/>
  <c r="P24" i="22"/>
  <c r="P33" i="22" s="1"/>
  <c r="P47" i="22" s="1"/>
  <c r="O24" i="22"/>
  <c r="N24" i="22"/>
  <c r="N33" i="22" s="1"/>
  <c r="N40" i="22" s="1"/>
  <c r="M24" i="22"/>
  <c r="L24" i="22"/>
  <c r="L33" i="22" s="1"/>
  <c r="L47" i="22" s="1"/>
  <c r="K24" i="22"/>
  <c r="J24" i="22"/>
  <c r="J33" i="22" s="1"/>
  <c r="J47" i="22" s="1"/>
  <c r="I24" i="22"/>
  <c r="H24" i="22"/>
  <c r="H33" i="22" s="1"/>
  <c r="H47" i="22" s="1"/>
  <c r="G24" i="22"/>
  <c r="F24" i="22"/>
  <c r="F33" i="22" s="1"/>
  <c r="F47" i="22" s="1"/>
  <c r="AR21" i="22"/>
  <c r="AQ21" i="22"/>
  <c r="AQ36" i="22" s="1"/>
  <c r="AQ50" i="22" s="1"/>
  <c r="AP21" i="22"/>
  <c r="AO21" i="22"/>
  <c r="AO36" i="22" s="1"/>
  <c r="AO50" i="22" s="1"/>
  <c r="AN21" i="22"/>
  <c r="AM21" i="22"/>
  <c r="AM36" i="22" s="1"/>
  <c r="AM50" i="22" s="1"/>
  <c r="AL21" i="22"/>
  <c r="AK21" i="22"/>
  <c r="AK36" i="22" s="1"/>
  <c r="AK50" i="22" s="1"/>
  <c r="AJ21" i="22"/>
  <c r="AI21" i="22"/>
  <c r="AI36" i="22" s="1"/>
  <c r="AI50" i="22" s="1"/>
  <c r="AH21" i="22"/>
  <c r="AG21" i="22"/>
  <c r="AG36" i="22" s="1"/>
  <c r="AG50" i="22" s="1"/>
  <c r="AF21" i="22"/>
  <c r="AE21" i="22"/>
  <c r="AE36" i="22" s="1"/>
  <c r="AE50" i="22" s="1"/>
  <c r="AD21" i="22"/>
  <c r="AC21" i="22"/>
  <c r="AC36" i="22" s="1"/>
  <c r="AC50" i="22" s="1"/>
  <c r="AB21" i="22"/>
  <c r="AA21" i="22"/>
  <c r="AA36" i="22" s="1"/>
  <c r="AA50" i="22" s="1"/>
  <c r="Z21" i="22"/>
  <c r="Y21" i="22"/>
  <c r="Y36" i="22" s="1"/>
  <c r="Y50" i="22" s="1"/>
  <c r="X21" i="22"/>
  <c r="W21" i="22"/>
  <c r="W36" i="22" s="1"/>
  <c r="W50" i="22" s="1"/>
  <c r="V21" i="22"/>
  <c r="U21" i="22"/>
  <c r="U36" i="22" s="1"/>
  <c r="U50" i="22" s="1"/>
  <c r="T21" i="22"/>
  <c r="S21" i="22"/>
  <c r="S36" i="22" s="1"/>
  <c r="S50" i="22" s="1"/>
  <c r="R21" i="22"/>
  <c r="Q21" i="22"/>
  <c r="Q36" i="22" s="1"/>
  <c r="Q50" i="22" s="1"/>
  <c r="P21" i="22"/>
  <c r="O21" i="22"/>
  <c r="O36" i="22" s="1"/>
  <c r="O50" i="22" s="1"/>
  <c r="N21" i="22"/>
  <c r="M21" i="22"/>
  <c r="M36" i="22" s="1"/>
  <c r="M50" i="22" s="1"/>
  <c r="L21" i="22"/>
  <c r="K21" i="22"/>
  <c r="K36" i="22" s="1"/>
  <c r="K50" i="22" s="1"/>
  <c r="J21" i="22"/>
  <c r="I21" i="22"/>
  <c r="I36" i="22" s="1"/>
  <c r="I50" i="22" s="1"/>
  <c r="H21" i="22"/>
  <c r="G21" i="22"/>
  <c r="G36" i="22" s="1"/>
  <c r="G50" i="22" s="1"/>
  <c r="F21" i="22"/>
  <c r="B21" i="22"/>
  <c r="AR20" i="22"/>
  <c r="AQ20" i="22"/>
  <c r="AQ35" i="22" s="1"/>
  <c r="AQ49" i="22" s="1"/>
  <c r="AP20" i="22"/>
  <c r="AO20" i="22"/>
  <c r="AO35" i="22" s="1"/>
  <c r="AO49" i="22" s="1"/>
  <c r="AN20" i="22"/>
  <c r="AM20" i="22"/>
  <c r="AM35" i="22" s="1"/>
  <c r="AM49" i="22" s="1"/>
  <c r="AL20" i="22"/>
  <c r="AK20" i="22"/>
  <c r="AK35" i="22" s="1"/>
  <c r="AK49" i="22" s="1"/>
  <c r="AJ20" i="22"/>
  <c r="AI20" i="22"/>
  <c r="AI35" i="22" s="1"/>
  <c r="AI49" i="22" s="1"/>
  <c r="AH20" i="22"/>
  <c r="AG20" i="22"/>
  <c r="AG35" i="22" s="1"/>
  <c r="AG49" i="22" s="1"/>
  <c r="AF20" i="22"/>
  <c r="AE20" i="22"/>
  <c r="AE35" i="22" s="1"/>
  <c r="AE49" i="22" s="1"/>
  <c r="AD20" i="22"/>
  <c r="AC20" i="22"/>
  <c r="AC35" i="22" s="1"/>
  <c r="AC49" i="22" s="1"/>
  <c r="AB20" i="22"/>
  <c r="AA20" i="22"/>
  <c r="AA35" i="22" s="1"/>
  <c r="AA49" i="22" s="1"/>
  <c r="Z20" i="22"/>
  <c r="Y20" i="22"/>
  <c r="Y35" i="22" s="1"/>
  <c r="Y49" i="22" s="1"/>
  <c r="X20" i="22"/>
  <c r="W20" i="22"/>
  <c r="W35" i="22" s="1"/>
  <c r="W49" i="22" s="1"/>
  <c r="V20" i="22"/>
  <c r="U20" i="22"/>
  <c r="U35" i="22" s="1"/>
  <c r="U49" i="22" s="1"/>
  <c r="T20" i="22"/>
  <c r="S20" i="22"/>
  <c r="S35" i="22" s="1"/>
  <c r="S49" i="22" s="1"/>
  <c r="R20" i="22"/>
  <c r="Q20" i="22"/>
  <c r="Q35" i="22" s="1"/>
  <c r="Q49" i="22" s="1"/>
  <c r="P20" i="22"/>
  <c r="O20" i="22"/>
  <c r="O35" i="22" s="1"/>
  <c r="O49" i="22" s="1"/>
  <c r="N20" i="22"/>
  <c r="M20" i="22"/>
  <c r="M35" i="22" s="1"/>
  <c r="M49" i="22" s="1"/>
  <c r="L20" i="22"/>
  <c r="K20" i="22"/>
  <c r="K35" i="22" s="1"/>
  <c r="K49" i="22" s="1"/>
  <c r="J20" i="22"/>
  <c r="I20" i="22"/>
  <c r="I35" i="22" s="1"/>
  <c r="I49" i="22" s="1"/>
  <c r="H20" i="22"/>
  <c r="G20" i="22"/>
  <c r="G35" i="22" s="1"/>
  <c r="G49" i="22" s="1"/>
  <c r="F20" i="22"/>
  <c r="B20" i="22"/>
  <c r="AR19" i="22"/>
  <c r="AQ19" i="22"/>
  <c r="AQ34" i="22" s="1"/>
  <c r="AQ48" i="22" s="1"/>
  <c r="AP19" i="22"/>
  <c r="AO19" i="22"/>
  <c r="AO34" i="22" s="1"/>
  <c r="AO48" i="22" s="1"/>
  <c r="AN19" i="22"/>
  <c r="AM19" i="22"/>
  <c r="AM34" i="22" s="1"/>
  <c r="AM48" i="22" s="1"/>
  <c r="AL19" i="22"/>
  <c r="AK19" i="22"/>
  <c r="AK34" i="22" s="1"/>
  <c r="AK48" i="22" s="1"/>
  <c r="AJ19" i="22"/>
  <c r="AI19" i="22"/>
  <c r="AI34" i="22" s="1"/>
  <c r="AI48" i="22" s="1"/>
  <c r="AH19" i="22"/>
  <c r="AG19" i="22"/>
  <c r="AG34" i="22" s="1"/>
  <c r="AG48" i="22" s="1"/>
  <c r="AF19" i="22"/>
  <c r="AE19" i="22"/>
  <c r="AE34" i="22" s="1"/>
  <c r="AE48" i="22" s="1"/>
  <c r="AD19" i="22"/>
  <c r="AC19" i="22"/>
  <c r="AC34" i="22" s="1"/>
  <c r="AC48" i="22" s="1"/>
  <c r="AB19" i="22"/>
  <c r="AA19" i="22"/>
  <c r="AA34" i="22" s="1"/>
  <c r="AA48" i="22" s="1"/>
  <c r="Z19" i="22"/>
  <c r="Y19" i="22"/>
  <c r="Y34" i="22" s="1"/>
  <c r="Y48" i="22" s="1"/>
  <c r="X19" i="22"/>
  <c r="W19" i="22"/>
  <c r="W34" i="22" s="1"/>
  <c r="W48" i="22" s="1"/>
  <c r="V19" i="22"/>
  <c r="U19" i="22"/>
  <c r="U34" i="22" s="1"/>
  <c r="U48" i="22" s="1"/>
  <c r="T19" i="22"/>
  <c r="S19" i="22"/>
  <c r="S34" i="22" s="1"/>
  <c r="S48" i="22" s="1"/>
  <c r="R19" i="22"/>
  <c r="Q19" i="22"/>
  <c r="Q34" i="22" s="1"/>
  <c r="Q48" i="22" s="1"/>
  <c r="P19" i="22"/>
  <c r="O19" i="22"/>
  <c r="O34" i="22" s="1"/>
  <c r="O48" i="22" s="1"/>
  <c r="N19" i="22"/>
  <c r="M19" i="22"/>
  <c r="M34" i="22" s="1"/>
  <c r="M48" i="22" s="1"/>
  <c r="L19" i="22"/>
  <c r="K19" i="22"/>
  <c r="K34" i="22" s="1"/>
  <c r="K48" i="22" s="1"/>
  <c r="J19" i="22"/>
  <c r="I19" i="22"/>
  <c r="I34" i="22" s="1"/>
  <c r="I48" i="22" s="1"/>
  <c r="H19" i="22"/>
  <c r="G19" i="22"/>
  <c r="G34" i="22" s="1"/>
  <c r="G48" i="22" s="1"/>
  <c r="F19" i="22"/>
  <c r="B19" i="22"/>
  <c r="AR18" i="22"/>
  <c r="AQ18" i="22"/>
  <c r="AP18" i="22"/>
  <c r="AO18" i="22"/>
  <c r="AN18" i="22"/>
  <c r="AM18" i="22"/>
  <c r="AL18" i="22"/>
  <c r="AK18" i="22"/>
  <c r="AJ18" i="22"/>
  <c r="AI18" i="22"/>
  <c r="AH18" i="22"/>
  <c r="AG18" i="22"/>
  <c r="AF18" i="22"/>
  <c r="AE18" i="22"/>
  <c r="AD18" i="22"/>
  <c r="AC18" i="22"/>
  <c r="AB18" i="22"/>
  <c r="AA18" i="22"/>
  <c r="Z18" i="22"/>
  <c r="Y18" i="22"/>
  <c r="X18" i="22"/>
  <c r="W18" i="22"/>
  <c r="V18" i="22"/>
  <c r="U18" i="22"/>
  <c r="T18" i="22"/>
  <c r="S18" i="22"/>
  <c r="R18" i="22"/>
  <c r="Q18" i="22"/>
  <c r="P18" i="22"/>
  <c r="O18" i="22"/>
  <c r="N18" i="22"/>
  <c r="M18" i="22"/>
  <c r="L18" i="22"/>
  <c r="K18" i="22"/>
  <c r="J18" i="22"/>
  <c r="I18" i="22"/>
  <c r="H18" i="22"/>
  <c r="G18" i="22"/>
  <c r="F18" i="22"/>
  <c r="AR15" i="22"/>
  <c r="AQ15" i="22"/>
  <c r="AQ43" i="22" s="1"/>
  <c r="AP15" i="22"/>
  <c r="AO15" i="22"/>
  <c r="AO43" i="22" s="1"/>
  <c r="AN15" i="22"/>
  <c r="AM15" i="22"/>
  <c r="AM43" i="22" s="1"/>
  <c r="AL15" i="22"/>
  <c r="AK15" i="22"/>
  <c r="AJ15" i="22"/>
  <c r="AI15" i="22"/>
  <c r="AI43" i="22" s="1"/>
  <c r="AH15" i="22"/>
  <c r="AG15" i="22"/>
  <c r="AG43" i="22" s="1"/>
  <c r="AF15" i="22"/>
  <c r="AE15" i="22"/>
  <c r="AD15" i="22"/>
  <c r="AC15" i="22"/>
  <c r="AC43" i="22" s="1"/>
  <c r="AB15" i="22"/>
  <c r="AA15" i="22"/>
  <c r="Z15" i="22"/>
  <c r="Y15" i="22"/>
  <c r="Y43" i="22" s="1"/>
  <c r="X15" i="22"/>
  <c r="W15" i="22"/>
  <c r="V15" i="22"/>
  <c r="U15" i="22"/>
  <c r="U43" i="22" s="1"/>
  <c r="T15" i="22"/>
  <c r="S15" i="22"/>
  <c r="R15" i="22"/>
  <c r="Q15" i="22"/>
  <c r="Q43" i="22" s="1"/>
  <c r="P15" i="22"/>
  <c r="O15" i="22"/>
  <c r="N15" i="22"/>
  <c r="M15" i="22"/>
  <c r="M43" i="22" s="1"/>
  <c r="L15" i="22"/>
  <c r="K15" i="22"/>
  <c r="J15" i="22"/>
  <c r="I15" i="22"/>
  <c r="I43" i="22" s="1"/>
  <c r="H15" i="22"/>
  <c r="G15" i="22"/>
  <c r="F15" i="22"/>
  <c r="AR14" i="22"/>
  <c r="AQ14" i="22"/>
  <c r="AP14" i="22"/>
  <c r="AO14" i="22"/>
  <c r="AO42" i="22" s="1"/>
  <c r="AN14" i="22"/>
  <c r="AM14" i="22"/>
  <c r="AL14" i="22"/>
  <c r="AK14" i="22"/>
  <c r="AK42" i="22" s="1"/>
  <c r="AJ14" i="22"/>
  <c r="AI14" i="22"/>
  <c r="AH14" i="22"/>
  <c r="AG14" i="22"/>
  <c r="AG42" i="22" s="1"/>
  <c r="AF14" i="22"/>
  <c r="AE14" i="22"/>
  <c r="AD14" i="22"/>
  <c r="AC14" i="22"/>
  <c r="AC42" i="22" s="1"/>
  <c r="AB14" i="22"/>
  <c r="AA14" i="22"/>
  <c r="Z14" i="22"/>
  <c r="Y14" i="22"/>
  <c r="Y42" i="22" s="1"/>
  <c r="X14" i="22"/>
  <c r="W14" i="22"/>
  <c r="V14" i="22"/>
  <c r="U14" i="22"/>
  <c r="U42" i="22" s="1"/>
  <c r="T14" i="22"/>
  <c r="S14" i="22"/>
  <c r="R14" i="22"/>
  <c r="Q14" i="22"/>
  <c r="Q42" i="22" s="1"/>
  <c r="P14" i="22"/>
  <c r="O14" i="22"/>
  <c r="N14" i="22"/>
  <c r="M14" i="22"/>
  <c r="M42" i="22" s="1"/>
  <c r="L14" i="22"/>
  <c r="K14" i="22"/>
  <c r="J14" i="22"/>
  <c r="I14" i="22"/>
  <c r="I42" i="22" s="1"/>
  <c r="H14" i="22"/>
  <c r="G14" i="22"/>
  <c r="F14" i="22"/>
  <c r="B49" i="22"/>
  <c r="AR13" i="22"/>
  <c r="AQ13" i="22"/>
  <c r="AP13" i="22"/>
  <c r="AO13" i="22"/>
  <c r="AO41" i="22" s="1"/>
  <c r="AN13" i="22"/>
  <c r="AM13" i="22"/>
  <c r="AL13" i="22"/>
  <c r="AK13" i="22"/>
  <c r="AK41" i="22" s="1"/>
  <c r="AJ13" i="22"/>
  <c r="AI13" i="22"/>
  <c r="AH13" i="22"/>
  <c r="AG13" i="22"/>
  <c r="AG41" i="22" s="1"/>
  <c r="AF13" i="22"/>
  <c r="AE13" i="22"/>
  <c r="AD13" i="22"/>
  <c r="AC13" i="22"/>
  <c r="AC41" i="22" s="1"/>
  <c r="AB13" i="22"/>
  <c r="AB34" i="22" s="1"/>
  <c r="AA13" i="22"/>
  <c r="AA41" i="22" s="1"/>
  <c r="Z13" i="22"/>
  <c r="Z34" i="22" s="1"/>
  <c r="Y13" i="22"/>
  <c r="Y41" i="22" s="1"/>
  <c r="X13" i="22"/>
  <c r="X34" i="22" s="1"/>
  <c r="W13" i="22"/>
  <c r="W41" i="22" s="1"/>
  <c r="V13" i="22"/>
  <c r="V34" i="22" s="1"/>
  <c r="U13" i="22"/>
  <c r="U41" i="22" s="1"/>
  <c r="T13" i="22"/>
  <c r="T34" i="22" s="1"/>
  <c r="S13" i="22"/>
  <c r="S41" i="22" s="1"/>
  <c r="R13" i="22"/>
  <c r="R34" i="22" s="1"/>
  <c r="Q13" i="22"/>
  <c r="Q41" i="22" s="1"/>
  <c r="P13" i="22"/>
  <c r="P34" i="22" s="1"/>
  <c r="O13" i="22"/>
  <c r="O41" i="22" s="1"/>
  <c r="N13" i="22"/>
  <c r="N34" i="22" s="1"/>
  <c r="M13" i="22"/>
  <c r="M41" i="22" s="1"/>
  <c r="L13" i="22"/>
  <c r="L34" i="22" s="1"/>
  <c r="K13" i="22"/>
  <c r="K41" i="22" s="1"/>
  <c r="J13" i="22"/>
  <c r="J34" i="22" s="1"/>
  <c r="I13" i="22"/>
  <c r="I41" i="22" s="1"/>
  <c r="H13" i="22"/>
  <c r="H34" i="22" s="1"/>
  <c r="G13" i="22"/>
  <c r="G41" i="22" s="1"/>
  <c r="F13" i="22"/>
  <c r="F34" i="22" s="1"/>
  <c r="B48" i="22"/>
  <c r="AR12" i="22"/>
  <c r="AQ12" i="22"/>
  <c r="AP12" i="22"/>
  <c r="AO12" i="22"/>
  <c r="AN12" i="22"/>
  <c r="AM12" i="22"/>
  <c r="AL12" i="22"/>
  <c r="AK12" i="22"/>
  <c r="AJ12" i="22"/>
  <c r="AI12" i="22"/>
  <c r="AH12" i="22"/>
  <c r="AG12" i="22"/>
  <c r="AF12" i="22"/>
  <c r="AE12" i="22"/>
  <c r="AD12" i="22"/>
  <c r="AC12" i="22"/>
  <c r="AB12" i="22"/>
  <c r="AA12" i="22"/>
  <c r="Z12" i="22"/>
  <c r="Y12" i="22"/>
  <c r="X12" i="22"/>
  <c r="W12" i="22"/>
  <c r="V12" i="22"/>
  <c r="U12" i="22"/>
  <c r="T12" i="22"/>
  <c r="S12" i="22"/>
  <c r="R12" i="22"/>
  <c r="Q12" i="22"/>
  <c r="P12" i="22"/>
  <c r="O12" i="22"/>
  <c r="N12" i="22"/>
  <c r="M12" i="22"/>
  <c r="L12" i="22"/>
  <c r="K12" i="22"/>
  <c r="J12" i="22"/>
  <c r="I12" i="22"/>
  <c r="H12" i="22"/>
  <c r="G12" i="22"/>
  <c r="F12" i="22"/>
  <c r="AR11" i="22"/>
  <c r="AQ11" i="22"/>
  <c r="AP11" i="22"/>
  <c r="AO11" i="22"/>
  <c r="AN11" i="22"/>
  <c r="AM11" i="22"/>
  <c r="AL11" i="22"/>
  <c r="AK11" i="22"/>
  <c r="AJ11" i="22"/>
  <c r="AI11" i="22"/>
  <c r="AH11" i="22"/>
  <c r="AG11" i="22"/>
  <c r="AF11" i="22"/>
  <c r="AE11" i="22"/>
  <c r="AD11" i="22"/>
  <c r="AC11" i="22"/>
  <c r="AB11" i="22"/>
  <c r="AA11" i="22"/>
  <c r="Z11" i="22"/>
  <c r="Y11" i="22"/>
  <c r="X11" i="22"/>
  <c r="W11" i="22"/>
  <c r="V11" i="22"/>
  <c r="U11" i="22"/>
  <c r="T11" i="22"/>
  <c r="S11" i="22"/>
  <c r="R11" i="22"/>
  <c r="Q11" i="22"/>
  <c r="P11" i="22"/>
  <c r="O11" i="22"/>
  <c r="N11" i="22"/>
  <c r="M11" i="22"/>
  <c r="L11" i="22"/>
  <c r="K11" i="22"/>
  <c r="J11" i="22"/>
  <c r="I11" i="22"/>
  <c r="H11" i="22"/>
  <c r="G11" i="22"/>
  <c r="F11" i="22"/>
  <c r="G34" i="13"/>
  <c r="H34" i="13"/>
  <c r="I34" i="13"/>
  <c r="J34" i="13"/>
  <c r="K34" i="13"/>
  <c r="L34" i="13"/>
  <c r="M34" i="13"/>
  <c r="N34" i="13"/>
  <c r="O34" i="13"/>
  <c r="P34" i="13"/>
  <c r="Q34" i="13"/>
  <c r="R34" i="13"/>
  <c r="S34" i="13"/>
  <c r="T34" i="13"/>
  <c r="U34" i="13"/>
  <c r="V34" i="13"/>
  <c r="W34" i="13"/>
  <c r="X34" i="13"/>
  <c r="Y34" i="13"/>
  <c r="Z34" i="13"/>
  <c r="AA34" i="13"/>
  <c r="AB34" i="13"/>
  <c r="AC34" i="13"/>
  <c r="AD34" i="13"/>
  <c r="AE34" i="13"/>
  <c r="AF34" i="13"/>
  <c r="AG34" i="13"/>
  <c r="AH34" i="13"/>
  <c r="AI34" i="13"/>
  <c r="AJ34" i="13"/>
  <c r="AK34" i="13"/>
  <c r="AL34" i="13"/>
  <c r="AM34" i="13"/>
  <c r="AN34" i="13"/>
  <c r="AO34" i="13"/>
  <c r="AP34" i="13"/>
  <c r="AQ34" i="13"/>
  <c r="AR34" i="13"/>
  <c r="G35" i="13"/>
  <c r="H35" i="13"/>
  <c r="I35" i="13"/>
  <c r="J35" i="13"/>
  <c r="K35" i="13"/>
  <c r="L35" i="13"/>
  <c r="M35" i="13"/>
  <c r="N35" i="13"/>
  <c r="O35" i="13"/>
  <c r="P35" i="13"/>
  <c r="Q35" i="13"/>
  <c r="R35" i="13"/>
  <c r="S35" i="13"/>
  <c r="T35" i="13"/>
  <c r="U35" i="13"/>
  <c r="V35" i="13"/>
  <c r="W35" i="13"/>
  <c r="X35" i="13"/>
  <c r="Y35" i="13"/>
  <c r="Z35" i="13"/>
  <c r="AA35" i="13"/>
  <c r="AB35" i="13"/>
  <c r="AC35" i="13"/>
  <c r="AD35" i="13"/>
  <c r="AE35" i="13"/>
  <c r="AF35" i="13"/>
  <c r="AG35" i="13"/>
  <c r="AH35" i="13"/>
  <c r="AI35" i="13"/>
  <c r="AJ35" i="13"/>
  <c r="AK35" i="13"/>
  <c r="AL35" i="13"/>
  <c r="AM35" i="13"/>
  <c r="AN35" i="13"/>
  <c r="AO35" i="13"/>
  <c r="AP35" i="13"/>
  <c r="AQ35" i="13"/>
  <c r="AR35" i="13"/>
  <c r="G36" i="13"/>
  <c r="H36" i="13"/>
  <c r="I36" i="13"/>
  <c r="J36" i="13"/>
  <c r="K36" i="13"/>
  <c r="L36" i="13"/>
  <c r="M36" i="13"/>
  <c r="N36" i="13"/>
  <c r="O36" i="13"/>
  <c r="P36" i="13"/>
  <c r="Q36" i="13"/>
  <c r="R36" i="13"/>
  <c r="S36" i="13"/>
  <c r="T36" i="13"/>
  <c r="U36" i="13"/>
  <c r="V36" i="13"/>
  <c r="W36" i="13"/>
  <c r="X36" i="13"/>
  <c r="Y36" i="13"/>
  <c r="Z36" i="13"/>
  <c r="AA36" i="13"/>
  <c r="AB36" i="13"/>
  <c r="AC36" i="13"/>
  <c r="AD36" i="13"/>
  <c r="AE36" i="13"/>
  <c r="AF36" i="13"/>
  <c r="AG36" i="13"/>
  <c r="AH36" i="13"/>
  <c r="AI36" i="13"/>
  <c r="AJ36" i="13"/>
  <c r="AK36" i="13"/>
  <c r="AL36" i="13"/>
  <c r="AM36" i="13"/>
  <c r="AN36" i="13"/>
  <c r="AO36" i="13"/>
  <c r="AP36" i="13"/>
  <c r="AQ36" i="13"/>
  <c r="AR36" i="13"/>
  <c r="F35" i="13"/>
  <c r="F36" i="13"/>
  <c r="F34" i="13"/>
  <c r="G47" i="13"/>
  <c r="H47" i="13"/>
  <c r="I47" i="13"/>
  <c r="J47" i="13"/>
  <c r="K47" i="13"/>
  <c r="L47" i="13"/>
  <c r="M47" i="13"/>
  <c r="N47" i="13"/>
  <c r="O47" i="13"/>
  <c r="P47" i="13"/>
  <c r="Q47" i="13"/>
  <c r="R47" i="13"/>
  <c r="S47" i="13"/>
  <c r="T47" i="13"/>
  <c r="U47" i="13"/>
  <c r="V47" i="13"/>
  <c r="W47" i="13"/>
  <c r="X47" i="13"/>
  <c r="Y47" i="13"/>
  <c r="Z47" i="13"/>
  <c r="AA47" i="13"/>
  <c r="AB47" i="13"/>
  <c r="AC47" i="13"/>
  <c r="AD47" i="13"/>
  <c r="AE47" i="13"/>
  <c r="AF47" i="13"/>
  <c r="AG47" i="13"/>
  <c r="AH47" i="13"/>
  <c r="AI47" i="13"/>
  <c r="AJ47" i="13"/>
  <c r="AK47" i="13"/>
  <c r="AL47" i="13"/>
  <c r="AM47" i="13"/>
  <c r="AN47" i="13"/>
  <c r="AO47" i="13"/>
  <c r="AP47" i="13"/>
  <c r="AQ47" i="13"/>
  <c r="AR47" i="13"/>
  <c r="F47" i="13"/>
  <c r="G40" i="13"/>
  <c r="H40" i="13"/>
  <c r="I40" i="13"/>
  <c r="J40" i="13"/>
  <c r="K40" i="13"/>
  <c r="L40" i="13"/>
  <c r="M40" i="13"/>
  <c r="N40" i="13"/>
  <c r="O40" i="13"/>
  <c r="P40" i="13"/>
  <c r="Q40" i="13"/>
  <c r="R40" i="13"/>
  <c r="S40" i="13"/>
  <c r="T40" i="13"/>
  <c r="U40" i="13"/>
  <c r="V40" i="13"/>
  <c r="W40" i="13"/>
  <c r="X40" i="13"/>
  <c r="Y40" i="13"/>
  <c r="Z40" i="13"/>
  <c r="AA40" i="13"/>
  <c r="AB40" i="13"/>
  <c r="AC40" i="13"/>
  <c r="AD40" i="13"/>
  <c r="AE40" i="13"/>
  <c r="AF40" i="13"/>
  <c r="AG40" i="13"/>
  <c r="AH40" i="13"/>
  <c r="AI40" i="13"/>
  <c r="AJ40" i="13"/>
  <c r="AK40" i="13"/>
  <c r="AL40" i="13"/>
  <c r="AM40" i="13"/>
  <c r="AN40" i="13"/>
  <c r="AO40" i="13"/>
  <c r="AP40" i="13"/>
  <c r="AQ40" i="13"/>
  <c r="AR40" i="13"/>
  <c r="F40" i="13"/>
  <c r="G33" i="13"/>
  <c r="H33" i="13"/>
  <c r="I33" i="13"/>
  <c r="J33" i="13"/>
  <c r="K33" i="13"/>
  <c r="L33" i="13"/>
  <c r="M33" i="13"/>
  <c r="N33" i="13"/>
  <c r="O33" i="13"/>
  <c r="P33" i="13"/>
  <c r="Q33" i="13"/>
  <c r="R33" i="13"/>
  <c r="S33" i="13"/>
  <c r="T33" i="13"/>
  <c r="U33" i="13"/>
  <c r="V33" i="13"/>
  <c r="W33" i="13"/>
  <c r="X33" i="13"/>
  <c r="Y33" i="13"/>
  <c r="Z33" i="13"/>
  <c r="AA33" i="13"/>
  <c r="AB33" i="13"/>
  <c r="AC33" i="13"/>
  <c r="AD33" i="13"/>
  <c r="AE33" i="13"/>
  <c r="AF33" i="13"/>
  <c r="AG33" i="13"/>
  <c r="AH33" i="13"/>
  <c r="AI33" i="13"/>
  <c r="AJ33" i="13"/>
  <c r="AK33" i="13"/>
  <c r="AL33" i="13"/>
  <c r="AM33" i="13"/>
  <c r="AN33" i="13"/>
  <c r="AO33" i="13"/>
  <c r="AP33" i="13"/>
  <c r="AQ33" i="13"/>
  <c r="AR33" i="13"/>
  <c r="F33" i="13"/>
  <c r="G25" i="13"/>
  <c r="H25" i="13"/>
  <c r="I25" i="13"/>
  <c r="J25" i="13"/>
  <c r="K25" i="13"/>
  <c r="L25" i="13"/>
  <c r="M25" i="13"/>
  <c r="N25" i="13"/>
  <c r="O25" i="13"/>
  <c r="P25" i="13"/>
  <c r="Q25" i="13"/>
  <c r="R25" i="13"/>
  <c r="S25" i="13"/>
  <c r="T25" i="13"/>
  <c r="U25" i="13"/>
  <c r="V25" i="13"/>
  <c r="W25" i="13"/>
  <c r="X25" i="13"/>
  <c r="Y25" i="13"/>
  <c r="Z25" i="13"/>
  <c r="AA25" i="13"/>
  <c r="AB25" i="13"/>
  <c r="AC25" i="13"/>
  <c r="AD25" i="13"/>
  <c r="AE25" i="13"/>
  <c r="AF25" i="13"/>
  <c r="AG25" i="13"/>
  <c r="AH25" i="13"/>
  <c r="AI25" i="13"/>
  <c r="AJ25" i="13"/>
  <c r="AK25" i="13"/>
  <c r="AL25" i="13"/>
  <c r="AM25" i="13"/>
  <c r="AN25" i="13"/>
  <c r="AO25" i="13"/>
  <c r="AP25" i="13"/>
  <c r="AQ25" i="13"/>
  <c r="AR25" i="13"/>
  <c r="G26" i="13"/>
  <c r="H26" i="13"/>
  <c r="I26" i="13"/>
  <c r="J26" i="13"/>
  <c r="K26" i="13"/>
  <c r="L26" i="13"/>
  <c r="M26" i="13"/>
  <c r="N26" i="13"/>
  <c r="O26" i="13"/>
  <c r="P26" i="13"/>
  <c r="Q26" i="13"/>
  <c r="R26" i="13"/>
  <c r="S26" i="13"/>
  <c r="T26" i="13"/>
  <c r="U26" i="13"/>
  <c r="V26" i="13"/>
  <c r="W26" i="13"/>
  <c r="X26" i="13"/>
  <c r="Y26" i="13"/>
  <c r="Z26" i="13"/>
  <c r="AA26" i="13"/>
  <c r="AB26" i="13"/>
  <c r="AC26" i="13"/>
  <c r="AD26" i="13"/>
  <c r="AE26" i="13"/>
  <c r="AF26" i="13"/>
  <c r="AG26" i="13"/>
  <c r="AH26" i="13"/>
  <c r="AI26" i="13"/>
  <c r="AJ26" i="13"/>
  <c r="AK26" i="13"/>
  <c r="AL26" i="13"/>
  <c r="AM26" i="13"/>
  <c r="AN26" i="13"/>
  <c r="AO26" i="13"/>
  <c r="AP26" i="13"/>
  <c r="AQ26" i="13"/>
  <c r="AR26" i="13"/>
  <c r="G27" i="13"/>
  <c r="H27" i="13"/>
  <c r="I27" i="13"/>
  <c r="J27" i="13"/>
  <c r="K27" i="13"/>
  <c r="L27" i="13"/>
  <c r="M27" i="13"/>
  <c r="N27" i="13"/>
  <c r="O27" i="13"/>
  <c r="P27" i="13"/>
  <c r="Q27" i="13"/>
  <c r="R27" i="13"/>
  <c r="S27" i="13"/>
  <c r="T27" i="13"/>
  <c r="U27" i="13"/>
  <c r="V27" i="13"/>
  <c r="W27" i="13"/>
  <c r="X27" i="13"/>
  <c r="Y27" i="13"/>
  <c r="Z27" i="13"/>
  <c r="AA27" i="13"/>
  <c r="AB27" i="13"/>
  <c r="AC27" i="13"/>
  <c r="AD27" i="13"/>
  <c r="AE27" i="13"/>
  <c r="AF27" i="13"/>
  <c r="AG27" i="13"/>
  <c r="AH27" i="13"/>
  <c r="AI27" i="13"/>
  <c r="AJ27" i="13"/>
  <c r="AK27" i="13"/>
  <c r="AL27" i="13"/>
  <c r="AM27" i="13"/>
  <c r="AN27" i="13"/>
  <c r="AO27" i="13"/>
  <c r="AP27" i="13"/>
  <c r="AQ27" i="13"/>
  <c r="AR27" i="13"/>
  <c r="F26" i="13"/>
  <c r="F27" i="13"/>
  <c r="F25" i="13"/>
  <c r="G19" i="13"/>
  <c r="H19" i="13"/>
  <c r="I19" i="13"/>
  <c r="J19" i="13"/>
  <c r="K19" i="13"/>
  <c r="L19" i="13"/>
  <c r="M19" i="13"/>
  <c r="N19" i="13"/>
  <c r="O19" i="13"/>
  <c r="P19" i="13"/>
  <c r="Q19" i="13"/>
  <c r="R19" i="13"/>
  <c r="S19" i="13"/>
  <c r="T19" i="13"/>
  <c r="U19" i="13"/>
  <c r="V19" i="13"/>
  <c r="W19" i="13"/>
  <c r="X19" i="13"/>
  <c r="Y19" i="13"/>
  <c r="Z19" i="13"/>
  <c r="AA19" i="13"/>
  <c r="AB19" i="13"/>
  <c r="AC19" i="13"/>
  <c r="AD19" i="13"/>
  <c r="AE19" i="13"/>
  <c r="AF19" i="13"/>
  <c r="AG19" i="13"/>
  <c r="AH19" i="13"/>
  <c r="AI19" i="13"/>
  <c r="AJ19" i="13"/>
  <c r="AK19" i="13"/>
  <c r="AL19" i="13"/>
  <c r="AM19" i="13"/>
  <c r="AN19" i="13"/>
  <c r="AO19" i="13"/>
  <c r="AP19" i="13"/>
  <c r="AQ19" i="13"/>
  <c r="AR19" i="13"/>
  <c r="G20" i="13"/>
  <c r="H20" i="13"/>
  <c r="I20" i="13"/>
  <c r="J20"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G21" i="13"/>
  <c r="H21" i="13"/>
  <c r="I21" i="13"/>
  <c r="J21" i="13"/>
  <c r="K21" i="13"/>
  <c r="L21" i="13"/>
  <c r="M21" i="13"/>
  <c r="N21" i="13"/>
  <c r="O21" i="13"/>
  <c r="P21" i="13"/>
  <c r="Q21" i="13"/>
  <c r="R21" i="13"/>
  <c r="S21" i="13"/>
  <c r="T21" i="13"/>
  <c r="U21" i="13"/>
  <c r="V21" i="13"/>
  <c r="W21" i="13"/>
  <c r="X21" i="13"/>
  <c r="Y21" i="13"/>
  <c r="Z21" i="13"/>
  <c r="AA21" i="13"/>
  <c r="AB21" i="13"/>
  <c r="AC21" i="13"/>
  <c r="AD21" i="13"/>
  <c r="AE21" i="13"/>
  <c r="AF21" i="13"/>
  <c r="AG21" i="13"/>
  <c r="AH21" i="13"/>
  <c r="AI21" i="13"/>
  <c r="AJ21" i="13"/>
  <c r="AK21" i="13"/>
  <c r="AL21" i="13"/>
  <c r="AM21" i="13"/>
  <c r="AN21" i="13"/>
  <c r="AO21" i="13"/>
  <c r="AP21" i="13"/>
  <c r="AQ21" i="13"/>
  <c r="AR21" i="13"/>
  <c r="F20" i="13"/>
  <c r="F21" i="13"/>
  <c r="F19" i="13"/>
  <c r="G13" i="13"/>
  <c r="H13" i="13"/>
  <c r="I13" i="13"/>
  <c r="J13" i="13"/>
  <c r="K13" i="13"/>
  <c r="L13" i="13"/>
  <c r="M13" i="13"/>
  <c r="N13" i="13"/>
  <c r="O13" i="13"/>
  <c r="P13" i="13"/>
  <c r="Q13" i="13"/>
  <c r="R13" i="13"/>
  <c r="S13" i="13"/>
  <c r="T13" i="13"/>
  <c r="U13" i="13"/>
  <c r="V13" i="13"/>
  <c r="W13" i="13"/>
  <c r="X13" i="13"/>
  <c r="Y13" i="13"/>
  <c r="Z13" i="13"/>
  <c r="AA13" i="13"/>
  <c r="AB13" i="13"/>
  <c r="AC13" i="13"/>
  <c r="AD13" i="13"/>
  <c r="AE13" i="13"/>
  <c r="AF13" i="13"/>
  <c r="AG13" i="13"/>
  <c r="AH13" i="13"/>
  <c r="AI13" i="13"/>
  <c r="AJ13" i="13"/>
  <c r="AK13" i="13"/>
  <c r="AL13" i="13"/>
  <c r="AM13" i="13"/>
  <c r="AN13" i="13"/>
  <c r="AO13" i="13"/>
  <c r="AP13" i="13"/>
  <c r="AQ13" i="13"/>
  <c r="AR13" i="13"/>
  <c r="G14" i="13"/>
  <c r="H14" i="13"/>
  <c r="I14" i="13"/>
  <c r="J14" i="13"/>
  <c r="K14" i="13"/>
  <c r="L14" i="13"/>
  <c r="M14" i="13"/>
  <c r="N14" i="13"/>
  <c r="O14" i="13"/>
  <c r="P14" i="13"/>
  <c r="Q14" i="13"/>
  <c r="R14" i="13"/>
  <c r="S14" i="13"/>
  <c r="T14" i="13"/>
  <c r="U14" i="13"/>
  <c r="V14" i="13"/>
  <c r="W14" i="13"/>
  <c r="X14" i="13"/>
  <c r="Y14" i="13"/>
  <c r="Z14" i="13"/>
  <c r="AA14" i="13"/>
  <c r="AB14" i="13"/>
  <c r="AC14" i="13"/>
  <c r="AD14" i="13"/>
  <c r="AE14" i="13"/>
  <c r="AF14" i="13"/>
  <c r="AG14" i="13"/>
  <c r="AH14" i="13"/>
  <c r="AI14" i="13"/>
  <c r="AJ14" i="13"/>
  <c r="AK14" i="13"/>
  <c r="AL14" i="13"/>
  <c r="AM14" i="13"/>
  <c r="AN14" i="13"/>
  <c r="AO14" i="13"/>
  <c r="AP14" i="13"/>
  <c r="AQ14" i="13"/>
  <c r="AR14" i="13"/>
  <c r="G15" i="13"/>
  <c r="H15" i="13"/>
  <c r="I15" i="13"/>
  <c r="J15" i="13"/>
  <c r="K15" i="13"/>
  <c r="L15" i="13"/>
  <c r="M15" i="13"/>
  <c r="N15" i="13"/>
  <c r="O15" i="13"/>
  <c r="P15" i="13"/>
  <c r="Q15" i="13"/>
  <c r="R15" i="13"/>
  <c r="S15" i="13"/>
  <c r="T15" i="13"/>
  <c r="U15" i="13"/>
  <c r="V15" i="13"/>
  <c r="W15" i="13"/>
  <c r="X15" i="13"/>
  <c r="Y15" i="13"/>
  <c r="Z15" i="13"/>
  <c r="AA15" i="13"/>
  <c r="AB15" i="13"/>
  <c r="AC15" i="13"/>
  <c r="AD15" i="13"/>
  <c r="AE15" i="13"/>
  <c r="AF15" i="13"/>
  <c r="AG15" i="13"/>
  <c r="AH15" i="13"/>
  <c r="AI15" i="13"/>
  <c r="AJ15" i="13"/>
  <c r="AK15" i="13"/>
  <c r="AL15" i="13"/>
  <c r="AM15" i="13"/>
  <c r="AN15" i="13"/>
  <c r="AO15" i="13"/>
  <c r="AP15" i="13"/>
  <c r="AQ15" i="13"/>
  <c r="AR15" i="13"/>
  <c r="F14" i="13"/>
  <c r="F15" i="13"/>
  <c r="F13" i="13"/>
  <c r="G22" i="20"/>
  <c r="H22" i="20" s="1"/>
  <c r="I22" i="20" s="1"/>
  <c r="J22" i="20" s="1"/>
  <c r="K22" i="20" s="1"/>
  <c r="L22" i="20" s="1"/>
  <c r="M22" i="20" s="1"/>
  <c r="N22" i="20" s="1"/>
  <c r="O22" i="20" s="1"/>
  <c r="P22" i="20" s="1"/>
  <c r="Q22" i="20" s="1"/>
  <c r="R22" i="20" s="1"/>
  <c r="S22" i="20" s="1"/>
  <c r="T22" i="20" s="1"/>
  <c r="U22" i="20" s="1"/>
  <c r="V22" i="20" s="1"/>
  <c r="W22" i="20" s="1"/>
  <c r="X22" i="20" s="1"/>
  <c r="Y22" i="20" s="1"/>
  <c r="Z22" i="20" s="1"/>
  <c r="AA22" i="20" s="1"/>
  <c r="AB22" i="20" s="1"/>
  <c r="AC22" i="20" s="1"/>
  <c r="AD22" i="20" s="1"/>
  <c r="AE22" i="20" s="1"/>
  <c r="AF22" i="20" s="1"/>
  <c r="AG22" i="20" s="1"/>
  <c r="AH22" i="20" s="1"/>
  <c r="AI22" i="20" s="1"/>
  <c r="AJ22" i="20" s="1"/>
  <c r="AK22" i="20" s="1"/>
  <c r="AL22" i="20" s="1"/>
  <c r="AM22" i="20" s="1"/>
  <c r="AN22" i="20" s="1"/>
  <c r="AO22" i="20" s="1"/>
  <c r="AP22" i="20" s="1"/>
  <c r="AQ22" i="20" s="1"/>
  <c r="AR22" i="20" s="1"/>
  <c r="AS22" i="20" s="1"/>
  <c r="AT22" i="20" s="1"/>
  <c r="AU22" i="20" s="1"/>
  <c r="AV22" i="20" s="1"/>
  <c r="AW22" i="20" s="1"/>
  <c r="AX22" i="20" s="1"/>
  <c r="AY22" i="20" s="1"/>
  <c r="AZ22" i="20" s="1"/>
  <c r="BA22" i="20" s="1"/>
  <c r="BB22" i="20" s="1"/>
  <c r="BC22" i="20" s="1"/>
  <c r="BD22" i="20" s="1"/>
  <c r="BE22" i="20" s="1"/>
  <c r="BF22" i="20" s="1"/>
  <c r="BG22" i="20" s="1"/>
  <c r="BH22" i="20" s="1"/>
  <c r="BI22" i="20" s="1"/>
  <c r="BJ22" i="20" s="1"/>
  <c r="BK22" i="20" s="1"/>
  <c r="BL22" i="20" s="1"/>
  <c r="BM22" i="20" s="1"/>
  <c r="BN22" i="20" s="1"/>
  <c r="BO22" i="20" s="1"/>
  <c r="BP22" i="20" s="1"/>
  <c r="BQ22" i="20" s="1"/>
  <c r="BR22" i="20" s="1"/>
  <c r="BS22" i="20" s="1"/>
  <c r="BT22" i="20" s="1"/>
  <c r="BU22" i="20" s="1"/>
  <c r="BV22" i="20" s="1"/>
  <c r="BW22" i="20" s="1"/>
  <c r="BX22" i="20" s="1"/>
  <c r="BY22" i="20" s="1"/>
  <c r="BZ22" i="20" s="1"/>
  <c r="CA22" i="20" s="1"/>
  <c r="CB22" i="20" s="1"/>
  <c r="CC22" i="20" s="1"/>
  <c r="CD22" i="20" s="1"/>
  <c r="CE22" i="20" s="1"/>
  <c r="CF22" i="20" s="1"/>
  <c r="CG22" i="20" s="1"/>
  <c r="CH22" i="20" s="1"/>
  <c r="CI22" i="20" s="1"/>
  <c r="CJ22" i="20" s="1"/>
  <c r="CK22" i="20" s="1"/>
  <c r="CL22" i="20" s="1"/>
  <c r="CM22" i="20" s="1"/>
  <c r="CN22" i="20" s="1"/>
  <c r="CO22" i="20" s="1"/>
  <c r="CP22" i="20" s="1"/>
  <c r="CQ22" i="20" s="1"/>
  <c r="CR22" i="20" s="1"/>
  <c r="CS22" i="20" s="1"/>
  <c r="CT22" i="20" s="1"/>
  <c r="CU22" i="20" s="1"/>
  <c r="CV22" i="20" s="1"/>
  <c r="CW22" i="20" s="1"/>
  <c r="CX22" i="20" s="1"/>
  <c r="CY22" i="20" s="1"/>
  <c r="CZ22" i="20" s="1"/>
  <c r="DA22" i="20" s="1"/>
  <c r="DB22" i="20" s="1"/>
  <c r="DC22" i="20" s="1"/>
  <c r="DD22" i="20" s="1"/>
  <c r="DE22" i="20" s="1"/>
  <c r="DF22" i="20" s="1"/>
  <c r="DG22" i="20" s="1"/>
  <c r="DH22" i="20" s="1"/>
  <c r="DI22" i="20" s="1"/>
  <c r="DJ22" i="20" s="1"/>
  <c r="DK22" i="20" s="1"/>
  <c r="DL22" i="20" s="1"/>
  <c r="DM22" i="20" s="1"/>
  <c r="DN22" i="20" s="1"/>
  <c r="DO22" i="20" s="1"/>
  <c r="DP22" i="20" s="1"/>
  <c r="DQ22" i="20" s="1"/>
  <c r="DR22" i="20" s="1"/>
  <c r="DS22" i="20" s="1"/>
  <c r="DT22" i="20" s="1"/>
  <c r="DU22" i="20" s="1"/>
  <c r="DV22" i="20" s="1"/>
  <c r="DW22" i="20" s="1"/>
  <c r="DX22" i="20" s="1"/>
  <c r="DY22" i="20" s="1"/>
  <c r="DZ22" i="20" s="1"/>
  <c r="EA22" i="20" s="1"/>
  <c r="EB22" i="20" s="1"/>
  <c r="EC22" i="20" s="1"/>
  <c r="ED22" i="20" s="1"/>
  <c r="EE22" i="20" s="1"/>
  <c r="EF22" i="20" s="1"/>
  <c r="EG22" i="20" s="1"/>
  <c r="EH22" i="20" s="1"/>
  <c r="EI22" i="20" s="1"/>
  <c r="EJ22" i="20" s="1"/>
  <c r="EK22" i="20" s="1"/>
  <c r="EL22" i="20" s="1"/>
  <c r="EM22" i="20" s="1"/>
  <c r="EN22" i="20" s="1"/>
  <c r="EO22" i="20" s="1"/>
  <c r="EP22" i="20" s="1"/>
  <c r="EQ22" i="20" s="1"/>
  <c r="ER22" i="20" s="1"/>
  <c r="ES22" i="20" s="1"/>
  <c r="ET22" i="20" s="1"/>
  <c r="EU22" i="20" s="1"/>
  <c r="EV22" i="20" s="1"/>
  <c r="EW22" i="20" s="1"/>
  <c r="EX22" i="20" s="1"/>
  <c r="EY22" i="20" s="1"/>
  <c r="EZ22" i="20" s="1"/>
  <c r="FA22" i="20" s="1"/>
  <c r="FB22" i="20" s="1"/>
  <c r="FC22" i="20" s="1"/>
  <c r="FD22" i="20" s="1"/>
  <c r="FE22" i="20" s="1"/>
  <c r="FF22" i="20" s="1"/>
  <c r="FG22" i="20" s="1"/>
  <c r="FH22" i="20" s="1"/>
  <c r="FI22" i="20" s="1"/>
  <c r="FJ22" i="20" s="1"/>
  <c r="FK22" i="20" s="1"/>
  <c r="FL22" i="20" s="1"/>
  <c r="FM22" i="20" s="1"/>
  <c r="FN22" i="20" s="1"/>
  <c r="FO22" i="20" s="1"/>
  <c r="FP22" i="20" s="1"/>
  <c r="FQ22" i="20" s="1"/>
  <c r="FR22" i="20" s="1"/>
  <c r="FS22" i="20" s="1"/>
  <c r="FT22" i="20" s="1"/>
  <c r="FU22" i="20" s="1"/>
  <c r="FV22" i="20" s="1"/>
  <c r="FW22" i="20" s="1"/>
  <c r="FX22" i="20" s="1"/>
  <c r="FY22" i="20" s="1"/>
  <c r="FZ22" i="20" s="1"/>
  <c r="GA22" i="20" s="1"/>
  <c r="GB22" i="20" s="1"/>
  <c r="GC22" i="20" s="1"/>
  <c r="GD22" i="20" s="1"/>
  <c r="GE22" i="20" s="1"/>
  <c r="GF22" i="20" s="1"/>
  <c r="GG22" i="20" s="1"/>
  <c r="GH22" i="20" s="1"/>
  <c r="GI22" i="20" s="1"/>
  <c r="GJ22" i="20" s="1"/>
  <c r="GK22" i="20" s="1"/>
  <c r="GL22" i="20" s="1"/>
  <c r="GM22" i="20" s="1"/>
  <c r="GN22" i="20" s="1"/>
  <c r="GO22" i="20" s="1"/>
  <c r="GO20" i="20"/>
  <c r="GN20" i="20"/>
  <c r="GM20" i="20"/>
  <c r="GL20" i="20"/>
  <c r="GK20" i="20"/>
  <c r="GJ20" i="20"/>
  <c r="GI20" i="20"/>
  <c r="GH20" i="20"/>
  <c r="GG20" i="20"/>
  <c r="GF20" i="20"/>
  <c r="GE20" i="20"/>
  <c r="GD20" i="20"/>
  <c r="GC20" i="20"/>
  <c r="GB20" i="20"/>
  <c r="GA20" i="20"/>
  <c r="FZ20" i="20"/>
  <c r="FY20" i="20"/>
  <c r="FX20" i="20"/>
  <c r="FW20" i="20"/>
  <c r="FV20" i="20"/>
  <c r="FU20" i="20"/>
  <c r="FT20" i="20"/>
  <c r="FS20" i="20"/>
  <c r="FR20" i="20"/>
  <c r="FQ20" i="20"/>
  <c r="FP20" i="20"/>
  <c r="FO20" i="20"/>
  <c r="FN20" i="20"/>
  <c r="FM20" i="20"/>
  <c r="FL20" i="20"/>
  <c r="FK20" i="20"/>
  <c r="FJ20" i="20"/>
  <c r="FI20" i="20"/>
  <c r="FH20" i="20"/>
  <c r="FG20" i="20"/>
  <c r="FF20" i="20"/>
  <c r="FE20" i="20"/>
  <c r="FD20" i="20"/>
  <c r="FC20" i="20"/>
  <c r="FB20" i="20"/>
  <c r="FA20" i="20"/>
  <c r="EZ20" i="20"/>
  <c r="EY20" i="20"/>
  <c r="EX20" i="20"/>
  <c r="EW20" i="20"/>
  <c r="EV20" i="20"/>
  <c r="EU20" i="20"/>
  <c r="ET20" i="20"/>
  <c r="ES20" i="20"/>
  <c r="ER20" i="20"/>
  <c r="EQ20" i="20"/>
  <c r="EP20" i="20"/>
  <c r="EO20" i="20"/>
  <c r="EN20" i="20"/>
  <c r="EM20" i="20"/>
  <c r="EL20" i="20"/>
  <c r="EK20" i="20"/>
  <c r="EJ20" i="20"/>
  <c r="EI20" i="20"/>
  <c r="EH20" i="20"/>
  <c r="EG20" i="20"/>
  <c r="EF20" i="20"/>
  <c r="EE20" i="20"/>
  <c r="ED20" i="20"/>
  <c r="EC20" i="20"/>
  <c r="EB20" i="20"/>
  <c r="EA20" i="20"/>
  <c r="DZ20" i="20"/>
  <c r="DY20" i="20"/>
  <c r="DX20" i="20"/>
  <c r="DW20" i="20"/>
  <c r="DV20" i="20"/>
  <c r="DU20" i="20"/>
  <c r="DT20" i="20"/>
  <c r="DS20" i="20"/>
  <c r="DR20" i="20"/>
  <c r="DQ20" i="20"/>
  <c r="DP20" i="20"/>
  <c r="DO20" i="20"/>
  <c r="DN20" i="20"/>
  <c r="DM20" i="20"/>
  <c r="DL20" i="20"/>
  <c r="DK20" i="20"/>
  <c r="DJ20" i="20"/>
  <c r="DI20" i="20"/>
  <c r="DH20" i="20"/>
  <c r="DG20" i="20"/>
  <c r="DF20" i="20"/>
  <c r="DE20" i="20"/>
  <c r="DD20" i="20"/>
  <c r="DC20" i="20"/>
  <c r="DB20" i="20"/>
  <c r="DA20" i="20"/>
  <c r="CZ20" i="20"/>
  <c r="CY20" i="20"/>
  <c r="CX20" i="20"/>
  <c r="CW20" i="20"/>
  <c r="CV20" i="20"/>
  <c r="CU20" i="20"/>
  <c r="CT20" i="20"/>
  <c r="CS20" i="20"/>
  <c r="CR20" i="20"/>
  <c r="CQ20" i="20"/>
  <c r="CP20" i="20"/>
  <c r="CO20" i="20"/>
  <c r="CN20" i="20"/>
  <c r="CM20" i="20"/>
  <c r="CL20" i="20"/>
  <c r="CK20" i="20"/>
  <c r="CJ20" i="20"/>
  <c r="CI20" i="20"/>
  <c r="CH20" i="20"/>
  <c r="CG20" i="20"/>
  <c r="CF20" i="20"/>
  <c r="CE20" i="20"/>
  <c r="CD20" i="20"/>
  <c r="CC20" i="20"/>
  <c r="CB20" i="20"/>
  <c r="CA20" i="20"/>
  <c r="BZ20" i="20"/>
  <c r="BY20" i="20"/>
  <c r="BX20" i="20"/>
  <c r="BW20" i="20"/>
  <c r="BV20" i="20"/>
  <c r="BU20" i="20"/>
  <c r="BT20" i="20"/>
  <c r="BS20" i="20"/>
  <c r="BR20" i="20"/>
  <c r="BQ20" i="20"/>
  <c r="BP20" i="20"/>
  <c r="BO20" i="20"/>
  <c r="BN20" i="20"/>
  <c r="BM20" i="20"/>
  <c r="BL20" i="20"/>
  <c r="BK20" i="20"/>
  <c r="BJ20" i="20"/>
  <c r="BI20" i="20"/>
  <c r="BH20" i="20"/>
  <c r="BG20" i="20"/>
  <c r="BF20" i="20"/>
  <c r="BE20" i="20"/>
  <c r="BD20" i="20"/>
  <c r="BC20" i="20"/>
  <c r="BB20" i="20"/>
  <c r="BA20" i="20"/>
  <c r="AZ20" i="20"/>
  <c r="AY20" i="20"/>
  <c r="AX20" i="20"/>
  <c r="AW20" i="20"/>
  <c r="AV20" i="20"/>
  <c r="AU20" i="20"/>
  <c r="AT20" i="20"/>
  <c r="AS20" i="20"/>
  <c r="AR20" i="20"/>
  <c r="AQ20" i="20"/>
  <c r="AP20" i="20"/>
  <c r="AO20" i="20"/>
  <c r="AN20" i="20"/>
  <c r="AM20" i="20"/>
  <c r="AL20" i="20"/>
  <c r="AK20" i="20"/>
  <c r="AJ20" i="20"/>
  <c r="AI20" i="20"/>
  <c r="AH20" i="20"/>
  <c r="AG20" i="20"/>
  <c r="AF20" i="20"/>
  <c r="AE20" i="20"/>
  <c r="AD20" i="20"/>
  <c r="AC20" i="20"/>
  <c r="AB20" i="20"/>
  <c r="AA20" i="20"/>
  <c r="Z20" i="20"/>
  <c r="Y20" i="20"/>
  <c r="X20" i="20"/>
  <c r="W20" i="20"/>
  <c r="V20" i="20"/>
  <c r="U20" i="20"/>
  <c r="T20" i="20"/>
  <c r="S20" i="20"/>
  <c r="R20" i="20"/>
  <c r="Q20" i="20"/>
  <c r="P20" i="20"/>
  <c r="O20" i="20"/>
  <c r="N20" i="20"/>
  <c r="M20" i="20"/>
  <c r="L20" i="20"/>
  <c r="K20" i="20"/>
  <c r="J20" i="20"/>
  <c r="I20" i="20"/>
  <c r="H20" i="20"/>
  <c r="G20" i="20"/>
  <c r="F20" i="20"/>
  <c r="GO19" i="20"/>
  <c r="GN19" i="20"/>
  <c r="GM19" i="20"/>
  <c r="GL19" i="20"/>
  <c r="GK19" i="20"/>
  <c r="GJ19" i="20"/>
  <c r="GI19" i="20"/>
  <c r="GH19" i="20"/>
  <c r="GG19" i="20"/>
  <c r="GF19" i="20"/>
  <c r="GE19" i="20"/>
  <c r="GD19" i="20"/>
  <c r="GC19" i="20"/>
  <c r="GB19" i="20"/>
  <c r="GA19" i="20"/>
  <c r="FZ19" i="20"/>
  <c r="FY19" i="20"/>
  <c r="FX19" i="20"/>
  <c r="FW19" i="20"/>
  <c r="FV19" i="20"/>
  <c r="FU19" i="20"/>
  <c r="FT19" i="20"/>
  <c r="FS19" i="20"/>
  <c r="FR19" i="20"/>
  <c r="FQ19" i="20"/>
  <c r="FP19" i="20"/>
  <c r="FO19" i="20"/>
  <c r="FN19" i="20"/>
  <c r="FM19" i="20"/>
  <c r="FL19" i="20"/>
  <c r="FK19" i="20"/>
  <c r="FJ19" i="20"/>
  <c r="FI19" i="20"/>
  <c r="FH19" i="20"/>
  <c r="FG19" i="20"/>
  <c r="FF19" i="20"/>
  <c r="FE19" i="20"/>
  <c r="FD19" i="20"/>
  <c r="FC19" i="20"/>
  <c r="FB19" i="20"/>
  <c r="FA19" i="20"/>
  <c r="EZ19" i="20"/>
  <c r="EY19" i="20"/>
  <c r="EX19" i="20"/>
  <c r="EW19" i="20"/>
  <c r="EV19" i="20"/>
  <c r="EU19" i="20"/>
  <c r="ET19" i="20"/>
  <c r="ES19" i="20"/>
  <c r="ER19" i="20"/>
  <c r="EQ19" i="20"/>
  <c r="EP19" i="20"/>
  <c r="EO19" i="20"/>
  <c r="EN19" i="20"/>
  <c r="EM19" i="20"/>
  <c r="EL19" i="20"/>
  <c r="EK19" i="20"/>
  <c r="EJ19" i="20"/>
  <c r="EI19" i="20"/>
  <c r="EH19" i="20"/>
  <c r="EG19" i="20"/>
  <c r="EF19" i="20"/>
  <c r="EE19" i="20"/>
  <c r="ED19" i="20"/>
  <c r="EC19" i="20"/>
  <c r="EB19" i="20"/>
  <c r="EA19" i="20"/>
  <c r="DZ19" i="20"/>
  <c r="DY19" i="20"/>
  <c r="DX19" i="20"/>
  <c r="DW19" i="20"/>
  <c r="DV19" i="20"/>
  <c r="DU19" i="20"/>
  <c r="DT19" i="20"/>
  <c r="DS19" i="20"/>
  <c r="DR19" i="20"/>
  <c r="DQ19" i="20"/>
  <c r="DP19" i="20"/>
  <c r="DO19" i="20"/>
  <c r="DN19" i="20"/>
  <c r="DM19" i="20"/>
  <c r="DL19" i="20"/>
  <c r="DK19" i="20"/>
  <c r="DJ19" i="20"/>
  <c r="DI19" i="20"/>
  <c r="DH19" i="20"/>
  <c r="DG19" i="20"/>
  <c r="DF19" i="20"/>
  <c r="DE19" i="20"/>
  <c r="DD19" i="20"/>
  <c r="DC19" i="20"/>
  <c r="DB19" i="20"/>
  <c r="DA19" i="20"/>
  <c r="CZ19" i="20"/>
  <c r="CY19" i="20"/>
  <c r="CX19" i="20"/>
  <c r="CW19" i="20"/>
  <c r="CV19" i="20"/>
  <c r="CU19" i="20"/>
  <c r="CT19" i="20"/>
  <c r="CS19" i="20"/>
  <c r="CR19" i="20"/>
  <c r="CQ19" i="20"/>
  <c r="CP19" i="20"/>
  <c r="CO19" i="20"/>
  <c r="CN19" i="20"/>
  <c r="CM19" i="20"/>
  <c r="CL19" i="20"/>
  <c r="CK19" i="20"/>
  <c r="CJ19" i="20"/>
  <c r="CI19" i="20"/>
  <c r="CH19" i="20"/>
  <c r="CG19" i="20"/>
  <c r="CF19" i="20"/>
  <c r="CE19" i="20"/>
  <c r="CD19" i="20"/>
  <c r="CC19" i="20"/>
  <c r="CB19" i="20"/>
  <c r="CA19" i="20"/>
  <c r="BZ19" i="20"/>
  <c r="BY19" i="20"/>
  <c r="BX19" i="20"/>
  <c r="BW19" i="20"/>
  <c r="BV19" i="20"/>
  <c r="BU19" i="20"/>
  <c r="BT19" i="20"/>
  <c r="BS19" i="20"/>
  <c r="BR19" i="20"/>
  <c r="BQ19" i="20"/>
  <c r="BP19" i="20"/>
  <c r="BO19" i="20"/>
  <c r="BN19" i="20"/>
  <c r="BM19" i="20"/>
  <c r="BL19" i="20"/>
  <c r="BK19" i="20"/>
  <c r="BJ19" i="20"/>
  <c r="BI19" i="20"/>
  <c r="BH19" i="20"/>
  <c r="BG19" i="20"/>
  <c r="BF19" i="20"/>
  <c r="BE19" i="20"/>
  <c r="BD19" i="20"/>
  <c r="BC19" i="20"/>
  <c r="BB19" i="20"/>
  <c r="BA19" i="20"/>
  <c r="AZ19" i="20"/>
  <c r="AY19" i="20"/>
  <c r="AX19" i="20"/>
  <c r="AW19" i="20"/>
  <c r="AV19" i="20"/>
  <c r="AU19" i="20"/>
  <c r="AT19" i="20"/>
  <c r="AS19" i="20"/>
  <c r="AR19" i="20"/>
  <c r="AQ19" i="20"/>
  <c r="AP19" i="20"/>
  <c r="AO19" i="20"/>
  <c r="AN19" i="20"/>
  <c r="AM19" i="20"/>
  <c r="AL19" i="20"/>
  <c r="AK19" i="20"/>
  <c r="AJ19" i="20"/>
  <c r="AI19" i="20"/>
  <c r="AH19" i="20"/>
  <c r="AG19" i="20"/>
  <c r="AF19" i="20"/>
  <c r="AE19" i="20"/>
  <c r="AD19" i="20"/>
  <c r="AC19" i="20"/>
  <c r="AB19" i="20"/>
  <c r="AA19" i="20"/>
  <c r="Z19" i="20"/>
  <c r="Y19" i="20"/>
  <c r="X19" i="20"/>
  <c r="W19" i="20"/>
  <c r="V19" i="20"/>
  <c r="U19" i="20"/>
  <c r="T19" i="20"/>
  <c r="S19" i="20"/>
  <c r="R19" i="20"/>
  <c r="Q19" i="20"/>
  <c r="P19" i="20"/>
  <c r="O19" i="20"/>
  <c r="N19" i="20"/>
  <c r="M19" i="20"/>
  <c r="L19" i="20"/>
  <c r="K19" i="20"/>
  <c r="J19" i="20"/>
  <c r="I19" i="20"/>
  <c r="H19" i="20"/>
  <c r="G19" i="20"/>
  <c r="F19" i="20"/>
  <c r="H13" i="20"/>
  <c r="I13" i="20" s="1"/>
  <c r="J13" i="20" s="1"/>
  <c r="K13" i="20" s="1"/>
  <c r="L13" i="20" s="1"/>
  <c r="M13" i="20" s="1"/>
  <c r="N13" i="20" s="1"/>
  <c r="O13" i="20" s="1"/>
  <c r="P13" i="20" s="1"/>
  <c r="Q13" i="20" s="1"/>
  <c r="R13" i="20" s="1"/>
  <c r="S13" i="20" s="1"/>
  <c r="T13" i="20" s="1"/>
  <c r="U13" i="20" s="1"/>
  <c r="V13" i="20" s="1"/>
  <c r="W13" i="20" s="1"/>
  <c r="X13" i="20" s="1"/>
  <c r="Y13" i="20" s="1"/>
  <c r="Z13" i="20" s="1"/>
  <c r="AA13" i="20" s="1"/>
  <c r="AB13" i="20" s="1"/>
  <c r="AC13" i="20" s="1"/>
  <c r="AD13" i="20" s="1"/>
  <c r="AE13" i="20" s="1"/>
  <c r="AF13" i="20" s="1"/>
  <c r="AG13" i="20" s="1"/>
  <c r="AH13" i="20" s="1"/>
  <c r="AI13" i="20" s="1"/>
  <c r="AJ13" i="20" s="1"/>
  <c r="AK13" i="20" s="1"/>
  <c r="AL13" i="20" s="1"/>
  <c r="AM13" i="20" s="1"/>
  <c r="AN13" i="20" s="1"/>
  <c r="AO13" i="20" s="1"/>
  <c r="AP13" i="20" s="1"/>
  <c r="AQ13" i="20" s="1"/>
  <c r="AR13" i="20" s="1"/>
  <c r="AS13" i="20" s="1"/>
  <c r="AT13" i="20" s="1"/>
  <c r="AU13" i="20" s="1"/>
  <c r="AV13" i="20" s="1"/>
  <c r="AW13" i="20" s="1"/>
  <c r="AX13" i="20" s="1"/>
  <c r="AY13" i="20" s="1"/>
  <c r="AZ13" i="20" s="1"/>
  <c r="BA13" i="20" s="1"/>
  <c r="BB13" i="20" s="1"/>
  <c r="BC13" i="20" s="1"/>
  <c r="BD13" i="20" s="1"/>
  <c r="BE13" i="20" s="1"/>
  <c r="BF13" i="20" s="1"/>
  <c r="BG13" i="20" s="1"/>
  <c r="BH13" i="20" s="1"/>
  <c r="BI13" i="20" s="1"/>
  <c r="BJ13" i="20" s="1"/>
  <c r="BK13" i="20" s="1"/>
  <c r="BL13" i="20" s="1"/>
  <c r="BM13" i="20" s="1"/>
  <c r="BN13" i="20" s="1"/>
  <c r="BO13" i="20" s="1"/>
  <c r="BP13" i="20" s="1"/>
  <c r="BQ13" i="20" s="1"/>
  <c r="BR13" i="20" s="1"/>
  <c r="BS13" i="20" s="1"/>
  <c r="BT13" i="20" s="1"/>
  <c r="BU13" i="20" s="1"/>
  <c r="BV13" i="20" s="1"/>
  <c r="BW13" i="20" s="1"/>
  <c r="BX13" i="20" s="1"/>
  <c r="BY13" i="20" s="1"/>
  <c r="BZ13" i="20" s="1"/>
  <c r="CA13" i="20" s="1"/>
  <c r="CB13" i="20" s="1"/>
  <c r="CC13" i="20" s="1"/>
  <c r="CD13" i="20" s="1"/>
  <c r="CE13" i="20" s="1"/>
  <c r="CF13" i="20" s="1"/>
  <c r="CG13" i="20" s="1"/>
  <c r="CH13" i="20" s="1"/>
  <c r="CI13" i="20" s="1"/>
  <c r="CJ13" i="20" s="1"/>
  <c r="CK13" i="20" s="1"/>
  <c r="CL13" i="20" s="1"/>
  <c r="CM13" i="20" s="1"/>
  <c r="CN13" i="20" s="1"/>
  <c r="CO13" i="20" s="1"/>
  <c r="CP13" i="20" s="1"/>
  <c r="CQ13" i="20" s="1"/>
  <c r="CR13" i="20" s="1"/>
  <c r="CS13" i="20" s="1"/>
  <c r="CT13" i="20" s="1"/>
  <c r="CU13" i="20" s="1"/>
  <c r="CV13" i="20" s="1"/>
  <c r="CW13" i="20" s="1"/>
  <c r="CX13" i="20" s="1"/>
  <c r="CY13" i="20" s="1"/>
  <c r="CZ13" i="20" s="1"/>
  <c r="DA13" i="20" s="1"/>
  <c r="DB13" i="20" s="1"/>
  <c r="DC13" i="20" s="1"/>
  <c r="DD13" i="20" s="1"/>
  <c r="DE13" i="20" s="1"/>
  <c r="DF13" i="20" s="1"/>
  <c r="DG13" i="20" s="1"/>
  <c r="DH13" i="20" s="1"/>
  <c r="DI13" i="20" s="1"/>
  <c r="DJ13" i="20" s="1"/>
  <c r="DK13" i="20" s="1"/>
  <c r="DL13" i="20" s="1"/>
  <c r="DM13" i="20" s="1"/>
  <c r="DN13" i="20" s="1"/>
  <c r="DO13" i="20" s="1"/>
  <c r="DP13" i="20" s="1"/>
  <c r="DQ13" i="20" s="1"/>
  <c r="DR13" i="20" s="1"/>
  <c r="DS13" i="20" s="1"/>
  <c r="DT13" i="20" s="1"/>
  <c r="DU13" i="20" s="1"/>
  <c r="DV13" i="20" s="1"/>
  <c r="DW13" i="20" s="1"/>
  <c r="DX13" i="20" s="1"/>
  <c r="DY13" i="20" s="1"/>
  <c r="DZ13" i="20" s="1"/>
  <c r="EA13" i="20" s="1"/>
  <c r="EB13" i="20" s="1"/>
  <c r="EC13" i="20" s="1"/>
  <c r="ED13" i="20" s="1"/>
  <c r="EE13" i="20" s="1"/>
  <c r="EF13" i="20" s="1"/>
  <c r="EG13" i="20" s="1"/>
  <c r="EH13" i="20" s="1"/>
  <c r="EI13" i="20" s="1"/>
  <c r="EJ13" i="20" s="1"/>
  <c r="EK13" i="20" s="1"/>
  <c r="EL13" i="20" s="1"/>
  <c r="EM13" i="20" s="1"/>
  <c r="EN13" i="20" s="1"/>
  <c r="EO13" i="20" s="1"/>
  <c r="EP13" i="20" s="1"/>
  <c r="EQ13" i="20" s="1"/>
  <c r="ER13" i="20" s="1"/>
  <c r="ES13" i="20" s="1"/>
  <c r="ET13" i="20" s="1"/>
  <c r="EU13" i="20" s="1"/>
  <c r="EV13" i="20" s="1"/>
  <c r="EW13" i="20" s="1"/>
  <c r="EX13" i="20" s="1"/>
  <c r="EY13" i="20" s="1"/>
  <c r="EZ13" i="20" s="1"/>
  <c r="FA13" i="20" s="1"/>
  <c r="FB13" i="20" s="1"/>
  <c r="FC13" i="20" s="1"/>
  <c r="FD13" i="20" s="1"/>
  <c r="FE13" i="20" s="1"/>
  <c r="FF13" i="20" s="1"/>
  <c r="FG13" i="20" s="1"/>
  <c r="FH13" i="20" s="1"/>
  <c r="FI13" i="20" s="1"/>
  <c r="FJ13" i="20" s="1"/>
  <c r="FK13" i="20" s="1"/>
  <c r="FL13" i="20" s="1"/>
  <c r="FM13" i="20" s="1"/>
  <c r="FN13" i="20" s="1"/>
  <c r="FO13" i="20" s="1"/>
  <c r="FP13" i="20" s="1"/>
  <c r="FQ13" i="20" s="1"/>
  <c r="FR13" i="20" s="1"/>
  <c r="FS13" i="20" s="1"/>
  <c r="FT13" i="20" s="1"/>
  <c r="FU13" i="20" s="1"/>
  <c r="FV13" i="20" s="1"/>
  <c r="FW13" i="20" s="1"/>
  <c r="FX13" i="20" s="1"/>
  <c r="FY13" i="20" s="1"/>
  <c r="FZ13" i="20" s="1"/>
  <c r="GA13" i="20" s="1"/>
  <c r="GB13" i="20" s="1"/>
  <c r="GC13" i="20" s="1"/>
  <c r="GD13" i="20" s="1"/>
  <c r="GE13" i="20" s="1"/>
  <c r="GF13" i="20" s="1"/>
  <c r="GG13" i="20" s="1"/>
  <c r="GH13" i="20" s="1"/>
  <c r="GI13" i="20" s="1"/>
  <c r="GJ13" i="20" s="1"/>
  <c r="GK13" i="20" s="1"/>
  <c r="GL13" i="20" s="1"/>
  <c r="GM13" i="20" s="1"/>
  <c r="GN13" i="20" s="1"/>
  <c r="GO13" i="20" s="1"/>
  <c r="G13" i="20"/>
  <c r="F11" i="20"/>
  <c r="F17" i="20" s="1"/>
  <c r="E1" i="20"/>
  <c r="F11" i="18"/>
  <c r="F12" i="18" s="1"/>
  <c r="G11" i="18" s="1"/>
  <c r="G22" i="18"/>
  <c r="H22" i="18" s="1"/>
  <c r="I22" i="18" s="1"/>
  <c r="J22" i="18" s="1"/>
  <c r="K22" i="18" s="1"/>
  <c r="L22" i="18" s="1"/>
  <c r="M22" i="18" s="1"/>
  <c r="N22" i="18" s="1"/>
  <c r="O22" i="18" s="1"/>
  <c r="P22" i="18" s="1"/>
  <c r="Q22" i="18" s="1"/>
  <c r="R22" i="18" s="1"/>
  <c r="S22" i="18" s="1"/>
  <c r="T22" i="18" s="1"/>
  <c r="U22" i="18" s="1"/>
  <c r="V22" i="18" s="1"/>
  <c r="W22" i="18" s="1"/>
  <c r="X22" i="18" s="1"/>
  <c r="Y22" i="18" s="1"/>
  <c r="Z22" i="18" s="1"/>
  <c r="AA22" i="18" s="1"/>
  <c r="AB22" i="18" s="1"/>
  <c r="AC22" i="18" s="1"/>
  <c r="AD22" i="18" s="1"/>
  <c r="AE22" i="18" s="1"/>
  <c r="AF22" i="18" s="1"/>
  <c r="AG22" i="18" s="1"/>
  <c r="AH22" i="18" s="1"/>
  <c r="AI22" i="18" s="1"/>
  <c r="AJ22" i="18" s="1"/>
  <c r="AK22" i="18" s="1"/>
  <c r="AL22" i="18" s="1"/>
  <c r="AM22" i="18" s="1"/>
  <c r="AN22" i="18" s="1"/>
  <c r="AO22" i="18" s="1"/>
  <c r="AP22" i="18" s="1"/>
  <c r="AQ22" i="18" s="1"/>
  <c r="AR22" i="18" s="1"/>
  <c r="AS22" i="18" s="1"/>
  <c r="AT22" i="18" s="1"/>
  <c r="AU22" i="18" s="1"/>
  <c r="AV22" i="18" s="1"/>
  <c r="AW22" i="18" s="1"/>
  <c r="AX22" i="18" s="1"/>
  <c r="AY22" i="18" s="1"/>
  <c r="AZ22" i="18" s="1"/>
  <c r="BA22" i="18" s="1"/>
  <c r="BB22" i="18" s="1"/>
  <c r="BC22" i="18" s="1"/>
  <c r="BD22" i="18" s="1"/>
  <c r="BE22" i="18" s="1"/>
  <c r="BF22" i="18" s="1"/>
  <c r="BG22" i="18" s="1"/>
  <c r="BH22" i="18" s="1"/>
  <c r="BI22" i="18" s="1"/>
  <c r="BJ22" i="18" s="1"/>
  <c r="BK22" i="18" s="1"/>
  <c r="BL22" i="18" s="1"/>
  <c r="BM22" i="18" s="1"/>
  <c r="BN22" i="18" s="1"/>
  <c r="BO22" i="18" s="1"/>
  <c r="BP22" i="18" s="1"/>
  <c r="BQ22" i="18" s="1"/>
  <c r="BR22" i="18" s="1"/>
  <c r="BS22" i="18" s="1"/>
  <c r="BT22" i="18" s="1"/>
  <c r="BU22" i="18" s="1"/>
  <c r="BV22" i="18" s="1"/>
  <c r="BW22" i="18" s="1"/>
  <c r="BX22" i="18" s="1"/>
  <c r="BY22" i="18" s="1"/>
  <c r="BZ22" i="18" s="1"/>
  <c r="CA22" i="18" s="1"/>
  <c r="CB22" i="18" s="1"/>
  <c r="CC22" i="18" s="1"/>
  <c r="CD22" i="18" s="1"/>
  <c r="CE22" i="18" s="1"/>
  <c r="CF22" i="18" s="1"/>
  <c r="CG22" i="18" s="1"/>
  <c r="CH22" i="18" s="1"/>
  <c r="CI22" i="18" s="1"/>
  <c r="CJ22" i="18" s="1"/>
  <c r="CK22" i="18" s="1"/>
  <c r="CL22" i="18" s="1"/>
  <c r="CM22" i="18" s="1"/>
  <c r="CN22" i="18" s="1"/>
  <c r="CO22" i="18" s="1"/>
  <c r="CP22" i="18" s="1"/>
  <c r="CQ22" i="18" s="1"/>
  <c r="CR22" i="18" s="1"/>
  <c r="CS22" i="18" s="1"/>
  <c r="CT22" i="18" s="1"/>
  <c r="CU22" i="18" s="1"/>
  <c r="CV22" i="18" s="1"/>
  <c r="CW22" i="18" s="1"/>
  <c r="CX22" i="18" s="1"/>
  <c r="CY22" i="18" s="1"/>
  <c r="CZ22" i="18" s="1"/>
  <c r="DA22" i="18" s="1"/>
  <c r="DB22" i="18" s="1"/>
  <c r="DC22" i="18" s="1"/>
  <c r="DD22" i="18" s="1"/>
  <c r="DE22" i="18" s="1"/>
  <c r="DF22" i="18" s="1"/>
  <c r="DG22" i="18" s="1"/>
  <c r="DH22" i="18" s="1"/>
  <c r="DI22" i="18" s="1"/>
  <c r="DJ22" i="18" s="1"/>
  <c r="DK22" i="18" s="1"/>
  <c r="DL22" i="18" s="1"/>
  <c r="DM22" i="18" s="1"/>
  <c r="DN22" i="18" s="1"/>
  <c r="DO22" i="18" s="1"/>
  <c r="DP22" i="18" s="1"/>
  <c r="DQ22" i="18" s="1"/>
  <c r="DR22" i="18" s="1"/>
  <c r="DS22" i="18" s="1"/>
  <c r="DT22" i="18" s="1"/>
  <c r="DU22" i="18" s="1"/>
  <c r="DV22" i="18" s="1"/>
  <c r="DW22" i="18" s="1"/>
  <c r="DX22" i="18" s="1"/>
  <c r="DY22" i="18" s="1"/>
  <c r="DZ22" i="18" s="1"/>
  <c r="EA22" i="18" s="1"/>
  <c r="EB22" i="18" s="1"/>
  <c r="EC22" i="18" s="1"/>
  <c r="ED22" i="18" s="1"/>
  <c r="EE22" i="18" s="1"/>
  <c r="EF22" i="18" s="1"/>
  <c r="EG22" i="18" s="1"/>
  <c r="EH22" i="18" s="1"/>
  <c r="EI22" i="18" s="1"/>
  <c r="EJ22" i="18" s="1"/>
  <c r="EK22" i="18" s="1"/>
  <c r="EL22" i="18" s="1"/>
  <c r="EM22" i="18" s="1"/>
  <c r="EN22" i="18" s="1"/>
  <c r="EO22" i="18" s="1"/>
  <c r="EP22" i="18" s="1"/>
  <c r="EQ22" i="18" s="1"/>
  <c r="ER22" i="18" s="1"/>
  <c r="ES22" i="18" s="1"/>
  <c r="ET22" i="18" s="1"/>
  <c r="EU22" i="18" s="1"/>
  <c r="EV22" i="18" s="1"/>
  <c r="EW22" i="18" s="1"/>
  <c r="EX22" i="18" s="1"/>
  <c r="EY22" i="18" s="1"/>
  <c r="EZ22" i="18" s="1"/>
  <c r="FA22" i="18" s="1"/>
  <c r="FB22" i="18" s="1"/>
  <c r="FC22" i="18" s="1"/>
  <c r="FD22" i="18" s="1"/>
  <c r="FE22" i="18" s="1"/>
  <c r="FF22" i="18" s="1"/>
  <c r="FG22" i="18" s="1"/>
  <c r="FH22" i="18" s="1"/>
  <c r="FI22" i="18" s="1"/>
  <c r="FJ22" i="18" s="1"/>
  <c r="FK22" i="18" s="1"/>
  <c r="FL22" i="18" s="1"/>
  <c r="FM22" i="18" s="1"/>
  <c r="FN22" i="18" s="1"/>
  <c r="FO22" i="18" s="1"/>
  <c r="FP22" i="18" s="1"/>
  <c r="FQ22" i="18" s="1"/>
  <c r="FR22" i="18" s="1"/>
  <c r="FS22" i="18" s="1"/>
  <c r="FT22" i="18" s="1"/>
  <c r="FU22" i="18" s="1"/>
  <c r="FV22" i="18" s="1"/>
  <c r="FW22" i="18" s="1"/>
  <c r="FX22" i="18" s="1"/>
  <c r="FY22" i="18" s="1"/>
  <c r="FZ22" i="18" s="1"/>
  <c r="GA22" i="18" s="1"/>
  <c r="GB22" i="18" s="1"/>
  <c r="GC22" i="18" s="1"/>
  <c r="GD22" i="18" s="1"/>
  <c r="GE22" i="18" s="1"/>
  <c r="GF22" i="18" s="1"/>
  <c r="GG22" i="18" s="1"/>
  <c r="GH22" i="18" s="1"/>
  <c r="GI22" i="18" s="1"/>
  <c r="GJ22" i="18" s="1"/>
  <c r="GK22" i="18" s="1"/>
  <c r="GL22" i="18" s="1"/>
  <c r="GM22" i="18" s="1"/>
  <c r="GN22" i="18" s="1"/>
  <c r="GO22" i="18" s="1"/>
  <c r="GO20" i="18"/>
  <c r="GN20" i="18"/>
  <c r="GM20" i="18"/>
  <c r="GL20" i="18"/>
  <c r="GK20" i="18"/>
  <c r="GJ20" i="18"/>
  <c r="GI20" i="18"/>
  <c r="GH20" i="18"/>
  <c r="GG20" i="18"/>
  <c r="GF20" i="18"/>
  <c r="GE20" i="18"/>
  <c r="GD20" i="18"/>
  <c r="GC20" i="18"/>
  <c r="GB20" i="18"/>
  <c r="GA20" i="18"/>
  <c r="FZ20" i="18"/>
  <c r="FY20" i="18"/>
  <c r="FX20" i="18"/>
  <c r="FW20" i="18"/>
  <c r="FV20" i="18"/>
  <c r="FU20" i="18"/>
  <c r="FT20" i="18"/>
  <c r="FS20" i="18"/>
  <c r="FR20" i="18"/>
  <c r="FQ20" i="18"/>
  <c r="FP20" i="18"/>
  <c r="FO20" i="18"/>
  <c r="FN20" i="18"/>
  <c r="FM20" i="18"/>
  <c r="FL20" i="18"/>
  <c r="FK20" i="18"/>
  <c r="FJ20" i="18"/>
  <c r="FI20" i="18"/>
  <c r="FH20" i="18"/>
  <c r="FG20" i="18"/>
  <c r="FF20" i="18"/>
  <c r="FE20" i="18"/>
  <c r="FD20" i="18"/>
  <c r="FC20" i="18"/>
  <c r="FB20" i="18"/>
  <c r="FA20" i="18"/>
  <c r="EZ20" i="18"/>
  <c r="EY20" i="18"/>
  <c r="EX20" i="18"/>
  <c r="EW20" i="18"/>
  <c r="EV20" i="18"/>
  <c r="EU20" i="18"/>
  <c r="ET20" i="18"/>
  <c r="ES20" i="18"/>
  <c r="ER20" i="18"/>
  <c r="EQ20" i="18"/>
  <c r="EP20" i="18"/>
  <c r="EO20" i="18"/>
  <c r="EN20" i="18"/>
  <c r="EM20" i="18"/>
  <c r="EL20" i="18"/>
  <c r="EK20" i="18"/>
  <c r="EJ20" i="18"/>
  <c r="EI20" i="18"/>
  <c r="EH20" i="18"/>
  <c r="EG20" i="18"/>
  <c r="EF20" i="18"/>
  <c r="EE20" i="18"/>
  <c r="ED20" i="18"/>
  <c r="EC20" i="18"/>
  <c r="EB20" i="18"/>
  <c r="EA20" i="18"/>
  <c r="DZ20" i="18"/>
  <c r="DY20" i="18"/>
  <c r="DX20" i="18"/>
  <c r="DW20" i="18"/>
  <c r="DV20" i="18"/>
  <c r="DU20" i="18"/>
  <c r="DT20" i="18"/>
  <c r="DS20" i="18"/>
  <c r="DR20" i="18"/>
  <c r="DQ20" i="18"/>
  <c r="DP20" i="18"/>
  <c r="DO20" i="18"/>
  <c r="DN20" i="18"/>
  <c r="DM20" i="18"/>
  <c r="DL20" i="18"/>
  <c r="DK20" i="18"/>
  <c r="DJ20" i="18"/>
  <c r="DI20" i="18"/>
  <c r="DH20" i="18"/>
  <c r="DG20" i="18"/>
  <c r="DF20" i="18"/>
  <c r="DE20" i="18"/>
  <c r="DD20" i="18"/>
  <c r="DC20" i="18"/>
  <c r="DB20" i="18"/>
  <c r="DA20" i="18"/>
  <c r="CZ20" i="18"/>
  <c r="CY20" i="18"/>
  <c r="CX20" i="18"/>
  <c r="CW20" i="18"/>
  <c r="CV20" i="18"/>
  <c r="CU20" i="18"/>
  <c r="CT20" i="18"/>
  <c r="CS20" i="18"/>
  <c r="CR20" i="18"/>
  <c r="CQ20" i="18"/>
  <c r="CP20" i="18"/>
  <c r="CO20" i="18"/>
  <c r="CN20" i="18"/>
  <c r="CM20" i="18"/>
  <c r="CL20" i="18"/>
  <c r="CK20" i="18"/>
  <c r="CJ20" i="18"/>
  <c r="CI20" i="18"/>
  <c r="CH20" i="18"/>
  <c r="CG20" i="18"/>
  <c r="CF20" i="18"/>
  <c r="CE20" i="18"/>
  <c r="CD20" i="18"/>
  <c r="CC20" i="18"/>
  <c r="CB20" i="18"/>
  <c r="CA20" i="18"/>
  <c r="BZ20" i="18"/>
  <c r="BY20" i="18"/>
  <c r="BX20" i="18"/>
  <c r="BW20" i="18"/>
  <c r="BV20" i="18"/>
  <c r="BU20" i="18"/>
  <c r="BT20" i="18"/>
  <c r="BS20" i="18"/>
  <c r="BR20" i="18"/>
  <c r="BQ20" i="18"/>
  <c r="BP20" i="18"/>
  <c r="BO20" i="18"/>
  <c r="BN20" i="18"/>
  <c r="BM20" i="18"/>
  <c r="BL20" i="18"/>
  <c r="BK20" i="18"/>
  <c r="BJ20" i="18"/>
  <c r="BI20" i="18"/>
  <c r="BH20" i="18"/>
  <c r="BG20" i="18"/>
  <c r="BF20" i="18"/>
  <c r="BE20" i="18"/>
  <c r="BD20" i="18"/>
  <c r="BC20" i="18"/>
  <c r="BB20" i="18"/>
  <c r="BA20" i="18"/>
  <c r="AZ20" i="18"/>
  <c r="AY20" i="18"/>
  <c r="AX20" i="18"/>
  <c r="AW20" i="18"/>
  <c r="AV20" i="18"/>
  <c r="AU20" i="18"/>
  <c r="AT20" i="18"/>
  <c r="AS20" i="18"/>
  <c r="AR20" i="18"/>
  <c r="AQ20" i="18"/>
  <c r="AP20" i="18"/>
  <c r="AO20" i="18"/>
  <c r="AN20" i="18"/>
  <c r="AM20" i="18"/>
  <c r="AL20" i="18"/>
  <c r="AK20" i="18"/>
  <c r="AJ20" i="18"/>
  <c r="AI20" i="18"/>
  <c r="AH20" i="18"/>
  <c r="AG20" i="18"/>
  <c r="AF20" i="18"/>
  <c r="AE20" i="18"/>
  <c r="AD20" i="18"/>
  <c r="AC20" i="18"/>
  <c r="AB20" i="18"/>
  <c r="AA20" i="18"/>
  <c r="Z20" i="18"/>
  <c r="Y20" i="18"/>
  <c r="X20" i="18"/>
  <c r="W20" i="18"/>
  <c r="V20" i="18"/>
  <c r="U20" i="18"/>
  <c r="T20" i="18"/>
  <c r="S20" i="18"/>
  <c r="R20" i="18"/>
  <c r="Q20" i="18"/>
  <c r="P20" i="18"/>
  <c r="O20" i="18"/>
  <c r="N20" i="18"/>
  <c r="M20" i="18"/>
  <c r="L20" i="18"/>
  <c r="K20" i="18"/>
  <c r="J20" i="18"/>
  <c r="I20" i="18"/>
  <c r="H20" i="18"/>
  <c r="G20" i="18"/>
  <c r="F20" i="18"/>
  <c r="GO19" i="18"/>
  <c r="GN19" i="18"/>
  <c r="GM19" i="18"/>
  <c r="GL19" i="18"/>
  <c r="GK19" i="18"/>
  <c r="GJ19" i="18"/>
  <c r="GI19" i="18"/>
  <c r="GH19" i="18"/>
  <c r="GG19" i="18"/>
  <c r="GF19" i="18"/>
  <c r="GE19" i="18"/>
  <c r="GD19" i="18"/>
  <c r="GC19" i="18"/>
  <c r="GB19" i="18"/>
  <c r="GA19" i="18"/>
  <c r="FZ19" i="18"/>
  <c r="FY19" i="18"/>
  <c r="FX19" i="18"/>
  <c r="FW19" i="18"/>
  <c r="FV19" i="18"/>
  <c r="FU19" i="18"/>
  <c r="FT19" i="18"/>
  <c r="FS19" i="18"/>
  <c r="FR19" i="18"/>
  <c r="FQ19" i="18"/>
  <c r="FP19" i="18"/>
  <c r="FO19" i="18"/>
  <c r="FN19" i="18"/>
  <c r="FM19" i="18"/>
  <c r="FL19" i="18"/>
  <c r="FK19" i="18"/>
  <c r="FJ19" i="18"/>
  <c r="FI19" i="18"/>
  <c r="FH19" i="18"/>
  <c r="FG19" i="18"/>
  <c r="FF19" i="18"/>
  <c r="FE19" i="18"/>
  <c r="FD19" i="18"/>
  <c r="FC19" i="18"/>
  <c r="FB19" i="18"/>
  <c r="FA19" i="18"/>
  <c r="EZ19" i="18"/>
  <c r="EY19" i="18"/>
  <c r="EX19" i="18"/>
  <c r="EW19" i="18"/>
  <c r="EV19" i="18"/>
  <c r="EU19" i="18"/>
  <c r="ET19" i="18"/>
  <c r="ES19" i="18"/>
  <c r="ER19" i="18"/>
  <c r="EQ19" i="18"/>
  <c r="EP19" i="18"/>
  <c r="EO19" i="18"/>
  <c r="EN19" i="18"/>
  <c r="EM19" i="18"/>
  <c r="EL19" i="18"/>
  <c r="EK19" i="18"/>
  <c r="EJ19" i="18"/>
  <c r="EI19" i="18"/>
  <c r="EH19" i="18"/>
  <c r="EG19" i="18"/>
  <c r="EF19" i="18"/>
  <c r="EE19" i="18"/>
  <c r="ED19" i="18"/>
  <c r="EC19" i="18"/>
  <c r="EB19" i="18"/>
  <c r="EA19" i="18"/>
  <c r="DZ19" i="18"/>
  <c r="DY19" i="18"/>
  <c r="DX19" i="18"/>
  <c r="DW19" i="18"/>
  <c r="DV19" i="18"/>
  <c r="DU19" i="18"/>
  <c r="DT19" i="18"/>
  <c r="DS19" i="18"/>
  <c r="DR19" i="18"/>
  <c r="DQ19" i="18"/>
  <c r="DP19" i="18"/>
  <c r="DO19" i="18"/>
  <c r="DN19" i="18"/>
  <c r="DM19" i="18"/>
  <c r="DL19" i="18"/>
  <c r="DK19" i="18"/>
  <c r="DJ19" i="18"/>
  <c r="DI19" i="18"/>
  <c r="DH19" i="18"/>
  <c r="DG19" i="18"/>
  <c r="DF19" i="18"/>
  <c r="DE19" i="18"/>
  <c r="DD19" i="18"/>
  <c r="DC19" i="18"/>
  <c r="DB19" i="18"/>
  <c r="DA19" i="18"/>
  <c r="CZ19" i="18"/>
  <c r="CY19" i="18"/>
  <c r="CX19" i="18"/>
  <c r="CW19" i="18"/>
  <c r="CV19" i="18"/>
  <c r="CU19" i="18"/>
  <c r="CT19" i="18"/>
  <c r="CS19" i="18"/>
  <c r="CR19" i="18"/>
  <c r="CQ19" i="18"/>
  <c r="CP19" i="18"/>
  <c r="CO19" i="18"/>
  <c r="CN19" i="18"/>
  <c r="CM19" i="18"/>
  <c r="CL19" i="18"/>
  <c r="CK19" i="18"/>
  <c r="CJ19" i="18"/>
  <c r="CI19" i="18"/>
  <c r="CH19" i="18"/>
  <c r="CG19" i="18"/>
  <c r="CF19" i="18"/>
  <c r="CE19" i="18"/>
  <c r="CD19" i="18"/>
  <c r="CC19" i="18"/>
  <c r="CB19" i="18"/>
  <c r="CA19" i="18"/>
  <c r="BZ19" i="18"/>
  <c r="BY19" i="18"/>
  <c r="BX19" i="18"/>
  <c r="BW19" i="18"/>
  <c r="BV19" i="18"/>
  <c r="BU19" i="18"/>
  <c r="BT19" i="18"/>
  <c r="BS19" i="18"/>
  <c r="BR19" i="18"/>
  <c r="BQ19" i="18"/>
  <c r="BP19" i="18"/>
  <c r="BO19" i="18"/>
  <c r="BN19" i="18"/>
  <c r="BM19" i="18"/>
  <c r="BL19" i="18"/>
  <c r="BK19" i="18"/>
  <c r="BJ19" i="18"/>
  <c r="BI19" i="18"/>
  <c r="BH19" i="18"/>
  <c r="BG19" i="18"/>
  <c r="BF19" i="18"/>
  <c r="BE19" i="18"/>
  <c r="BD19" i="18"/>
  <c r="BC19" i="18"/>
  <c r="BB19" i="18"/>
  <c r="BA19" i="18"/>
  <c r="AZ19" i="18"/>
  <c r="AY19" i="18"/>
  <c r="AX19" i="18"/>
  <c r="AW19" i="18"/>
  <c r="AV19" i="18"/>
  <c r="AU19" i="18"/>
  <c r="AT19" i="18"/>
  <c r="AS19" i="18"/>
  <c r="AR19" i="18"/>
  <c r="AQ19" i="18"/>
  <c r="AP19" i="18"/>
  <c r="AO19" i="18"/>
  <c r="AN19" i="18"/>
  <c r="AM19" i="18"/>
  <c r="AL19" i="18"/>
  <c r="AK19" i="18"/>
  <c r="AJ19" i="18"/>
  <c r="AI19" i="18"/>
  <c r="AH19" i="18"/>
  <c r="AG19" i="18"/>
  <c r="AF19" i="18"/>
  <c r="AE19" i="18"/>
  <c r="AD19" i="18"/>
  <c r="AC19" i="18"/>
  <c r="AB19" i="18"/>
  <c r="AA19" i="18"/>
  <c r="Z19" i="18"/>
  <c r="Y19" i="18"/>
  <c r="X19" i="18"/>
  <c r="W19" i="18"/>
  <c r="V19" i="18"/>
  <c r="U19" i="18"/>
  <c r="T19" i="18"/>
  <c r="S19" i="18"/>
  <c r="R19" i="18"/>
  <c r="Q19" i="18"/>
  <c r="P19" i="18"/>
  <c r="O19" i="18"/>
  <c r="N19" i="18"/>
  <c r="M19" i="18"/>
  <c r="L19" i="18"/>
  <c r="K19" i="18"/>
  <c r="J19" i="18"/>
  <c r="I19" i="18"/>
  <c r="H19" i="18"/>
  <c r="G19" i="18"/>
  <c r="F19" i="18"/>
  <c r="F17" i="18"/>
  <c r="I13" i="18"/>
  <c r="J13" i="18" s="1"/>
  <c r="K13" i="18" s="1"/>
  <c r="L13" i="18" s="1"/>
  <c r="M13" i="18" s="1"/>
  <c r="N13" i="18" s="1"/>
  <c r="O13" i="18" s="1"/>
  <c r="P13" i="18" s="1"/>
  <c r="Q13" i="18" s="1"/>
  <c r="R13" i="18" s="1"/>
  <c r="S13" i="18" s="1"/>
  <c r="T13" i="18" s="1"/>
  <c r="U13" i="18" s="1"/>
  <c r="V13" i="18" s="1"/>
  <c r="W13" i="18" s="1"/>
  <c r="X13" i="18" s="1"/>
  <c r="Y13" i="18" s="1"/>
  <c r="Z13" i="18" s="1"/>
  <c r="AA13" i="18" s="1"/>
  <c r="AB13" i="18" s="1"/>
  <c r="AC13" i="18" s="1"/>
  <c r="AD13" i="18" s="1"/>
  <c r="AE13" i="18" s="1"/>
  <c r="AF13" i="18" s="1"/>
  <c r="AG13" i="18" s="1"/>
  <c r="AH13" i="18" s="1"/>
  <c r="AI13" i="18" s="1"/>
  <c r="AJ13" i="18" s="1"/>
  <c r="AK13" i="18" s="1"/>
  <c r="AL13" i="18" s="1"/>
  <c r="AM13" i="18" s="1"/>
  <c r="AN13" i="18" s="1"/>
  <c r="AO13" i="18" s="1"/>
  <c r="AP13" i="18" s="1"/>
  <c r="AQ13" i="18" s="1"/>
  <c r="AR13" i="18" s="1"/>
  <c r="AS13" i="18" s="1"/>
  <c r="AT13" i="18" s="1"/>
  <c r="AU13" i="18" s="1"/>
  <c r="AV13" i="18" s="1"/>
  <c r="AW13" i="18" s="1"/>
  <c r="AX13" i="18" s="1"/>
  <c r="AY13" i="18" s="1"/>
  <c r="AZ13" i="18" s="1"/>
  <c r="BA13" i="18" s="1"/>
  <c r="BB13" i="18" s="1"/>
  <c r="BC13" i="18" s="1"/>
  <c r="BD13" i="18" s="1"/>
  <c r="BE13" i="18" s="1"/>
  <c r="BF13" i="18" s="1"/>
  <c r="BG13" i="18" s="1"/>
  <c r="BH13" i="18" s="1"/>
  <c r="BI13" i="18" s="1"/>
  <c r="BJ13" i="18" s="1"/>
  <c r="BK13" i="18" s="1"/>
  <c r="BL13" i="18" s="1"/>
  <c r="BM13" i="18" s="1"/>
  <c r="BN13" i="18" s="1"/>
  <c r="BO13" i="18" s="1"/>
  <c r="BP13" i="18" s="1"/>
  <c r="BQ13" i="18" s="1"/>
  <c r="BR13" i="18" s="1"/>
  <c r="BS13" i="18" s="1"/>
  <c r="BT13" i="18" s="1"/>
  <c r="BU13" i="18" s="1"/>
  <c r="BV13" i="18" s="1"/>
  <c r="BW13" i="18" s="1"/>
  <c r="BX13" i="18" s="1"/>
  <c r="BY13" i="18" s="1"/>
  <c r="BZ13" i="18" s="1"/>
  <c r="CA13" i="18" s="1"/>
  <c r="CB13" i="18" s="1"/>
  <c r="CC13" i="18" s="1"/>
  <c r="CD13" i="18" s="1"/>
  <c r="CE13" i="18" s="1"/>
  <c r="CF13" i="18" s="1"/>
  <c r="CG13" i="18" s="1"/>
  <c r="CH13" i="18" s="1"/>
  <c r="CI13" i="18" s="1"/>
  <c r="CJ13" i="18" s="1"/>
  <c r="CK13" i="18" s="1"/>
  <c r="CL13" i="18" s="1"/>
  <c r="CM13" i="18" s="1"/>
  <c r="CN13" i="18" s="1"/>
  <c r="CO13" i="18" s="1"/>
  <c r="CP13" i="18" s="1"/>
  <c r="CQ13" i="18" s="1"/>
  <c r="CR13" i="18" s="1"/>
  <c r="CS13" i="18" s="1"/>
  <c r="CT13" i="18" s="1"/>
  <c r="CU13" i="18" s="1"/>
  <c r="CV13" i="18" s="1"/>
  <c r="CW13" i="18" s="1"/>
  <c r="CX13" i="18" s="1"/>
  <c r="CY13" i="18" s="1"/>
  <c r="CZ13" i="18" s="1"/>
  <c r="DA13" i="18" s="1"/>
  <c r="DB13" i="18" s="1"/>
  <c r="DC13" i="18" s="1"/>
  <c r="DD13" i="18" s="1"/>
  <c r="DE13" i="18" s="1"/>
  <c r="DF13" i="18" s="1"/>
  <c r="DG13" i="18" s="1"/>
  <c r="DH13" i="18" s="1"/>
  <c r="DI13" i="18" s="1"/>
  <c r="DJ13" i="18" s="1"/>
  <c r="DK13" i="18" s="1"/>
  <c r="DL13" i="18" s="1"/>
  <c r="DM13" i="18" s="1"/>
  <c r="DN13" i="18" s="1"/>
  <c r="DO13" i="18" s="1"/>
  <c r="DP13" i="18" s="1"/>
  <c r="DQ13" i="18" s="1"/>
  <c r="DR13" i="18" s="1"/>
  <c r="DS13" i="18" s="1"/>
  <c r="DT13" i="18" s="1"/>
  <c r="DU13" i="18" s="1"/>
  <c r="DV13" i="18" s="1"/>
  <c r="DW13" i="18" s="1"/>
  <c r="DX13" i="18" s="1"/>
  <c r="DY13" i="18" s="1"/>
  <c r="DZ13" i="18" s="1"/>
  <c r="EA13" i="18" s="1"/>
  <c r="EB13" i="18" s="1"/>
  <c r="EC13" i="18" s="1"/>
  <c r="ED13" i="18" s="1"/>
  <c r="EE13" i="18" s="1"/>
  <c r="EF13" i="18" s="1"/>
  <c r="EG13" i="18" s="1"/>
  <c r="EH13" i="18" s="1"/>
  <c r="EI13" i="18" s="1"/>
  <c r="EJ13" i="18" s="1"/>
  <c r="EK13" i="18" s="1"/>
  <c r="EL13" i="18" s="1"/>
  <c r="EM13" i="18" s="1"/>
  <c r="EN13" i="18" s="1"/>
  <c r="EO13" i="18" s="1"/>
  <c r="EP13" i="18" s="1"/>
  <c r="EQ13" i="18" s="1"/>
  <c r="ER13" i="18" s="1"/>
  <c r="ES13" i="18" s="1"/>
  <c r="ET13" i="18" s="1"/>
  <c r="EU13" i="18" s="1"/>
  <c r="EV13" i="18" s="1"/>
  <c r="EW13" i="18" s="1"/>
  <c r="EX13" i="18" s="1"/>
  <c r="EY13" i="18" s="1"/>
  <c r="EZ13" i="18" s="1"/>
  <c r="FA13" i="18" s="1"/>
  <c r="FB13" i="18" s="1"/>
  <c r="FC13" i="18" s="1"/>
  <c r="FD13" i="18" s="1"/>
  <c r="FE13" i="18" s="1"/>
  <c r="FF13" i="18" s="1"/>
  <c r="FG13" i="18" s="1"/>
  <c r="FH13" i="18" s="1"/>
  <c r="FI13" i="18" s="1"/>
  <c r="FJ13" i="18" s="1"/>
  <c r="FK13" i="18" s="1"/>
  <c r="FL13" i="18" s="1"/>
  <c r="FM13" i="18" s="1"/>
  <c r="FN13" i="18" s="1"/>
  <c r="FO13" i="18" s="1"/>
  <c r="FP13" i="18" s="1"/>
  <c r="FQ13" i="18" s="1"/>
  <c r="FR13" i="18" s="1"/>
  <c r="FS13" i="18" s="1"/>
  <c r="FT13" i="18" s="1"/>
  <c r="FU13" i="18" s="1"/>
  <c r="FV13" i="18" s="1"/>
  <c r="FW13" i="18" s="1"/>
  <c r="FX13" i="18" s="1"/>
  <c r="FY13" i="18" s="1"/>
  <c r="FZ13" i="18" s="1"/>
  <c r="GA13" i="18" s="1"/>
  <c r="GB13" i="18" s="1"/>
  <c r="GC13" i="18" s="1"/>
  <c r="GD13" i="18" s="1"/>
  <c r="GE13" i="18" s="1"/>
  <c r="GF13" i="18" s="1"/>
  <c r="GG13" i="18" s="1"/>
  <c r="GH13" i="18" s="1"/>
  <c r="GI13" i="18" s="1"/>
  <c r="GJ13" i="18" s="1"/>
  <c r="GK13" i="18" s="1"/>
  <c r="GL13" i="18" s="1"/>
  <c r="GM13" i="18" s="1"/>
  <c r="GN13" i="18" s="1"/>
  <c r="GO13" i="18" s="1"/>
  <c r="G13" i="18"/>
  <c r="H13" i="18" s="1"/>
  <c r="E1" i="18"/>
  <c r="S33" i="17"/>
  <c r="T33" i="17"/>
  <c r="U33" i="17"/>
  <c r="V33" i="17"/>
  <c r="W33" i="17"/>
  <c r="X33" i="17"/>
  <c r="Y33" i="17"/>
  <c r="Z33" i="17"/>
  <c r="AA33" i="17"/>
  <c r="AB33" i="17"/>
  <c r="AC33" i="17"/>
  <c r="AD33" i="17"/>
  <c r="AE33" i="17"/>
  <c r="AF33" i="17"/>
  <c r="AG33" i="17"/>
  <c r="AH33" i="17"/>
  <c r="AI33" i="17"/>
  <c r="AJ33" i="17"/>
  <c r="AK33" i="17"/>
  <c r="AL33" i="17"/>
  <c r="AM33" i="17"/>
  <c r="AN33" i="17"/>
  <c r="AO33" i="17"/>
  <c r="AP33" i="17"/>
  <c r="AQ33" i="17"/>
  <c r="AR33" i="17"/>
  <c r="AS33" i="17"/>
  <c r="AT33" i="17"/>
  <c r="AU33" i="17"/>
  <c r="AV33" i="17"/>
  <c r="AW33" i="17"/>
  <c r="AX33" i="17"/>
  <c r="AY33" i="17"/>
  <c r="AZ33" i="17"/>
  <c r="BA33" i="17"/>
  <c r="BB33" i="17"/>
  <c r="BC33" i="17"/>
  <c r="BD33" i="17"/>
  <c r="BE33" i="17"/>
  <c r="BF33" i="17"/>
  <c r="BG33" i="17"/>
  <c r="BH33" i="17"/>
  <c r="BI33" i="17"/>
  <c r="BJ33" i="17"/>
  <c r="BK33" i="17"/>
  <c r="BL33" i="17"/>
  <c r="BM33" i="17"/>
  <c r="BN33" i="17"/>
  <c r="BO33" i="17"/>
  <c r="BP33" i="17"/>
  <c r="BQ33" i="17"/>
  <c r="BR33" i="17"/>
  <c r="R33" i="17"/>
  <c r="S28" i="17"/>
  <c r="T28" i="17"/>
  <c r="U28" i="17"/>
  <c r="V28" i="17"/>
  <c r="W28" i="17"/>
  <c r="X28" i="17"/>
  <c r="Y28" i="17"/>
  <c r="Z28" i="17"/>
  <c r="AA28" i="17"/>
  <c r="AB28" i="17"/>
  <c r="AC28" i="17"/>
  <c r="AD28" i="17"/>
  <c r="AE28" i="17"/>
  <c r="AF28" i="17"/>
  <c r="AG28" i="17"/>
  <c r="AH28" i="17"/>
  <c r="AI28" i="17"/>
  <c r="AJ28" i="17"/>
  <c r="AK28" i="17"/>
  <c r="AL28" i="17"/>
  <c r="AM28" i="17"/>
  <c r="AN28" i="17"/>
  <c r="AO28" i="17"/>
  <c r="AP28" i="17"/>
  <c r="AQ28" i="17"/>
  <c r="AR28" i="17"/>
  <c r="AS28" i="17"/>
  <c r="AT28" i="17"/>
  <c r="AU28" i="17"/>
  <c r="AV28" i="17"/>
  <c r="AW28" i="17"/>
  <c r="AX28" i="17"/>
  <c r="AY28" i="17"/>
  <c r="AZ28" i="17"/>
  <c r="BA28" i="17"/>
  <c r="BB28" i="17"/>
  <c r="BC28" i="17"/>
  <c r="BD28" i="17"/>
  <c r="BE28" i="17"/>
  <c r="BF28" i="17"/>
  <c r="BG28" i="17"/>
  <c r="BH28" i="17"/>
  <c r="BI28" i="17"/>
  <c r="BJ28" i="17"/>
  <c r="BK28" i="17"/>
  <c r="BL28" i="17"/>
  <c r="BM28" i="17"/>
  <c r="BN28" i="17"/>
  <c r="BO28" i="17"/>
  <c r="BP28" i="17"/>
  <c r="BQ28" i="17"/>
  <c r="BR28" i="17"/>
  <c r="R28" i="17"/>
  <c r="BR18" i="17"/>
  <c r="BQ18" i="17"/>
  <c r="BP18" i="17"/>
  <c r="BO18" i="17"/>
  <c r="BN18" i="17"/>
  <c r="BM18" i="17"/>
  <c r="BL18" i="17"/>
  <c r="BK18" i="17"/>
  <c r="BJ18" i="17"/>
  <c r="BI18" i="17"/>
  <c r="BH18" i="17"/>
  <c r="BG18" i="17"/>
  <c r="BF18" i="17"/>
  <c r="BE18" i="17"/>
  <c r="BD18" i="17"/>
  <c r="BC18" i="17"/>
  <c r="BB18" i="17"/>
  <c r="BA18" i="17"/>
  <c r="AZ18" i="17"/>
  <c r="AY18" i="17"/>
  <c r="AX18" i="17"/>
  <c r="AW18" i="17"/>
  <c r="AV18" i="17"/>
  <c r="AU18" i="17"/>
  <c r="AT18" i="17"/>
  <c r="AS18" i="17"/>
  <c r="AR18" i="17"/>
  <c r="AQ18" i="17"/>
  <c r="AP18" i="17"/>
  <c r="AO18" i="17"/>
  <c r="AN18" i="17"/>
  <c r="AM18" i="17"/>
  <c r="AL18" i="17"/>
  <c r="AK18" i="17"/>
  <c r="AJ18" i="17"/>
  <c r="AI18" i="17"/>
  <c r="AH18" i="17"/>
  <c r="AG18" i="17"/>
  <c r="AF18" i="17"/>
  <c r="AE18" i="17"/>
  <c r="AD18" i="17"/>
  <c r="AC18" i="17"/>
  <c r="AB18" i="17"/>
  <c r="AA18" i="17"/>
  <c r="Z18" i="17"/>
  <c r="Y18" i="17"/>
  <c r="X18" i="17"/>
  <c r="W18" i="17"/>
  <c r="V18" i="17"/>
  <c r="U18" i="17"/>
  <c r="T18" i="17"/>
  <c r="S18" i="17"/>
  <c r="R18" i="17"/>
  <c r="BR14" i="17"/>
  <c r="BQ14" i="17"/>
  <c r="BP14" i="17"/>
  <c r="BO14" i="17"/>
  <c r="BN14" i="17"/>
  <c r="BM14" i="17"/>
  <c r="BL14" i="17"/>
  <c r="BK14" i="17"/>
  <c r="BJ14" i="17"/>
  <c r="BI14" i="17"/>
  <c r="BH14" i="17"/>
  <c r="BG14" i="17"/>
  <c r="BF14" i="17"/>
  <c r="BE14" i="17"/>
  <c r="BD14" i="17"/>
  <c r="BC14" i="17"/>
  <c r="BB14" i="17"/>
  <c r="BA14" i="17"/>
  <c r="AZ14" i="17"/>
  <c r="AY14" i="17"/>
  <c r="AX14" i="17"/>
  <c r="AW14" i="17"/>
  <c r="AV14" i="17"/>
  <c r="AU14" i="17"/>
  <c r="AT14" i="17"/>
  <c r="AS14" i="17"/>
  <c r="AR14" i="17"/>
  <c r="AQ14" i="17"/>
  <c r="AP14" i="17"/>
  <c r="AO14" i="17"/>
  <c r="AN14" i="17"/>
  <c r="AM14" i="17"/>
  <c r="AL14" i="17"/>
  <c r="AK14" i="17"/>
  <c r="AJ14" i="17"/>
  <c r="AI14" i="17"/>
  <c r="AH14" i="17"/>
  <c r="AG14" i="17"/>
  <c r="AF14" i="17"/>
  <c r="AE14" i="17"/>
  <c r="AD14" i="17"/>
  <c r="AC14" i="17"/>
  <c r="AB14" i="17"/>
  <c r="AA14" i="17"/>
  <c r="Z14" i="17"/>
  <c r="Y14" i="17"/>
  <c r="X14" i="17"/>
  <c r="W14" i="17"/>
  <c r="V14" i="17"/>
  <c r="U14" i="17"/>
  <c r="T14" i="17"/>
  <c r="S14" i="17"/>
  <c r="R14" i="17"/>
  <c r="S10" i="17"/>
  <c r="S22" i="17" s="1"/>
  <c r="T10" i="17"/>
  <c r="T22" i="17" s="1"/>
  <c r="U10" i="17"/>
  <c r="U22" i="17" s="1"/>
  <c r="V10" i="17"/>
  <c r="V22" i="17" s="1"/>
  <c r="W10" i="17"/>
  <c r="W22" i="17" s="1"/>
  <c r="X10" i="17"/>
  <c r="X22" i="17" s="1"/>
  <c r="Y10" i="17"/>
  <c r="Y22" i="17" s="1"/>
  <c r="Z10" i="17"/>
  <c r="Z22" i="17" s="1"/>
  <c r="AA10" i="17"/>
  <c r="AA22" i="17" s="1"/>
  <c r="AB10" i="17"/>
  <c r="AB22" i="17" s="1"/>
  <c r="AC10" i="17"/>
  <c r="AC22" i="17" s="1"/>
  <c r="AD10" i="17"/>
  <c r="AD22" i="17" s="1"/>
  <c r="AE10" i="17"/>
  <c r="AE22" i="17" s="1"/>
  <c r="AF10" i="17"/>
  <c r="AF22" i="17" s="1"/>
  <c r="AG10" i="17"/>
  <c r="AG22" i="17" s="1"/>
  <c r="AH10" i="17"/>
  <c r="AH22" i="17" s="1"/>
  <c r="AI10" i="17"/>
  <c r="AI22" i="17" s="1"/>
  <c r="AJ10" i="17"/>
  <c r="AJ22" i="17" s="1"/>
  <c r="AK10" i="17"/>
  <c r="AK22" i="17" s="1"/>
  <c r="AL10" i="17"/>
  <c r="AL22" i="17" s="1"/>
  <c r="AM10" i="17"/>
  <c r="AM22" i="17" s="1"/>
  <c r="AN10" i="17"/>
  <c r="AN22" i="17" s="1"/>
  <c r="AO10" i="17"/>
  <c r="AO22" i="17" s="1"/>
  <c r="AP10" i="17"/>
  <c r="AP22" i="17" s="1"/>
  <c r="AQ10" i="17"/>
  <c r="AQ22" i="17" s="1"/>
  <c r="AR10" i="17"/>
  <c r="AR22" i="17" s="1"/>
  <c r="AS10" i="17"/>
  <c r="AS22" i="17" s="1"/>
  <c r="AT10" i="17"/>
  <c r="AT22" i="17" s="1"/>
  <c r="AU10" i="17"/>
  <c r="AU22" i="17" s="1"/>
  <c r="AV10" i="17"/>
  <c r="AV22" i="17" s="1"/>
  <c r="AW10" i="17"/>
  <c r="AW22" i="17" s="1"/>
  <c r="AX10" i="17"/>
  <c r="AX22" i="17" s="1"/>
  <c r="AY10" i="17"/>
  <c r="AY22" i="17" s="1"/>
  <c r="AZ10" i="17"/>
  <c r="AZ22" i="17" s="1"/>
  <c r="BA10" i="17"/>
  <c r="BA22" i="17" s="1"/>
  <c r="BB10" i="17"/>
  <c r="BB22" i="17" s="1"/>
  <c r="BC10" i="17"/>
  <c r="BC22" i="17" s="1"/>
  <c r="BD10" i="17"/>
  <c r="BD22" i="17" s="1"/>
  <c r="BE10" i="17"/>
  <c r="BE22" i="17" s="1"/>
  <c r="BF10" i="17"/>
  <c r="BF22" i="17" s="1"/>
  <c r="BG10" i="17"/>
  <c r="BG22" i="17" s="1"/>
  <c r="BH10" i="17"/>
  <c r="BH22" i="17" s="1"/>
  <c r="BI10" i="17"/>
  <c r="BI22" i="17" s="1"/>
  <c r="BJ10" i="17"/>
  <c r="BJ22" i="17" s="1"/>
  <c r="BK10" i="17"/>
  <c r="BK22" i="17" s="1"/>
  <c r="BL10" i="17"/>
  <c r="BL22" i="17" s="1"/>
  <c r="BM10" i="17"/>
  <c r="BM22" i="17" s="1"/>
  <c r="BN10" i="17"/>
  <c r="BN22" i="17" s="1"/>
  <c r="BO10" i="17"/>
  <c r="BO22" i="17" s="1"/>
  <c r="BP10" i="17"/>
  <c r="BP22" i="17" s="1"/>
  <c r="BQ10" i="17"/>
  <c r="BQ22" i="17" s="1"/>
  <c r="BR10" i="17"/>
  <c r="BR22" i="17" s="1"/>
  <c r="R10" i="17"/>
  <c r="R22" i="17" s="1"/>
  <c r="I14" i="29" l="1"/>
  <c r="J13" i="29"/>
  <c r="G16" i="25"/>
  <c r="H19" i="26"/>
  <c r="G20" i="29"/>
  <c r="G16" i="29"/>
  <c r="G11" i="29"/>
  <c r="F16" i="29"/>
  <c r="F20" i="29"/>
  <c r="G19" i="29"/>
  <c r="G20" i="28"/>
  <c r="G16" i="28"/>
  <c r="G19" i="25"/>
  <c r="H14" i="28"/>
  <c r="I13" i="28"/>
  <c r="H15" i="28"/>
  <c r="H19" i="28" s="1"/>
  <c r="G23" i="28"/>
  <c r="G18" i="28"/>
  <c r="G17" i="28"/>
  <c r="G12" i="28"/>
  <c r="G19" i="28"/>
  <c r="G19" i="27"/>
  <c r="F19" i="27"/>
  <c r="H19" i="27"/>
  <c r="G23" i="27"/>
  <c r="G17" i="27"/>
  <c r="G18" i="27"/>
  <c r="G12" i="27"/>
  <c r="G20" i="27"/>
  <c r="G16" i="27"/>
  <c r="F20" i="27"/>
  <c r="F16" i="27"/>
  <c r="I14" i="27"/>
  <c r="I15" i="27" s="1"/>
  <c r="J13" i="27"/>
  <c r="H20" i="27"/>
  <c r="H16" i="27"/>
  <c r="I14" i="26"/>
  <c r="J13" i="26"/>
  <c r="I15" i="26"/>
  <c r="G20" i="26"/>
  <c r="G16" i="26"/>
  <c r="F21" i="26"/>
  <c r="G11" i="26"/>
  <c r="F16" i="26"/>
  <c r="F20" i="26"/>
  <c r="G19" i="26"/>
  <c r="H15" i="25"/>
  <c r="H14" i="25"/>
  <c r="I13" i="25"/>
  <c r="G23" i="25"/>
  <c r="G18" i="25"/>
  <c r="G17" i="25"/>
  <c r="G12" i="25"/>
  <c r="F20" i="25"/>
  <c r="F16" i="25"/>
  <c r="F19" i="25"/>
  <c r="G20" i="24"/>
  <c r="G16" i="24"/>
  <c r="H19" i="24"/>
  <c r="G23" i="24"/>
  <c r="G17" i="24"/>
  <c r="G18" i="24"/>
  <c r="G12" i="24"/>
  <c r="G19" i="24"/>
  <c r="F20" i="24"/>
  <c r="F16" i="24"/>
  <c r="I14" i="24"/>
  <c r="I15" i="24" s="1"/>
  <c r="J13" i="24"/>
  <c r="H20" i="24"/>
  <c r="H16" i="24"/>
  <c r="F19" i="23"/>
  <c r="G23" i="23"/>
  <c r="G17" i="23"/>
  <c r="G18" i="23"/>
  <c r="G12" i="23"/>
  <c r="I14" i="23"/>
  <c r="I15" i="23" s="1"/>
  <c r="J13" i="23"/>
  <c r="H19" i="23"/>
  <c r="G20" i="23"/>
  <c r="G16" i="23"/>
  <c r="N48" i="22"/>
  <c r="P48" i="22"/>
  <c r="X48" i="22"/>
  <c r="AD41" i="22"/>
  <c r="AD34" i="22"/>
  <c r="AD48" i="22" s="1"/>
  <c r="AF41" i="22"/>
  <c r="AF34" i="22"/>
  <c r="AF48" i="22" s="1"/>
  <c r="AH41" i="22"/>
  <c r="AH34" i="22"/>
  <c r="AH48" i="22" s="1"/>
  <c r="AJ41" i="22"/>
  <c r="AJ34" i="22"/>
  <c r="AJ48" i="22" s="1"/>
  <c r="AL41" i="22"/>
  <c r="AL34" i="22"/>
  <c r="AL48" i="22" s="1"/>
  <c r="AN41" i="22"/>
  <c r="AN34" i="22"/>
  <c r="AN48" i="22" s="1"/>
  <c r="AP41" i="22"/>
  <c r="AP34" i="22"/>
  <c r="AP48" i="22" s="1"/>
  <c r="AR41" i="22"/>
  <c r="AR34" i="22"/>
  <c r="AR48" i="22" s="1"/>
  <c r="F42" i="22"/>
  <c r="F35" i="22"/>
  <c r="F49" i="22" s="1"/>
  <c r="H42" i="22"/>
  <c r="H35" i="22"/>
  <c r="H49" i="22" s="1"/>
  <c r="J42" i="22"/>
  <c r="J35" i="22"/>
  <c r="J49" i="22" s="1"/>
  <c r="L42" i="22"/>
  <c r="L35" i="22"/>
  <c r="L49" i="22" s="1"/>
  <c r="N42" i="22"/>
  <c r="N35" i="22"/>
  <c r="N49" i="22" s="1"/>
  <c r="P42" i="22"/>
  <c r="P35" i="22"/>
  <c r="P49" i="22" s="1"/>
  <c r="R42" i="22"/>
  <c r="R35" i="22"/>
  <c r="R49" i="22" s="1"/>
  <c r="T42" i="22"/>
  <c r="T35" i="22"/>
  <c r="T49" i="22" s="1"/>
  <c r="V42" i="22"/>
  <c r="V35" i="22"/>
  <c r="V49" i="22" s="1"/>
  <c r="X42" i="22"/>
  <c r="X35" i="22"/>
  <c r="X49" i="22" s="1"/>
  <c r="Z42" i="22"/>
  <c r="Z35" i="22"/>
  <c r="Z49" i="22" s="1"/>
  <c r="AB42" i="22"/>
  <c r="AB35" i="22"/>
  <c r="AB49" i="22" s="1"/>
  <c r="AD42" i="22"/>
  <c r="AD35" i="22"/>
  <c r="AD49" i="22" s="1"/>
  <c r="AF42" i="22"/>
  <c r="AF35" i="22"/>
  <c r="AF49" i="22" s="1"/>
  <c r="AH42" i="22"/>
  <c r="AH35" i="22"/>
  <c r="AH49" i="22" s="1"/>
  <c r="AJ42" i="22"/>
  <c r="AJ35" i="22"/>
  <c r="AJ49" i="22" s="1"/>
  <c r="AL42" i="22"/>
  <c r="AL35" i="22"/>
  <c r="AL49" i="22" s="1"/>
  <c r="AN42" i="22"/>
  <c r="AN35" i="22"/>
  <c r="AN49" i="22" s="1"/>
  <c r="AP42" i="22"/>
  <c r="AP35" i="22"/>
  <c r="AP49" i="22" s="1"/>
  <c r="AR42" i="22"/>
  <c r="AR35" i="22"/>
  <c r="AR49" i="22" s="1"/>
  <c r="F43" i="22"/>
  <c r="F36" i="22"/>
  <c r="F50" i="22" s="1"/>
  <c r="H43" i="22"/>
  <c r="H36" i="22"/>
  <c r="H50" i="22" s="1"/>
  <c r="J43" i="22"/>
  <c r="J36" i="22"/>
  <c r="J50" i="22" s="1"/>
  <c r="L43" i="22"/>
  <c r="L36" i="22"/>
  <c r="L50" i="22" s="1"/>
  <c r="N43" i="22"/>
  <c r="N36" i="22"/>
  <c r="N50" i="22" s="1"/>
  <c r="P43" i="22"/>
  <c r="P36" i="22"/>
  <c r="P50" i="22" s="1"/>
  <c r="R43" i="22"/>
  <c r="R36" i="22"/>
  <c r="R50" i="22" s="1"/>
  <c r="T43" i="22"/>
  <c r="T36" i="22"/>
  <c r="T50" i="22" s="1"/>
  <c r="V43" i="22"/>
  <c r="V36" i="22"/>
  <c r="V50" i="22" s="1"/>
  <c r="X43" i="22"/>
  <c r="X36" i="22"/>
  <c r="X50" i="22" s="1"/>
  <c r="Z43" i="22"/>
  <c r="Z36" i="22"/>
  <c r="Z50" i="22" s="1"/>
  <c r="AB43" i="22"/>
  <c r="AB36" i="22"/>
  <c r="AB50" i="22" s="1"/>
  <c r="AD43" i="22"/>
  <c r="AD36" i="22"/>
  <c r="AD50" i="22" s="1"/>
  <c r="AF43" i="22"/>
  <c r="AF36" i="22"/>
  <c r="AF50" i="22" s="1"/>
  <c r="AH43" i="22"/>
  <c r="AH36" i="22"/>
  <c r="AH50" i="22" s="1"/>
  <c r="AJ43" i="22"/>
  <c r="AJ36" i="22"/>
  <c r="AJ50" i="22" s="1"/>
  <c r="AL43" i="22"/>
  <c r="AL36" i="22"/>
  <c r="AL50" i="22" s="1"/>
  <c r="AN43" i="22"/>
  <c r="AN36" i="22"/>
  <c r="AN50" i="22" s="1"/>
  <c r="AP43" i="22"/>
  <c r="AP36" i="22"/>
  <c r="AP50" i="22" s="1"/>
  <c r="AR43" i="22"/>
  <c r="AR36" i="22"/>
  <c r="AR50" i="22" s="1"/>
  <c r="G47" i="22"/>
  <c r="G40" i="22"/>
  <c r="K47" i="22"/>
  <c r="K40" i="22"/>
  <c r="O47" i="22"/>
  <c r="O40" i="22"/>
  <c r="S47" i="22"/>
  <c r="S40" i="22"/>
  <c r="W47" i="22"/>
  <c r="W40" i="22"/>
  <c r="AA47" i="22"/>
  <c r="AA40" i="22"/>
  <c r="AE47" i="22"/>
  <c r="AE40" i="22"/>
  <c r="AI47" i="22"/>
  <c r="AI40" i="22"/>
  <c r="AM47" i="22"/>
  <c r="AM40" i="22"/>
  <c r="AQ47" i="22"/>
  <c r="AQ40" i="22"/>
  <c r="H40" i="22"/>
  <c r="L40" i="22"/>
  <c r="P40" i="22"/>
  <c r="T40" i="22"/>
  <c r="X40" i="22"/>
  <c r="AB40" i="22"/>
  <c r="AF40" i="22"/>
  <c r="AJ40" i="22"/>
  <c r="AN40" i="22"/>
  <c r="AR40" i="22"/>
  <c r="H41" i="22"/>
  <c r="H48" i="22" s="1"/>
  <c r="L41" i="22"/>
  <c r="L48" i="22" s="1"/>
  <c r="P41" i="22"/>
  <c r="T41" i="22"/>
  <c r="T48" i="22" s="1"/>
  <c r="X41" i="22"/>
  <c r="AB41" i="22"/>
  <c r="AB48" i="22" s="1"/>
  <c r="N47" i="22"/>
  <c r="AD47" i="22"/>
  <c r="I47" i="22"/>
  <c r="I40" i="22"/>
  <c r="M47" i="22"/>
  <c r="M40" i="22"/>
  <c r="Q47" i="22"/>
  <c r="Q40" i="22"/>
  <c r="U47" i="22"/>
  <c r="U40" i="22"/>
  <c r="Y47" i="22"/>
  <c r="Y40" i="22"/>
  <c r="AC47" i="22"/>
  <c r="AC40" i="22"/>
  <c r="AG47" i="22"/>
  <c r="AG40" i="22"/>
  <c r="AK47" i="22"/>
  <c r="AK40" i="22"/>
  <c r="AO47" i="22"/>
  <c r="AO40" i="22"/>
  <c r="F40" i="22"/>
  <c r="J40" i="22"/>
  <c r="R40" i="22"/>
  <c r="V40" i="22"/>
  <c r="Z40" i="22"/>
  <c r="AH40" i="22"/>
  <c r="AL40" i="22"/>
  <c r="AP40" i="22"/>
  <c r="F41" i="22"/>
  <c r="F48" i="22" s="1"/>
  <c r="J41" i="22"/>
  <c r="J48" i="22" s="1"/>
  <c r="N41" i="22"/>
  <c r="R41" i="22"/>
  <c r="R48" i="22" s="1"/>
  <c r="V41" i="22"/>
  <c r="V48" i="22" s="1"/>
  <c r="Z41" i="22"/>
  <c r="Z48" i="22" s="1"/>
  <c r="B25" i="22"/>
  <c r="B26" i="22"/>
  <c r="B27" i="22"/>
  <c r="B41" i="22"/>
  <c r="B42" i="22"/>
  <c r="B43" i="22"/>
  <c r="F12" i="20"/>
  <c r="G11" i="20" s="1"/>
  <c r="G17" i="18"/>
  <c r="G12" i="18"/>
  <c r="H11" i="18" s="1"/>
  <c r="B114" i="16"/>
  <c r="B113" i="16"/>
  <c r="B112" i="16"/>
  <c r="B111" i="16"/>
  <c r="B110" i="16"/>
  <c r="B109" i="16"/>
  <c r="B108" i="16"/>
  <c r="B107" i="16"/>
  <c r="B106" i="16"/>
  <c r="B104" i="16"/>
  <c r="B103" i="16"/>
  <c r="B102" i="16"/>
  <c r="B101" i="16"/>
  <c r="B100" i="16"/>
  <c r="B99" i="16"/>
  <c r="B98" i="16"/>
  <c r="B85" i="16"/>
  <c r="B46" i="16"/>
  <c r="B45" i="16"/>
  <c r="C32" i="16"/>
  <c r="D20" i="15"/>
  <c r="D18" i="15"/>
  <c r="P96" i="14"/>
  <c r="X91" i="14"/>
  <c r="P91" i="14"/>
  <c r="AN86" i="14"/>
  <c r="AF86" i="14"/>
  <c r="X86" i="14"/>
  <c r="P86" i="14"/>
  <c r="H86" i="14"/>
  <c r="AO79" i="14"/>
  <c r="AO86" i="14" s="1"/>
  <c r="AN79" i="14"/>
  <c r="AM79" i="14"/>
  <c r="AM86" i="14" s="1"/>
  <c r="AL79" i="14"/>
  <c r="AL86" i="14" s="1"/>
  <c r="AK79" i="14"/>
  <c r="AK86" i="14" s="1"/>
  <c r="AJ79" i="14"/>
  <c r="AJ86" i="14" s="1"/>
  <c r="AJ91" i="14" s="1"/>
  <c r="AJ96" i="14" s="1"/>
  <c r="AI79" i="14"/>
  <c r="AI86" i="14" s="1"/>
  <c r="AH79" i="14"/>
  <c r="AH86" i="14" s="1"/>
  <c r="AG79" i="14"/>
  <c r="AG86" i="14" s="1"/>
  <c r="AF79" i="14"/>
  <c r="AE79" i="14"/>
  <c r="AE86" i="14" s="1"/>
  <c r="AD79" i="14"/>
  <c r="AD86" i="14" s="1"/>
  <c r="AC79" i="14"/>
  <c r="AC86" i="14" s="1"/>
  <c r="AB79" i="14"/>
  <c r="AB86" i="14" s="1"/>
  <c r="AB91" i="14" s="1"/>
  <c r="AB96" i="14" s="1"/>
  <c r="AA79" i="14"/>
  <c r="AA86" i="14" s="1"/>
  <c r="Z79" i="14"/>
  <c r="Z86" i="14" s="1"/>
  <c r="Y79" i="14"/>
  <c r="Y86" i="14" s="1"/>
  <c r="X79" i="14"/>
  <c r="W79" i="14"/>
  <c r="W86" i="14" s="1"/>
  <c r="V79" i="14"/>
  <c r="V86" i="14" s="1"/>
  <c r="U79" i="14"/>
  <c r="U86" i="14" s="1"/>
  <c r="T79" i="14"/>
  <c r="T86" i="14" s="1"/>
  <c r="T91" i="14" s="1"/>
  <c r="T96" i="14" s="1"/>
  <c r="S79" i="14"/>
  <c r="S86" i="14" s="1"/>
  <c r="R79" i="14"/>
  <c r="R86" i="14" s="1"/>
  <c r="Q79" i="14"/>
  <c r="Q86" i="14" s="1"/>
  <c r="P79" i="14"/>
  <c r="O79" i="14"/>
  <c r="O86" i="14" s="1"/>
  <c r="N79" i="14"/>
  <c r="N86" i="14" s="1"/>
  <c r="M79" i="14"/>
  <c r="M86" i="14" s="1"/>
  <c r="L79" i="14"/>
  <c r="L86" i="14" s="1"/>
  <c r="L91" i="14" s="1"/>
  <c r="L96" i="14" s="1"/>
  <c r="K79" i="14"/>
  <c r="K86" i="14" s="1"/>
  <c r="J79" i="14"/>
  <c r="J86" i="14" s="1"/>
  <c r="I79" i="14"/>
  <c r="I86" i="14" s="1"/>
  <c r="H79" i="14"/>
  <c r="G79" i="14"/>
  <c r="G86" i="14" s="1"/>
  <c r="F79" i="14"/>
  <c r="F86" i="14" s="1"/>
  <c r="AO54" i="14"/>
  <c r="AN54" i="14"/>
  <c r="AM54" i="14"/>
  <c r="AL54" i="14"/>
  <c r="AK54" i="14"/>
  <c r="AJ54" i="14"/>
  <c r="AI54" i="14"/>
  <c r="AH54" i="14"/>
  <c r="AG54" i="14"/>
  <c r="AF54" i="14"/>
  <c r="AE54" i="14"/>
  <c r="AD54" i="14"/>
  <c r="AC54" i="14"/>
  <c r="AB54" i="14"/>
  <c r="AA54" i="14"/>
  <c r="Z54" i="14"/>
  <c r="Y54" i="14"/>
  <c r="X54" i="14"/>
  <c r="W54" i="14"/>
  <c r="V54" i="14"/>
  <c r="U54" i="14"/>
  <c r="T54" i="14"/>
  <c r="S54" i="14"/>
  <c r="R54" i="14"/>
  <c r="Q54" i="14"/>
  <c r="P54" i="14"/>
  <c r="O54" i="14"/>
  <c r="N54" i="14"/>
  <c r="M54" i="14"/>
  <c r="L54" i="14"/>
  <c r="K54" i="14"/>
  <c r="J54" i="14"/>
  <c r="I54" i="14"/>
  <c r="H54" i="14"/>
  <c r="G54" i="14"/>
  <c r="F54" i="14"/>
  <c r="AR31" i="14"/>
  <c r="AE31" i="14"/>
  <c r="R31" i="14"/>
  <c r="AR30" i="14"/>
  <c r="AE30" i="14"/>
  <c r="R30" i="14"/>
  <c r="AR29" i="14"/>
  <c r="AE29" i="14"/>
  <c r="R29" i="14"/>
  <c r="AR28" i="14"/>
  <c r="AE28" i="14"/>
  <c r="R28" i="14"/>
  <c r="AR27" i="14"/>
  <c r="AE27" i="14"/>
  <c r="R27" i="14"/>
  <c r="AR26" i="14"/>
  <c r="AE26" i="14"/>
  <c r="R26" i="14"/>
  <c r="AR25" i="14"/>
  <c r="AE25" i="14"/>
  <c r="R25" i="14"/>
  <c r="AR24" i="14"/>
  <c r="AE24" i="14"/>
  <c r="AE32" i="14" s="1"/>
  <c r="AE39" i="14" s="1"/>
  <c r="R24" i="14"/>
  <c r="AR23" i="14"/>
  <c r="AE23" i="14"/>
  <c r="R23" i="14"/>
  <c r="R32" i="14" s="1"/>
  <c r="R39" i="14" s="1"/>
  <c r="AR22" i="14"/>
  <c r="AE22" i="14"/>
  <c r="R22" i="14"/>
  <c r="AR21" i="14"/>
  <c r="AR32" i="14" s="1"/>
  <c r="AR39" i="14" s="1"/>
  <c r="AE21" i="14"/>
  <c r="R21" i="14"/>
  <c r="AR17" i="14"/>
  <c r="AE17" i="14"/>
  <c r="R17" i="14"/>
  <c r="AR16" i="14"/>
  <c r="AE16" i="14"/>
  <c r="R16" i="14"/>
  <c r="AR15" i="14"/>
  <c r="AE15" i="14"/>
  <c r="R15" i="14"/>
  <c r="AR14" i="14"/>
  <c r="AE14" i="14"/>
  <c r="R14" i="14"/>
  <c r="AR13" i="14"/>
  <c r="AE13" i="14"/>
  <c r="R13" i="14"/>
  <c r="J43" i="13"/>
  <c r="AH42" i="13"/>
  <c r="AC42" i="13"/>
  <c r="H42" i="13"/>
  <c r="AF41" i="13"/>
  <c r="Z41" i="13"/>
  <c r="J41" i="13"/>
  <c r="B41" i="13"/>
  <c r="AR43" i="13"/>
  <c r="AJ43" i="13"/>
  <c r="AF43" i="13"/>
  <c r="AB43" i="13"/>
  <c r="T43" i="13"/>
  <c r="P43" i="13"/>
  <c r="L43" i="13"/>
  <c r="AR42" i="13"/>
  <c r="AN42" i="13"/>
  <c r="AJ42" i="13"/>
  <c r="AB42" i="13"/>
  <c r="X42" i="13"/>
  <c r="T42" i="13"/>
  <c r="L42" i="13"/>
  <c r="AR41" i="13"/>
  <c r="AJ41" i="13"/>
  <c r="AB41" i="13"/>
  <c r="T41" i="13"/>
  <c r="P41" i="13"/>
  <c r="L41" i="13"/>
  <c r="AR24" i="13"/>
  <c r="AQ24" i="13"/>
  <c r="AP24" i="13"/>
  <c r="AO24" i="13"/>
  <c r="AN24" i="13"/>
  <c r="AM24" i="13"/>
  <c r="AL24" i="13"/>
  <c r="AK24" i="13"/>
  <c r="AJ24" i="13"/>
  <c r="AI24" i="13"/>
  <c r="AH24" i="13"/>
  <c r="AG24" i="13"/>
  <c r="AF24" i="13"/>
  <c r="AE24" i="13"/>
  <c r="AD24" i="13"/>
  <c r="AC24" i="13"/>
  <c r="AB24" i="13"/>
  <c r="AA24" i="13"/>
  <c r="Z24" i="13"/>
  <c r="Y24" i="13"/>
  <c r="X24" i="13"/>
  <c r="W24" i="13"/>
  <c r="V24" i="13"/>
  <c r="U24" i="13"/>
  <c r="T24" i="13"/>
  <c r="S24" i="13"/>
  <c r="R24" i="13"/>
  <c r="Q24" i="13"/>
  <c r="P24" i="13"/>
  <c r="O24" i="13"/>
  <c r="N24" i="13"/>
  <c r="M24" i="13"/>
  <c r="L24" i="13"/>
  <c r="K24" i="13"/>
  <c r="J24" i="13"/>
  <c r="I24" i="13"/>
  <c r="H24" i="13"/>
  <c r="G24" i="13"/>
  <c r="F24" i="13"/>
  <c r="AR50" i="13"/>
  <c r="AJ50" i="13"/>
  <c r="AB50" i="13"/>
  <c r="T50" i="13"/>
  <c r="L50" i="13"/>
  <c r="AR49" i="13"/>
  <c r="AJ49" i="13"/>
  <c r="AB49" i="13"/>
  <c r="T49" i="13"/>
  <c r="L49" i="13"/>
  <c r="AR48" i="13"/>
  <c r="AJ48" i="13"/>
  <c r="AB4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L18" i="13"/>
  <c r="K18" i="13"/>
  <c r="J18" i="13"/>
  <c r="I18" i="13"/>
  <c r="H18" i="13"/>
  <c r="G18" i="13"/>
  <c r="F18" i="13"/>
  <c r="AN43" i="13"/>
  <c r="AH43" i="13"/>
  <c r="AC43" i="13"/>
  <c r="X43" i="13"/>
  <c r="R43" i="13"/>
  <c r="M43" i="13"/>
  <c r="H43" i="13"/>
  <c r="B15" i="13"/>
  <c r="AP42" i="13"/>
  <c r="AK42" i="13"/>
  <c r="AF42" i="13"/>
  <c r="Z42" i="13"/>
  <c r="U42" i="13"/>
  <c r="P42" i="13"/>
  <c r="J42" i="13"/>
  <c r="H49" i="13"/>
  <c r="B14" i="13"/>
  <c r="AP41" i="13"/>
  <c r="AN41" i="13"/>
  <c r="AH41" i="13"/>
  <c r="AF48" i="13"/>
  <c r="AC41" i="13"/>
  <c r="X41" i="13"/>
  <c r="W41" i="13"/>
  <c r="S41" i="13"/>
  <c r="O41" i="13"/>
  <c r="K41" i="13"/>
  <c r="H41" i="13"/>
  <c r="G41" i="13"/>
  <c r="B13" i="13"/>
  <c r="AR12" i="13"/>
  <c r="AQ12" i="13"/>
  <c r="AP12" i="13"/>
  <c r="AO12" i="13"/>
  <c r="AN12" i="13"/>
  <c r="AM12" i="13"/>
  <c r="AL12" i="13"/>
  <c r="AK12" i="13"/>
  <c r="AJ12" i="13"/>
  <c r="AI12" i="13"/>
  <c r="AH12" i="13"/>
  <c r="AG12" i="13"/>
  <c r="AF12" i="13"/>
  <c r="AE12" i="13"/>
  <c r="AD12" i="13"/>
  <c r="AC12" i="13"/>
  <c r="AB12" i="13"/>
  <c r="AA12" i="13"/>
  <c r="Z12" i="13"/>
  <c r="Y12" i="13"/>
  <c r="X12" i="13"/>
  <c r="W12" i="13"/>
  <c r="V12" i="13"/>
  <c r="U12" i="13"/>
  <c r="T12" i="13"/>
  <c r="S12" i="13"/>
  <c r="R12" i="13"/>
  <c r="Q12" i="13"/>
  <c r="P12" i="13"/>
  <c r="O12" i="13"/>
  <c r="N12" i="13"/>
  <c r="M12" i="13"/>
  <c r="L12" i="13"/>
  <c r="K12" i="13"/>
  <c r="J12" i="13"/>
  <c r="I12" i="13"/>
  <c r="H12" i="13"/>
  <c r="G12" i="13"/>
  <c r="F12" i="13"/>
  <c r="AR11" i="13"/>
  <c r="AQ11" i="13"/>
  <c r="AP11" i="13"/>
  <c r="AO11" i="13"/>
  <c r="AN11" i="13"/>
  <c r="AM11" i="13"/>
  <c r="AL11" i="13"/>
  <c r="AK11" i="13"/>
  <c r="AJ11" i="13"/>
  <c r="AI11" i="13"/>
  <c r="AH11" i="13"/>
  <c r="AG11" i="13"/>
  <c r="AF11" i="13"/>
  <c r="AE11" i="13"/>
  <c r="AD11" i="13"/>
  <c r="AC11" i="13"/>
  <c r="AB11" i="13"/>
  <c r="AA11" i="13"/>
  <c r="Z11" i="13"/>
  <c r="Y11" i="13"/>
  <c r="X11" i="13"/>
  <c r="W11" i="13"/>
  <c r="V11" i="13"/>
  <c r="U11" i="13"/>
  <c r="T11" i="13"/>
  <c r="S11" i="13"/>
  <c r="R11" i="13"/>
  <c r="Q11" i="13"/>
  <c r="P11" i="13"/>
  <c r="O11" i="13"/>
  <c r="N11" i="13"/>
  <c r="M11" i="13"/>
  <c r="L11" i="13"/>
  <c r="K11" i="13"/>
  <c r="J11" i="13"/>
  <c r="I11" i="13"/>
  <c r="H11" i="13"/>
  <c r="G11" i="13"/>
  <c r="F11" i="13"/>
  <c r="B95" i="12"/>
  <c r="B94" i="12"/>
  <c r="B93" i="12"/>
  <c r="B89" i="12"/>
  <c r="B88" i="12"/>
  <c r="B87" i="12"/>
  <c r="B80" i="12"/>
  <c r="B79" i="12"/>
  <c r="B78" i="12"/>
  <c r="B74" i="12"/>
  <c r="B73" i="12"/>
  <c r="B72" i="12"/>
  <c r="B65" i="12"/>
  <c r="B64" i="12"/>
  <c r="B63" i="12"/>
  <c r="B59" i="12"/>
  <c r="B58" i="12"/>
  <c r="B57" i="12"/>
  <c r="B49" i="12"/>
  <c r="B48" i="12"/>
  <c r="B47" i="12"/>
  <c r="B43" i="12"/>
  <c r="B42" i="12"/>
  <c r="B41" i="12"/>
  <c r="B34" i="12"/>
  <c r="B33" i="12"/>
  <c r="B32" i="12"/>
  <c r="B28" i="12"/>
  <c r="B27" i="12"/>
  <c r="B26" i="12"/>
  <c r="B22" i="12"/>
  <c r="B21" i="12"/>
  <c r="B20" i="12"/>
  <c r="F16" i="12"/>
  <c r="I20" i="29" l="1"/>
  <c r="I16" i="29"/>
  <c r="G23" i="29"/>
  <c r="G17" i="29"/>
  <c r="G18" i="29"/>
  <c r="G12" i="29"/>
  <c r="J14" i="29"/>
  <c r="J15" i="29" s="1"/>
  <c r="K13" i="29"/>
  <c r="I15" i="29"/>
  <c r="I19" i="29" s="1"/>
  <c r="I14" i="28"/>
  <c r="I15" i="28" s="1"/>
  <c r="J13" i="28"/>
  <c r="G21" i="28"/>
  <c r="H11" i="28"/>
  <c r="H20" i="28"/>
  <c r="H16" i="28"/>
  <c r="J14" i="27"/>
  <c r="J15" i="27" s="1"/>
  <c r="K13" i="27"/>
  <c r="I20" i="27"/>
  <c r="I16" i="27"/>
  <c r="I19" i="27" s="1"/>
  <c r="G21" i="27"/>
  <c r="H11" i="27"/>
  <c r="J14" i="26"/>
  <c r="J15" i="26" s="1"/>
  <c r="K13" i="26"/>
  <c r="H19" i="25"/>
  <c r="G23" i="26"/>
  <c r="G17" i="26"/>
  <c r="G18" i="26"/>
  <c r="G12" i="26"/>
  <c r="I20" i="26"/>
  <c r="I16" i="26"/>
  <c r="I19" i="26" s="1"/>
  <c r="H20" i="25"/>
  <c r="H16" i="25"/>
  <c r="G21" i="25"/>
  <c r="H11" i="25"/>
  <c r="I14" i="25"/>
  <c r="I15" i="25" s="1"/>
  <c r="J13" i="25"/>
  <c r="I20" i="24"/>
  <c r="I16" i="24"/>
  <c r="I19" i="24" s="1"/>
  <c r="J14" i="24"/>
  <c r="J15" i="24" s="1"/>
  <c r="K13" i="24"/>
  <c r="G21" i="24"/>
  <c r="H11" i="24"/>
  <c r="F59" i="14"/>
  <c r="F58" i="14"/>
  <c r="F57" i="14"/>
  <c r="H58" i="14"/>
  <c r="H57" i="14"/>
  <c r="H59" i="14"/>
  <c r="J58" i="14"/>
  <c r="J57" i="14"/>
  <c r="J59" i="14"/>
  <c r="L58" i="14"/>
  <c r="L57" i="14"/>
  <c r="L59" i="14"/>
  <c r="N58" i="14"/>
  <c r="N57" i="14"/>
  <c r="N59" i="14"/>
  <c r="P58" i="14"/>
  <c r="P57" i="14"/>
  <c r="P59" i="14"/>
  <c r="R58" i="14"/>
  <c r="R57" i="14"/>
  <c r="R59" i="14"/>
  <c r="T58" i="14"/>
  <c r="T57" i="14"/>
  <c r="T59" i="14"/>
  <c r="V58" i="14"/>
  <c r="V57" i="14"/>
  <c r="V59" i="14"/>
  <c r="X58" i="14"/>
  <c r="X57" i="14"/>
  <c r="X59" i="14"/>
  <c r="Z58" i="14"/>
  <c r="Z57" i="14"/>
  <c r="Z59" i="14"/>
  <c r="AB58" i="14"/>
  <c r="AB57" i="14"/>
  <c r="AB59" i="14"/>
  <c r="AD58" i="14"/>
  <c r="AD57" i="14"/>
  <c r="AD59" i="14"/>
  <c r="AF58" i="14"/>
  <c r="AF57" i="14"/>
  <c r="AF59" i="14"/>
  <c r="AH58" i="14"/>
  <c r="AH57" i="14"/>
  <c r="AH59" i="14"/>
  <c r="AJ58" i="14"/>
  <c r="AJ57" i="14"/>
  <c r="AJ59" i="14"/>
  <c r="AL58" i="14"/>
  <c r="AL57" i="14"/>
  <c r="AL59" i="14"/>
  <c r="AN58" i="14"/>
  <c r="AN57" i="14"/>
  <c r="AN59" i="14"/>
  <c r="I20" i="23"/>
  <c r="I16" i="23"/>
  <c r="I19" i="23" s="1"/>
  <c r="G21" i="23"/>
  <c r="H11" i="23"/>
  <c r="G57" i="14"/>
  <c r="G59" i="14"/>
  <c r="G58" i="14"/>
  <c r="I57" i="14"/>
  <c r="I59" i="14"/>
  <c r="I58" i="14"/>
  <c r="K57" i="14"/>
  <c r="K59" i="14"/>
  <c r="K58" i="14"/>
  <c r="M57" i="14"/>
  <c r="M59" i="14"/>
  <c r="M58" i="14"/>
  <c r="O57" i="14"/>
  <c r="O59" i="14"/>
  <c r="O58" i="14"/>
  <c r="Q57" i="14"/>
  <c r="Q59" i="14"/>
  <c r="Q58" i="14"/>
  <c r="S57" i="14"/>
  <c r="S59" i="14"/>
  <c r="S58" i="14"/>
  <c r="U57" i="14"/>
  <c r="U59" i="14"/>
  <c r="U58" i="14"/>
  <c r="W57" i="14"/>
  <c r="W59" i="14"/>
  <c r="W58" i="14"/>
  <c r="Y57" i="14"/>
  <c r="Y59" i="14"/>
  <c r="Y58" i="14"/>
  <c r="AA57" i="14"/>
  <c r="AA59" i="14"/>
  <c r="AA58" i="14"/>
  <c r="AC57" i="14"/>
  <c r="AC59" i="14"/>
  <c r="AC58" i="14"/>
  <c r="AE57" i="14"/>
  <c r="AE59" i="14"/>
  <c r="AE58" i="14"/>
  <c r="AG57" i="14"/>
  <c r="AG59" i="14"/>
  <c r="AG58" i="14"/>
  <c r="AI57" i="14"/>
  <c r="AI59" i="14"/>
  <c r="AI58" i="14"/>
  <c r="AK57" i="14"/>
  <c r="AK59" i="14"/>
  <c r="AK58" i="14"/>
  <c r="AM57" i="14"/>
  <c r="AM59" i="14"/>
  <c r="AM58" i="14"/>
  <c r="AO57" i="14"/>
  <c r="AO59" i="14"/>
  <c r="AO58" i="14"/>
  <c r="J14" i="23"/>
  <c r="J15" i="23" s="1"/>
  <c r="K13" i="23"/>
  <c r="U49" i="13"/>
  <c r="T48" i="13"/>
  <c r="H48" i="13"/>
  <c r="X48" i="13"/>
  <c r="Z49" i="13"/>
  <c r="AP49" i="13"/>
  <c r="G17" i="20"/>
  <c r="G12" i="20"/>
  <c r="H11" i="20" s="1"/>
  <c r="H17" i="18"/>
  <c r="H12" i="18"/>
  <c r="I11" i="18" s="1"/>
  <c r="R44" i="14"/>
  <c r="AE44" i="14"/>
  <c r="AE10" i="14"/>
  <c r="G91" i="14"/>
  <c r="K91" i="14"/>
  <c r="O91" i="14"/>
  <c r="S91" i="14"/>
  <c r="W91" i="14"/>
  <c r="AA91" i="14"/>
  <c r="AE91" i="14"/>
  <c r="AI91" i="14"/>
  <c r="AM91" i="14"/>
  <c r="AF91" i="14"/>
  <c r="X96" i="14"/>
  <c r="H91" i="14"/>
  <c r="AN91" i="14"/>
  <c r="AR44" i="14"/>
  <c r="F91" i="14"/>
  <c r="J91" i="14"/>
  <c r="N91" i="14"/>
  <c r="R91" i="14"/>
  <c r="V91" i="14"/>
  <c r="Z91" i="14"/>
  <c r="AD91" i="14"/>
  <c r="AH91" i="14"/>
  <c r="AL91" i="14"/>
  <c r="I91" i="14"/>
  <c r="M91" i="14"/>
  <c r="Q91" i="14"/>
  <c r="U91" i="14"/>
  <c r="Y91" i="14"/>
  <c r="AC91" i="14"/>
  <c r="AG91" i="14"/>
  <c r="AK91" i="14"/>
  <c r="AO91" i="14"/>
  <c r="P50" i="13"/>
  <c r="AF50" i="13"/>
  <c r="AN48" i="13"/>
  <c r="B48" i="13"/>
  <c r="B19" i="13"/>
  <c r="B34" i="13"/>
  <c r="B25" i="13"/>
  <c r="Y41" i="13"/>
  <c r="AG41" i="13"/>
  <c r="B42" i="13"/>
  <c r="B20" i="13"/>
  <c r="B26" i="13"/>
  <c r="B49" i="13"/>
  <c r="I42" i="13"/>
  <c r="B50" i="13"/>
  <c r="B36" i="13"/>
  <c r="B21" i="13"/>
  <c r="B27" i="13"/>
  <c r="Q43" i="13"/>
  <c r="Y43" i="13"/>
  <c r="H50" i="13"/>
  <c r="AC50" i="13"/>
  <c r="M42" i="13"/>
  <c r="J48" i="13"/>
  <c r="R41" i="13"/>
  <c r="V41" i="13"/>
  <c r="AL41" i="13"/>
  <c r="N42" i="13"/>
  <c r="AD42" i="13"/>
  <c r="AL43" i="13"/>
  <c r="P48" i="13"/>
  <c r="AH48" i="13"/>
  <c r="P49" i="13"/>
  <c r="AK49" i="13"/>
  <c r="R50" i="13"/>
  <c r="AN50" i="13"/>
  <c r="U41" i="13"/>
  <c r="U48" i="13" s="1"/>
  <c r="B43" i="13"/>
  <c r="Z43" i="13"/>
  <c r="Z50" i="13" s="1"/>
  <c r="X49" i="13"/>
  <c r="AN49" i="13"/>
  <c r="X50" i="13"/>
  <c r="I41" i="13"/>
  <c r="M41" i="13"/>
  <c r="Q41" i="13"/>
  <c r="AO41" i="13"/>
  <c r="M49" i="13"/>
  <c r="Q42" i="13"/>
  <c r="Y42" i="13"/>
  <c r="AC49" i="13"/>
  <c r="AG42" i="13"/>
  <c r="AO42" i="13"/>
  <c r="I43" i="13"/>
  <c r="AG43" i="13"/>
  <c r="AO43" i="13"/>
  <c r="B35" i="13"/>
  <c r="AK43" i="13"/>
  <c r="AK50" i="13" s="1"/>
  <c r="F41" i="13"/>
  <c r="N41" i="13"/>
  <c r="Z48" i="13"/>
  <c r="AD41" i="13"/>
  <c r="AP48" i="13"/>
  <c r="F42" i="13"/>
  <c r="V42" i="13"/>
  <c r="AH49" i="13"/>
  <c r="AL42" i="13"/>
  <c r="F43" i="13"/>
  <c r="J50" i="13"/>
  <c r="N43" i="13"/>
  <c r="V43" i="13"/>
  <c r="AD43" i="13"/>
  <c r="L48" i="13"/>
  <c r="AC48" i="13"/>
  <c r="J49" i="13"/>
  <c r="AF49" i="13"/>
  <c r="M50" i="13"/>
  <c r="AH50" i="13"/>
  <c r="AK41" i="13"/>
  <c r="AK48" i="13" s="1"/>
  <c r="R42" i="13"/>
  <c r="R49" i="13" s="1"/>
  <c r="U43" i="13"/>
  <c r="U50" i="13" s="1"/>
  <c r="AP43" i="13"/>
  <c r="AP50" i="13" s="1"/>
  <c r="AA41" i="13"/>
  <c r="AE41" i="13"/>
  <c r="AI41" i="13"/>
  <c r="AM41" i="13"/>
  <c r="AQ41" i="13"/>
  <c r="G42" i="13"/>
  <c r="K42" i="13"/>
  <c r="O42" i="13"/>
  <c r="S42" i="13"/>
  <c r="W42" i="13"/>
  <c r="AA42" i="13"/>
  <c r="AE42" i="13"/>
  <c r="AI42" i="13"/>
  <c r="AM42" i="13"/>
  <c r="AQ42" i="13"/>
  <c r="G43" i="13"/>
  <c r="K43" i="13"/>
  <c r="O43" i="13"/>
  <c r="S43" i="13"/>
  <c r="W43" i="13"/>
  <c r="AA43" i="13"/>
  <c r="AE43" i="13"/>
  <c r="AI43" i="13"/>
  <c r="AM43" i="13"/>
  <c r="AQ43" i="13"/>
  <c r="G48" i="13"/>
  <c r="K48" i="13"/>
  <c r="O48" i="13"/>
  <c r="S48" i="13"/>
  <c r="W48" i="13"/>
  <c r="G13" i="10"/>
  <c r="F12" i="10"/>
  <c r="G11" i="10" s="1"/>
  <c r="BN86" i="9"/>
  <c r="BN87" i="9" s="1"/>
  <c r="BF86" i="9"/>
  <c r="BF87" i="9" s="1"/>
  <c r="AW86" i="9"/>
  <c r="AW87" i="9" s="1"/>
  <c r="AN86" i="9"/>
  <c r="AN87" i="9" s="1"/>
  <c r="AF86" i="9"/>
  <c r="AF87" i="9" s="1"/>
  <c r="Y86" i="9"/>
  <c r="U86" i="9"/>
  <c r="P86" i="9"/>
  <c r="L86" i="9"/>
  <c r="H86" i="9"/>
  <c r="BP81" i="9"/>
  <c r="BP82" i="9" s="1"/>
  <c r="BL81" i="9"/>
  <c r="BL82" i="9" s="1"/>
  <c r="BH81" i="9"/>
  <c r="BH82" i="9" s="1"/>
  <c r="BC81" i="9"/>
  <c r="BC82" i="9" s="1"/>
  <c r="AY81" i="9"/>
  <c r="AY82" i="9" s="1"/>
  <c r="AU81" i="9"/>
  <c r="AU82" i="9" s="1"/>
  <c r="AP81" i="9"/>
  <c r="AP82" i="9" s="1"/>
  <c r="AL81" i="9"/>
  <c r="AL82" i="9" s="1"/>
  <c r="AH81" i="9"/>
  <c r="AH82" i="9" s="1"/>
  <c r="AC81" i="9"/>
  <c r="AC82" i="9" s="1"/>
  <c r="Y81" i="9"/>
  <c r="Y82" i="9" s="1"/>
  <c r="U81" i="9"/>
  <c r="U82" i="9" s="1"/>
  <c r="P81" i="9"/>
  <c r="P82" i="9" s="1"/>
  <c r="L81" i="9"/>
  <c r="L82" i="9" s="1"/>
  <c r="H81" i="9"/>
  <c r="H82" i="9" s="1"/>
  <c r="BQ79" i="9"/>
  <c r="BQ86" i="9" s="1"/>
  <c r="BP79" i="9"/>
  <c r="BP86" i="9" s="1"/>
  <c r="BO79" i="9"/>
  <c r="BO86" i="9" s="1"/>
  <c r="BN79" i="9"/>
  <c r="BM79" i="9"/>
  <c r="BM86" i="9" s="1"/>
  <c r="BL79" i="9"/>
  <c r="BL86" i="9" s="1"/>
  <c r="BK79" i="9"/>
  <c r="BK86" i="9" s="1"/>
  <c r="BJ79" i="9"/>
  <c r="BJ86" i="9" s="1"/>
  <c r="BI79" i="9"/>
  <c r="BI86" i="9" s="1"/>
  <c r="BH79" i="9"/>
  <c r="BH86" i="9" s="1"/>
  <c r="BG79" i="9"/>
  <c r="BG86" i="9" s="1"/>
  <c r="BF79" i="9"/>
  <c r="BD79" i="9"/>
  <c r="BD86" i="9" s="1"/>
  <c r="BC79" i="9"/>
  <c r="BC86" i="9" s="1"/>
  <c r="BB79" i="9"/>
  <c r="BB86" i="9" s="1"/>
  <c r="BA79" i="9"/>
  <c r="BA86" i="9" s="1"/>
  <c r="AZ79" i="9"/>
  <c r="AZ86" i="9" s="1"/>
  <c r="AY79" i="9"/>
  <c r="AY86" i="9" s="1"/>
  <c r="AX79" i="9"/>
  <c r="AX86" i="9" s="1"/>
  <c r="AW79" i="9"/>
  <c r="AV79" i="9"/>
  <c r="AV86" i="9" s="1"/>
  <c r="AU79" i="9"/>
  <c r="AU86" i="9" s="1"/>
  <c r="AT79" i="9"/>
  <c r="AT86" i="9" s="1"/>
  <c r="AS79" i="9"/>
  <c r="AS86" i="9" s="1"/>
  <c r="AQ79" i="9"/>
  <c r="AQ86" i="9" s="1"/>
  <c r="AP79" i="9"/>
  <c r="AP86" i="9" s="1"/>
  <c r="AO79" i="9"/>
  <c r="AO86" i="9" s="1"/>
  <c r="AN79" i="9"/>
  <c r="AM79" i="9"/>
  <c r="AM86" i="9" s="1"/>
  <c r="AL79" i="9"/>
  <c r="AL86" i="9" s="1"/>
  <c r="AK79" i="9"/>
  <c r="AK86" i="9" s="1"/>
  <c r="AJ79" i="9"/>
  <c r="AJ86" i="9" s="1"/>
  <c r="AI79" i="9"/>
  <c r="AI86" i="9" s="1"/>
  <c r="AH79" i="9"/>
  <c r="AH86" i="9" s="1"/>
  <c r="AG79" i="9"/>
  <c r="AG86" i="9" s="1"/>
  <c r="AF79" i="9"/>
  <c r="AD79" i="9"/>
  <c r="AD86" i="9" s="1"/>
  <c r="AC79" i="9"/>
  <c r="AC86" i="9" s="1"/>
  <c r="AB79" i="9"/>
  <c r="AB86" i="9" s="1"/>
  <c r="AA79" i="9"/>
  <c r="AA86" i="9" s="1"/>
  <c r="Z79" i="9"/>
  <c r="Z86" i="9" s="1"/>
  <c r="Y79" i="9"/>
  <c r="X79" i="9"/>
  <c r="X86" i="9" s="1"/>
  <c r="W79" i="9"/>
  <c r="W86" i="9" s="1"/>
  <c r="V79" i="9"/>
  <c r="V86" i="9" s="1"/>
  <c r="U79" i="9"/>
  <c r="T79" i="9"/>
  <c r="T86" i="9" s="1"/>
  <c r="S79" i="9"/>
  <c r="S86" i="9" s="1"/>
  <c r="Q79" i="9"/>
  <c r="Q86" i="9" s="1"/>
  <c r="P79" i="9"/>
  <c r="O79" i="9"/>
  <c r="O86" i="9" s="1"/>
  <c r="N79" i="9"/>
  <c r="N86" i="9" s="1"/>
  <c r="M79" i="9"/>
  <c r="M86" i="9" s="1"/>
  <c r="L79" i="9"/>
  <c r="K79" i="9"/>
  <c r="K86" i="9" s="1"/>
  <c r="J79" i="9"/>
  <c r="J86" i="9" s="1"/>
  <c r="I79" i="9"/>
  <c r="I86" i="9" s="1"/>
  <c r="H79" i="9"/>
  <c r="G79" i="9"/>
  <c r="G86" i="9" s="1"/>
  <c r="F79" i="9"/>
  <c r="F86" i="9" s="1"/>
  <c r="BQ65" i="9"/>
  <c r="BQ81" i="9" s="1"/>
  <c r="BQ82" i="9" s="1"/>
  <c r="BP65" i="9"/>
  <c r="BO65" i="9"/>
  <c r="BO81" i="9" s="1"/>
  <c r="BO82" i="9" s="1"/>
  <c r="BN65" i="9"/>
  <c r="BN81" i="9" s="1"/>
  <c r="BN82" i="9" s="1"/>
  <c r="BM65" i="9"/>
  <c r="BM81" i="9" s="1"/>
  <c r="BM82" i="9" s="1"/>
  <c r="BL65" i="9"/>
  <c r="BK65" i="9"/>
  <c r="BK81" i="9" s="1"/>
  <c r="BK82" i="9" s="1"/>
  <c r="BJ65" i="9"/>
  <c r="BJ81" i="9" s="1"/>
  <c r="BJ82" i="9" s="1"/>
  <c r="BI65" i="9"/>
  <c r="BI81" i="9" s="1"/>
  <c r="BI82" i="9" s="1"/>
  <c r="BH65" i="9"/>
  <c r="BG65" i="9"/>
  <c r="BG81" i="9" s="1"/>
  <c r="BG82" i="9" s="1"/>
  <c r="BF65" i="9"/>
  <c r="BF81" i="9" s="1"/>
  <c r="BF82" i="9" s="1"/>
  <c r="BD65" i="9"/>
  <c r="BD81" i="9" s="1"/>
  <c r="BD82" i="9" s="1"/>
  <c r="BC65" i="9"/>
  <c r="BB65" i="9"/>
  <c r="BB81" i="9" s="1"/>
  <c r="BB82" i="9" s="1"/>
  <c r="BA65" i="9"/>
  <c r="BA81" i="9" s="1"/>
  <c r="BA82" i="9" s="1"/>
  <c r="AZ65" i="9"/>
  <c r="AZ81" i="9" s="1"/>
  <c r="AZ82" i="9" s="1"/>
  <c r="AY65" i="9"/>
  <c r="AX65" i="9"/>
  <c r="AX81" i="9" s="1"/>
  <c r="AX82" i="9" s="1"/>
  <c r="AW65" i="9"/>
  <c r="AW81" i="9" s="1"/>
  <c r="AW82" i="9" s="1"/>
  <c r="AV65" i="9"/>
  <c r="AV81" i="9" s="1"/>
  <c r="AV82" i="9" s="1"/>
  <c r="AU65" i="9"/>
  <c r="AT65" i="9"/>
  <c r="AT81" i="9" s="1"/>
  <c r="AT82" i="9" s="1"/>
  <c r="AS65" i="9"/>
  <c r="AS81" i="9" s="1"/>
  <c r="AS82" i="9" s="1"/>
  <c r="AQ65" i="9"/>
  <c r="AQ81" i="9" s="1"/>
  <c r="AQ82" i="9" s="1"/>
  <c r="AP65" i="9"/>
  <c r="AO65" i="9"/>
  <c r="AO81" i="9" s="1"/>
  <c r="AO82" i="9" s="1"/>
  <c r="AN65" i="9"/>
  <c r="AN81" i="9" s="1"/>
  <c r="AN82" i="9" s="1"/>
  <c r="AM65" i="9"/>
  <c r="AM81" i="9" s="1"/>
  <c r="AM82" i="9" s="1"/>
  <c r="AL65" i="9"/>
  <c r="AK65" i="9"/>
  <c r="AK81" i="9" s="1"/>
  <c r="AK82" i="9" s="1"/>
  <c r="AJ65" i="9"/>
  <c r="AJ81" i="9" s="1"/>
  <c r="AJ82" i="9" s="1"/>
  <c r="AI65" i="9"/>
  <c r="AI81" i="9" s="1"/>
  <c r="AI82" i="9" s="1"/>
  <c r="AH65" i="9"/>
  <c r="AG65" i="9"/>
  <c r="AG81" i="9" s="1"/>
  <c r="AG82" i="9" s="1"/>
  <c r="AF65" i="9"/>
  <c r="AF81" i="9" s="1"/>
  <c r="AF82" i="9" s="1"/>
  <c r="AD65" i="9"/>
  <c r="AD81" i="9" s="1"/>
  <c r="AD82" i="9" s="1"/>
  <c r="AC65" i="9"/>
  <c r="AB65" i="9"/>
  <c r="AB81" i="9" s="1"/>
  <c r="AB82" i="9" s="1"/>
  <c r="AA65" i="9"/>
  <c r="AA81" i="9" s="1"/>
  <c r="AA82" i="9" s="1"/>
  <c r="Z65" i="9"/>
  <c r="Z81" i="9" s="1"/>
  <c r="Z82" i="9" s="1"/>
  <c r="Y65" i="9"/>
  <c r="X65" i="9"/>
  <c r="X81" i="9" s="1"/>
  <c r="X82" i="9" s="1"/>
  <c r="W65" i="9"/>
  <c r="W81" i="9" s="1"/>
  <c r="W82" i="9" s="1"/>
  <c r="V65" i="9"/>
  <c r="V81" i="9" s="1"/>
  <c r="V82" i="9" s="1"/>
  <c r="U65" i="9"/>
  <c r="T65" i="9"/>
  <c r="T81" i="9" s="1"/>
  <c r="T82" i="9" s="1"/>
  <c r="S65" i="9"/>
  <c r="S81" i="9" s="1"/>
  <c r="S82" i="9" s="1"/>
  <c r="Q65" i="9"/>
  <c r="Q81" i="9" s="1"/>
  <c r="Q82" i="9" s="1"/>
  <c r="P65" i="9"/>
  <c r="O65" i="9"/>
  <c r="O81" i="9" s="1"/>
  <c r="O82" i="9" s="1"/>
  <c r="N65" i="9"/>
  <c r="N81" i="9" s="1"/>
  <c r="N82" i="9" s="1"/>
  <c r="M65" i="9"/>
  <c r="M81" i="9" s="1"/>
  <c r="M82" i="9" s="1"/>
  <c r="L65" i="9"/>
  <c r="K65" i="9"/>
  <c r="K81" i="9" s="1"/>
  <c r="K82" i="9" s="1"/>
  <c r="J65" i="9"/>
  <c r="J81" i="9" s="1"/>
  <c r="J82" i="9" s="1"/>
  <c r="I65" i="9"/>
  <c r="I81" i="9" s="1"/>
  <c r="I82" i="9" s="1"/>
  <c r="H65" i="9"/>
  <c r="G65" i="9"/>
  <c r="G81" i="9" s="1"/>
  <c r="G82" i="9" s="1"/>
  <c r="F65" i="9"/>
  <c r="F81" i="9" s="1"/>
  <c r="F82" i="9" s="1"/>
  <c r="BR31" i="9"/>
  <c r="BE31" i="9"/>
  <c r="AR31" i="9"/>
  <c r="AE31" i="9"/>
  <c r="R31" i="9"/>
  <c r="BR30" i="9"/>
  <c r="BE30" i="9"/>
  <c r="AR30" i="9"/>
  <c r="AE30" i="9"/>
  <c r="R30" i="9"/>
  <c r="BR29" i="9"/>
  <c r="BE29" i="9"/>
  <c r="AR29" i="9"/>
  <c r="AE29" i="9"/>
  <c r="R29" i="9"/>
  <c r="BR28" i="9"/>
  <c r="BE28" i="9"/>
  <c r="AR28" i="9"/>
  <c r="AE28" i="9"/>
  <c r="R28" i="9"/>
  <c r="BR27" i="9"/>
  <c r="BE27" i="9"/>
  <c r="AR27" i="9"/>
  <c r="AE27" i="9"/>
  <c r="R27" i="9"/>
  <c r="BR26" i="9"/>
  <c r="BE26" i="9"/>
  <c r="AR26" i="9"/>
  <c r="AE26" i="9"/>
  <c r="R26" i="9"/>
  <c r="BR25" i="9"/>
  <c r="BE25" i="9"/>
  <c r="AR25" i="9"/>
  <c r="AE25" i="9"/>
  <c r="R25" i="9"/>
  <c r="BR24" i="9"/>
  <c r="BE24" i="9"/>
  <c r="AR24" i="9"/>
  <c r="AE24" i="9"/>
  <c r="R24" i="9"/>
  <c r="BR23" i="9"/>
  <c r="BE23" i="9"/>
  <c r="AR23" i="9"/>
  <c r="AE23" i="9"/>
  <c r="R23" i="9"/>
  <c r="BR22" i="9"/>
  <c r="BR32" i="9" s="1"/>
  <c r="BR39" i="9" s="1"/>
  <c r="BE22" i="9"/>
  <c r="AR22" i="9"/>
  <c r="AR32" i="9" s="1"/>
  <c r="AR39" i="9" s="1"/>
  <c r="AE22" i="9"/>
  <c r="R22" i="9"/>
  <c r="R32" i="9" s="1"/>
  <c r="R39" i="9" s="1"/>
  <c r="BR21" i="9"/>
  <c r="BE21" i="9"/>
  <c r="BE32" i="9" s="1"/>
  <c r="BE39" i="9" s="1"/>
  <c r="AR21" i="9"/>
  <c r="AE21" i="9"/>
  <c r="AE32" i="9" s="1"/>
  <c r="AE39" i="9" s="1"/>
  <c r="R21" i="9"/>
  <c r="BR17" i="9"/>
  <c r="BE17" i="9"/>
  <c r="AR17" i="9"/>
  <c r="AE17" i="9"/>
  <c r="R17" i="9"/>
  <c r="BR16" i="9"/>
  <c r="BE16" i="9"/>
  <c r="AR16" i="9"/>
  <c r="AE16" i="9"/>
  <c r="R16" i="9"/>
  <c r="BR15" i="9"/>
  <c r="BE15" i="9"/>
  <c r="AR15" i="9"/>
  <c r="AE15" i="9"/>
  <c r="R15" i="9"/>
  <c r="BR14" i="9"/>
  <c r="BE14" i="9"/>
  <c r="AR14" i="9"/>
  <c r="AE14" i="9"/>
  <c r="R14" i="9"/>
  <c r="BR13" i="9"/>
  <c r="BE13" i="9"/>
  <c r="AR13" i="9"/>
  <c r="AE13" i="9"/>
  <c r="R13" i="9"/>
  <c r="BR12" i="9"/>
  <c r="BE12" i="9"/>
  <c r="AR12" i="9"/>
  <c r="AE12" i="9"/>
  <c r="R12" i="9"/>
  <c r="BR11" i="9"/>
  <c r="BE11" i="9"/>
  <c r="AR11" i="9"/>
  <c r="AE11" i="9"/>
  <c r="R11" i="9"/>
  <c r="BR10" i="9"/>
  <c r="BR18" i="9" s="1"/>
  <c r="BR34" i="9" s="1"/>
  <c r="BR35" i="9" s="1"/>
  <c r="BE10" i="9"/>
  <c r="AR10" i="9"/>
  <c r="AR18" i="9" s="1"/>
  <c r="AR34" i="9" s="1"/>
  <c r="AR35" i="9" s="1"/>
  <c r="AE10" i="9"/>
  <c r="R10" i="9"/>
  <c r="BR9" i="9"/>
  <c r="BE9" i="9"/>
  <c r="BE18" i="9" s="1"/>
  <c r="BE34" i="9" s="1"/>
  <c r="BE35" i="9" s="1"/>
  <c r="AR9" i="9"/>
  <c r="AE9" i="9"/>
  <c r="AE18" i="9" s="1"/>
  <c r="AE34" i="9" s="1"/>
  <c r="AE35" i="9" s="1"/>
  <c r="R9" i="9"/>
  <c r="K14" i="29" l="1"/>
  <c r="K15" i="29" s="1"/>
  <c r="L13" i="29"/>
  <c r="J16" i="29"/>
  <c r="J19" i="29" s="1"/>
  <c r="J20" i="29"/>
  <c r="H11" i="29"/>
  <c r="I20" i="28"/>
  <c r="I16" i="28"/>
  <c r="H23" i="28"/>
  <c r="H18" i="28"/>
  <c r="H17" i="28"/>
  <c r="H12" i="28"/>
  <c r="J14" i="28"/>
  <c r="K13" i="28"/>
  <c r="J15" i="28"/>
  <c r="I19" i="28"/>
  <c r="H23" i="27"/>
  <c r="H18" i="27"/>
  <c r="H17" i="27"/>
  <c r="H12" i="27"/>
  <c r="K14" i="27"/>
  <c r="K15" i="27" s="1"/>
  <c r="L13" i="27"/>
  <c r="J20" i="27"/>
  <c r="J16" i="27"/>
  <c r="J19" i="27"/>
  <c r="U56" i="14"/>
  <c r="U65" i="14" s="1"/>
  <c r="Q56" i="14"/>
  <c r="Q65" i="14" s="1"/>
  <c r="M56" i="14"/>
  <c r="M65" i="14" s="1"/>
  <c r="I56" i="14"/>
  <c r="I65" i="14" s="1"/>
  <c r="AN56" i="14"/>
  <c r="AN65" i="14" s="1"/>
  <c r="AJ56" i="14"/>
  <c r="AJ65" i="14" s="1"/>
  <c r="AF56" i="14"/>
  <c r="AF65" i="14" s="1"/>
  <c r="AB56" i="14"/>
  <c r="AB65" i="14" s="1"/>
  <c r="X56" i="14"/>
  <c r="X65" i="14" s="1"/>
  <c r="T56" i="14"/>
  <c r="T65" i="14" s="1"/>
  <c r="P56" i="14"/>
  <c r="P65" i="14" s="1"/>
  <c r="L56" i="14"/>
  <c r="L65" i="14" s="1"/>
  <c r="H56" i="14"/>
  <c r="H65" i="14" s="1"/>
  <c r="K15" i="26"/>
  <c r="K14" i="26"/>
  <c r="L13" i="26"/>
  <c r="G21" i="26"/>
  <c r="H11" i="26"/>
  <c r="J16" i="26"/>
  <c r="J19" i="26" s="1"/>
  <c r="J20" i="26"/>
  <c r="I20" i="25"/>
  <c r="I16" i="25"/>
  <c r="H23" i="25"/>
  <c r="H17" i="25"/>
  <c r="H18" i="25"/>
  <c r="H12" i="25"/>
  <c r="AR10" i="14"/>
  <c r="J14" i="25"/>
  <c r="J15" i="25" s="1"/>
  <c r="K13" i="25"/>
  <c r="I19" i="25"/>
  <c r="AO56" i="14"/>
  <c r="AO65" i="14" s="1"/>
  <c r="AK56" i="14"/>
  <c r="AK65" i="14" s="1"/>
  <c r="AG56" i="14"/>
  <c r="AG65" i="14" s="1"/>
  <c r="AC56" i="14"/>
  <c r="AC65" i="14" s="1"/>
  <c r="Y56" i="14"/>
  <c r="Y65" i="14" s="1"/>
  <c r="S56" i="14"/>
  <c r="S65" i="14" s="1"/>
  <c r="O56" i="14"/>
  <c r="O65" i="14" s="1"/>
  <c r="K56" i="14"/>
  <c r="K65" i="14" s="1"/>
  <c r="G56" i="14"/>
  <c r="G65" i="14" s="1"/>
  <c r="AL56" i="14"/>
  <c r="AL65" i="14" s="1"/>
  <c r="AH56" i="14"/>
  <c r="AH65" i="14" s="1"/>
  <c r="AD56" i="14"/>
  <c r="Z56" i="14"/>
  <c r="Z65" i="14" s="1"/>
  <c r="V56" i="14"/>
  <c r="V65" i="14" s="1"/>
  <c r="R56" i="14"/>
  <c r="R65" i="14" s="1"/>
  <c r="R81" i="14" s="1"/>
  <c r="R82" i="14" s="1"/>
  <c r="N56" i="14"/>
  <c r="N65" i="14" s="1"/>
  <c r="J56" i="14"/>
  <c r="J65" i="14" s="1"/>
  <c r="R11" i="14"/>
  <c r="H23" i="24"/>
  <c r="H18" i="24"/>
  <c r="H17" i="24"/>
  <c r="H12" i="24"/>
  <c r="AM56" i="14"/>
  <c r="AM65" i="14" s="1"/>
  <c r="AI56" i="14"/>
  <c r="AI65" i="14" s="1"/>
  <c r="AE56" i="14"/>
  <c r="AE65" i="14" s="1"/>
  <c r="AA56" i="14"/>
  <c r="AA65" i="14" s="1"/>
  <c r="W56" i="14"/>
  <c r="W65" i="14" s="1"/>
  <c r="W81" i="14" s="1"/>
  <c r="W82" i="14" s="1"/>
  <c r="R12" i="14"/>
  <c r="K14" i="24"/>
  <c r="K15" i="24" s="1"/>
  <c r="L13" i="24"/>
  <c r="J20" i="24"/>
  <c r="J16" i="24"/>
  <c r="J19" i="24" s="1"/>
  <c r="AO81" i="14"/>
  <c r="AO82" i="14" s="1"/>
  <c r="AO87" i="14"/>
  <c r="AK81" i="14"/>
  <c r="AK82" i="14" s="1"/>
  <c r="AK87" i="14"/>
  <c r="AG81" i="14"/>
  <c r="AG82" i="14" s="1"/>
  <c r="AG87" i="14"/>
  <c r="AC81" i="14"/>
  <c r="AC82" i="14" s="1"/>
  <c r="AC87" i="14"/>
  <c r="Y81" i="14"/>
  <c r="Y82" i="14" s="1"/>
  <c r="Y87" i="14"/>
  <c r="S81" i="14"/>
  <c r="S82" i="14" s="1"/>
  <c r="S87" i="14"/>
  <c r="O81" i="14"/>
  <c r="O82" i="14" s="1"/>
  <c r="O87" i="14"/>
  <c r="K81" i="14"/>
  <c r="K82" i="14" s="1"/>
  <c r="K87" i="14"/>
  <c r="G81" i="14"/>
  <c r="G82" i="14" s="1"/>
  <c r="G87" i="14"/>
  <c r="AL81" i="14"/>
  <c r="AL82" i="14" s="1"/>
  <c r="AL87" i="14"/>
  <c r="AH81" i="14"/>
  <c r="AH82" i="14" s="1"/>
  <c r="AH87" i="14"/>
  <c r="Z81" i="14"/>
  <c r="Z82" i="14" s="1"/>
  <c r="Z87" i="14"/>
  <c r="V81" i="14"/>
  <c r="V82" i="14" s="1"/>
  <c r="V87" i="14"/>
  <c r="N81" i="14"/>
  <c r="N82" i="14" s="1"/>
  <c r="N87" i="14"/>
  <c r="J81" i="14"/>
  <c r="J82" i="14" s="1"/>
  <c r="J87" i="14"/>
  <c r="AM81" i="14"/>
  <c r="AM82" i="14" s="1"/>
  <c r="AM87" i="14"/>
  <c r="AI81" i="14"/>
  <c r="AI82" i="14" s="1"/>
  <c r="AI87" i="14"/>
  <c r="AE81" i="14"/>
  <c r="AE82" i="14" s="1"/>
  <c r="AE87" i="14"/>
  <c r="AA81" i="14"/>
  <c r="AA82" i="14" s="1"/>
  <c r="AA87" i="14"/>
  <c r="U81" i="14"/>
  <c r="U82" i="14" s="1"/>
  <c r="U87" i="14"/>
  <c r="Q81" i="14"/>
  <c r="Q82" i="14" s="1"/>
  <c r="Q87" i="14"/>
  <c r="M81" i="14"/>
  <c r="M82" i="14" s="1"/>
  <c r="M87" i="14"/>
  <c r="I81" i="14"/>
  <c r="I82" i="14" s="1"/>
  <c r="I87" i="14"/>
  <c r="AN81" i="14"/>
  <c r="AN82" i="14" s="1"/>
  <c r="AN87" i="14"/>
  <c r="AJ81" i="14"/>
  <c r="AJ82" i="14" s="1"/>
  <c r="AJ97" i="14"/>
  <c r="AJ87" i="14"/>
  <c r="AJ92" i="14"/>
  <c r="AF81" i="14"/>
  <c r="AF82" i="14" s="1"/>
  <c r="AF87" i="14"/>
  <c r="AB81" i="14"/>
  <c r="AB82" i="14" s="1"/>
  <c r="AB87" i="14"/>
  <c r="AB97" i="14"/>
  <c r="AB92" i="14"/>
  <c r="X81" i="14"/>
  <c r="X82" i="14" s="1"/>
  <c r="X87" i="14"/>
  <c r="X92" i="14"/>
  <c r="T81" i="14"/>
  <c r="T82" i="14" s="1"/>
  <c r="T97" i="14"/>
  <c r="T87" i="14"/>
  <c r="T92" i="14"/>
  <c r="P81" i="14"/>
  <c r="P82" i="14" s="1"/>
  <c r="P87" i="14"/>
  <c r="P92" i="14"/>
  <c r="P97" i="14"/>
  <c r="L92" i="14"/>
  <c r="L81" i="14"/>
  <c r="L82" i="14" s="1"/>
  <c r="L87" i="14"/>
  <c r="L97" i="14"/>
  <c r="H81" i="14"/>
  <c r="H82" i="14" s="1"/>
  <c r="H87" i="14"/>
  <c r="K14" i="23"/>
  <c r="K15" i="23" s="1"/>
  <c r="L13" i="23"/>
  <c r="H23" i="23"/>
  <c r="H18" i="23"/>
  <c r="H17" i="23"/>
  <c r="H12" i="23"/>
  <c r="AE12" i="14"/>
  <c r="AE11" i="14"/>
  <c r="X97" i="14"/>
  <c r="J20" i="23"/>
  <c r="J16" i="23"/>
  <c r="J19" i="23" s="1"/>
  <c r="AR12" i="14"/>
  <c r="AR11" i="14"/>
  <c r="V50" i="13"/>
  <c r="AL49" i="13"/>
  <c r="AO49" i="13"/>
  <c r="Q49" i="13"/>
  <c r="AD49" i="13"/>
  <c r="AL48" i="13"/>
  <c r="I49" i="13"/>
  <c r="AM50" i="13"/>
  <c r="AE50" i="13"/>
  <c r="W50" i="13"/>
  <c r="O50" i="13"/>
  <c r="G50" i="13"/>
  <c r="AM49" i="13"/>
  <c r="AE49" i="13"/>
  <c r="W49" i="13"/>
  <c r="O49" i="13"/>
  <c r="G49" i="13"/>
  <c r="AM48" i="13"/>
  <c r="AE48" i="13"/>
  <c r="N50" i="13"/>
  <c r="V49" i="13"/>
  <c r="N48" i="13"/>
  <c r="I50" i="13"/>
  <c r="AG49" i="13"/>
  <c r="Y49" i="13"/>
  <c r="AO48" i="13"/>
  <c r="M48" i="13"/>
  <c r="F50" i="13"/>
  <c r="F48" i="13"/>
  <c r="H17" i="20"/>
  <c r="H12" i="20"/>
  <c r="I11" i="20" s="1"/>
  <c r="I17" i="18"/>
  <c r="I12" i="18"/>
  <c r="J11" i="18" s="1"/>
  <c r="W87" i="14"/>
  <c r="AN92" i="14"/>
  <c r="AN96" i="14"/>
  <c r="AN97" i="14" s="1"/>
  <c r="AC96" i="14"/>
  <c r="AC97" i="14" s="1"/>
  <c r="AC92" i="14"/>
  <c r="M96" i="14"/>
  <c r="M97" i="14" s="1"/>
  <c r="M92" i="14"/>
  <c r="AD96" i="14"/>
  <c r="N96" i="14"/>
  <c r="N97" i="14" s="1"/>
  <c r="N92" i="14"/>
  <c r="F96" i="14"/>
  <c r="H92" i="14"/>
  <c r="H96" i="14"/>
  <c r="H97" i="14" s="1"/>
  <c r="AD65" i="14"/>
  <c r="AD92" i="14" s="1"/>
  <c r="AR9" i="14"/>
  <c r="AR18" i="14" s="1"/>
  <c r="R87" i="14"/>
  <c r="F56" i="14"/>
  <c r="R10" i="14"/>
  <c r="AR49" i="14"/>
  <c r="AI96" i="14"/>
  <c r="AI97" i="14" s="1"/>
  <c r="AI92" i="14"/>
  <c r="AA96" i="14"/>
  <c r="AA97" i="14" s="1"/>
  <c r="AA92" i="14"/>
  <c r="S96" i="14"/>
  <c r="S97" i="14" s="1"/>
  <c r="S92" i="14"/>
  <c r="K96" i="14"/>
  <c r="K97" i="14" s="1"/>
  <c r="K92" i="14"/>
  <c r="AK96" i="14"/>
  <c r="AK97" i="14" s="1"/>
  <c r="AK92" i="14"/>
  <c r="U96" i="14"/>
  <c r="U97" i="14" s="1"/>
  <c r="U92" i="14"/>
  <c r="AL96" i="14"/>
  <c r="AL97" i="14" s="1"/>
  <c r="AL92" i="14"/>
  <c r="V96" i="14"/>
  <c r="V97" i="14" s="1"/>
  <c r="V92" i="14"/>
  <c r="AF92" i="14"/>
  <c r="AF96" i="14"/>
  <c r="AF97" i="14" s="1"/>
  <c r="R49" i="14"/>
  <c r="AO96" i="14"/>
  <c r="AO97" i="14" s="1"/>
  <c r="AO92" i="14"/>
  <c r="AG96" i="14"/>
  <c r="AG97" i="14" s="1"/>
  <c r="AG92" i="14"/>
  <c r="Y96" i="14"/>
  <c r="Y97" i="14" s="1"/>
  <c r="Y92" i="14"/>
  <c r="Q96" i="14"/>
  <c r="Q97" i="14" s="1"/>
  <c r="Q92" i="14"/>
  <c r="I96" i="14"/>
  <c r="I97" i="14" s="1"/>
  <c r="I92" i="14"/>
  <c r="AH96" i="14"/>
  <c r="AH97" i="14" s="1"/>
  <c r="AH92" i="14"/>
  <c r="Z96" i="14"/>
  <c r="Z97" i="14" s="1"/>
  <c r="Z92" i="14"/>
  <c r="R96" i="14"/>
  <c r="R97" i="14" s="1"/>
  <c r="R92" i="14"/>
  <c r="J96" i="14"/>
  <c r="J97" i="14" s="1"/>
  <c r="J92" i="14"/>
  <c r="AM92" i="14"/>
  <c r="AM96" i="14"/>
  <c r="AM97" i="14" s="1"/>
  <c r="AE92" i="14"/>
  <c r="AE96" i="14"/>
  <c r="AE97" i="14" s="1"/>
  <c r="W92" i="14"/>
  <c r="W96" i="14"/>
  <c r="W97" i="14" s="1"/>
  <c r="O92" i="14"/>
  <c r="O96" i="14"/>
  <c r="O97" i="14" s="1"/>
  <c r="G92" i="14"/>
  <c r="G96" i="14"/>
  <c r="G97" i="14" s="1"/>
  <c r="AE9" i="14"/>
  <c r="AE18" i="14" s="1"/>
  <c r="AE45" i="14" s="1"/>
  <c r="AE49" i="14"/>
  <c r="Q50" i="13"/>
  <c r="AQ50" i="13"/>
  <c r="AI50" i="13"/>
  <c r="AA50" i="13"/>
  <c r="S50" i="13"/>
  <c r="K50" i="13"/>
  <c r="AQ49" i="13"/>
  <c r="AI49" i="13"/>
  <c r="AA49" i="13"/>
  <c r="S49" i="13"/>
  <c r="K49" i="13"/>
  <c r="AQ48" i="13"/>
  <c r="AI48" i="13"/>
  <c r="AA48" i="13"/>
  <c r="AD48" i="13"/>
  <c r="AG50" i="13"/>
  <c r="AL50" i="13"/>
  <c r="N49" i="13"/>
  <c r="V48" i="13"/>
  <c r="Y50" i="13"/>
  <c r="Y48" i="13"/>
  <c r="AG48" i="13"/>
  <c r="AD50" i="13"/>
  <c r="F49" i="13"/>
  <c r="AO50" i="13"/>
  <c r="Q48" i="13"/>
  <c r="I48" i="13"/>
  <c r="R48" i="13"/>
  <c r="R18" i="9"/>
  <c r="R34" i="9" s="1"/>
  <c r="R35" i="9" s="1"/>
  <c r="G17" i="10"/>
  <c r="G12" i="10"/>
  <c r="H11" i="10" s="1"/>
  <c r="H13" i="10"/>
  <c r="F20" i="10"/>
  <c r="F17" i="10"/>
  <c r="BE44" i="9"/>
  <c r="BE40" i="9"/>
  <c r="AE44" i="9"/>
  <c r="AE40" i="9"/>
  <c r="R44" i="9"/>
  <c r="R40" i="9"/>
  <c r="BR40" i="9"/>
  <c r="BR44" i="9"/>
  <c r="AR44" i="9"/>
  <c r="AR40" i="9"/>
  <c r="F87" i="9"/>
  <c r="F91" i="9"/>
  <c r="J87" i="9"/>
  <c r="J91" i="9"/>
  <c r="N87" i="9"/>
  <c r="N91" i="9"/>
  <c r="S91" i="9"/>
  <c r="S87" i="9"/>
  <c r="W87" i="9"/>
  <c r="W91" i="9"/>
  <c r="AA87" i="9"/>
  <c r="AA91" i="9"/>
  <c r="AJ91" i="9"/>
  <c r="AJ87" i="9"/>
  <c r="AS87" i="9"/>
  <c r="AS91" i="9"/>
  <c r="BA91" i="9"/>
  <c r="BA87" i="9"/>
  <c r="BJ87" i="9"/>
  <c r="BJ91" i="9"/>
  <c r="I91" i="9"/>
  <c r="I87" i="9"/>
  <c r="M91" i="9"/>
  <c r="M87" i="9"/>
  <c r="Q91" i="9"/>
  <c r="Q87" i="9"/>
  <c r="V91" i="9"/>
  <c r="V87" i="9"/>
  <c r="Z91" i="9"/>
  <c r="Z87" i="9"/>
  <c r="L91" i="9"/>
  <c r="L87" i="9"/>
  <c r="U91" i="9"/>
  <c r="U87" i="9"/>
  <c r="AN91" i="9"/>
  <c r="BF91" i="9"/>
  <c r="G91" i="9"/>
  <c r="G87" i="9"/>
  <c r="K91" i="9"/>
  <c r="K87" i="9"/>
  <c r="O91" i="9"/>
  <c r="O87" i="9"/>
  <c r="T91" i="9"/>
  <c r="T87" i="9"/>
  <c r="X91" i="9"/>
  <c r="X87" i="9"/>
  <c r="H87" i="9"/>
  <c r="H91" i="9"/>
  <c r="P87" i="9"/>
  <c r="P91" i="9"/>
  <c r="Y87" i="9"/>
  <c r="Y91" i="9"/>
  <c r="AF91" i="9"/>
  <c r="AW91" i="9"/>
  <c r="BN91" i="9"/>
  <c r="AC91" i="9"/>
  <c r="AC87" i="9"/>
  <c r="AH87" i="9"/>
  <c r="AH91" i="9"/>
  <c r="AL91" i="9"/>
  <c r="AL87" i="9"/>
  <c r="AP87" i="9"/>
  <c r="AP91" i="9"/>
  <c r="AU91" i="9"/>
  <c r="AU87" i="9"/>
  <c r="AY87" i="9"/>
  <c r="AY91" i="9"/>
  <c r="BC91" i="9"/>
  <c r="BC87" i="9"/>
  <c r="BH87" i="9"/>
  <c r="BH91" i="9"/>
  <c r="BL91" i="9"/>
  <c r="BL87" i="9"/>
  <c r="BP87" i="9"/>
  <c r="BP91" i="9"/>
  <c r="AD91" i="9"/>
  <c r="AD87" i="9"/>
  <c r="AI91" i="9"/>
  <c r="AI87" i="9"/>
  <c r="AM91" i="9"/>
  <c r="AM87" i="9"/>
  <c r="AQ91" i="9"/>
  <c r="AQ87" i="9"/>
  <c r="AV91" i="9"/>
  <c r="AV87" i="9"/>
  <c r="AZ91" i="9"/>
  <c r="AZ87" i="9"/>
  <c r="BD91" i="9"/>
  <c r="BD87" i="9"/>
  <c r="BI91" i="9"/>
  <c r="BI87" i="9"/>
  <c r="BM91" i="9"/>
  <c r="BM87" i="9"/>
  <c r="BQ91" i="9"/>
  <c r="BQ87" i="9"/>
  <c r="AB91" i="9"/>
  <c r="AB87" i="9"/>
  <c r="AG91" i="9"/>
  <c r="AG87" i="9"/>
  <c r="AK91" i="9"/>
  <c r="AK87" i="9"/>
  <c r="AO91" i="9"/>
  <c r="AO87" i="9"/>
  <c r="AT91" i="9"/>
  <c r="AT87" i="9"/>
  <c r="AX91" i="9"/>
  <c r="AX87" i="9"/>
  <c r="BB91" i="9"/>
  <c r="BB87" i="9"/>
  <c r="BG91" i="9"/>
  <c r="BG87" i="9"/>
  <c r="BK91" i="9"/>
  <c r="BK87" i="9"/>
  <c r="BO91" i="9"/>
  <c r="BO87" i="9"/>
  <c r="BQ58" i="7"/>
  <c r="BP58" i="7"/>
  <c r="BO58" i="7"/>
  <c r="BN58" i="7"/>
  <c r="BM58" i="7"/>
  <c r="BL58" i="7"/>
  <c r="BK58" i="7"/>
  <c r="BJ58" i="7"/>
  <c r="BI58" i="7"/>
  <c r="BH58" i="7"/>
  <c r="BG58" i="7"/>
  <c r="BF58" i="7"/>
  <c r="BD58" i="7"/>
  <c r="BC58" i="7"/>
  <c r="BB58" i="7"/>
  <c r="BA58" i="7"/>
  <c r="AZ58" i="7"/>
  <c r="AY58" i="7"/>
  <c r="AX58" i="7"/>
  <c r="AW58" i="7"/>
  <c r="AV58" i="7"/>
  <c r="AU58" i="7"/>
  <c r="AT58" i="7"/>
  <c r="AS58" i="7"/>
  <c r="AQ58" i="7"/>
  <c r="AP58" i="7"/>
  <c r="AO58" i="7"/>
  <c r="AN58" i="7"/>
  <c r="AM58" i="7"/>
  <c r="AL58" i="7"/>
  <c r="AK58" i="7"/>
  <c r="AJ58" i="7"/>
  <c r="AI58" i="7"/>
  <c r="AH58" i="7"/>
  <c r="AG58" i="7"/>
  <c r="AF58" i="7"/>
  <c r="AD58" i="7"/>
  <c r="AC58" i="7"/>
  <c r="AB58" i="7"/>
  <c r="AA58" i="7"/>
  <c r="Z58" i="7"/>
  <c r="Y58" i="7"/>
  <c r="X58" i="7"/>
  <c r="W58" i="7"/>
  <c r="V58" i="7"/>
  <c r="U58" i="7"/>
  <c r="T58" i="7"/>
  <c r="S58" i="7"/>
  <c r="Q58" i="7"/>
  <c r="P58" i="7"/>
  <c r="O58" i="7"/>
  <c r="N58" i="7"/>
  <c r="M58" i="7"/>
  <c r="L58" i="7"/>
  <c r="K58" i="7"/>
  <c r="J58" i="7"/>
  <c r="I58" i="7"/>
  <c r="H58" i="7"/>
  <c r="G58" i="7"/>
  <c r="F58" i="7"/>
  <c r="BQ45" i="7"/>
  <c r="BP45" i="7"/>
  <c r="BO45" i="7"/>
  <c r="BN45" i="7"/>
  <c r="BM45" i="7"/>
  <c r="BL45" i="7"/>
  <c r="BK45" i="7"/>
  <c r="BJ45" i="7"/>
  <c r="BI45" i="7"/>
  <c r="BH45" i="7"/>
  <c r="BG45" i="7"/>
  <c r="BF45" i="7"/>
  <c r="BD45" i="7"/>
  <c r="BC45" i="7"/>
  <c r="BB45" i="7"/>
  <c r="BA45" i="7"/>
  <c r="AZ45" i="7"/>
  <c r="AY45" i="7"/>
  <c r="AX45" i="7"/>
  <c r="AW45" i="7"/>
  <c r="AV45" i="7"/>
  <c r="AU45" i="7"/>
  <c r="AT45" i="7"/>
  <c r="AS45" i="7"/>
  <c r="AQ45" i="7"/>
  <c r="AP45" i="7"/>
  <c r="AO45" i="7"/>
  <c r="AN45" i="7"/>
  <c r="AM45" i="7"/>
  <c r="AL45" i="7"/>
  <c r="AK45" i="7"/>
  <c r="AJ45" i="7"/>
  <c r="AI45" i="7"/>
  <c r="AH45" i="7"/>
  <c r="AG45" i="7"/>
  <c r="AF45" i="7"/>
  <c r="AD45" i="7"/>
  <c r="AC45" i="7"/>
  <c r="AB45" i="7"/>
  <c r="AA45" i="7"/>
  <c r="Z45" i="7"/>
  <c r="Y45" i="7"/>
  <c r="X45" i="7"/>
  <c r="W45" i="7"/>
  <c r="V45" i="7"/>
  <c r="U45" i="7"/>
  <c r="T45" i="7"/>
  <c r="S45" i="7"/>
  <c r="Q45" i="7"/>
  <c r="P45" i="7"/>
  <c r="O45" i="7"/>
  <c r="N45" i="7"/>
  <c r="M45" i="7"/>
  <c r="L45" i="7"/>
  <c r="K45" i="7"/>
  <c r="J45" i="7"/>
  <c r="I45" i="7"/>
  <c r="H45" i="7"/>
  <c r="G45" i="7"/>
  <c r="F45" i="7"/>
  <c r="BR33" i="7"/>
  <c r="BE33" i="7"/>
  <c r="AR33" i="7"/>
  <c r="AE33" i="7"/>
  <c r="R33" i="7"/>
  <c r="BR32" i="7"/>
  <c r="BE32" i="7"/>
  <c r="AR32" i="7"/>
  <c r="AE32" i="7"/>
  <c r="R32" i="7"/>
  <c r="BR31" i="7"/>
  <c r="BE31" i="7"/>
  <c r="AR31" i="7"/>
  <c r="AE31" i="7"/>
  <c r="R31" i="7"/>
  <c r="BR26" i="7"/>
  <c r="BE26" i="7"/>
  <c r="AR26" i="7"/>
  <c r="AE26" i="7"/>
  <c r="R26" i="7"/>
  <c r="BR25" i="7"/>
  <c r="BE25" i="7"/>
  <c r="AR25" i="7"/>
  <c r="AE25" i="7"/>
  <c r="R25" i="7"/>
  <c r="BR24" i="7"/>
  <c r="BE24" i="7"/>
  <c r="AR24" i="7"/>
  <c r="AE24" i="7"/>
  <c r="R24" i="7"/>
  <c r="BR23" i="7"/>
  <c r="BE23" i="7"/>
  <c r="AR23" i="7"/>
  <c r="AE23" i="7"/>
  <c r="R23" i="7"/>
  <c r="BR22" i="7"/>
  <c r="BE22" i="7"/>
  <c r="AR22" i="7"/>
  <c r="AE22" i="7"/>
  <c r="R22" i="7"/>
  <c r="BR21" i="7"/>
  <c r="BE21" i="7"/>
  <c r="AR21" i="7"/>
  <c r="AE21" i="7"/>
  <c r="R21" i="7"/>
  <c r="BR20" i="7"/>
  <c r="BE20" i="7"/>
  <c r="AR20" i="7"/>
  <c r="AE20" i="7"/>
  <c r="R20" i="7"/>
  <c r="BR19" i="7"/>
  <c r="BE19" i="7"/>
  <c r="AR19" i="7"/>
  <c r="AR27" i="7" s="1"/>
  <c r="AE19" i="7"/>
  <c r="R19" i="7"/>
  <c r="R27" i="7" s="1"/>
  <c r="BR18" i="7"/>
  <c r="BE18" i="7"/>
  <c r="BE27" i="7" s="1"/>
  <c r="AR18" i="7"/>
  <c r="AE18" i="7"/>
  <c r="AE27" i="7" s="1"/>
  <c r="R18" i="7"/>
  <c r="BR13" i="7"/>
  <c r="BE13" i="7"/>
  <c r="AR13" i="7"/>
  <c r="AE13" i="7"/>
  <c r="R13" i="7"/>
  <c r="BR12" i="7"/>
  <c r="BE12" i="7"/>
  <c r="BE14" i="7" s="1"/>
  <c r="AR12" i="7"/>
  <c r="AE12" i="7"/>
  <c r="AE14" i="7" s="1"/>
  <c r="R12" i="7"/>
  <c r="BR10" i="7"/>
  <c r="BE10" i="7"/>
  <c r="AR10" i="7"/>
  <c r="AE10" i="7"/>
  <c r="R10" i="7"/>
  <c r="AQ86" i="6"/>
  <c r="AQ91" i="6" s="1"/>
  <c r="BQ79" i="6"/>
  <c r="BQ86" i="6" s="1"/>
  <c r="BP79" i="6"/>
  <c r="BP86" i="6" s="1"/>
  <c r="BO79" i="6"/>
  <c r="BO86" i="6" s="1"/>
  <c r="BN79" i="6"/>
  <c r="BN86" i="6" s="1"/>
  <c r="BM79" i="6"/>
  <c r="BM86" i="6" s="1"/>
  <c r="BM91" i="6" s="1"/>
  <c r="BM96" i="6" s="1"/>
  <c r="BL79" i="6"/>
  <c r="BL86" i="6" s="1"/>
  <c r="BL91" i="6" s="1"/>
  <c r="BL96" i="6" s="1"/>
  <c r="BK79" i="6"/>
  <c r="BK86" i="6" s="1"/>
  <c r="BJ79" i="6"/>
  <c r="BJ86" i="6" s="1"/>
  <c r="BI79" i="6"/>
  <c r="BI86" i="6" s="1"/>
  <c r="BI91" i="6" s="1"/>
  <c r="BH79" i="6"/>
  <c r="BH86" i="6" s="1"/>
  <c r="BG79" i="6"/>
  <c r="BG86" i="6" s="1"/>
  <c r="BF79" i="6"/>
  <c r="BF86" i="6" s="1"/>
  <c r="BD79" i="6"/>
  <c r="BD86" i="6" s="1"/>
  <c r="BD91" i="6" s="1"/>
  <c r="BD96" i="6" s="1"/>
  <c r="BC79" i="6"/>
  <c r="BC86" i="6" s="1"/>
  <c r="BC91" i="6" s="1"/>
  <c r="BC96" i="6" s="1"/>
  <c r="BB79" i="6"/>
  <c r="BB86" i="6" s="1"/>
  <c r="BA79" i="6"/>
  <c r="BA86" i="6" s="1"/>
  <c r="AZ79" i="6"/>
  <c r="AZ86" i="6" s="1"/>
  <c r="AY79" i="6"/>
  <c r="AY86" i="6" s="1"/>
  <c r="AX79" i="6"/>
  <c r="AX86" i="6" s="1"/>
  <c r="AW79" i="6"/>
  <c r="AW86" i="6" s="1"/>
  <c r="AV79" i="6"/>
  <c r="AV86" i="6" s="1"/>
  <c r="AV91" i="6" s="1"/>
  <c r="AV96" i="6" s="1"/>
  <c r="AU79" i="6"/>
  <c r="AU86" i="6" s="1"/>
  <c r="AU91" i="6" s="1"/>
  <c r="AU96" i="6" s="1"/>
  <c r="AT79" i="6"/>
  <c r="AT86" i="6" s="1"/>
  <c r="AS79" i="6"/>
  <c r="AS86" i="6" s="1"/>
  <c r="AQ79" i="6"/>
  <c r="AP79" i="6"/>
  <c r="AP86" i="6" s="1"/>
  <c r="AO79" i="6"/>
  <c r="AO86" i="6" s="1"/>
  <c r="AN79" i="6"/>
  <c r="AN86" i="6" s="1"/>
  <c r="AM79" i="6"/>
  <c r="AM86" i="6" s="1"/>
  <c r="AM91" i="6" s="1"/>
  <c r="AM96" i="6" s="1"/>
  <c r="AL79" i="6"/>
  <c r="AL86" i="6" s="1"/>
  <c r="AL91" i="6" s="1"/>
  <c r="AL96" i="6" s="1"/>
  <c r="AK79" i="6"/>
  <c r="AK86" i="6" s="1"/>
  <c r="AJ79" i="6"/>
  <c r="AJ86" i="6" s="1"/>
  <c r="AI79" i="6"/>
  <c r="AI86" i="6" s="1"/>
  <c r="AH79" i="6"/>
  <c r="AH86" i="6" s="1"/>
  <c r="AG79" i="6"/>
  <c r="AG86" i="6" s="1"/>
  <c r="AF79" i="6"/>
  <c r="AF86" i="6" s="1"/>
  <c r="AD79" i="6"/>
  <c r="AD86" i="6" s="1"/>
  <c r="AD91" i="6" s="1"/>
  <c r="AD96" i="6" s="1"/>
  <c r="AC79" i="6"/>
  <c r="AC86" i="6" s="1"/>
  <c r="AC91" i="6" s="1"/>
  <c r="AC96" i="6" s="1"/>
  <c r="AB79" i="6"/>
  <c r="AB86" i="6" s="1"/>
  <c r="AA79" i="6"/>
  <c r="AA86" i="6" s="1"/>
  <c r="Z79" i="6"/>
  <c r="Z86" i="6" s="1"/>
  <c r="Y79" i="6"/>
  <c r="Y86" i="6" s="1"/>
  <c r="X79" i="6"/>
  <c r="X86" i="6" s="1"/>
  <c r="W79" i="6"/>
  <c r="W86" i="6" s="1"/>
  <c r="V79" i="6"/>
  <c r="V86" i="6" s="1"/>
  <c r="U79" i="6"/>
  <c r="U86" i="6" s="1"/>
  <c r="T79" i="6"/>
  <c r="T86" i="6" s="1"/>
  <c r="S79" i="6"/>
  <c r="S86" i="6" s="1"/>
  <c r="Q79" i="6"/>
  <c r="Q86" i="6" s="1"/>
  <c r="P79" i="6"/>
  <c r="P86" i="6" s="1"/>
  <c r="O79" i="6"/>
  <c r="O86" i="6" s="1"/>
  <c r="N79" i="6"/>
  <c r="N86" i="6" s="1"/>
  <c r="M79" i="6"/>
  <c r="M86" i="6" s="1"/>
  <c r="L79" i="6"/>
  <c r="L86" i="6" s="1"/>
  <c r="K79" i="6"/>
  <c r="K86" i="6" s="1"/>
  <c r="J79" i="6"/>
  <c r="J86" i="6" s="1"/>
  <c r="I79" i="6"/>
  <c r="I86" i="6" s="1"/>
  <c r="H79" i="6"/>
  <c r="H86" i="6" s="1"/>
  <c r="G79" i="6"/>
  <c r="G86" i="6" s="1"/>
  <c r="F79" i="6"/>
  <c r="F86" i="6" s="1"/>
  <c r="BQ65" i="6"/>
  <c r="BQ81" i="6" s="1"/>
  <c r="BQ82" i="6" s="1"/>
  <c r="BP65" i="6"/>
  <c r="BP81" i="6" s="1"/>
  <c r="BP82" i="6" s="1"/>
  <c r="BO65" i="6"/>
  <c r="BO81" i="6" s="1"/>
  <c r="BO82" i="6" s="1"/>
  <c r="BN65" i="6"/>
  <c r="BN81" i="6" s="1"/>
  <c r="BN82" i="6" s="1"/>
  <c r="BM65" i="6"/>
  <c r="BM87" i="6" s="1"/>
  <c r="BL65" i="6"/>
  <c r="BL81" i="6" s="1"/>
  <c r="BL82" i="6" s="1"/>
  <c r="BK65" i="6"/>
  <c r="BK81" i="6" s="1"/>
  <c r="BK82" i="6" s="1"/>
  <c r="BJ65" i="6"/>
  <c r="BJ81" i="6" s="1"/>
  <c r="BJ82" i="6" s="1"/>
  <c r="BI65" i="6"/>
  <c r="BI81" i="6" s="1"/>
  <c r="BI82" i="6" s="1"/>
  <c r="BH65" i="6"/>
  <c r="BH81" i="6" s="1"/>
  <c r="BH82" i="6" s="1"/>
  <c r="BG65" i="6"/>
  <c r="BG81" i="6" s="1"/>
  <c r="BG82" i="6" s="1"/>
  <c r="BF65" i="6"/>
  <c r="BF81" i="6" s="1"/>
  <c r="BF82" i="6" s="1"/>
  <c r="BD65" i="6"/>
  <c r="BD81" i="6" s="1"/>
  <c r="BD82" i="6" s="1"/>
  <c r="BC65" i="6"/>
  <c r="BC81" i="6" s="1"/>
  <c r="BC82" i="6" s="1"/>
  <c r="BB65" i="6"/>
  <c r="BB81" i="6" s="1"/>
  <c r="BB82" i="6" s="1"/>
  <c r="BA65" i="6"/>
  <c r="BA81" i="6" s="1"/>
  <c r="BA82" i="6" s="1"/>
  <c r="AZ65" i="6"/>
  <c r="AZ81" i="6" s="1"/>
  <c r="AZ82" i="6" s="1"/>
  <c r="AY65" i="6"/>
  <c r="AY81" i="6" s="1"/>
  <c r="AY82" i="6" s="1"/>
  <c r="AX65" i="6"/>
  <c r="AX81" i="6" s="1"/>
  <c r="AX82" i="6" s="1"/>
  <c r="AW65" i="6"/>
  <c r="AW81" i="6" s="1"/>
  <c r="AW82" i="6" s="1"/>
  <c r="AV65" i="6"/>
  <c r="AV81" i="6" s="1"/>
  <c r="AV82" i="6" s="1"/>
  <c r="AU65" i="6"/>
  <c r="AU81" i="6" s="1"/>
  <c r="AU82" i="6" s="1"/>
  <c r="AT65" i="6"/>
  <c r="AT81" i="6" s="1"/>
  <c r="AT82" i="6" s="1"/>
  <c r="AS65" i="6"/>
  <c r="AS81" i="6" s="1"/>
  <c r="AS82" i="6" s="1"/>
  <c r="AQ65" i="6"/>
  <c r="AQ81" i="6" s="1"/>
  <c r="AQ82" i="6" s="1"/>
  <c r="AP65" i="6"/>
  <c r="AP81" i="6" s="1"/>
  <c r="AP82" i="6" s="1"/>
  <c r="AO65" i="6"/>
  <c r="AO81" i="6" s="1"/>
  <c r="AO82" i="6" s="1"/>
  <c r="AN65" i="6"/>
  <c r="AN81" i="6" s="1"/>
  <c r="AN82" i="6" s="1"/>
  <c r="AM65" i="6"/>
  <c r="AM81" i="6" s="1"/>
  <c r="AM82" i="6" s="1"/>
  <c r="AL65" i="6"/>
  <c r="AL81" i="6" s="1"/>
  <c r="AL82" i="6" s="1"/>
  <c r="AK65" i="6"/>
  <c r="AK81" i="6" s="1"/>
  <c r="AK82" i="6" s="1"/>
  <c r="AJ65" i="6"/>
  <c r="AJ81" i="6" s="1"/>
  <c r="AJ82" i="6" s="1"/>
  <c r="AI65" i="6"/>
  <c r="AI81" i="6" s="1"/>
  <c r="AI82" i="6" s="1"/>
  <c r="AH65" i="6"/>
  <c r="AH81" i="6" s="1"/>
  <c r="AH82" i="6" s="1"/>
  <c r="AG65" i="6"/>
  <c r="AG81" i="6" s="1"/>
  <c r="AG82" i="6" s="1"/>
  <c r="AF65" i="6"/>
  <c r="AF81" i="6" s="1"/>
  <c r="AF82" i="6" s="1"/>
  <c r="AD65" i="6"/>
  <c r="AD81" i="6" s="1"/>
  <c r="AD82" i="6" s="1"/>
  <c r="AC65" i="6"/>
  <c r="AC81" i="6" s="1"/>
  <c r="AC82" i="6" s="1"/>
  <c r="AB65" i="6"/>
  <c r="AB81" i="6" s="1"/>
  <c r="AB82" i="6" s="1"/>
  <c r="AA65" i="6"/>
  <c r="AA81" i="6" s="1"/>
  <c r="AA82" i="6" s="1"/>
  <c r="Z65" i="6"/>
  <c r="Z81" i="6" s="1"/>
  <c r="Z82" i="6" s="1"/>
  <c r="Y65" i="6"/>
  <c r="Y81" i="6" s="1"/>
  <c r="Y82" i="6" s="1"/>
  <c r="X65" i="6"/>
  <c r="X81" i="6" s="1"/>
  <c r="X82" i="6" s="1"/>
  <c r="W65" i="6"/>
  <c r="W81" i="6" s="1"/>
  <c r="W82" i="6" s="1"/>
  <c r="V65" i="6"/>
  <c r="V81" i="6" s="1"/>
  <c r="V82" i="6" s="1"/>
  <c r="U65" i="6"/>
  <c r="U81" i="6" s="1"/>
  <c r="U82" i="6" s="1"/>
  <c r="T65" i="6"/>
  <c r="T81" i="6" s="1"/>
  <c r="T82" i="6" s="1"/>
  <c r="S65" i="6"/>
  <c r="S81" i="6" s="1"/>
  <c r="S82" i="6" s="1"/>
  <c r="Q65" i="6"/>
  <c r="Q81" i="6" s="1"/>
  <c r="Q82" i="6" s="1"/>
  <c r="P65" i="6"/>
  <c r="P81" i="6" s="1"/>
  <c r="P82" i="6" s="1"/>
  <c r="O65" i="6"/>
  <c r="O81" i="6" s="1"/>
  <c r="O82" i="6" s="1"/>
  <c r="N65" i="6"/>
  <c r="N81" i="6" s="1"/>
  <c r="N82" i="6" s="1"/>
  <c r="M65" i="6"/>
  <c r="M81" i="6" s="1"/>
  <c r="M82" i="6" s="1"/>
  <c r="L65" i="6"/>
  <c r="L81" i="6" s="1"/>
  <c r="L82" i="6" s="1"/>
  <c r="K65" i="6"/>
  <c r="K81" i="6" s="1"/>
  <c r="K82" i="6" s="1"/>
  <c r="J65" i="6"/>
  <c r="J81" i="6" s="1"/>
  <c r="J82" i="6" s="1"/>
  <c r="I65" i="6"/>
  <c r="I81" i="6" s="1"/>
  <c r="I82" i="6" s="1"/>
  <c r="H65" i="6"/>
  <c r="H81" i="6" s="1"/>
  <c r="H82" i="6" s="1"/>
  <c r="G65" i="6"/>
  <c r="G81" i="6" s="1"/>
  <c r="G82" i="6" s="1"/>
  <c r="F65" i="6"/>
  <c r="F81" i="6" s="1"/>
  <c r="F82" i="6" s="1"/>
  <c r="BR31" i="6"/>
  <c r="BE31" i="6"/>
  <c r="AR31" i="6"/>
  <c r="AE31" i="6"/>
  <c r="R31" i="6"/>
  <c r="BR30" i="6"/>
  <c r="BE30" i="6"/>
  <c r="AR30" i="6"/>
  <c r="AE30" i="6"/>
  <c r="R30" i="6"/>
  <c r="BR29" i="6"/>
  <c r="BE29" i="6"/>
  <c r="AR29" i="6"/>
  <c r="AE29" i="6"/>
  <c r="R29" i="6"/>
  <c r="BR28" i="6"/>
  <c r="BE28" i="6"/>
  <c r="AR28" i="6"/>
  <c r="AE28" i="6"/>
  <c r="R28" i="6"/>
  <c r="BR27" i="6"/>
  <c r="BE27" i="6"/>
  <c r="AR27" i="6"/>
  <c r="AE27" i="6"/>
  <c r="R27" i="6"/>
  <c r="BR26" i="6"/>
  <c r="BE26" i="6"/>
  <c r="AR26" i="6"/>
  <c r="AE26" i="6"/>
  <c r="R26" i="6"/>
  <c r="BR25" i="6"/>
  <c r="BE25" i="6"/>
  <c r="AR25" i="6"/>
  <c r="AE25" i="6"/>
  <c r="R25" i="6"/>
  <c r="BR24" i="6"/>
  <c r="BE24" i="6"/>
  <c r="AR24" i="6"/>
  <c r="AE24" i="6"/>
  <c r="R24" i="6"/>
  <c r="BR23" i="6"/>
  <c r="BE23" i="6"/>
  <c r="AR23" i="6"/>
  <c r="AE23" i="6"/>
  <c r="R23" i="6"/>
  <c r="BR22" i="6"/>
  <c r="BE22" i="6"/>
  <c r="AR22" i="6"/>
  <c r="AE22" i="6"/>
  <c r="R22" i="6"/>
  <c r="BR21" i="6"/>
  <c r="BE21" i="6"/>
  <c r="AR21" i="6"/>
  <c r="AE21" i="6"/>
  <c r="R21" i="6"/>
  <c r="BR17" i="6"/>
  <c r="BE17" i="6"/>
  <c r="AR17" i="6"/>
  <c r="AE17" i="6"/>
  <c r="R17" i="6"/>
  <c r="BR16" i="6"/>
  <c r="BE16" i="6"/>
  <c r="AR16" i="6"/>
  <c r="AE16" i="6"/>
  <c r="R16" i="6"/>
  <c r="BR15" i="6"/>
  <c r="BE15" i="6"/>
  <c r="AR15" i="6"/>
  <c r="AE15" i="6"/>
  <c r="R15" i="6"/>
  <c r="BR14" i="6"/>
  <c r="BE14" i="6"/>
  <c r="AR14" i="6"/>
  <c r="AE14" i="6"/>
  <c r="R14" i="6"/>
  <c r="BR13" i="6"/>
  <c r="BE13" i="6"/>
  <c r="AR13" i="6"/>
  <c r="AE13" i="6"/>
  <c r="R13" i="6"/>
  <c r="BR12" i="6"/>
  <c r="BE12" i="6"/>
  <c r="AR12" i="6"/>
  <c r="AE12" i="6"/>
  <c r="R12" i="6"/>
  <c r="BR11" i="6"/>
  <c r="BE11" i="6"/>
  <c r="AR11" i="6"/>
  <c r="AE11" i="6"/>
  <c r="R11" i="6"/>
  <c r="BR10" i="6"/>
  <c r="BE10" i="6"/>
  <c r="BE18" i="6" s="1"/>
  <c r="AR10" i="6"/>
  <c r="AE10" i="6"/>
  <c r="AE18" i="6" s="1"/>
  <c r="R10" i="6"/>
  <c r="BR9" i="6"/>
  <c r="BR18" i="6" s="1"/>
  <c r="BE9" i="6"/>
  <c r="AR9" i="6"/>
  <c r="AR18" i="6" s="1"/>
  <c r="AE9" i="6"/>
  <c r="R9" i="6"/>
  <c r="R18" i="6" s="1"/>
  <c r="H23" i="29" l="1"/>
  <c r="H18" i="29"/>
  <c r="H17" i="29"/>
  <c r="H12" i="29"/>
  <c r="L14" i="29"/>
  <c r="L15" i="29" s="1"/>
  <c r="M13" i="29"/>
  <c r="K20" i="29"/>
  <c r="K16" i="29"/>
  <c r="K19" i="29" s="1"/>
  <c r="J20" i="28"/>
  <c r="J16" i="28"/>
  <c r="J19" i="28" s="1"/>
  <c r="K14" i="28"/>
  <c r="K15" i="28" s="1"/>
  <c r="L13" i="28"/>
  <c r="H21" i="28"/>
  <c r="I11" i="28"/>
  <c r="K20" i="27"/>
  <c r="K16" i="27"/>
  <c r="H21" i="27"/>
  <c r="I11" i="27"/>
  <c r="L14" i="27"/>
  <c r="L15" i="27" s="1"/>
  <c r="M13" i="27"/>
  <c r="K19" i="27"/>
  <c r="K20" i="26"/>
  <c r="K16" i="26"/>
  <c r="K19" i="26" s="1"/>
  <c r="H23" i="26"/>
  <c r="H18" i="26"/>
  <c r="H17" i="26"/>
  <c r="H12" i="26"/>
  <c r="L14" i="26"/>
  <c r="L15" i="26" s="1"/>
  <c r="M13" i="26"/>
  <c r="K14" i="25"/>
  <c r="K15" i="25" s="1"/>
  <c r="L13" i="25"/>
  <c r="H21" i="25"/>
  <c r="I11" i="25"/>
  <c r="J20" i="25"/>
  <c r="J16" i="25"/>
  <c r="J19" i="25" s="1"/>
  <c r="K20" i="24"/>
  <c r="K16" i="24"/>
  <c r="K19" i="24" s="1"/>
  <c r="L14" i="24"/>
  <c r="L15" i="24" s="1"/>
  <c r="M13" i="24"/>
  <c r="H21" i="24"/>
  <c r="I11" i="24"/>
  <c r="H21" i="23"/>
  <c r="I11" i="23"/>
  <c r="L14" i="23"/>
  <c r="M13" i="23"/>
  <c r="L15" i="23"/>
  <c r="K20" i="23"/>
  <c r="K16" i="23"/>
  <c r="K19" i="23" s="1"/>
  <c r="I17" i="20"/>
  <c r="I12" i="20"/>
  <c r="J11" i="20" s="1"/>
  <c r="J17" i="18"/>
  <c r="J12" i="18"/>
  <c r="K11" i="18" s="1"/>
  <c r="BR27" i="7"/>
  <c r="R14" i="7"/>
  <c r="AR14" i="7"/>
  <c r="BR14" i="7"/>
  <c r="F60" i="7"/>
  <c r="F65" i="7" s="1"/>
  <c r="H60" i="7"/>
  <c r="H65" i="7" s="1"/>
  <c r="J60" i="7"/>
  <c r="J65" i="7" s="1"/>
  <c r="L60" i="7"/>
  <c r="L65" i="7" s="1"/>
  <c r="N60" i="7"/>
  <c r="N65" i="7" s="1"/>
  <c r="P60" i="7"/>
  <c r="P65" i="7" s="1"/>
  <c r="S60" i="7"/>
  <c r="S65" i="7" s="1"/>
  <c r="U60" i="7"/>
  <c r="U65" i="7" s="1"/>
  <c r="W60" i="7"/>
  <c r="W65" i="7" s="1"/>
  <c r="Y60" i="7"/>
  <c r="Y65" i="7" s="1"/>
  <c r="AA60" i="7"/>
  <c r="AA65" i="7" s="1"/>
  <c r="AC60" i="7"/>
  <c r="AC65" i="7" s="1"/>
  <c r="AF60" i="7"/>
  <c r="AF65" i="7" s="1"/>
  <c r="AH60" i="7"/>
  <c r="AH65" i="7" s="1"/>
  <c r="AJ60" i="7"/>
  <c r="AJ65" i="7" s="1"/>
  <c r="AL60" i="7"/>
  <c r="AL65" i="7" s="1"/>
  <c r="AN60" i="7"/>
  <c r="AN65" i="7" s="1"/>
  <c r="AP60" i="7"/>
  <c r="AP65" i="7" s="1"/>
  <c r="AS60" i="7"/>
  <c r="AS65" i="7" s="1"/>
  <c r="AU60" i="7"/>
  <c r="AU65" i="7" s="1"/>
  <c r="AW60" i="7"/>
  <c r="AW65" i="7" s="1"/>
  <c r="AY60" i="7"/>
  <c r="AY65" i="7" s="1"/>
  <c r="BA60" i="7"/>
  <c r="BA65" i="7" s="1"/>
  <c r="BC60" i="7"/>
  <c r="BC65" i="7" s="1"/>
  <c r="BF60" i="7"/>
  <c r="BF65" i="7" s="1"/>
  <c r="BH60" i="7"/>
  <c r="BH65" i="7" s="1"/>
  <c r="BJ60" i="7"/>
  <c r="BJ65" i="7" s="1"/>
  <c r="BL60" i="7"/>
  <c r="BL65" i="7" s="1"/>
  <c r="BN60" i="7"/>
  <c r="BN65" i="7" s="1"/>
  <c r="BP60" i="7"/>
  <c r="BP65" i="7" s="1"/>
  <c r="BE29" i="7"/>
  <c r="G60" i="7"/>
  <c r="G65" i="7" s="1"/>
  <c r="I60" i="7"/>
  <c r="I65" i="7" s="1"/>
  <c r="K60" i="7"/>
  <c r="K65" i="7" s="1"/>
  <c r="M60" i="7"/>
  <c r="M65" i="7" s="1"/>
  <c r="O60" i="7"/>
  <c r="O65" i="7" s="1"/>
  <c r="Q60" i="7"/>
  <c r="Q65" i="7" s="1"/>
  <c r="T60" i="7"/>
  <c r="T65" i="7" s="1"/>
  <c r="V60" i="7"/>
  <c r="V65" i="7" s="1"/>
  <c r="X60" i="7"/>
  <c r="X65" i="7" s="1"/>
  <c r="Z60" i="7"/>
  <c r="Z65" i="7" s="1"/>
  <c r="AB60" i="7"/>
  <c r="AB65" i="7" s="1"/>
  <c r="AD60" i="7"/>
  <c r="AD65" i="7" s="1"/>
  <c r="AG60" i="7"/>
  <c r="AG65" i="7" s="1"/>
  <c r="AI60" i="7"/>
  <c r="AI65" i="7" s="1"/>
  <c r="AK60" i="7"/>
  <c r="AK65" i="7" s="1"/>
  <c r="AM60" i="7"/>
  <c r="AM65" i="7" s="1"/>
  <c r="AO60" i="7"/>
  <c r="AO65" i="7" s="1"/>
  <c r="AQ60" i="7"/>
  <c r="AQ65" i="7" s="1"/>
  <c r="AT60" i="7"/>
  <c r="AT65" i="7" s="1"/>
  <c r="AV60" i="7"/>
  <c r="AV65" i="7" s="1"/>
  <c r="AX60" i="7"/>
  <c r="AX65" i="7" s="1"/>
  <c r="AZ60" i="7"/>
  <c r="AZ65" i="7" s="1"/>
  <c r="BB60" i="7"/>
  <c r="BB65" i="7" s="1"/>
  <c r="BD60" i="7"/>
  <c r="BD65" i="7" s="1"/>
  <c r="BG60" i="7"/>
  <c r="BG65" i="7" s="1"/>
  <c r="BI60" i="7"/>
  <c r="BI65" i="7" s="1"/>
  <c r="BK60" i="7"/>
  <c r="BK65" i="7" s="1"/>
  <c r="BM60" i="7"/>
  <c r="BM65" i="7" s="1"/>
  <c r="BO60" i="7"/>
  <c r="BO65" i="7" s="1"/>
  <c r="BQ60" i="7"/>
  <c r="BQ65" i="7" s="1"/>
  <c r="AE50" i="14"/>
  <c r="AR50" i="14"/>
  <c r="AE34" i="14"/>
  <c r="AE35" i="14" s="1"/>
  <c r="AE40" i="14"/>
  <c r="F65" i="14"/>
  <c r="F97" i="14" s="1"/>
  <c r="R9" i="14"/>
  <c r="R18" i="14" s="1"/>
  <c r="R50" i="14" s="1"/>
  <c r="AR34" i="14"/>
  <c r="AR35" i="14" s="1"/>
  <c r="AR40" i="14"/>
  <c r="AD81" i="14"/>
  <c r="AD82" i="14" s="1"/>
  <c r="AD87" i="14"/>
  <c r="AD97" i="14"/>
  <c r="AR45" i="14"/>
  <c r="H17" i="10"/>
  <c r="H12" i="10"/>
  <c r="I11" i="10" s="1"/>
  <c r="I13" i="10"/>
  <c r="J13" i="10" s="1"/>
  <c r="K13" i="10" s="1"/>
  <c r="L13" i="10" s="1"/>
  <c r="M13" i="10" s="1"/>
  <c r="N13" i="10" s="1"/>
  <c r="O13" i="10" s="1"/>
  <c r="P13" i="10" s="1"/>
  <c r="Q13" i="10" s="1"/>
  <c r="R13" i="10" s="1"/>
  <c r="S13" i="10" s="1"/>
  <c r="T13" i="10" s="1"/>
  <c r="U13" i="10" s="1"/>
  <c r="V13" i="10" s="1"/>
  <c r="W13" i="10" s="1"/>
  <c r="X13" i="10" s="1"/>
  <c r="Y13" i="10" s="1"/>
  <c r="Z13" i="10" s="1"/>
  <c r="AA13" i="10" s="1"/>
  <c r="AB13" i="10" s="1"/>
  <c r="AC13" i="10" s="1"/>
  <c r="AD13" i="10" s="1"/>
  <c r="AE13" i="10" s="1"/>
  <c r="AF13" i="10" s="1"/>
  <c r="AG13" i="10" s="1"/>
  <c r="AH13" i="10" s="1"/>
  <c r="AI13" i="10" s="1"/>
  <c r="AJ13" i="10" s="1"/>
  <c r="AK13" i="10" s="1"/>
  <c r="AL13" i="10" s="1"/>
  <c r="AM13" i="10" s="1"/>
  <c r="AN13" i="10" s="1"/>
  <c r="AO13" i="10" s="1"/>
  <c r="AP13" i="10" s="1"/>
  <c r="AQ13" i="10" s="1"/>
  <c r="AR13" i="10" s="1"/>
  <c r="AS13" i="10" s="1"/>
  <c r="AT13" i="10" s="1"/>
  <c r="AU13" i="10" s="1"/>
  <c r="AV13" i="10" s="1"/>
  <c r="AW13" i="10" s="1"/>
  <c r="AX13" i="10" s="1"/>
  <c r="AY13" i="10" s="1"/>
  <c r="AZ13" i="10" s="1"/>
  <c r="BA13" i="10" s="1"/>
  <c r="BB13" i="10" s="1"/>
  <c r="BC13" i="10" s="1"/>
  <c r="BD13" i="10" s="1"/>
  <c r="BE13" i="10" s="1"/>
  <c r="BF13" i="10" s="1"/>
  <c r="BG13" i="10" s="1"/>
  <c r="BH13" i="10" s="1"/>
  <c r="BI13" i="10" s="1"/>
  <c r="BJ13" i="10" s="1"/>
  <c r="BK13" i="10" s="1"/>
  <c r="BL13" i="10" s="1"/>
  <c r="BM13" i="10" s="1"/>
  <c r="BN13" i="10" s="1"/>
  <c r="BO13" i="10" s="1"/>
  <c r="BP13" i="10" s="1"/>
  <c r="BQ13" i="10" s="1"/>
  <c r="BR13" i="10" s="1"/>
  <c r="BS13" i="10" s="1"/>
  <c r="BT13" i="10" s="1"/>
  <c r="BU13" i="10" s="1"/>
  <c r="BV13" i="10" s="1"/>
  <c r="BW13" i="10" s="1"/>
  <c r="BX13" i="10" s="1"/>
  <c r="BY13" i="10" s="1"/>
  <c r="BZ13" i="10" s="1"/>
  <c r="CA13" i="10" s="1"/>
  <c r="CB13" i="10" s="1"/>
  <c r="CC13" i="10" s="1"/>
  <c r="CD13" i="10" s="1"/>
  <c r="CE13" i="10" s="1"/>
  <c r="CF13" i="10" s="1"/>
  <c r="CG13" i="10" s="1"/>
  <c r="CH13" i="10" s="1"/>
  <c r="CI13" i="10" s="1"/>
  <c r="CJ13" i="10" s="1"/>
  <c r="CK13" i="10" s="1"/>
  <c r="CL13" i="10" s="1"/>
  <c r="CM13" i="10" s="1"/>
  <c r="CN13" i="10" s="1"/>
  <c r="CO13" i="10" s="1"/>
  <c r="CP13" i="10" s="1"/>
  <c r="CQ13" i="10" s="1"/>
  <c r="CR13" i="10" s="1"/>
  <c r="CS13" i="10" s="1"/>
  <c r="CT13" i="10" s="1"/>
  <c r="CU13" i="10" s="1"/>
  <c r="CV13" i="10" s="1"/>
  <c r="CW13" i="10" s="1"/>
  <c r="CX13" i="10" s="1"/>
  <c r="CY13" i="10" s="1"/>
  <c r="CZ13" i="10" s="1"/>
  <c r="DA13" i="10" s="1"/>
  <c r="DB13" i="10" s="1"/>
  <c r="DC13" i="10" s="1"/>
  <c r="DD13" i="10" s="1"/>
  <c r="DE13" i="10" s="1"/>
  <c r="DF13" i="10" s="1"/>
  <c r="DG13" i="10" s="1"/>
  <c r="DH13" i="10" s="1"/>
  <c r="DI13" i="10" s="1"/>
  <c r="DJ13" i="10" s="1"/>
  <c r="DK13" i="10" s="1"/>
  <c r="DL13" i="10" s="1"/>
  <c r="DM13" i="10" s="1"/>
  <c r="DN13" i="10" s="1"/>
  <c r="DO13" i="10" s="1"/>
  <c r="DP13" i="10" s="1"/>
  <c r="DQ13" i="10" s="1"/>
  <c r="DR13" i="10" s="1"/>
  <c r="DS13" i="10" s="1"/>
  <c r="DT13" i="10" s="1"/>
  <c r="DU13" i="10" s="1"/>
  <c r="DV13" i="10" s="1"/>
  <c r="DW13" i="10" s="1"/>
  <c r="DX13" i="10" s="1"/>
  <c r="DY13" i="10" s="1"/>
  <c r="DZ13" i="10" s="1"/>
  <c r="EA13" i="10" s="1"/>
  <c r="EB13" i="10" s="1"/>
  <c r="EC13" i="10" s="1"/>
  <c r="ED13" i="10" s="1"/>
  <c r="EE13" i="10" s="1"/>
  <c r="EF13" i="10" s="1"/>
  <c r="EG13" i="10" s="1"/>
  <c r="EH13" i="10" s="1"/>
  <c r="EI13" i="10" s="1"/>
  <c r="EJ13" i="10" s="1"/>
  <c r="EK13" i="10" s="1"/>
  <c r="EL13" i="10" s="1"/>
  <c r="EM13" i="10" s="1"/>
  <c r="EN13" i="10" s="1"/>
  <c r="EO13" i="10" s="1"/>
  <c r="EP13" i="10" s="1"/>
  <c r="EQ13" i="10" s="1"/>
  <c r="ER13" i="10" s="1"/>
  <c r="ES13" i="10" s="1"/>
  <c r="ET13" i="10" s="1"/>
  <c r="EU13" i="10" s="1"/>
  <c r="EV13" i="10" s="1"/>
  <c r="EW13" i="10" s="1"/>
  <c r="EX13" i="10" s="1"/>
  <c r="EY13" i="10" s="1"/>
  <c r="EZ13" i="10" s="1"/>
  <c r="FA13" i="10" s="1"/>
  <c r="FB13" i="10" s="1"/>
  <c r="FC13" i="10" s="1"/>
  <c r="FD13" i="10" s="1"/>
  <c r="FE13" i="10" s="1"/>
  <c r="FF13" i="10" s="1"/>
  <c r="FG13" i="10" s="1"/>
  <c r="FH13" i="10" s="1"/>
  <c r="FI13" i="10" s="1"/>
  <c r="FJ13" i="10" s="1"/>
  <c r="FK13" i="10" s="1"/>
  <c r="FL13" i="10" s="1"/>
  <c r="FM13" i="10" s="1"/>
  <c r="FN13" i="10" s="1"/>
  <c r="FO13" i="10" s="1"/>
  <c r="FP13" i="10" s="1"/>
  <c r="FQ13" i="10" s="1"/>
  <c r="FR13" i="10" s="1"/>
  <c r="FS13" i="10" s="1"/>
  <c r="FT13" i="10" s="1"/>
  <c r="FU13" i="10" s="1"/>
  <c r="FV13" i="10" s="1"/>
  <c r="FW13" i="10" s="1"/>
  <c r="FX13" i="10" s="1"/>
  <c r="FY13" i="10" s="1"/>
  <c r="FZ13" i="10" s="1"/>
  <c r="GA13" i="10" s="1"/>
  <c r="GB13" i="10" s="1"/>
  <c r="GC13" i="10" s="1"/>
  <c r="GD13" i="10" s="1"/>
  <c r="GE13" i="10" s="1"/>
  <c r="GF13" i="10" s="1"/>
  <c r="GG13" i="10" s="1"/>
  <c r="GH13" i="10" s="1"/>
  <c r="GI13" i="10" s="1"/>
  <c r="GJ13" i="10" s="1"/>
  <c r="GK13" i="10" s="1"/>
  <c r="GL13" i="10" s="1"/>
  <c r="GM13" i="10" s="1"/>
  <c r="GN13" i="10" s="1"/>
  <c r="GO13" i="10" s="1"/>
  <c r="BO96" i="9"/>
  <c r="BO97" i="9" s="1"/>
  <c r="BO92" i="9"/>
  <c r="BG96" i="9"/>
  <c r="BG97" i="9" s="1"/>
  <c r="BG92" i="9"/>
  <c r="AX96" i="9"/>
  <c r="AX97" i="9" s="1"/>
  <c r="AX92" i="9"/>
  <c r="AO96" i="9"/>
  <c r="AO97" i="9" s="1"/>
  <c r="AO92" i="9"/>
  <c r="AG96" i="9"/>
  <c r="AG97" i="9" s="1"/>
  <c r="AG92" i="9"/>
  <c r="BQ96" i="9"/>
  <c r="BQ97" i="9" s="1"/>
  <c r="BQ92" i="9"/>
  <c r="BI96" i="9"/>
  <c r="BI97" i="9" s="1"/>
  <c r="BI92" i="9"/>
  <c r="AZ96" i="9"/>
  <c r="AZ97" i="9" s="1"/>
  <c r="AZ92" i="9"/>
  <c r="AQ96" i="9"/>
  <c r="AQ97" i="9" s="1"/>
  <c r="AQ92" i="9"/>
  <c r="AI96" i="9"/>
  <c r="AI97" i="9" s="1"/>
  <c r="AI92" i="9"/>
  <c r="AW92" i="9"/>
  <c r="AW96" i="9"/>
  <c r="AW97" i="9" s="1"/>
  <c r="P92" i="9"/>
  <c r="P96" i="9"/>
  <c r="P97" i="9" s="1"/>
  <c r="W92" i="9"/>
  <c r="W96" i="9"/>
  <c r="W97" i="9" s="1"/>
  <c r="N92" i="9"/>
  <c r="N96" i="9"/>
  <c r="N97" i="9" s="1"/>
  <c r="F92" i="9"/>
  <c r="F96" i="9"/>
  <c r="F97" i="9" s="1"/>
  <c r="BR45" i="9"/>
  <c r="BR49" i="9"/>
  <c r="BR50" i="9" s="1"/>
  <c r="AF92" i="9"/>
  <c r="AF96" i="9"/>
  <c r="AF97" i="9" s="1"/>
  <c r="X96" i="9"/>
  <c r="X97" i="9" s="1"/>
  <c r="X92" i="9"/>
  <c r="O96" i="9"/>
  <c r="O97" i="9" s="1"/>
  <c r="O92" i="9"/>
  <c r="G96" i="9"/>
  <c r="G97" i="9" s="1"/>
  <c r="G92" i="9"/>
  <c r="U96" i="9"/>
  <c r="U97" i="9" s="1"/>
  <c r="U92" i="9"/>
  <c r="Z96" i="9"/>
  <c r="Z97" i="9" s="1"/>
  <c r="Z92" i="9"/>
  <c r="Q96" i="9"/>
  <c r="Q97" i="9" s="1"/>
  <c r="Q92" i="9"/>
  <c r="I96" i="9"/>
  <c r="I97" i="9" s="1"/>
  <c r="I92" i="9"/>
  <c r="BA92" i="9"/>
  <c r="BA96" i="9"/>
  <c r="BA97" i="9" s="1"/>
  <c r="AJ92" i="9"/>
  <c r="AJ96" i="9"/>
  <c r="AJ97" i="9" s="1"/>
  <c r="AE49" i="9"/>
  <c r="AE50" i="9" s="1"/>
  <c r="AE45" i="9"/>
  <c r="BK96" i="9"/>
  <c r="BK97" i="9" s="1"/>
  <c r="BK92" i="9"/>
  <c r="BB96" i="9"/>
  <c r="BB97" i="9" s="1"/>
  <c r="BB92" i="9"/>
  <c r="AT96" i="9"/>
  <c r="AT97" i="9" s="1"/>
  <c r="AT92" i="9"/>
  <c r="AK96" i="9"/>
  <c r="AK97" i="9" s="1"/>
  <c r="AK92" i="9"/>
  <c r="AB96" i="9"/>
  <c r="AB97" i="9" s="1"/>
  <c r="AB92" i="9"/>
  <c r="BM96" i="9"/>
  <c r="BM97" i="9" s="1"/>
  <c r="BM92" i="9"/>
  <c r="BD96" i="9"/>
  <c r="BD97" i="9" s="1"/>
  <c r="BD92" i="9"/>
  <c r="AV96" i="9"/>
  <c r="AV97" i="9" s="1"/>
  <c r="AV92" i="9"/>
  <c r="AM96" i="9"/>
  <c r="AM97" i="9" s="1"/>
  <c r="AM92" i="9"/>
  <c r="AD96" i="9"/>
  <c r="AD97" i="9" s="1"/>
  <c r="AD92" i="9"/>
  <c r="BL96" i="9"/>
  <c r="BL97" i="9" s="1"/>
  <c r="BL92" i="9"/>
  <c r="BC96" i="9"/>
  <c r="BC97" i="9" s="1"/>
  <c r="BC92" i="9"/>
  <c r="AU96" i="9"/>
  <c r="AU97" i="9" s="1"/>
  <c r="AU92" i="9"/>
  <c r="AL96" i="9"/>
  <c r="AL97" i="9" s="1"/>
  <c r="AL92" i="9"/>
  <c r="AC96" i="9"/>
  <c r="AC97" i="9" s="1"/>
  <c r="AC92" i="9"/>
  <c r="Y92" i="9"/>
  <c r="Y96" i="9"/>
  <c r="Y97" i="9" s="1"/>
  <c r="H92" i="9"/>
  <c r="H96" i="9"/>
  <c r="H97" i="9" s="1"/>
  <c r="BF92" i="9"/>
  <c r="BF96" i="9"/>
  <c r="BF97" i="9" s="1"/>
  <c r="BJ96" i="9"/>
  <c r="BJ97" i="9" s="1"/>
  <c r="BJ92" i="9"/>
  <c r="AS96" i="9"/>
  <c r="AS97" i="9" s="1"/>
  <c r="AS92" i="9"/>
  <c r="AA96" i="9"/>
  <c r="AA97" i="9" s="1"/>
  <c r="AA92" i="9"/>
  <c r="J96" i="9"/>
  <c r="J97" i="9" s="1"/>
  <c r="J92" i="9"/>
  <c r="BP92" i="9"/>
  <c r="BP96" i="9"/>
  <c r="BP97" i="9" s="1"/>
  <c r="BH92" i="9"/>
  <c r="BH96" i="9"/>
  <c r="BH97" i="9" s="1"/>
  <c r="AY92" i="9"/>
  <c r="AY96" i="9"/>
  <c r="AY97" i="9" s="1"/>
  <c r="AP92" i="9"/>
  <c r="AP96" i="9"/>
  <c r="AP97" i="9" s="1"/>
  <c r="AH92" i="9"/>
  <c r="AH96" i="9"/>
  <c r="AH97" i="9" s="1"/>
  <c r="BN92" i="9"/>
  <c r="BN96" i="9"/>
  <c r="BN97" i="9" s="1"/>
  <c r="T96" i="9"/>
  <c r="T97" i="9" s="1"/>
  <c r="T92" i="9"/>
  <c r="K96" i="9"/>
  <c r="K97" i="9" s="1"/>
  <c r="K92" i="9"/>
  <c r="AN92" i="9"/>
  <c r="AN96" i="9"/>
  <c r="AN97" i="9" s="1"/>
  <c r="L96" i="9"/>
  <c r="L97" i="9" s="1"/>
  <c r="L92" i="9"/>
  <c r="V96" i="9"/>
  <c r="V97" i="9" s="1"/>
  <c r="V92" i="9"/>
  <c r="M96" i="9"/>
  <c r="M97" i="9" s="1"/>
  <c r="M92" i="9"/>
  <c r="S92" i="9"/>
  <c r="S96" i="9"/>
  <c r="S97" i="9" s="1"/>
  <c r="AR45" i="9"/>
  <c r="AR49" i="9"/>
  <c r="AR50" i="9" s="1"/>
  <c r="R45" i="9"/>
  <c r="R49" i="9"/>
  <c r="R50" i="9" s="1"/>
  <c r="BE49" i="9"/>
  <c r="BE50" i="9" s="1"/>
  <c r="BE45" i="9"/>
  <c r="BE34" i="7"/>
  <c r="AE29" i="7"/>
  <c r="R29" i="7"/>
  <c r="BR29" i="7"/>
  <c r="BR34" i="7" s="1"/>
  <c r="R34" i="7"/>
  <c r="AE34" i="7"/>
  <c r="AR29" i="7"/>
  <c r="AR34" i="7" s="1"/>
  <c r="AE34" i="6"/>
  <c r="AE35" i="6" s="1"/>
  <c r="AC97" i="6"/>
  <c r="AL97" i="6"/>
  <c r="AU97" i="6"/>
  <c r="BC97" i="6"/>
  <c r="BL97" i="6"/>
  <c r="AR32" i="6"/>
  <c r="AR39" i="6" s="1"/>
  <c r="AR40" i="6" s="1"/>
  <c r="AE32" i="6"/>
  <c r="AE39" i="6" s="1"/>
  <c r="AE44" i="6" s="1"/>
  <c r="AD97" i="6"/>
  <c r="AM97" i="6"/>
  <c r="AV97" i="6"/>
  <c r="BD97" i="6"/>
  <c r="BM97" i="6"/>
  <c r="BR34" i="6"/>
  <c r="BR35" i="6" s="1"/>
  <c r="R32" i="6"/>
  <c r="R39" i="6" s="1"/>
  <c r="R44" i="6" s="1"/>
  <c r="BR32" i="6"/>
  <c r="BR39" i="6" s="1"/>
  <c r="BE32" i="6"/>
  <c r="BE39" i="6" s="1"/>
  <c r="BE44" i="6" s="1"/>
  <c r="H87" i="6"/>
  <c r="H91" i="6"/>
  <c r="L91" i="6"/>
  <c r="L87" i="6"/>
  <c r="P87" i="6"/>
  <c r="P91" i="6"/>
  <c r="U91" i="6"/>
  <c r="U87" i="6"/>
  <c r="Y87" i="6"/>
  <c r="Y91" i="6"/>
  <c r="AH87" i="6"/>
  <c r="AH91" i="6"/>
  <c r="AP87" i="6"/>
  <c r="AP91" i="6"/>
  <c r="AY87" i="6"/>
  <c r="AY91" i="6"/>
  <c r="BH87" i="6"/>
  <c r="BH91" i="6"/>
  <c r="BP87" i="6"/>
  <c r="BP91" i="6"/>
  <c r="AR44" i="6"/>
  <c r="AE40" i="6"/>
  <c r="I87" i="6"/>
  <c r="I91" i="6"/>
  <c r="M91" i="6"/>
  <c r="M87" i="6"/>
  <c r="Q87" i="6"/>
  <c r="Q91" i="6"/>
  <c r="V91" i="6"/>
  <c r="V87" i="6"/>
  <c r="Z87" i="6"/>
  <c r="Z91" i="6"/>
  <c r="AI87" i="6"/>
  <c r="AI91" i="6"/>
  <c r="AZ87" i="6"/>
  <c r="AZ91" i="6"/>
  <c r="BQ87" i="6"/>
  <c r="BQ91" i="6"/>
  <c r="AQ92" i="6"/>
  <c r="AQ96" i="6"/>
  <c r="AQ97" i="6" s="1"/>
  <c r="R40" i="6"/>
  <c r="BR44" i="6"/>
  <c r="BR40" i="6"/>
  <c r="BE40" i="6"/>
  <c r="BI92" i="6"/>
  <c r="BI96" i="6"/>
  <c r="BI97" i="6" s="1"/>
  <c r="AL87" i="6"/>
  <c r="BC87" i="6"/>
  <c r="AC92" i="6"/>
  <c r="AU92" i="6"/>
  <c r="BL92" i="6"/>
  <c r="BM81" i="6"/>
  <c r="BM82" i="6" s="1"/>
  <c r="AM87" i="6"/>
  <c r="BD87" i="6"/>
  <c r="AD92" i="6"/>
  <c r="AV92" i="6"/>
  <c r="BM92" i="6"/>
  <c r="F91" i="6"/>
  <c r="F87" i="6"/>
  <c r="J91" i="6"/>
  <c r="J87" i="6"/>
  <c r="N91" i="6"/>
  <c r="N87" i="6"/>
  <c r="S91" i="6"/>
  <c r="S87" i="6"/>
  <c r="W91" i="6"/>
  <c r="W87" i="6"/>
  <c r="AC87" i="6"/>
  <c r="AU87" i="6"/>
  <c r="BL87" i="6"/>
  <c r="AL92" i="6"/>
  <c r="BC92" i="6"/>
  <c r="G91" i="6"/>
  <c r="G87" i="6"/>
  <c r="K91" i="6"/>
  <c r="K87" i="6"/>
  <c r="O91" i="6"/>
  <c r="O87" i="6"/>
  <c r="T91" i="6"/>
  <c r="T87" i="6"/>
  <c r="X91" i="6"/>
  <c r="X87" i="6"/>
  <c r="AQ87" i="6"/>
  <c r="BI87" i="6"/>
  <c r="AD87" i="6"/>
  <c r="AV87" i="6"/>
  <c r="AM92" i="6"/>
  <c r="BD92" i="6"/>
  <c r="AA91" i="6"/>
  <c r="AA87" i="6"/>
  <c r="AF91" i="6"/>
  <c r="AF87" i="6"/>
  <c r="AJ91" i="6"/>
  <c r="AJ87" i="6"/>
  <c r="AN91" i="6"/>
  <c r="AN87" i="6"/>
  <c r="AS91" i="6"/>
  <c r="AS87" i="6"/>
  <c r="AW91" i="6"/>
  <c r="AW87" i="6"/>
  <c r="BA91" i="6"/>
  <c r="BA87" i="6"/>
  <c r="BF91" i="6"/>
  <c r="BF87" i="6"/>
  <c r="BJ91" i="6"/>
  <c r="BJ87" i="6"/>
  <c r="BN91" i="6"/>
  <c r="BN87" i="6"/>
  <c r="AB91" i="6"/>
  <c r="AB87" i="6"/>
  <c r="AG91" i="6"/>
  <c r="AG87" i="6"/>
  <c r="AK91" i="6"/>
  <c r="AK87" i="6"/>
  <c r="AO91" i="6"/>
  <c r="AO87" i="6"/>
  <c r="AT91" i="6"/>
  <c r="AT87" i="6"/>
  <c r="AX91" i="6"/>
  <c r="AX87" i="6"/>
  <c r="BB91" i="6"/>
  <c r="BB87" i="6"/>
  <c r="BG91" i="6"/>
  <c r="BG87" i="6"/>
  <c r="BK91" i="6"/>
  <c r="BK87" i="6"/>
  <c r="BO91" i="6"/>
  <c r="BO87" i="6"/>
  <c r="M15" i="29" l="1"/>
  <c r="M14" i="29"/>
  <c r="N13" i="29"/>
  <c r="L20" i="29"/>
  <c r="L16" i="29"/>
  <c r="L19" i="29" s="1"/>
  <c r="I11" i="29"/>
  <c r="I23" i="28"/>
  <c r="I18" i="28"/>
  <c r="I17" i="28"/>
  <c r="I12" i="28"/>
  <c r="L14" i="28"/>
  <c r="M13" i="28"/>
  <c r="L15" i="28"/>
  <c r="K20" i="28"/>
  <c r="K16" i="28"/>
  <c r="K19" i="28" s="1"/>
  <c r="I23" i="27"/>
  <c r="I17" i="27"/>
  <c r="I18" i="27"/>
  <c r="I12" i="27"/>
  <c r="M14" i="27"/>
  <c r="M15" i="27" s="1"/>
  <c r="N13" i="27"/>
  <c r="L20" i="27"/>
  <c r="L16" i="27"/>
  <c r="L19" i="27" s="1"/>
  <c r="M14" i="26"/>
  <c r="M15" i="26" s="1"/>
  <c r="N13" i="26"/>
  <c r="L20" i="26"/>
  <c r="L16" i="26"/>
  <c r="L19" i="26" s="1"/>
  <c r="H21" i="26"/>
  <c r="I11" i="26"/>
  <c r="I23" i="25"/>
  <c r="I18" i="25"/>
  <c r="I17" i="25"/>
  <c r="I12" i="25"/>
  <c r="L14" i="25"/>
  <c r="L15" i="25" s="1"/>
  <c r="M13" i="25"/>
  <c r="K20" i="25"/>
  <c r="K16" i="25"/>
  <c r="K19" i="25" s="1"/>
  <c r="I23" i="24"/>
  <c r="I17" i="24"/>
  <c r="I18" i="24"/>
  <c r="I12" i="24"/>
  <c r="M14" i="24"/>
  <c r="N13" i="24"/>
  <c r="L20" i="24"/>
  <c r="L16" i="24"/>
  <c r="L19" i="24" s="1"/>
  <c r="L20" i="23"/>
  <c r="L16" i="23"/>
  <c r="L19" i="23" s="1"/>
  <c r="M14" i="23"/>
  <c r="M15" i="23" s="1"/>
  <c r="N13" i="23"/>
  <c r="I23" i="23"/>
  <c r="I17" i="23"/>
  <c r="I18" i="23"/>
  <c r="I12" i="23"/>
  <c r="J17" i="20"/>
  <c r="J12" i="20"/>
  <c r="K11" i="20" s="1"/>
  <c r="K17" i="18"/>
  <c r="K12" i="18"/>
  <c r="L11" i="18" s="1"/>
  <c r="R34" i="14"/>
  <c r="R35" i="14" s="1"/>
  <c r="R40" i="14"/>
  <c r="R45" i="14"/>
  <c r="F81" i="14"/>
  <c r="F82" i="14" s="1"/>
  <c r="F87" i="14"/>
  <c r="F92" i="14"/>
  <c r="I17" i="10"/>
  <c r="I12" i="10"/>
  <c r="J11" i="10" s="1"/>
  <c r="R34" i="6"/>
  <c r="R35" i="6" s="1"/>
  <c r="BE34" i="6"/>
  <c r="BE35" i="6" s="1"/>
  <c r="AR34" i="6"/>
  <c r="AR35" i="6" s="1"/>
  <c r="S96" i="6"/>
  <c r="S97" i="6" s="1"/>
  <c r="S92" i="6"/>
  <c r="J96" i="6"/>
  <c r="J97" i="6" s="1"/>
  <c r="J92" i="6"/>
  <c r="BQ92" i="6"/>
  <c r="BQ96" i="6"/>
  <c r="BQ97" i="6" s="1"/>
  <c r="AI92" i="6"/>
  <c r="AI96" i="6"/>
  <c r="AI97" i="6" s="1"/>
  <c r="BP92" i="6"/>
  <c r="BP96" i="6"/>
  <c r="BP97" i="6" s="1"/>
  <c r="AY92" i="6"/>
  <c r="AY96" i="6"/>
  <c r="AY97" i="6" s="1"/>
  <c r="AH92" i="6"/>
  <c r="AH96" i="6"/>
  <c r="AH97" i="6" s="1"/>
  <c r="BO96" i="6"/>
  <c r="BO97" i="6" s="1"/>
  <c r="BO92" i="6"/>
  <c r="BG96" i="6"/>
  <c r="BG97" i="6" s="1"/>
  <c r="BG92" i="6"/>
  <c r="AX96" i="6"/>
  <c r="AX97" i="6" s="1"/>
  <c r="AX92" i="6"/>
  <c r="AO96" i="6"/>
  <c r="AO97" i="6" s="1"/>
  <c r="AO92" i="6"/>
  <c r="AG96" i="6"/>
  <c r="AG97" i="6" s="1"/>
  <c r="AG92" i="6"/>
  <c r="BN96" i="6"/>
  <c r="BN97" i="6" s="1"/>
  <c r="BN92" i="6"/>
  <c r="BF96" i="6"/>
  <c r="BF97" i="6" s="1"/>
  <c r="BF92" i="6"/>
  <c r="AW96" i="6"/>
  <c r="AW97" i="6" s="1"/>
  <c r="AW92" i="6"/>
  <c r="AN96" i="6"/>
  <c r="AN97" i="6" s="1"/>
  <c r="AN92" i="6"/>
  <c r="AF96" i="6"/>
  <c r="AF97" i="6" s="1"/>
  <c r="AF92" i="6"/>
  <c r="T96" i="6"/>
  <c r="T97" i="6" s="1"/>
  <c r="T92" i="6"/>
  <c r="K96" i="6"/>
  <c r="K97" i="6" s="1"/>
  <c r="K92" i="6"/>
  <c r="BE49" i="6"/>
  <c r="BE50" i="6" s="1"/>
  <c r="BE45" i="6"/>
  <c r="R45" i="6"/>
  <c r="R49" i="6"/>
  <c r="R50" i="6" s="1"/>
  <c r="V96" i="6"/>
  <c r="V97" i="6" s="1"/>
  <c r="V92" i="6"/>
  <c r="M96" i="6"/>
  <c r="M97" i="6" s="1"/>
  <c r="M92" i="6"/>
  <c r="AE45" i="6"/>
  <c r="AE49" i="6"/>
  <c r="AE50" i="6" s="1"/>
  <c r="U96" i="6"/>
  <c r="U97" i="6" s="1"/>
  <c r="U92" i="6"/>
  <c r="L96" i="6"/>
  <c r="L97" i="6" s="1"/>
  <c r="L92" i="6"/>
  <c r="W96" i="6"/>
  <c r="W97" i="6" s="1"/>
  <c r="W92" i="6"/>
  <c r="N96" i="6"/>
  <c r="N97" i="6" s="1"/>
  <c r="N92" i="6"/>
  <c r="F96" i="6"/>
  <c r="F97" i="6" s="1"/>
  <c r="F92" i="6"/>
  <c r="AZ92" i="6"/>
  <c r="AZ96" i="6"/>
  <c r="AZ97" i="6" s="1"/>
  <c r="Z92" i="6"/>
  <c r="Z96" i="6"/>
  <c r="Z97" i="6" s="1"/>
  <c r="Q92" i="6"/>
  <c r="Q96" i="6"/>
  <c r="Q97" i="6" s="1"/>
  <c r="I92" i="6"/>
  <c r="I96" i="6"/>
  <c r="I97" i="6" s="1"/>
  <c r="AR49" i="6"/>
  <c r="AR50" i="6" s="1"/>
  <c r="AR45" i="6"/>
  <c r="BH92" i="6"/>
  <c r="BH96" i="6"/>
  <c r="BH97" i="6" s="1"/>
  <c r="AP92" i="6"/>
  <c r="AP96" i="6"/>
  <c r="AP97" i="6" s="1"/>
  <c r="Y92" i="6"/>
  <c r="Y96" i="6"/>
  <c r="Y97" i="6" s="1"/>
  <c r="P92" i="6"/>
  <c r="P96" i="6"/>
  <c r="P97" i="6" s="1"/>
  <c r="H92" i="6"/>
  <c r="H96" i="6"/>
  <c r="H97" i="6" s="1"/>
  <c r="BK96" i="6"/>
  <c r="BK97" i="6" s="1"/>
  <c r="BK92" i="6"/>
  <c r="BB96" i="6"/>
  <c r="BB97" i="6" s="1"/>
  <c r="BB92" i="6"/>
  <c r="AT96" i="6"/>
  <c r="AT97" i="6" s="1"/>
  <c r="AT92" i="6"/>
  <c r="AK96" i="6"/>
  <c r="AK97" i="6" s="1"/>
  <c r="AK92" i="6"/>
  <c r="AB96" i="6"/>
  <c r="AB97" i="6" s="1"/>
  <c r="AB92" i="6"/>
  <c r="BJ96" i="6"/>
  <c r="BJ97" i="6" s="1"/>
  <c r="BJ92" i="6"/>
  <c r="BA96" i="6"/>
  <c r="BA97" i="6" s="1"/>
  <c r="BA92" i="6"/>
  <c r="AS96" i="6"/>
  <c r="AS97" i="6" s="1"/>
  <c r="AS92" i="6"/>
  <c r="AJ96" i="6"/>
  <c r="AJ97" i="6" s="1"/>
  <c r="AJ92" i="6"/>
  <c r="AA96" i="6"/>
  <c r="AA97" i="6" s="1"/>
  <c r="AA92" i="6"/>
  <c r="X96" i="6"/>
  <c r="X97" i="6" s="1"/>
  <c r="X92" i="6"/>
  <c r="O96" i="6"/>
  <c r="O97" i="6" s="1"/>
  <c r="O92" i="6"/>
  <c r="G96" i="6"/>
  <c r="G97" i="6" s="1"/>
  <c r="G92" i="6"/>
  <c r="BR45" i="6"/>
  <c r="BR49" i="6"/>
  <c r="BR50" i="6" s="1"/>
  <c r="I23" i="29" l="1"/>
  <c r="I17" i="29"/>
  <c r="I18" i="29"/>
  <c r="I12" i="29"/>
  <c r="N14" i="29"/>
  <c r="O13" i="29"/>
  <c r="M20" i="29"/>
  <c r="M16" i="29"/>
  <c r="M19" i="29" s="1"/>
  <c r="L20" i="28"/>
  <c r="L16" i="28"/>
  <c r="L19" i="28" s="1"/>
  <c r="M14" i="28"/>
  <c r="M15" i="28" s="1"/>
  <c r="N13" i="28"/>
  <c r="I21" i="28"/>
  <c r="J11" i="28"/>
  <c r="N14" i="27"/>
  <c r="N15" i="27" s="1"/>
  <c r="O13" i="27"/>
  <c r="M20" i="27"/>
  <c r="M16" i="27"/>
  <c r="M19" i="27" s="1"/>
  <c r="I21" i="27"/>
  <c r="J11" i="27"/>
  <c r="I23" i="26"/>
  <c r="I17" i="26"/>
  <c r="I18" i="26"/>
  <c r="I12" i="26"/>
  <c r="N14" i="26"/>
  <c r="N15" i="26" s="1"/>
  <c r="O13" i="26"/>
  <c r="M20" i="26"/>
  <c r="M16" i="26"/>
  <c r="M19" i="26" s="1"/>
  <c r="M14" i="25"/>
  <c r="M15" i="25" s="1"/>
  <c r="N13" i="25"/>
  <c r="L20" i="25"/>
  <c r="L16" i="25"/>
  <c r="L19" i="25" s="1"/>
  <c r="I21" i="25"/>
  <c r="J11" i="25"/>
  <c r="M20" i="24"/>
  <c r="M16" i="24"/>
  <c r="N14" i="24"/>
  <c r="N15" i="24" s="1"/>
  <c r="O13" i="24"/>
  <c r="M15" i="24"/>
  <c r="I21" i="24"/>
  <c r="J11" i="24"/>
  <c r="M20" i="23"/>
  <c r="M16" i="23"/>
  <c r="M19" i="23" s="1"/>
  <c r="I21" i="23"/>
  <c r="J11" i="23"/>
  <c r="N14" i="23"/>
  <c r="N15" i="23" s="1"/>
  <c r="O13" i="23"/>
  <c r="K17" i="20"/>
  <c r="K12" i="20"/>
  <c r="L11" i="20" s="1"/>
  <c r="L17" i="18"/>
  <c r="L12" i="18"/>
  <c r="M11" i="18" s="1"/>
  <c r="J17" i="10"/>
  <c r="J12" i="10"/>
  <c r="K11" i="10" s="1"/>
  <c r="N16" i="29" l="1"/>
  <c r="N20" i="29"/>
  <c r="J11" i="29"/>
  <c r="O15" i="29"/>
  <c r="O14" i="29"/>
  <c r="P13" i="29"/>
  <c r="N15" i="29"/>
  <c r="N19" i="29" s="1"/>
  <c r="J23" i="28"/>
  <c r="J18" i="28"/>
  <c r="J17" i="28"/>
  <c r="J12" i="28"/>
  <c r="N14" i="28"/>
  <c r="O13" i="28"/>
  <c r="N15" i="28"/>
  <c r="M20" i="28"/>
  <c r="M16" i="28"/>
  <c r="M19" i="28" s="1"/>
  <c r="M19" i="24"/>
  <c r="J23" i="27"/>
  <c r="J18" i="27"/>
  <c r="J17" i="27"/>
  <c r="J12" i="27"/>
  <c r="O14" i="27"/>
  <c r="O15" i="27" s="1"/>
  <c r="P13" i="27"/>
  <c r="N20" i="27"/>
  <c r="N16" i="27"/>
  <c r="N19" i="27" s="1"/>
  <c r="O14" i="26"/>
  <c r="O15" i="26" s="1"/>
  <c r="P13" i="26"/>
  <c r="N16" i="26"/>
  <c r="N19" i="26" s="1"/>
  <c r="N20" i="26"/>
  <c r="I21" i="26"/>
  <c r="J11" i="26"/>
  <c r="J23" i="25"/>
  <c r="J17" i="25"/>
  <c r="J18" i="25"/>
  <c r="J12" i="25"/>
  <c r="N14" i="25"/>
  <c r="N15" i="25" s="1"/>
  <c r="O13" i="25"/>
  <c r="M20" i="25"/>
  <c r="M16" i="25"/>
  <c r="M19" i="25" s="1"/>
  <c r="J23" i="24"/>
  <c r="J18" i="24"/>
  <c r="J17" i="24"/>
  <c r="J12" i="24"/>
  <c r="O15" i="24"/>
  <c r="O14" i="24"/>
  <c r="P13" i="24"/>
  <c r="N20" i="24"/>
  <c r="N16" i="24"/>
  <c r="N19" i="24" s="1"/>
  <c r="O14" i="23"/>
  <c r="P13" i="23"/>
  <c r="J23" i="23"/>
  <c r="J18" i="23"/>
  <c r="J17" i="23"/>
  <c r="J12" i="23"/>
  <c r="N20" i="23"/>
  <c r="N16" i="23"/>
  <c r="N19" i="23" s="1"/>
  <c r="L17" i="20"/>
  <c r="L12" i="20"/>
  <c r="M11" i="20" s="1"/>
  <c r="M17" i="18"/>
  <c r="M12" i="18"/>
  <c r="N11" i="18" s="1"/>
  <c r="K17" i="10"/>
  <c r="K12" i="10"/>
  <c r="L11" i="10" s="1"/>
  <c r="O20" i="29" l="1"/>
  <c r="O16" i="29"/>
  <c r="J23" i="29"/>
  <c r="J18" i="29"/>
  <c r="J17" i="29"/>
  <c r="J12" i="29"/>
  <c r="P14" i="29"/>
  <c r="Q13" i="29"/>
  <c r="O19" i="29"/>
  <c r="N20" i="28"/>
  <c r="N16" i="28"/>
  <c r="N19" i="28" s="1"/>
  <c r="O14" i="28"/>
  <c r="O15" i="28" s="1"/>
  <c r="P13" i="28"/>
  <c r="J21" i="28"/>
  <c r="K11" i="28"/>
  <c r="P14" i="27"/>
  <c r="P15" i="27" s="1"/>
  <c r="Q13" i="27"/>
  <c r="O20" i="27"/>
  <c r="O16" i="27"/>
  <c r="O19" i="27" s="1"/>
  <c r="J21" i="27"/>
  <c r="K11" i="27"/>
  <c r="J23" i="26"/>
  <c r="J18" i="26"/>
  <c r="J17" i="26"/>
  <c r="J12" i="26"/>
  <c r="O20" i="26"/>
  <c r="O16" i="26"/>
  <c r="O19" i="26" s="1"/>
  <c r="P14" i="26"/>
  <c r="Q13" i="26"/>
  <c r="O14" i="25"/>
  <c r="O15" i="25" s="1"/>
  <c r="P13" i="25"/>
  <c r="N20" i="25"/>
  <c r="N16" i="25"/>
  <c r="N19" i="25" s="1"/>
  <c r="J21" i="25"/>
  <c r="K11" i="25"/>
  <c r="P14" i="24"/>
  <c r="P15" i="24" s="1"/>
  <c r="Q13" i="24"/>
  <c r="O20" i="24"/>
  <c r="O16" i="24"/>
  <c r="O19" i="24" s="1"/>
  <c r="J21" i="24"/>
  <c r="K11" i="24"/>
  <c r="O20" i="23"/>
  <c r="O16" i="23"/>
  <c r="J21" i="23"/>
  <c r="K11" i="23"/>
  <c r="P14" i="23"/>
  <c r="P15" i="23" s="1"/>
  <c r="Q13" i="23"/>
  <c r="O15" i="23"/>
  <c r="M17" i="20"/>
  <c r="M12" i="20"/>
  <c r="N11" i="20" s="1"/>
  <c r="N17" i="18"/>
  <c r="N12" i="18"/>
  <c r="O11" i="18" s="1"/>
  <c r="L17" i="10"/>
  <c r="L12" i="10"/>
  <c r="M11" i="10" s="1"/>
  <c r="P20" i="29" l="1"/>
  <c r="P16" i="29"/>
  <c r="K11" i="29"/>
  <c r="Q15" i="29"/>
  <c r="Q14" i="29"/>
  <c r="R13" i="29"/>
  <c r="P15" i="29"/>
  <c r="P19" i="29" s="1"/>
  <c r="K23" i="28"/>
  <c r="K18" i="28"/>
  <c r="K17" i="28"/>
  <c r="K12" i="28"/>
  <c r="P14" i="28"/>
  <c r="Q13" i="28"/>
  <c r="P15" i="28"/>
  <c r="O20" i="28"/>
  <c r="O16" i="28"/>
  <c r="O19" i="28" s="1"/>
  <c r="K23" i="27"/>
  <c r="K17" i="27"/>
  <c r="K18" i="27"/>
  <c r="K12" i="27"/>
  <c r="Q14" i="27"/>
  <c r="Q15" i="27" s="1"/>
  <c r="R13" i="27"/>
  <c r="P20" i="27"/>
  <c r="P16" i="27"/>
  <c r="P19" i="27" s="1"/>
  <c r="P20" i="26"/>
  <c r="P16" i="26"/>
  <c r="J21" i="26"/>
  <c r="K11" i="26"/>
  <c r="Q14" i="26"/>
  <c r="Q15" i="26" s="1"/>
  <c r="R13" i="26"/>
  <c r="P15" i="26"/>
  <c r="P19" i="26" s="1"/>
  <c r="K23" i="25"/>
  <c r="K18" i="25"/>
  <c r="K17" i="25"/>
  <c r="K12" i="25"/>
  <c r="P14" i="25"/>
  <c r="P15" i="25" s="1"/>
  <c r="Q13" i="25"/>
  <c r="O20" i="25"/>
  <c r="O16" i="25"/>
  <c r="O19" i="25" s="1"/>
  <c r="K23" i="24"/>
  <c r="K17" i="24"/>
  <c r="K18" i="24"/>
  <c r="K12" i="24"/>
  <c r="Q14" i="24"/>
  <c r="Q15" i="24" s="1"/>
  <c r="R13" i="24"/>
  <c r="P20" i="24"/>
  <c r="P16" i="24"/>
  <c r="P19" i="24" s="1"/>
  <c r="P20" i="23"/>
  <c r="P16" i="23"/>
  <c r="P19" i="23" s="1"/>
  <c r="O19" i="23"/>
  <c r="Q14" i="23"/>
  <c r="Q15" i="23" s="1"/>
  <c r="R13" i="23"/>
  <c r="K23" i="23"/>
  <c r="K17" i="23"/>
  <c r="K18" i="23"/>
  <c r="K12" i="23"/>
  <c r="N17" i="20"/>
  <c r="N12" i="20"/>
  <c r="O11" i="20" s="1"/>
  <c r="O17" i="18"/>
  <c r="O12" i="18"/>
  <c r="P11" i="18" s="1"/>
  <c r="M17" i="10"/>
  <c r="M12" i="10"/>
  <c r="N11" i="10" s="1"/>
  <c r="Q20" i="29" l="1"/>
  <c r="Q16" i="29"/>
  <c r="K23" i="29"/>
  <c r="K17" i="29"/>
  <c r="K18" i="29"/>
  <c r="K12" i="29"/>
  <c r="R15" i="29"/>
  <c r="R14" i="29"/>
  <c r="S13" i="29"/>
  <c r="Q19" i="29"/>
  <c r="P20" i="28"/>
  <c r="P16" i="28"/>
  <c r="P19" i="28" s="1"/>
  <c r="Q14" i="28"/>
  <c r="Q15" i="28" s="1"/>
  <c r="R13" i="28"/>
  <c r="K21" i="28"/>
  <c r="L11" i="28"/>
  <c r="Q20" i="27"/>
  <c r="Q16" i="27"/>
  <c r="K21" i="27"/>
  <c r="L11" i="27"/>
  <c r="R14" i="27"/>
  <c r="R15" i="27" s="1"/>
  <c r="S13" i="27"/>
  <c r="Q19" i="27"/>
  <c r="Q20" i="26"/>
  <c r="Q16" i="26"/>
  <c r="Q19" i="26" s="1"/>
  <c r="K23" i="26"/>
  <c r="K17" i="26"/>
  <c r="K18" i="26"/>
  <c r="K12" i="26"/>
  <c r="R14" i="26"/>
  <c r="R15" i="26" s="1"/>
  <c r="S13" i="26"/>
  <c r="Q14" i="25"/>
  <c r="Q15" i="25" s="1"/>
  <c r="R13" i="25"/>
  <c r="P20" i="25"/>
  <c r="P16" i="25"/>
  <c r="P19" i="25" s="1"/>
  <c r="K21" i="25"/>
  <c r="L11" i="25"/>
  <c r="R14" i="24"/>
  <c r="R15" i="24" s="1"/>
  <c r="S13" i="24"/>
  <c r="K21" i="24"/>
  <c r="L11" i="24"/>
  <c r="Q20" i="24"/>
  <c r="Q16" i="24"/>
  <c r="Q19" i="24" s="1"/>
  <c r="K21" i="23"/>
  <c r="L11" i="23"/>
  <c r="R14" i="23"/>
  <c r="R15" i="23" s="1"/>
  <c r="S13" i="23"/>
  <c r="Q20" i="23"/>
  <c r="Q16" i="23"/>
  <c r="Q19" i="23" s="1"/>
  <c r="O17" i="20"/>
  <c r="O12" i="20"/>
  <c r="P11" i="20" s="1"/>
  <c r="P17" i="18"/>
  <c r="P12" i="18"/>
  <c r="Q11" i="18" s="1"/>
  <c r="N17" i="10"/>
  <c r="N12" i="10"/>
  <c r="O11" i="10" s="1"/>
  <c r="R16" i="29" l="1"/>
  <c r="R20" i="29"/>
  <c r="L11" i="29"/>
  <c r="S14" i="29"/>
  <c r="T13" i="29"/>
  <c r="R19" i="29"/>
  <c r="L23" i="28"/>
  <c r="L18" i="28"/>
  <c r="L17" i="28"/>
  <c r="L12" i="28"/>
  <c r="R14" i="28"/>
  <c r="S13" i="28"/>
  <c r="R15" i="28"/>
  <c r="Q20" i="28"/>
  <c r="Q16" i="28"/>
  <c r="Q19" i="28" s="1"/>
  <c r="L23" i="27"/>
  <c r="L18" i="27"/>
  <c r="L17" i="27"/>
  <c r="L12" i="27"/>
  <c r="S14" i="27"/>
  <c r="S15" i="27" s="1"/>
  <c r="T13" i="27"/>
  <c r="R20" i="27"/>
  <c r="R16" i="27"/>
  <c r="R19" i="27" s="1"/>
  <c r="R16" i="26"/>
  <c r="R19" i="26" s="1"/>
  <c r="R20" i="26"/>
  <c r="K21" i="26"/>
  <c r="L11" i="26"/>
  <c r="S15" i="26"/>
  <c r="S14" i="26"/>
  <c r="T13" i="26"/>
  <c r="L23" i="25"/>
  <c r="L17" i="25"/>
  <c r="L18" i="25"/>
  <c r="L12" i="25"/>
  <c r="R14" i="25"/>
  <c r="R15" i="25" s="1"/>
  <c r="S13" i="25"/>
  <c r="Q20" i="25"/>
  <c r="Q16" i="25"/>
  <c r="Q19" i="25" s="1"/>
  <c r="L23" i="24"/>
  <c r="L18" i="24"/>
  <c r="L17" i="24"/>
  <c r="L12" i="24"/>
  <c r="S14" i="24"/>
  <c r="T13" i="24"/>
  <c r="R20" i="24"/>
  <c r="R16" i="24"/>
  <c r="R19" i="24" s="1"/>
  <c r="R20" i="23"/>
  <c r="R16" i="23"/>
  <c r="R19" i="23" s="1"/>
  <c r="S14" i="23"/>
  <c r="S15" i="23" s="1"/>
  <c r="T13" i="23"/>
  <c r="L23" i="23"/>
  <c r="L18" i="23"/>
  <c r="L17" i="23"/>
  <c r="L12" i="23"/>
  <c r="P17" i="20"/>
  <c r="P12" i="20"/>
  <c r="Q11" i="20" s="1"/>
  <c r="Q17" i="18"/>
  <c r="Q12" i="18"/>
  <c r="R11" i="18" s="1"/>
  <c r="O17" i="10"/>
  <c r="O12" i="10"/>
  <c r="P11" i="10" s="1"/>
  <c r="S20" i="29" l="1"/>
  <c r="S16" i="29"/>
  <c r="L23" i="29"/>
  <c r="L18" i="29"/>
  <c r="L17" i="29"/>
  <c r="L12" i="29"/>
  <c r="T14" i="29"/>
  <c r="U13" i="29"/>
  <c r="S15" i="29"/>
  <c r="S19" i="29" s="1"/>
  <c r="R20" i="28"/>
  <c r="R16" i="28"/>
  <c r="R19" i="28" s="1"/>
  <c r="S14" i="28"/>
  <c r="S15" i="28" s="1"/>
  <c r="T13" i="28"/>
  <c r="L21" i="28"/>
  <c r="M11" i="28"/>
  <c r="T14" i="27"/>
  <c r="T15" i="27" s="1"/>
  <c r="U13" i="27"/>
  <c r="S20" i="27"/>
  <c r="S16" i="27"/>
  <c r="S19" i="27" s="1"/>
  <c r="L21" i="27"/>
  <c r="M11" i="27"/>
  <c r="S20" i="26"/>
  <c r="S16" i="26"/>
  <c r="L23" i="26"/>
  <c r="L18" i="26"/>
  <c r="L17" i="26"/>
  <c r="L12" i="26"/>
  <c r="T14" i="26"/>
  <c r="T15" i="26" s="1"/>
  <c r="U13" i="26"/>
  <c r="S19" i="26"/>
  <c r="S14" i="25"/>
  <c r="S15" i="25" s="1"/>
  <c r="T13" i="25"/>
  <c r="R20" i="25"/>
  <c r="R16" i="25"/>
  <c r="R19" i="25" s="1"/>
  <c r="L21" i="25"/>
  <c r="M11" i="25"/>
  <c r="S20" i="24"/>
  <c r="S16" i="24"/>
  <c r="L21" i="24"/>
  <c r="M11" i="24"/>
  <c r="T14" i="24"/>
  <c r="T15" i="24" s="1"/>
  <c r="U13" i="24"/>
  <c r="S15" i="24"/>
  <c r="S19" i="24" s="1"/>
  <c r="S20" i="23"/>
  <c r="S16" i="23"/>
  <c r="S19" i="23" s="1"/>
  <c r="L21" i="23"/>
  <c r="M11" i="23"/>
  <c r="T14" i="23"/>
  <c r="T15" i="23" s="1"/>
  <c r="U13" i="23"/>
  <c r="Q17" i="20"/>
  <c r="Q12" i="20"/>
  <c r="R11" i="20" s="1"/>
  <c r="R17" i="18"/>
  <c r="R12" i="18"/>
  <c r="S11" i="18" s="1"/>
  <c r="P17" i="10"/>
  <c r="P12" i="10"/>
  <c r="Q11" i="10" s="1"/>
  <c r="T20" i="29" l="1"/>
  <c r="T16" i="29"/>
  <c r="M11" i="29"/>
  <c r="U14" i="29"/>
  <c r="V13" i="29"/>
  <c r="T15" i="29"/>
  <c r="T19" i="29" s="1"/>
  <c r="M23" i="28"/>
  <c r="M18" i="28"/>
  <c r="M17" i="28"/>
  <c r="M12" i="28"/>
  <c r="T14" i="28"/>
  <c r="U13" i="28"/>
  <c r="T15" i="28"/>
  <c r="S20" i="28"/>
  <c r="S16" i="28"/>
  <c r="S19" i="28" s="1"/>
  <c r="M23" i="27"/>
  <c r="M17" i="27"/>
  <c r="M18" i="27"/>
  <c r="M12" i="27"/>
  <c r="U15" i="27"/>
  <c r="U14" i="27"/>
  <c r="V13" i="27"/>
  <c r="T20" i="27"/>
  <c r="T16" i="27"/>
  <c r="T19" i="27" s="1"/>
  <c r="T20" i="26"/>
  <c r="T16" i="26"/>
  <c r="T19" i="26" s="1"/>
  <c r="L21" i="26"/>
  <c r="M11" i="26"/>
  <c r="U14" i="26"/>
  <c r="U15" i="26" s="1"/>
  <c r="V13" i="26"/>
  <c r="M23" i="25"/>
  <c r="M18" i="25"/>
  <c r="M17" i="25"/>
  <c r="M12" i="25"/>
  <c r="T14" i="25"/>
  <c r="T15" i="25" s="1"/>
  <c r="U13" i="25"/>
  <c r="S20" i="25"/>
  <c r="S16" i="25"/>
  <c r="S19" i="25" s="1"/>
  <c r="M23" i="24"/>
  <c r="M17" i="24"/>
  <c r="M18" i="24"/>
  <c r="M12" i="24"/>
  <c r="U14" i="24"/>
  <c r="U15" i="24" s="1"/>
  <c r="V13" i="24"/>
  <c r="T20" i="24"/>
  <c r="T16" i="24"/>
  <c r="T19" i="24" s="1"/>
  <c r="T20" i="23"/>
  <c r="T16" i="23"/>
  <c r="T19" i="23" s="1"/>
  <c r="U14" i="23"/>
  <c r="U15" i="23" s="1"/>
  <c r="V13" i="23"/>
  <c r="M23" i="23"/>
  <c r="M17" i="23"/>
  <c r="M18" i="23"/>
  <c r="M12" i="23"/>
  <c r="R17" i="20"/>
  <c r="R12" i="20"/>
  <c r="S11" i="20" s="1"/>
  <c r="S17" i="18"/>
  <c r="S12" i="18"/>
  <c r="T11" i="18" s="1"/>
  <c r="F19" i="10"/>
  <c r="Q17" i="10"/>
  <c r="Q12" i="10"/>
  <c r="R11" i="10" s="1"/>
  <c r="U20" i="29" l="1"/>
  <c r="U16" i="29"/>
  <c r="M23" i="29"/>
  <c r="M17" i="29"/>
  <c r="M18" i="29"/>
  <c r="M12" i="29"/>
  <c r="V14" i="29"/>
  <c r="W13" i="29"/>
  <c r="U15" i="29"/>
  <c r="U19" i="29" s="1"/>
  <c r="T20" i="28"/>
  <c r="T16" i="28"/>
  <c r="T19" i="28" s="1"/>
  <c r="U14" i="28"/>
  <c r="U15" i="28" s="1"/>
  <c r="V13" i="28"/>
  <c r="M21" i="28"/>
  <c r="N11" i="28"/>
  <c r="U20" i="27"/>
  <c r="U16" i="27"/>
  <c r="U19" i="27" s="1"/>
  <c r="M21" i="27"/>
  <c r="N11" i="27"/>
  <c r="V14" i="27"/>
  <c r="V15" i="27" s="1"/>
  <c r="W13" i="27"/>
  <c r="U20" i="26"/>
  <c r="U16" i="26"/>
  <c r="U19" i="26" s="1"/>
  <c r="M23" i="26"/>
  <c r="M17" i="26"/>
  <c r="M18" i="26"/>
  <c r="M12" i="26"/>
  <c r="V14" i="26"/>
  <c r="W13" i="26"/>
  <c r="U14" i="25"/>
  <c r="U15" i="25" s="1"/>
  <c r="V13" i="25"/>
  <c r="T20" i="25"/>
  <c r="T16" i="25"/>
  <c r="T19" i="25" s="1"/>
  <c r="M21" i="25"/>
  <c r="N11" i="25"/>
  <c r="V14" i="24"/>
  <c r="V15" i="24" s="1"/>
  <c r="W13" i="24"/>
  <c r="U20" i="24"/>
  <c r="U16" i="24"/>
  <c r="U19" i="24" s="1"/>
  <c r="M21" i="24"/>
  <c r="N11" i="24"/>
  <c r="M21" i="23"/>
  <c r="N11" i="23"/>
  <c r="V14" i="23"/>
  <c r="V15" i="23" s="1"/>
  <c r="W13" i="23"/>
  <c r="U20" i="23"/>
  <c r="U16" i="23"/>
  <c r="U19" i="23" s="1"/>
  <c r="S17" i="20"/>
  <c r="S12" i="20"/>
  <c r="T11" i="20" s="1"/>
  <c r="T17" i="18"/>
  <c r="T12" i="18"/>
  <c r="U11" i="18" s="1"/>
  <c r="G20" i="10"/>
  <c r="R17" i="10"/>
  <c r="R12" i="10"/>
  <c r="S11" i="10" s="1"/>
  <c r="V16" i="29" l="1"/>
  <c r="V20" i="29"/>
  <c r="N11" i="29"/>
  <c r="W15" i="29"/>
  <c r="W14" i="29"/>
  <c r="X13" i="29"/>
  <c r="V15" i="29"/>
  <c r="V19" i="29" s="1"/>
  <c r="N23" i="28"/>
  <c r="N18" i="28"/>
  <c r="N17" i="28"/>
  <c r="N12" i="28"/>
  <c r="V14" i="28"/>
  <c r="W13" i="28"/>
  <c r="V15" i="28"/>
  <c r="U20" i="28"/>
  <c r="U16" i="28"/>
  <c r="U19" i="28" s="1"/>
  <c r="N23" i="27"/>
  <c r="N18" i="27"/>
  <c r="N17" i="27"/>
  <c r="N12" i="27"/>
  <c r="W14" i="27"/>
  <c r="W15" i="27" s="1"/>
  <c r="X13" i="27"/>
  <c r="V20" i="27"/>
  <c r="V16" i="27"/>
  <c r="V19" i="27" s="1"/>
  <c r="V16" i="26"/>
  <c r="V20" i="26"/>
  <c r="M21" i="26"/>
  <c r="N11" i="26"/>
  <c r="W15" i="26"/>
  <c r="W14" i="26"/>
  <c r="X13" i="26"/>
  <c r="V15" i="26"/>
  <c r="N23" i="25"/>
  <c r="N17" i="25"/>
  <c r="N18" i="25"/>
  <c r="N12" i="25"/>
  <c r="V14" i="25"/>
  <c r="V15" i="25" s="1"/>
  <c r="W13" i="25"/>
  <c r="U20" i="25"/>
  <c r="U16" i="25"/>
  <c r="U19" i="25" s="1"/>
  <c r="N23" i="24"/>
  <c r="N18" i="24"/>
  <c r="N17" i="24"/>
  <c r="N12" i="24"/>
  <c r="W15" i="24"/>
  <c r="W14" i="24"/>
  <c r="X13" i="24"/>
  <c r="V20" i="24"/>
  <c r="V16" i="24"/>
  <c r="V19" i="24" s="1"/>
  <c r="W14" i="23"/>
  <c r="W15" i="23" s="1"/>
  <c r="X13" i="23"/>
  <c r="N23" i="23"/>
  <c r="N18" i="23"/>
  <c r="N17" i="23"/>
  <c r="N12" i="23"/>
  <c r="V20" i="23"/>
  <c r="V16" i="23"/>
  <c r="V19" i="23" s="1"/>
  <c r="T17" i="20"/>
  <c r="T12" i="20"/>
  <c r="U11" i="20" s="1"/>
  <c r="U17" i="18"/>
  <c r="U12" i="18"/>
  <c r="V11" i="18" s="1"/>
  <c r="G19" i="10"/>
  <c r="H20" i="10"/>
  <c r="H19" i="10"/>
  <c r="S17" i="10"/>
  <c r="S12" i="10"/>
  <c r="T11" i="10" s="1"/>
  <c r="W20" i="29" l="1"/>
  <c r="W16" i="29"/>
  <c r="N23" i="29"/>
  <c r="N18" i="29"/>
  <c r="N17" i="29"/>
  <c r="N12" i="29"/>
  <c r="X14" i="29"/>
  <c r="Y13" i="29"/>
  <c r="W19" i="29"/>
  <c r="V20" i="28"/>
  <c r="V16" i="28"/>
  <c r="V19" i="28" s="1"/>
  <c r="W14" i="28"/>
  <c r="W15" i="28" s="1"/>
  <c r="X13" i="28"/>
  <c r="N21" i="28"/>
  <c r="O11" i="28"/>
  <c r="X14" i="27"/>
  <c r="X15" i="27" s="1"/>
  <c r="Y13" i="27"/>
  <c r="W20" i="27"/>
  <c r="W16" i="27"/>
  <c r="W19" i="27" s="1"/>
  <c r="N21" i="27"/>
  <c r="O11" i="27"/>
  <c r="V19" i="26"/>
  <c r="W20" i="26"/>
  <c r="W16" i="26"/>
  <c r="W19" i="26" s="1"/>
  <c r="N23" i="26"/>
  <c r="N18" i="26"/>
  <c r="N17" i="26"/>
  <c r="N12" i="26"/>
  <c r="X14" i="26"/>
  <c r="X15" i="26" s="1"/>
  <c r="Y13" i="26"/>
  <c r="W14" i="25"/>
  <c r="W15" i="25" s="1"/>
  <c r="X13" i="25"/>
  <c r="V20" i="25"/>
  <c r="V16" i="25"/>
  <c r="V19" i="25" s="1"/>
  <c r="N21" i="25"/>
  <c r="O11" i="25"/>
  <c r="W20" i="24"/>
  <c r="W16" i="24"/>
  <c r="W19" i="24" s="1"/>
  <c r="N21" i="24"/>
  <c r="O11" i="24"/>
  <c r="X14" i="24"/>
  <c r="X15" i="24" s="1"/>
  <c r="Y13" i="24"/>
  <c r="W20" i="23"/>
  <c r="W16" i="23"/>
  <c r="W19" i="23" s="1"/>
  <c r="N21" i="23"/>
  <c r="O11" i="23"/>
  <c r="X14" i="23"/>
  <c r="X15" i="23" s="1"/>
  <c r="Y13" i="23"/>
  <c r="U17" i="20"/>
  <c r="U12" i="20"/>
  <c r="V11" i="20" s="1"/>
  <c r="V17" i="18"/>
  <c r="V12" i="18"/>
  <c r="W11" i="18" s="1"/>
  <c r="I20" i="10"/>
  <c r="I19" i="10"/>
  <c r="T17" i="10"/>
  <c r="T12" i="10"/>
  <c r="U11" i="10" s="1"/>
  <c r="X20" i="29" l="1"/>
  <c r="X16" i="29"/>
  <c r="O11" i="29"/>
  <c r="Y15" i="29"/>
  <c r="Y14" i="29"/>
  <c r="Z13" i="29"/>
  <c r="X15" i="29"/>
  <c r="X19" i="29" s="1"/>
  <c r="O23" i="28"/>
  <c r="O17" i="28"/>
  <c r="O18" i="28"/>
  <c r="O12" i="28"/>
  <c r="X14" i="28"/>
  <c r="Y13" i="28"/>
  <c r="X15" i="28"/>
  <c r="W20" i="28"/>
  <c r="W16" i="28"/>
  <c r="W19" i="28" s="1"/>
  <c r="O23" i="27"/>
  <c r="O17" i="27"/>
  <c r="O18" i="27"/>
  <c r="O12" i="27"/>
  <c r="Y14" i="27"/>
  <c r="Y15" i="27" s="1"/>
  <c r="Z13" i="27"/>
  <c r="X20" i="27"/>
  <c r="X16" i="27"/>
  <c r="X19" i="27" s="1"/>
  <c r="Y14" i="26"/>
  <c r="Y15" i="26" s="1"/>
  <c r="Z13" i="26"/>
  <c r="X20" i="26"/>
  <c r="X16" i="26"/>
  <c r="X19" i="26" s="1"/>
  <c r="N21" i="26"/>
  <c r="O11" i="26"/>
  <c r="O23" i="25"/>
  <c r="O18" i="25"/>
  <c r="O17" i="25"/>
  <c r="O12" i="25"/>
  <c r="X14" i="25"/>
  <c r="X15" i="25" s="1"/>
  <c r="Y13" i="25"/>
  <c r="W20" i="25"/>
  <c r="W16" i="25"/>
  <c r="W19" i="25" s="1"/>
  <c r="O23" i="24"/>
  <c r="O17" i="24"/>
  <c r="O18" i="24"/>
  <c r="O12" i="24"/>
  <c r="Y14" i="24"/>
  <c r="Y15" i="24" s="1"/>
  <c r="Z13" i="24"/>
  <c r="X20" i="24"/>
  <c r="X16" i="24"/>
  <c r="X19" i="24" s="1"/>
  <c r="X20" i="23"/>
  <c r="X16" i="23"/>
  <c r="X19" i="23" s="1"/>
  <c r="Y14" i="23"/>
  <c r="Y15" i="23" s="1"/>
  <c r="Z13" i="23"/>
  <c r="O23" i="23"/>
  <c r="O17" i="23"/>
  <c r="O18" i="23"/>
  <c r="O12" i="23"/>
  <c r="V17" i="20"/>
  <c r="V12" i="20"/>
  <c r="W11" i="20" s="1"/>
  <c r="W17" i="18"/>
  <c r="W12" i="18"/>
  <c r="X11" i="18" s="1"/>
  <c r="J19" i="10"/>
  <c r="J20" i="10"/>
  <c r="U17" i="10"/>
  <c r="U12" i="10"/>
  <c r="V11" i="10" s="1"/>
  <c r="Y20" i="29" l="1"/>
  <c r="Y16" i="29"/>
  <c r="O23" i="29"/>
  <c r="O17" i="29"/>
  <c r="O18" i="29"/>
  <c r="O12" i="29"/>
  <c r="Z14" i="29"/>
  <c r="AA13" i="29"/>
  <c r="Y19" i="29"/>
  <c r="X20" i="28"/>
  <c r="X16" i="28"/>
  <c r="X19" i="28" s="1"/>
  <c r="Y14" i="28"/>
  <c r="Y15" i="28" s="1"/>
  <c r="Z13" i="28"/>
  <c r="O21" i="28"/>
  <c r="P11" i="28"/>
  <c r="Y20" i="27"/>
  <c r="Y16" i="27"/>
  <c r="O21" i="27"/>
  <c r="P11" i="27"/>
  <c r="Z14" i="27"/>
  <c r="AA13" i="27"/>
  <c r="Y19" i="27"/>
  <c r="O23" i="26"/>
  <c r="O17" i="26"/>
  <c r="O18" i="26"/>
  <c r="O12" i="26"/>
  <c r="Z14" i="26"/>
  <c r="Z15" i="26" s="1"/>
  <c r="AA13" i="26"/>
  <c r="Y20" i="26"/>
  <c r="Y16" i="26"/>
  <c r="Y19" i="26" s="1"/>
  <c r="Y14" i="25"/>
  <c r="Y15" i="25" s="1"/>
  <c r="Z13" i="25"/>
  <c r="X20" i="25"/>
  <c r="X16" i="25"/>
  <c r="X19" i="25" s="1"/>
  <c r="O21" i="25"/>
  <c r="P11" i="25"/>
  <c r="Z14" i="24"/>
  <c r="Z15" i="24" s="1"/>
  <c r="AA13" i="24"/>
  <c r="Y20" i="24"/>
  <c r="Y16" i="24"/>
  <c r="Y19" i="24" s="1"/>
  <c r="O21" i="24"/>
  <c r="P11" i="24"/>
  <c r="Y20" i="23"/>
  <c r="Y16" i="23"/>
  <c r="Y19" i="23" s="1"/>
  <c r="O21" i="23"/>
  <c r="P11" i="23"/>
  <c r="Z14" i="23"/>
  <c r="Z15" i="23" s="1"/>
  <c r="AA13" i="23"/>
  <c r="W17" i="20"/>
  <c r="W12" i="20"/>
  <c r="X11" i="20" s="1"/>
  <c r="X17" i="18"/>
  <c r="X12" i="18"/>
  <c r="Y11" i="18" s="1"/>
  <c r="K20" i="10"/>
  <c r="K19" i="10"/>
  <c r="V17" i="10"/>
  <c r="V12" i="10"/>
  <c r="W11" i="10" s="1"/>
  <c r="Z16" i="29" l="1"/>
  <c r="Z20" i="29"/>
  <c r="P11" i="29"/>
  <c r="AA15" i="29"/>
  <c r="AA14" i="29"/>
  <c r="AB13" i="29"/>
  <c r="Z15" i="29"/>
  <c r="Z19" i="29" s="1"/>
  <c r="P23" i="28"/>
  <c r="P18" i="28"/>
  <c r="P17" i="28"/>
  <c r="P12" i="28"/>
  <c r="Z14" i="28"/>
  <c r="AA13" i="28"/>
  <c r="Z15" i="28"/>
  <c r="Y20" i="28"/>
  <c r="Y16" i="28"/>
  <c r="Y19" i="28" s="1"/>
  <c r="AA14" i="27"/>
  <c r="AB13" i="27"/>
  <c r="Z20" i="27"/>
  <c r="Z16" i="27"/>
  <c r="Z15" i="27"/>
  <c r="P23" i="27"/>
  <c r="P18" i="27"/>
  <c r="P17" i="27"/>
  <c r="P12" i="27"/>
  <c r="AA14" i="26"/>
  <c r="AA15" i="26" s="1"/>
  <c r="AB13" i="26"/>
  <c r="Z16" i="26"/>
  <c r="Z19" i="26" s="1"/>
  <c r="Z20" i="26"/>
  <c r="O21" i="26"/>
  <c r="P11" i="26"/>
  <c r="P23" i="25"/>
  <c r="P17" i="25"/>
  <c r="P18" i="25"/>
  <c r="P12" i="25"/>
  <c r="Z14" i="25"/>
  <c r="Z15" i="25" s="1"/>
  <c r="AA13" i="25"/>
  <c r="Y20" i="25"/>
  <c r="Y16" i="25"/>
  <c r="Y19" i="25" s="1"/>
  <c r="P23" i="24"/>
  <c r="P18" i="24"/>
  <c r="P17" i="24"/>
  <c r="P12" i="24"/>
  <c r="AA14" i="24"/>
  <c r="AB13" i="24"/>
  <c r="Z20" i="24"/>
  <c r="Z16" i="24"/>
  <c r="Z19" i="24"/>
  <c r="Z20" i="23"/>
  <c r="Z16" i="23"/>
  <c r="Z19" i="23" s="1"/>
  <c r="AA14" i="23"/>
  <c r="AA15" i="23" s="1"/>
  <c r="AB13" i="23"/>
  <c r="P23" i="23"/>
  <c r="P18" i="23"/>
  <c r="P17" i="23"/>
  <c r="P12" i="23"/>
  <c r="X17" i="20"/>
  <c r="X12" i="20"/>
  <c r="Y11" i="20" s="1"/>
  <c r="Y17" i="18"/>
  <c r="Y12" i="18"/>
  <c r="Z11" i="18" s="1"/>
  <c r="L20" i="10"/>
  <c r="L19" i="10"/>
  <c r="W17" i="10"/>
  <c r="W12" i="10"/>
  <c r="X11" i="10" s="1"/>
  <c r="Z19" i="27" l="1"/>
  <c r="AA20" i="29"/>
  <c r="AA16" i="29"/>
  <c r="P23" i="29"/>
  <c r="P18" i="29"/>
  <c r="P17" i="29"/>
  <c r="P12" i="29"/>
  <c r="AB14" i="29"/>
  <c r="AB15" i="29" s="1"/>
  <c r="AC13" i="29"/>
  <c r="AA19" i="29"/>
  <c r="Z20" i="28"/>
  <c r="Z16" i="28"/>
  <c r="Z19" i="28" s="1"/>
  <c r="AA14" i="28"/>
  <c r="AA15" i="28" s="1"/>
  <c r="AB13" i="28"/>
  <c r="P21" i="28"/>
  <c r="Q11" i="28"/>
  <c r="P21" i="27"/>
  <c r="Q11" i="27"/>
  <c r="AA20" i="27"/>
  <c r="AA16" i="27"/>
  <c r="AB14" i="27"/>
  <c r="AB15" i="27" s="1"/>
  <c r="AC13" i="27"/>
  <c r="AA15" i="27"/>
  <c r="AA19" i="27" s="1"/>
  <c r="P23" i="26"/>
  <c r="P18" i="26"/>
  <c r="P17" i="26"/>
  <c r="P12" i="26"/>
  <c r="AB14" i="26"/>
  <c r="AB15" i="26" s="1"/>
  <c r="AC13" i="26"/>
  <c r="AA20" i="26"/>
  <c r="AA16" i="26"/>
  <c r="AA19" i="26" s="1"/>
  <c r="AA14" i="25"/>
  <c r="AA15" i="25" s="1"/>
  <c r="AB13" i="25"/>
  <c r="Z20" i="25"/>
  <c r="Z16" i="25"/>
  <c r="Z19" i="25" s="1"/>
  <c r="P21" i="25"/>
  <c r="Q11" i="25"/>
  <c r="AA20" i="24"/>
  <c r="AA16" i="24"/>
  <c r="P21" i="24"/>
  <c r="Q11" i="24"/>
  <c r="AB14" i="24"/>
  <c r="AB15" i="24" s="1"/>
  <c r="AC13" i="24"/>
  <c r="AA15" i="24"/>
  <c r="P21" i="23"/>
  <c r="Q11" i="23"/>
  <c r="AB14" i="23"/>
  <c r="AC13" i="23"/>
  <c r="AB15" i="23"/>
  <c r="AA20" i="23"/>
  <c r="AA16" i="23"/>
  <c r="AA19" i="23" s="1"/>
  <c r="Y17" i="20"/>
  <c r="Y12" i="20"/>
  <c r="Z11" i="20" s="1"/>
  <c r="Z17" i="18"/>
  <c r="Z12" i="18"/>
  <c r="AA11" i="18" s="1"/>
  <c r="M20" i="10"/>
  <c r="M19" i="10"/>
  <c r="X17" i="10"/>
  <c r="X12" i="10"/>
  <c r="Y11" i="10" s="1"/>
  <c r="AC14" i="29" l="1"/>
  <c r="AC15" i="29" s="1"/>
  <c r="AD13" i="29"/>
  <c r="AB20" i="29"/>
  <c r="AB16" i="29"/>
  <c r="AB19" i="29" s="1"/>
  <c r="Q11" i="29"/>
  <c r="AA19" i="24"/>
  <c r="Q23" i="28"/>
  <c r="Q17" i="28"/>
  <c r="Q18" i="28"/>
  <c r="Q12" i="28"/>
  <c r="AB14" i="28"/>
  <c r="AC13" i="28"/>
  <c r="AB15" i="28"/>
  <c r="AA20" i="28"/>
  <c r="AA16" i="28"/>
  <c r="AA19" i="28" s="1"/>
  <c r="Q23" i="27"/>
  <c r="Q17" i="27"/>
  <c r="Q18" i="27"/>
  <c r="Q12" i="27"/>
  <c r="AC14" i="27"/>
  <c r="AC15" i="27" s="1"/>
  <c r="AD13" i="27"/>
  <c r="AB20" i="27"/>
  <c r="AB16" i="27"/>
  <c r="AB19" i="27" s="1"/>
  <c r="AC14" i="26"/>
  <c r="AC15" i="26" s="1"/>
  <c r="AD13" i="26"/>
  <c r="AB20" i="26"/>
  <c r="AB16" i="26"/>
  <c r="AB19" i="26" s="1"/>
  <c r="P21" i="26"/>
  <c r="Q11" i="26"/>
  <c r="Q23" i="25"/>
  <c r="Q18" i="25"/>
  <c r="Q17" i="25"/>
  <c r="Q12" i="25"/>
  <c r="AB14" i="25"/>
  <c r="AB15" i="25" s="1"/>
  <c r="AC13" i="25"/>
  <c r="AA20" i="25"/>
  <c r="AA16" i="25"/>
  <c r="AA19" i="25" s="1"/>
  <c r="Q23" i="24"/>
  <c r="Q17" i="24"/>
  <c r="Q18" i="24"/>
  <c r="Q12" i="24"/>
  <c r="AC14" i="24"/>
  <c r="AC15" i="24" s="1"/>
  <c r="AD13" i="24"/>
  <c r="AB20" i="24"/>
  <c r="AB16" i="24"/>
  <c r="AB19" i="24" s="1"/>
  <c r="AC14" i="23"/>
  <c r="AC15" i="23" s="1"/>
  <c r="AD13" i="23"/>
  <c r="Q23" i="23"/>
  <c r="Q17" i="23"/>
  <c r="Q18" i="23"/>
  <c r="Q12" i="23"/>
  <c r="AB20" i="23"/>
  <c r="AB16" i="23"/>
  <c r="AB19" i="23" s="1"/>
  <c r="Z17" i="20"/>
  <c r="Z12" i="20"/>
  <c r="AA11" i="20" s="1"/>
  <c r="AA17" i="18"/>
  <c r="AA12" i="18"/>
  <c r="AB11" i="18" s="1"/>
  <c r="N19" i="10"/>
  <c r="N20" i="10"/>
  <c r="Y17" i="10"/>
  <c r="Y12" i="10"/>
  <c r="Z11" i="10" s="1"/>
  <c r="Q23" i="29" l="1"/>
  <c r="Q17" i="29"/>
  <c r="Q18" i="29"/>
  <c r="Q12" i="29"/>
  <c r="AD15" i="29"/>
  <c r="AD14" i="29"/>
  <c r="AE13" i="29"/>
  <c r="AC20" i="29"/>
  <c r="AC16" i="29"/>
  <c r="AC19" i="29" s="1"/>
  <c r="AC14" i="28"/>
  <c r="AC15" i="28" s="1"/>
  <c r="AD13" i="28"/>
  <c r="Q21" i="28"/>
  <c r="R11" i="28"/>
  <c r="AB20" i="28"/>
  <c r="AB16" i="28"/>
  <c r="AB19" i="28" s="1"/>
  <c r="AD14" i="27"/>
  <c r="AD15" i="27" s="1"/>
  <c r="AE13" i="27"/>
  <c r="AC20" i="27"/>
  <c r="AC16" i="27"/>
  <c r="AC19" i="27" s="1"/>
  <c r="Q21" i="27"/>
  <c r="R11" i="27"/>
  <c r="Q23" i="26"/>
  <c r="Q17" i="26"/>
  <c r="Q18" i="26"/>
  <c r="Q12" i="26"/>
  <c r="AD14" i="26"/>
  <c r="AD15" i="26" s="1"/>
  <c r="AE13" i="26"/>
  <c r="AC20" i="26"/>
  <c r="AC16" i="26"/>
  <c r="AC19" i="26" s="1"/>
  <c r="AC14" i="25"/>
  <c r="AC15" i="25" s="1"/>
  <c r="AD13" i="25"/>
  <c r="AB20" i="25"/>
  <c r="AB16" i="25"/>
  <c r="AB19" i="25" s="1"/>
  <c r="Q21" i="25"/>
  <c r="R11" i="25"/>
  <c r="AD14" i="24"/>
  <c r="AD15" i="24" s="1"/>
  <c r="AE13" i="24"/>
  <c r="AC20" i="24"/>
  <c r="AC16" i="24"/>
  <c r="AC19" i="24" s="1"/>
  <c r="Q21" i="24"/>
  <c r="R11" i="24"/>
  <c r="AC20" i="23"/>
  <c r="AC16" i="23"/>
  <c r="AC19" i="23" s="1"/>
  <c r="Q21" i="23"/>
  <c r="R11" i="23"/>
  <c r="AD14" i="23"/>
  <c r="AD15" i="23" s="1"/>
  <c r="AE13" i="23"/>
  <c r="AA17" i="20"/>
  <c r="AA12" i="20"/>
  <c r="AB11" i="20" s="1"/>
  <c r="AB17" i="18"/>
  <c r="AB12" i="18"/>
  <c r="AC11" i="18" s="1"/>
  <c r="O20" i="10"/>
  <c r="O19" i="10"/>
  <c r="Z17" i="10"/>
  <c r="Z12" i="10"/>
  <c r="AA11" i="10" s="1"/>
  <c r="AE14" i="29" l="1"/>
  <c r="AF13" i="29"/>
  <c r="AD16" i="29"/>
  <c r="AD19" i="29" s="1"/>
  <c r="AD20" i="29"/>
  <c r="R11" i="29"/>
  <c r="AC20" i="28"/>
  <c r="AC16" i="28"/>
  <c r="R23" i="28"/>
  <c r="R18" i="28"/>
  <c r="R17" i="28"/>
  <c r="R12" i="28"/>
  <c r="AD14" i="28"/>
  <c r="AE13" i="28"/>
  <c r="AD15" i="28"/>
  <c r="AC19" i="28"/>
  <c r="R23" i="27"/>
  <c r="R18" i="27"/>
  <c r="R17" i="27"/>
  <c r="R12" i="27"/>
  <c r="AE15" i="27"/>
  <c r="AE14" i="27"/>
  <c r="AF13" i="27"/>
  <c r="AD20" i="27"/>
  <c r="AD16" i="27"/>
  <c r="AD19" i="27" s="1"/>
  <c r="AE14" i="26"/>
  <c r="AE15" i="26" s="1"/>
  <c r="AF13" i="26"/>
  <c r="AD16" i="26"/>
  <c r="AD19" i="26" s="1"/>
  <c r="AD20" i="26"/>
  <c r="Q21" i="26"/>
  <c r="R11" i="26"/>
  <c r="R23" i="25"/>
  <c r="R17" i="25"/>
  <c r="R18" i="25"/>
  <c r="R12" i="25"/>
  <c r="AD14" i="25"/>
  <c r="AD15" i="25" s="1"/>
  <c r="AE13" i="25"/>
  <c r="AC20" i="25"/>
  <c r="AC16" i="25"/>
  <c r="AC19" i="25" s="1"/>
  <c r="R23" i="24"/>
  <c r="R18" i="24"/>
  <c r="R17" i="24"/>
  <c r="R12" i="24"/>
  <c r="AE14" i="24"/>
  <c r="AF13" i="24"/>
  <c r="AD20" i="24"/>
  <c r="AD16" i="24"/>
  <c r="AD19" i="24"/>
  <c r="AD20" i="23"/>
  <c r="AD16" i="23"/>
  <c r="AD19" i="23" s="1"/>
  <c r="AE14" i="23"/>
  <c r="AF13" i="23"/>
  <c r="R23" i="23"/>
  <c r="R18" i="23"/>
  <c r="R17" i="23"/>
  <c r="R12" i="23"/>
  <c r="AB17" i="20"/>
  <c r="AB12" i="20"/>
  <c r="AC11" i="20" s="1"/>
  <c r="AC17" i="18"/>
  <c r="AC12" i="18"/>
  <c r="AD11" i="18" s="1"/>
  <c r="P20" i="10"/>
  <c r="P19" i="10"/>
  <c r="AA17" i="10"/>
  <c r="AA12" i="10"/>
  <c r="AB11" i="10" s="1"/>
  <c r="R23" i="29" l="1"/>
  <c r="R18" i="29"/>
  <c r="R17" i="29"/>
  <c r="R12" i="29"/>
  <c r="AE20" i="29"/>
  <c r="AE16" i="29"/>
  <c r="AF14" i="29"/>
  <c r="AG13" i="29"/>
  <c r="AE15" i="29"/>
  <c r="AE19" i="29" s="1"/>
  <c r="AE14" i="28"/>
  <c r="AE15" i="28" s="1"/>
  <c r="AF13" i="28"/>
  <c r="R21" i="28"/>
  <c r="S11" i="28"/>
  <c r="AD20" i="28"/>
  <c r="AD16" i="28"/>
  <c r="AD19" i="28" s="1"/>
  <c r="AF14" i="27"/>
  <c r="AF15" i="27" s="1"/>
  <c r="AG13" i="27"/>
  <c r="R21" i="27"/>
  <c r="S11" i="27"/>
  <c r="AE20" i="27"/>
  <c r="AE16" i="27"/>
  <c r="AE19" i="27" s="1"/>
  <c r="R23" i="26"/>
  <c r="R18" i="26"/>
  <c r="R17" i="26"/>
  <c r="R12" i="26"/>
  <c r="AF14" i="26"/>
  <c r="AF15" i="26" s="1"/>
  <c r="AG13" i="26"/>
  <c r="AE20" i="26"/>
  <c r="AE16" i="26"/>
  <c r="AE19" i="26" s="1"/>
  <c r="AE14" i="25"/>
  <c r="AE15" i="25" s="1"/>
  <c r="AF13" i="25"/>
  <c r="AD20" i="25"/>
  <c r="AD16" i="25"/>
  <c r="AD19" i="25" s="1"/>
  <c r="R21" i="25"/>
  <c r="S11" i="25"/>
  <c r="AE20" i="24"/>
  <c r="AE16" i="24"/>
  <c r="R21" i="24"/>
  <c r="S11" i="24"/>
  <c r="AF14" i="24"/>
  <c r="AF15" i="24" s="1"/>
  <c r="AG13" i="24"/>
  <c r="AE15" i="24"/>
  <c r="AE20" i="23"/>
  <c r="AE16" i="23"/>
  <c r="R21" i="23"/>
  <c r="S11" i="23"/>
  <c r="AF14" i="23"/>
  <c r="AF15" i="23" s="1"/>
  <c r="AG13" i="23"/>
  <c r="AE15" i="23"/>
  <c r="AC17" i="20"/>
  <c r="AC12" i="20"/>
  <c r="AD11" i="20" s="1"/>
  <c r="AD17" i="18"/>
  <c r="AD12" i="18"/>
  <c r="AE11" i="18" s="1"/>
  <c r="Q20" i="10"/>
  <c r="Q19" i="10"/>
  <c r="AB17" i="10"/>
  <c r="AB12" i="10"/>
  <c r="AC11" i="10" s="1"/>
  <c r="AF20" i="29" l="1"/>
  <c r="AF16" i="29"/>
  <c r="S11" i="29"/>
  <c r="AG15" i="29"/>
  <c r="AG14" i="29"/>
  <c r="AH13" i="29"/>
  <c r="AF15" i="29"/>
  <c r="AF19" i="29" s="1"/>
  <c r="AE19" i="24"/>
  <c r="AE20" i="28"/>
  <c r="AE16" i="28"/>
  <c r="S23" i="28"/>
  <c r="S17" i="28"/>
  <c r="S18" i="28"/>
  <c r="S12" i="28"/>
  <c r="AF14" i="28"/>
  <c r="AG13" i="28"/>
  <c r="AF15" i="28"/>
  <c r="AE19" i="28"/>
  <c r="S23" i="27"/>
  <c r="S17" i="27"/>
  <c r="S18" i="27"/>
  <c r="S12" i="27"/>
  <c r="AG14" i="27"/>
  <c r="AG15" i="27" s="1"/>
  <c r="AH13" i="27"/>
  <c r="AF20" i="27"/>
  <c r="AF16" i="27"/>
  <c r="AF19" i="27" s="1"/>
  <c r="AG14" i="26"/>
  <c r="AG15" i="26" s="1"/>
  <c r="AH13" i="26"/>
  <c r="AF20" i="26"/>
  <c r="AF16" i="26"/>
  <c r="AF19" i="26" s="1"/>
  <c r="R21" i="26"/>
  <c r="S11" i="26"/>
  <c r="S23" i="25"/>
  <c r="S18" i="25"/>
  <c r="S17" i="25"/>
  <c r="S12" i="25"/>
  <c r="AF14" i="25"/>
  <c r="AF15" i="25" s="1"/>
  <c r="AG13" i="25"/>
  <c r="AE20" i="25"/>
  <c r="AE16" i="25"/>
  <c r="AE19" i="25" s="1"/>
  <c r="S23" i="24"/>
  <c r="S17" i="24"/>
  <c r="S18" i="24"/>
  <c r="S12" i="24"/>
  <c r="AG15" i="24"/>
  <c r="AG14" i="24"/>
  <c r="AH13" i="24"/>
  <c r="AF20" i="24"/>
  <c r="AF16" i="24"/>
  <c r="AF19" i="24" s="1"/>
  <c r="AE19" i="23"/>
  <c r="AG14" i="23"/>
  <c r="AG15" i="23" s="1"/>
  <c r="AH13" i="23"/>
  <c r="S23" i="23"/>
  <c r="S17" i="23"/>
  <c r="S18" i="23"/>
  <c r="S12" i="23"/>
  <c r="AF20" i="23"/>
  <c r="AF16" i="23"/>
  <c r="AF19" i="23" s="1"/>
  <c r="AD17" i="20"/>
  <c r="AD12" i="20"/>
  <c r="AE11" i="20" s="1"/>
  <c r="AE17" i="18"/>
  <c r="AE12" i="18"/>
  <c r="AF11" i="18" s="1"/>
  <c r="R20" i="10"/>
  <c r="R19" i="10"/>
  <c r="AC17" i="10"/>
  <c r="AC12" i="10"/>
  <c r="AD11" i="10" s="1"/>
  <c r="AG20" i="29" l="1"/>
  <c r="AG16" i="29"/>
  <c r="S23" i="29"/>
  <c r="S17" i="29"/>
  <c r="S18" i="29"/>
  <c r="S12" i="29"/>
  <c r="AH14" i="29"/>
  <c r="AI13" i="29"/>
  <c r="AG19" i="29"/>
  <c r="AF20" i="28"/>
  <c r="AF16" i="28"/>
  <c r="AF19" i="28" s="1"/>
  <c r="AG14" i="28"/>
  <c r="AG15" i="28" s="1"/>
  <c r="AH13" i="28"/>
  <c r="S21" i="28"/>
  <c r="T11" i="28"/>
  <c r="AH14" i="27"/>
  <c r="AI13" i="27"/>
  <c r="AH15" i="27"/>
  <c r="S21" i="27"/>
  <c r="T11" i="27"/>
  <c r="AG20" i="27"/>
  <c r="AG16" i="27"/>
  <c r="AG19" i="27" s="1"/>
  <c r="S23" i="26"/>
  <c r="S17" i="26"/>
  <c r="S18" i="26"/>
  <c r="S12" i="26"/>
  <c r="AH14" i="26"/>
  <c r="AH15" i="26" s="1"/>
  <c r="AI13" i="26"/>
  <c r="AG20" i="26"/>
  <c r="AG16" i="26"/>
  <c r="AG19" i="26" s="1"/>
  <c r="AG14" i="25"/>
  <c r="AG15" i="25" s="1"/>
  <c r="AH13" i="25"/>
  <c r="AF20" i="25"/>
  <c r="AF16" i="25"/>
  <c r="AF19" i="25" s="1"/>
  <c r="S21" i="25"/>
  <c r="T11" i="25"/>
  <c r="AH14" i="24"/>
  <c r="AH15" i="24" s="1"/>
  <c r="AI13" i="24"/>
  <c r="AG20" i="24"/>
  <c r="AG16" i="24"/>
  <c r="AG19" i="24" s="1"/>
  <c r="S21" i="24"/>
  <c r="T11" i="24"/>
  <c r="S21" i="23"/>
  <c r="T11" i="23"/>
  <c r="AH14" i="23"/>
  <c r="AH15" i="23" s="1"/>
  <c r="AI13" i="23"/>
  <c r="AG20" i="23"/>
  <c r="AG16" i="23"/>
  <c r="AG19" i="23" s="1"/>
  <c r="AE17" i="20"/>
  <c r="AE12" i="20"/>
  <c r="AF11" i="20" s="1"/>
  <c r="AF17" i="18"/>
  <c r="AF12" i="18"/>
  <c r="AG11" i="18" s="1"/>
  <c r="S19" i="10"/>
  <c r="S20" i="10"/>
  <c r="AD17" i="10"/>
  <c r="AD12" i="10"/>
  <c r="AE11" i="10" s="1"/>
  <c r="AH16" i="29" l="1"/>
  <c r="AH20" i="29"/>
  <c r="T11" i="29"/>
  <c r="AI15" i="29"/>
  <c r="AI14" i="29"/>
  <c r="AJ13" i="29"/>
  <c r="AH15" i="29"/>
  <c r="AH19" i="29" s="1"/>
  <c r="T23" i="28"/>
  <c r="T18" i="28"/>
  <c r="T17" i="28"/>
  <c r="T12" i="28"/>
  <c r="AH14" i="28"/>
  <c r="AI13" i="28"/>
  <c r="AH15" i="28"/>
  <c r="AG20" i="28"/>
  <c r="AG16" i="28"/>
  <c r="AG19" i="28" s="1"/>
  <c r="T23" i="27"/>
  <c r="T18" i="27"/>
  <c r="T17" i="27"/>
  <c r="T12" i="27"/>
  <c r="AH20" i="27"/>
  <c r="AH16" i="27"/>
  <c r="AH19" i="27" s="1"/>
  <c r="AI14" i="27"/>
  <c r="AI15" i="27" s="1"/>
  <c r="AJ13" i="27"/>
  <c r="AI14" i="26"/>
  <c r="AI15" i="26" s="1"/>
  <c r="AJ13" i="26"/>
  <c r="AH16" i="26"/>
  <c r="AH19" i="26" s="1"/>
  <c r="AH20" i="26"/>
  <c r="S21" i="26"/>
  <c r="T11" i="26"/>
  <c r="T23" i="25"/>
  <c r="T17" i="25"/>
  <c r="T18" i="25"/>
  <c r="T12" i="25"/>
  <c r="AH14" i="25"/>
  <c r="AH15" i="25" s="1"/>
  <c r="AI13" i="25"/>
  <c r="AG20" i="25"/>
  <c r="AG16" i="25"/>
  <c r="AG19" i="25" s="1"/>
  <c r="T23" i="24"/>
  <c r="T18" i="24"/>
  <c r="T17" i="24"/>
  <c r="T12" i="24"/>
  <c r="AI14" i="24"/>
  <c r="AI15" i="24" s="1"/>
  <c r="AJ13" i="24"/>
  <c r="AH20" i="24"/>
  <c r="AH16" i="24"/>
  <c r="AH19" i="24" s="1"/>
  <c r="AH20" i="23"/>
  <c r="AH16" i="23"/>
  <c r="AH19" i="23" s="1"/>
  <c r="AI14" i="23"/>
  <c r="AI15" i="23" s="1"/>
  <c r="AJ13" i="23"/>
  <c r="T23" i="23"/>
  <c r="T18" i="23"/>
  <c r="T17" i="23"/>
  <c r="T12" i="23"/>
  <c r="AF17" i="20"/>
  <c r="AF12" i="20"/>
  <c r="AG11" i="20" s="1"/>
  <c r="AG17" i="18"/>
  <c r="AG12" i="18"/>
  <c r="AH11" i="18" s="1"/>
  <c r="T19" i="10"/>
  <c r="T20" i="10"/>
  <c r="AE17" i="10"/>
  <c r="AE12" i="10"/>
  <c r="AF11" i="10" s="1"/>
  <c r="AI20" i="29" l="1"/>
  <c r="AI16" i="29"/>
  <c r="T23" i="29"/>
  <c r="T18" i="29"/>
  <c r="T17" i="29"/>
  <c r="T12" i="29"/>
  <c r="AJ14" i="29"/>
  <c r="AK13" i="29"/>
  <c r="AI19" i="29"/>
  <c r="AH20" i="28"/>
  <c r="AH16" i="28"/>
  <c r="AH19" i="28" s="1"/>
  <c r="AI14" i="28"/>
  <c r="AI15" i="28" s="1"/>
  <c r="AJ13" i="28"/>
  <c r="T21" i="28"/>
  <c r="U11" i="28"/>
  <c r="AJ14" i="27"/>
  <c r="AK13" i="27"/>
  <c r="AJ15" i="27"/>
  <c r="T21" i="27"/>
  <c r="U11" i="27"/>
  <c r="AI20" i="27"/>
  <c r="AI16" i="27"/>
  <c r="AI19" i="27" s="1"/>
  <c r="T23" i="26"/>
  <c r="T18" i="26"/>
  <c r="T17" i="26"/>
  <c r="T12" i="26"/>
  <c r="AJ14" i="26"/>
  <c r="AJ15" i="26" s="1"/>
  <c r="AK13" i="26"/>
  <c r="AI20" i="26"/>
  <c r="AI16" i="26"/>
  <c r="AI19" i="26" s="1"/>
  <c r="AI14" i="25"/>
  <c r="AI15" i="25" s="1"/>
  <c r="AJ13" i="25"/>
  <c r="AH20" i="25"/>
  <c r="AH16" i="25"/>
  <c r="AH19" i="25" s="1"/>
  <c r="T21" i="25"/>
  <c r="U11" i="25"/>
  <c r="AJ14" i="24"/>
  <c r="AJ15" i="24" s="1"/>
  <c r="AK13" i="24"/>
  <c r="AI20" i="24"/>
  <c r="AI16" i="24"/>
  <c r="AI19" i="24" s="1"/>
  <c r="T21" i="24"/>
  <c r="U11" i="24"/>
  <c r="T21" i="23"/>
  <c r="U11" i="23"/>
  <c r="AJ14" i="23"/>
  <c r="AK13" i="23"/>
  <c r="AJ15" i="23"/>
  <c r="AI20" i="23"/>
  <c r="AI16" i="23"/>
  <c r="AI19" i="23" s="1"/>
  <c r="AG17" i="20"/>
  <c r="AG12" i="20"/>
  <c r="AH11" i="20" s="1"/>
  <c r="AH17" i="18"/>
  <c r="AH12" i="18"/>
  <c r="AI11" i="18" s="1"/>
  <c r="U20" i="10"/>
  <c r="U19" i="10"/>
  <c r="AF17" i="10"/>
  <c r="AF12" i="10"/>
  <c r="AG11" i="10" s="1"/>
  <c r="AJ20" i="29" l="1"/>
  <c r="AJ16" i="29"/>
  <c r="U11" i="29"/>
  <c r="AK15" i="29"/>
  <c r="AK14" i="29"/>
  <c r="AL13" i="29"/>
  <c r="AJ15" i="29"/>
  <c r="AJ19" i="29" s="1"/>
  <c r="U23" i="28"/>
  <c r="U17" i="28"/>
  <c r="U18" i="28"/>
  <c r="U12" i="28"/>
  <c r="AJ14" i="28"/>
  <c r="AK13" i="28"/>
  <c r="AJ15" i="28"/>
  <c r="AI20" i="28"/>
  <c r="AI16" i="28"/>
  <c r="AI19" i="28" s="1"/>
  <c r="U23" i="27"/>
  <c r="U17" i="27"/>
  <c r="U18" i="27"/>
  <c r="U12" i="27"/>
  <c r="AK14" i="27"/>
  <c r="AL13" i="27"/>
  <c r="AJ20" i="27"/>
  <c r="AJ16" i="27"/>
  <c r="AJ19" i="27" s="1"/>
  <c r="AK14" i="26"/>
  <c r="AK15" i="26" s="1"/>
  <c r="AL13" i="26"/>
  <c r="AJ20" i="26"/>
  <c r="AJ16" i="26"/>
  <c r="AJ19" i="26" s="1"/>
  <c r="T21" i="26"/>
  <c r="U11" i="26"/>
  <c r="U23" i="25"/>
  <c r="U18" i="25"/>
  <c r="U17" i="25"/>
  <c r="U12" i="25"/>
  <c r="AJ14" i="25"/>
  <c r="AJ15" i="25" s="1"/>
  <c r="AK13" i="25"/>
  <c r="AI20" i="25"/>
  <c r="AI16" i="25"/>
  <c r="AI19" i="25" s="1"/>
  <c r="U23" i="24"/>
  <c r="U17" i="24"/>
  <c r="U18" i="24"/>
  <c r="U12" i="24"/>
  <c r="AK15" i="24"/>
  <c r="AK14" i="24"/>
  <c r="AL13" i="24"/>
  <c r="AJ20" i="24"/>
  <c r="AJ16" i="24"/>
  <c r="AJ19" i="24" s="1"/>
  <c r="AK14" i="23"/>
  <c r="AK15" i="23" s="1"/>
  <c r="AL13" i="23"/>
  <c r="U23" i="23"/>
  <c r="U17" i="23"/>
  <c r="U18" i="23"/>
  <c r="U12" i="23"/>
  <c r="AJ20" i="23"/>
  <c r="AJ16" i="23"/>
  <c r="AJ19" i="23" s="1"/>
  <c r="AH17" i="20"/>
  <c r="AH12" i="20"/>
  <c r="AI11" i="20" s="1"/>
  <c r="AI17" i="18"/>
  <c r="AI12" i="18"/>
  <c r="AJ11" i="18" s="1"/>
  <c r="V20" i="10"/>
  <c r="V19" i="10"/>
  <c r="AG17" i="10"/>
  <c r="AG12" i="10"/>
  <c r="AH11" i="10" s="1"/>
  <c r="AK20" i="29" l="1"/>
  <c r="AK16" i="29"/>
  <c r="U23" i="29"/>
  <c r="U17" i="29"/>
  <c r="U18" i="29"/>
  <c r="U12" i="29"/>
  <c r="AL15" i="29"/>
  <c r="AL14" i="29"/>
  <c r="AM13" i="29"/>
  <c r="AK19" i="29"/>
  <c r="AJ20" i="28"/>
  <c r="AJ16" i="28"/>
  <c r="AJ19" i="28" s="1"/>
  <c r="AK14" i="28"/>
  <c r="AK15" i="28" s="1"/>
  <c r="AL13" i="28"/>
  <c r="U21" i="28"/>
  <c r="V11" i="28"/>
  <c r="AK20" i="27"/>
  <c r="AK16" i="27"/>
  <c r="U21" i="27"/>
  <c r="V11" i="27"/>
  <c r="AL14" i="27"/>
  <c r="AM13" i="27"/>
  <c r="AL15" i="27"/>
  <c r="AK15" i="27"/>
  <c r="AK19" i="27" s="1"/>
  <c r="U23" i="26"/>
  <c r="U17" i="26"/>
  <c r="U18" i="26"/>
  <c r="U12" i="26"/>
  <c r="AL14" i="26"/>
  <c r="AL15" i="26" s="1"/>
  <c r="AM13" i="26"/>
  <c r="AK20" i="26"/>
  <c r="AK16" i="26"/>
  <c r="AK19" i="26" s="1"/>
  <c r="AK14" i="25"/>
  <c r="AK15" i="25" s="1"/>
  <c r="AL13" i="25"/>
  <c r="AJ20" i="25"/>
  <c r="AJ16" i="25"/>
  <c r="AJ19" i="25" s="1"/>
  <c r="U21" i="25"/>
  <c r="V11" i="25"/>
  <c r="AK20" i="24"/>
  <c r="AK16" i="24"/>
  <c r="U21" i="24"/>
  <c r="V11" i="24"/>
  <c r="AL14" i="24"/>
  <c r="AL15" i="24" s="1"/>
  <c r="AM13" i="24"/>
  <c r="AK19" i="24"/>
  <c r="AK20" i="23"/>
  <c r="AK16" i="23"/>
  <c r="AK19" i="23" s="1"/>
  <c r="U21" i="23"/>
  <c r="V11" i="23"/>
  <c r="AL14" i="23"/>
  <c r="AL15" i="23" s="1"/>
  <c r="AM13" i="23"/>
  <c r="AI17" i="20"/>
  <c r="AI12" i="20"/>
  <c r="AJ11" i="20" s="1"/>
  <c r="AJ17" i="18"/>
  <c r="AJ12" i="18"/>
  <c r="AK11" i="18" s="1"/>
  <c r="W20" i="10"/>
  <c r="W19" i="10"/>
  <c r="AH17" i="10"/>
  <c r="AH12" i="10"/>
  <c r="AI11" i="10" s="1"/>
  <c r="AL20" i="29" l="1"/>
  <c r="AL16" i="29"/>
  <c r="V11" i="29"/>
  <c r="AM15" i="29"/>
  <c r="AM14" i="29"/>
  <c r="AN13" i="29"/>
  <c r="AL19" i="29"/>
  <c r="V23" i="28"/>
  <c r="V18" i="28"/>
  <c r="V17" i="28"/>
  <c r="V12" i="28"/>
  <c r="AL14" i="28"/>
  <c r="AM13" i="28"/>
  <c r="AL15" i="28"/>
  <c r="AK20" i="28"/>
  <c r="AK16" i="28"/>
  <c r="AK19" i="28" s="1"/>
  <c r="AM14" i="27"/>
  <c r="AN13" i="27"/>
  <c r="V23" i="27"/>
  <c r="V18" i="27"/>
  <c r="V17" i="27"/>
  <c r="V12" i="27"/>
  <c r="AL20" i="27"/>
  <c r="AL16" i="27"/>
  <c r="AL19" i="27" s="1"/>
  <c r="AM14" i="26"/>
  <c r="AM15" i="26" s="1"/>
  <c r="AN13" i="26"/>
  <c r="AL16" i="26"/>
  <c r="AL19" i="26" s="1"/>
  <c r="AL20" i="26"/>
  <c r="U21" i="26"/>
  <c r="V11" i="26"/>
  <c r="V23" i="25"/>
  <c r="V17" i="25"/>
  <c r="V18" i="25"/>
  <c r="V12" i="25"/>
  <c r="AL14" i="25"/>
  <c r="AL15" i="25" s="1"/>
  <c r="AM13" i="25"/>
  <c r="AK20" i="25"/>
  <c r="AK16" i="25"/>
  <c r="AK19" i="25" s="1"/>
  <c r="V23" i="24"/>
  <c r="V18" i="24"/>
  <c r="V17" i="24"/>
  <c r="V12" i="24"/>
  <c r="AM14" i="24"/>
  <c r="AM15" i="24" s="1"/>
  <c r="AN13" i="24"/>
  <c r="AL20" i="24"/>
  <c r="AL16" i="24"/>
  <c r="AL19" i="24" s="1"/>
  <c r="AM14" i="23"/>
  <c r="AM15" i="23" s="1"/>
  <c r="AN13" i="23"/>
  <c r="AL20" i="23"/>
  <c r="AL16" i="23"/>
  <c r="AL19" i="23" s="1"/>
  <c r="V23" i="23"/>
  <c r="V18" i="23"/>
  <c r="V17" i="23"/>
  <c r="V12" i="23"/>
  <c r="AJ17" i="20"/>
  <c r="AJ12" i="20"/>
  <c r="AK11" i="20" s="1"/>
  <c r="AK17" i="18"/>
  <c r="AK12" i="18"/>
  <c r="AL11" i="18" s="1"/>
  <c r="X20" i="10"/>
  <c r="X19" i="10"/>
  <c r="AI17" i="10"/>
  <c r="AI12" i="10"/>
  <c r="AJ11" i="10" s="1"/>
  <c r="AM20" i="29" l="1"/>
  <c r="AM16" i="29"/>
  <c r="V23" i="29"/>
  <c r="V18" i="29"/>
  <c r="V17" i="29"/>
  <c r="V12" i="29"/>
  <c r="AN14" i="29"/>
  <c r="AO13" i="29"/>
  <c r="AM19" i="29"/>
  <c r="AL20" i="28"/>
  <c r="AL16" i="28"/>
  <c r="AL19" i="28" s="1"/>
  <c r="AM14" i="28"/>
  <c r="AM15" i="28" s="1"/>
  <c r="AN13" i="28"/>
  <c r="V21" i="28"/>
  <c r="W11" i="28"/>
  <c r="AM20" i="27"/>
  <c r="AM16" i="27"/>
  <c r="V21" i="27"/>
  <c r="W11" i="27"/>
  <c r="AN14" i="27"/>
  <c r="AO13" i="27"/>
  <c r="AN15" i="27"/>
  <c r="AM15" i="27"/>
  <c r="AM19" i="27" s="1"/>
  <c r="V23" i="26"/>
  <c r="V18" i="26"/>
  <c r="V17" i="26"/>
  <c r="V12" i="26"/>
  <c r="AN14" i="26"/>
  <c r="AN15" i="26" s="1"/>
  <c r="AO13" i="26"/>
  <c r="AM20" i="26"/>
  <c r="AM16" i="26"/>
  <c r="AM19" i="26" s="1"/>
  <c r="AM14" i="25"/>
  <c r="AM15" i="25" s="1"/>
  <c r="AN13" i="25"/>
  <c r="AL20" i="25"/>
  <c r="AL16" i="25"/>
  <c r="AL19" i="25" s="1"/>
  <c r="V21" i="25"/>
  <c r="W11" i="25"/>
  <c r="AN14" i="24"/>
  <c r="AN15" i="24" s="1"/>
  <c r="AO13" i="24"/>
  <c r="AM20" i="24"/>
  <c r="AM16" i="24"/>
  <c r="AM19" i="24" s="1"/>
  <c r="V21" i="24"/>
  <c r="W11" i="24"/>
  <c r="V21" i="23"/>
  <c r="W11" i="23"/>
  <c r="AN14" i="23"/>
  <c r="AN15" i="23" s="1"/>
  <c r="AO13" i="23"/>
  <c r="AM20" i="23"/>
  <c r="AM16" i="23"/>
  <c r="AM19" i="23" s="1"/>
  <c r="AK17" i="20"/>
  <c r="AK12" i="20"/>
  <c r="AL11" i="20" s="1"/>
  <c r="AL17" i="18"/>
  <c r="AL12" i="18"/>
  <c r="AM11" i="18" s="1"/>
  <c r="Y20" i="10"/>
  <c r="Y19" i="10"/>
  <c r="AJ17" i="10"/>
  <c r="AJ12" i="10"/>
  <c r="AK11" i="10" s="1"/>
  <c r="AN20" i="29" l="1"/>
  <c r="AN16" i="29"/>
  <c r="V21" i="29"/>
  <c r="W11" i="29"/>
  <c r="AO15" i="29"/>
  <c r="AO14" i="29"/>
  <c r="AP13" i="29"/>
  <c r="AN15" i="29"/>
  <c r="AN19" i="29" s="1"/>
  <c r="W23" i="28"/>
  <c r="W17" i="28"/>
  <c r="W18" i="28"/>
  <c r="W12" i="28"/>
  <c r="AN14" i="28"/>
  <c r="AO13" i="28"/>
  <c r="AN15" i="28"/>
  <c r="AM20" i="28"/>
  <c r="AM16" i="28"/>
  <c r="AM19" i="28" s="1"/>
  <c r="AO14" i="27"/>
  <c r="AP13" i="27"/>
  <c r="W23" i="27"/>
  <c r="W17" i="27"/>
  <c r="W18" i="27"/>
  <c r="W12" i="27"/>
  <c r="AN20" i="27"/>
  <c r="AN16" i="27"/>
  <c r="AN19" i="27" s="1"/>
  <c r="AO14" i="26"/>
  <c r="AO15" i="26" s="1"/>
  <c r="AP13" i="26"/>
  <c r="AN20" i="26"/>
  <c r="AN16" i="26"/>
  <c r="AN19" i="26" s="1"/>
  <c r="V21" i="26"/>
  <c r="W11" i="26"/>
  <c r="W23" i="25"/>
  <c r="W18" i="25"/>
  <c r="W17" i="25"/>
  <c r="W12" i="25"/>
  <c r="AN14" i="25"/>
  <c r="AN15" i="25" s="1"/>
  <c r="AO13" i="25"/>
  <c r="AM20" i="25"/>
  <c r="AM16" i="25"/>
  <c r="AM19" i="25" s="1"/>
  <c r="W23" i="24"/>
  <c r="W17" i="24"/>
  <c r="W18" i="24"/>
  <c r="W12" i="24"/>
  <c r="AO15" i="24"/>
  <c r="AO14" i="24"/>
  <c r="AP13" i="24"/>
  <c r="AN20" i="24"/>
  <c r="AN16" i="24"/>
  <c r="AN19" i="24" s="1"/>
  <c r="AO14" i="23"/>
  <c r="AO15" i="23" s="1"/>
  <c r="AP13" i="23"/>
  <c r="W23" i="23"/>
  <c r="W17" i="23"/>
  <c r="W18" i="23"/>
  <c r="W12" i="23"/>
  <c r="AN20" i="23"/>
  <c r="AN16" i="23"/>
  <c r="AN19" i="23" s="1"/>
  <c r="AL17" i="20"/>
  <c r="AL12" i="20"/>
  <c r="AM11" i="20" s="1"/>
  <c r="AM17" i="18"/>
  <c r="AM12" i="18"/>
  <c r="AN11" i="18" s="1"/>
  <c r="Z20" i="10"/>
  <c r="Z19" i="10"/>
  <c r="AK17" i="10"/>
  <c r="AK12" i="10"/>
  <c r="AL11" i="10" s="1"/>
  <c r="AO20" i="29" l="1"/>
  <c r="AO16" i="29"/>
  <c r="W23" i="29"/>
  <c r="W17" i="29"/>
  <c r="W18" i="29"/>
  <c r="W12" i="29"/>
  <c r="AP15" i="29"/>
  <c r="AP14" i="29"/>
  <c r="AQ13" i="29"/>
  <c r="AO19" i="29"/>
  <c r="AN20" i="28"/>
  <c r="AN16" i="28"/>
  <c r="AN19" i="28" s="1"/>
  <c r="AO14" i="28"/>
  <c r="AO15" i="28" s="1"/>
  <c r="AP13" i="28"/>
  <c r="W21" i="28"/>
  <c r="X11" i="28"/>
  <c r="AO20" i="27"/>
  <c r="AO16" i="27"/>
  <c r="W21" i="27"/>
  <c r="X11" i="27"/>
  <c r="AP14" i="27"/>
  <c r="AQ13" i="27"/>
  <c r="AP15" i="27"/>
  <c r="AO15" i="27"/>
  <c r="AO19" i="27" s="1"/>
  <c r="W23" i="26"/>
  <c r="W17" i="26"/>
  <c r="W18" i="26"/>
  <c r="W12" i="26"/>
  <c r="AP15" i="26"/>
  <c r="AP14" i="26"/>
  <c r="AQ13" i="26"/>
  <c r="AO20" i="26"/>
  <c r="AO16" i="26"/>
  <c r="AO19" i="26" s="1"/>
  <c r="AO14" i="25"/>
  <c r="AO15" i="25" s="1"/>
  <c r="AP13" i="25"/>
  <c r="AN20" i="25"/>
  <c r="AN16" i="25"/>
  <c r="AN19" i="25" s="1"/>
  <c r="W21" i="25"/>
  <c r="X11" i="25"/>
  <c r="AP14" i="24"/>
  <c r="AP15" i="24" s="1"/>
  <c r="AQ13" i="24"/>
  <c r="AO20" i="24"/>
  <c r="AO16" i="24"/>
  <c r="AO19" i="24" s="1"/>
  <c r="W21" i="24"/>
  <c r="X11" i="24"/>
  <c r="W21" i="23"/>
  <c r="X11" i="23"/>
  <c r="AP14" i="23"/>
  <c r="AP15" i="23" s="1"/>
  <c r="AQ13" i="23"/>
  <c r="AO20" i="23"/>
  <c r="AO16" i="23"/>
  <c r="AO19" i="23" s="1"/>
  <c r="AM17" i="20"/>
  <c r="AM12" i="20"/>
  <c r="AN11" i="20" s="1"/>
  <c r="AN17" i="18"/>
  <c r="AN12" i="18"/>
  <c r="AO11" i="18" s="1"/>
  <c r="AA20" i="10"/>
  <c r="AA19" i="10"/>
  <c r="AL17" i="10"/>
  <c r="AL12" i="10"/>
  <c r="AM11" i="10" s="1"/>
  <c r="AP20" i="29" l="1"/>
  <c r="AP16" i="29"/>
  <c r="W21" i="29"/>
  <c r="X11" i="29"/>
  <c r="AQ15" i="29"/>
  <c r="AQ14" i="29"/>
  <c r="AR13" i="29"/>
  <c r="AP19" i="29"/>
  <c r="X23" i="28"/>
  <c r="X18" i="28"/>
  <c r="X17" i="28"/>
  <c r="X12" i="28"/>
  <c r="AP14" i="28"/>
  <c r="AQ13" i="28"/>
  <c r="AP15" i="28"/>
  <c r="AO20" i="28"/>
  <c r="AO16" i="28"/>
  <c r="AO19" i="28" s="1"/>
  <c r="AQ14" i="27"/>
  <c r="AR13" i="27"/>
  <c r="X23" i="27"/>
  <c r="X18" i="27"/>
  <c r="X17" i="27"/>
  <c r="X12" i="27"/>
  <c r="AP20" i="27"/>
  <c r="AP16" i="27"/>
  <c r="AP19" i="27" s="1"/>
  <c r="AQ14" i="26"/>
  <c r="AQ15" i="26" s="1"/>
  <c r="AR13" i="26"/>
  <c r="AP16" i="26"/>
  <c r="AP19" i="26" s="1"/>
  <c r="AP20" i="26"/>
  <c r="W21" i="26"/>
  <c r="X11" i="26"/>
  <c r="X23" i="25"/>
  <c r="X17" i="25"/>
  <c r="X18" i="25"/>
  <c r="X12" i="25"/>
  <c r="AP15" i="25"/>
  <c r="AP14" i="25"/>
  <c r="AQ13" i="25"/>
  <c r="AO20" i="25"/>
  <c r="AO16" i="25"/>
  <c r="AO19" i="25" s="1"/>
  <c r="X23" i="24"/>
  <c r="X18" i="24"/>
  <c r="X17" i="24"/>
  <c r="X12" i="24"/>
  <c r="AQ14" i="24"/>
  <c r="AQ15" i="24" s="1"/>
  <c r="AR13" i="24"/>
  <c r="AP20" i="24"/>
  <c r="AP16" i="24"/>
  <c r="AP19" i="24" s="1"/>
  <c r="AQ14" i="23"/>
  <c r="AQ15" i="23" s="1"/>
  <c r="AR13" i="23"/>
  <c r="AP20" i="23"/>
  <c r="AP16" i="23"/>
  <c r="AP19" i="23" s="1"/>
  <c r="X23" i="23"/>
  <c r="X18" i="23"/>
  <c r="X17" i="23"/>
  <c r="X12" i="23"/>
  <c r="AN17" i="20"/>
  <c r="AN12" i="20"/>
  <c r="AO11" i="20" s="1"/>
  <c r="AO17" i="18"/>
  <c r="AO12" i="18"/>
  <c r="AP11" i="18" s="1"/>
  <c r="AB20" i="10"/>
  <c r="AB19" i="10"/>
  <c r="AM17" i="10"/>
  <c r="AM12" i="10"/>
  <c r="AN11" i="10" s="1"/>
  <c r="AQ20" i="29" l="1"/>
  <c r="AQ16" i="29"/>
  <c r="X23" i="29"/>
  <c r="X18" i="29"/>
  <c r="X17" i="29"/>
  <c r="X12" i="29"/>
  <c r="AR14" i="29"/>
  <c r="AS13" i="29"/>
  <c r="AQ19" i="29"/>
  <c r="AP20" i="28"/>
  <c r="AP16" i="28"/>
  <c r="AP19" i="28" s="1"/>
  <c r="AQ14" i="28"/>
  <c r="AQ15" i="28" s="1"/>
  <c r="AR13" i="28"/>
  <c r="X21" i="28"/>
  <c r="Y11" i="28"/>
  <c r="AQ20" i="27"/>
  <c r="AQ16" i="27"/>
  <c r="X21" i="27"/>
  <c r="Y11" i="27"/>
  <c r="AR14" i="27"/>
  <c r="AS13" i="27"/>
  <c r="AR15" i="27"/>
  <c r="AQ15" i="27"/>
  <c r="AQ19" i="27" s="1"/>
  <c r="X23" i="26"/>
  <c r="X18" i="26"/>
  <c r="X17" i="26"/>
  <c r="X12" i="26"/>
  <c r="AQ20" i="26"/>
  <c r="AQ16" i="26"/>
  <c r="AQ19" i="26" s="1"/>
  <c r="AR14" i="26"/>
  <c r="AS13" i="26"/>
  <c r="AQ14" i="25"/>
  <c r="AQ15" i="25" s="1"/>
  <c r="AR13" i="25"/>
  <c r="AP20" i="25"/>
  <c r="AP16" i="25"/>
  <c r="AP19" i="25" s="1"/>
  <c r="X21" i="25"/>
  <c r="Y11" i="25"/>
  <c r="AR14" i="24"/>
  <c r="AR15" i="24" s="1"/>
  <c r="AS13" i="24"/>
  <c r="AQ20" i="24"/>
  <c r="AQ16" i="24"/>
  <c r="AQ19" i="24" s="1"/>
  <c r="X21" i="24"/>
  <c r="Y11" i="24"/>
  <c r="X21" i="23"/>
  <c r="Y11" i="23"/>
  <c r="AR14" i="23"/>
  <c r="AR15" i="23" s="1"/>
  <c r="AS13" i="23"/>
  <c r="AQ20" i="23"/>
  <c r="AQ16" i="23"/>
  <c r="AQ19" i="23" s="1"/>
  <c r="AO17" i="20"/>
  <c r="AO12" i="20"/>
  <c r="AP11" i="20" s="1"/>
  <c r="AP17" i="18"/>
  <c r="AP12" i="18"/>
  <c r="AQ11" i="18" s="1"/>
  <c r="AC20" i="10"/>
  <c r="AC19" i="10"/>
  <c r="AN17" i="10"/>
  <c r="AN12" i="10"/>
  <c r="AO11" i="10" s="1"/>
  <c r="AR20" i="29" l="1"/>
  <c r="AR16" i="29"/>
  <c r="X21" i="29"/>
  <c r="Y11" i="29"/>
  <c r="AS15" i="29"/>
  <c r="AS14" i="29"/>
  <c r="AT13" i="29"/>
  <c r="AR15" i="29"/>
  <c r="AR19" i="29" s="1"/>
  <c r="Y23" i="28"/>
  <c r="Y17" i="28"/>
  <c r="Y18" i="28"/>
  <c r="Y12" i="28"/>
  <c r="AR14" i="28"/>
  <c r="AS13" i="28"/>
  <c r="AR15" i="28"/>
  <c r="AQ20" i="28"/>
  <c r="AQ16" i="28"/>
  <c r="AQ19" i="28" s="1"/>
  <c r="AS14" i="27"/>
  <c r="AT13" i="27"/>
  <c r="Y23" i="27"/>
  <c r="Y17" i="27"/>
  <c r="Y18" i="27"/>
  <c r="Y12" i="27"/>
  <c r="AR20" i="27"/>
  <c r="AR16" i="27"/>
  <c r="AR19" i="27" s="1"/>
  <c r="AR20" i="26"/>
  <c r="AR16" i="26"/>
  <c r="X21" i="26"/>
  <c r="Y11" i="26"/>
  <c r="AS14" i="26"/>
  <c r="AS15" i="26" s="1"/>
  <c r="AT13" i="26"/>
  <c r="AR15" i="26"/>
  <c r="AR19" i="26" s="1"/>
  <c r="Y23" i="25"/>
  <c r="Y18" i="25"/>
  <c r="Y17" i="25"/>
  <c r="Y12" i="25"/>
  <c r="AQ20" i="25"/>
  <c r="AQ16" i="25"/>
  <c r="AQ19" i="25" s="1"/>
  <c r="AR14" i="25"/>
  <c r="AR15" i="25" s="1"/>
  <c r="AS13" i="25"/>
  <c r="Y23" i="24"/>
  <c r="Y17" i="24"/>
  <c r="Y18" i="24"/>
  <c r="Y12" i="24"/>
  <c r="AS14" i="24"/>
  <c r="AS15" i="24" s="1"/>
  <c r="AT13" i="24"/>
  <c r="AR20" i="24"/>
  <c r="AR16" i="24"/>
  <c r="AR19" i="24" s="1"/>
  <c r="AS14" i="23"/>
  <c r="AS15" i="23" s="1"/>
  <c r="AT13" i="23"/>
  <c r="Y23" i="23"/>
  <c r="Y17" i="23"/>
  <c r="Y18" i="23"/>
  <c r="Y12" i="23"/>
  <c r="AR20" i="23"/>
  <c r="AR16" i="23"/>
  <c r="AR19" i="23" s="1"/>
  <c r="AP17" i="20"/>
  <c r="AP12" i="20"/>
  <c r="AQ11" i="20" s="1"/>
  <c r="AQ17" i="18"/>
  <c r="AQ12" i="18"/>
  <c r="AR11" i="18" s="1"/>
  <c r="AD19" i="10"/>
  <c r="AD20" i="10"/>
  <c r="AO17" i="10"/>
  <c r="AO12" i="10"/>
  <c r="AP11" i="10" s="1"/>
  <c r="AS20" i="29" l="1"/>
  <c r="AS16" i="29"/>
  <c r="Y23" i="29"/>
  <c r="Y17" i="29"/>
  <c r="Y18" i="29"/>
  <c r="Y12" i="29"/>
  <c r="AT14" i="29"/>
  <c r="AU13" i="29"/>
  <c r="AS19" i="29"/>
  <c r="AS14" i="28"/>
  <c r="AS15" i="28" s="1"/>
  <c r="AT13" i="28"/>
  <c r="Y21" i="28"/>
  <c r="Z11" i="28"/>
  <c r="AR20" i="28"/>
  <c r="AR16" i="28"/>
  <c r="AR19" i="28" s="1"/>
  <c r="AS20" i="27"/>
  <c r="AS16" i="27"/>
  <c r="Y21" i="27"/>
  <c r="Z11" i="27"/>
  <c r="AT14" i="27"/>
  <c r="AU13" i="27"/>
  <c r="AT15" i="27"/>
  <c r="AS15" i="27"/>
  <c r="AS19" i="27" s="1"/>
  <c r="AS20" i="26"/>
  <c r="AS16" i="26"/>
  <c r="Y23" i="26"/>
  <c r="Y17" i="26"/>
  <c r="Y18" i="26"/>
  <c r="Y12" i="26"/>
  <c r="AT14" i="26"/>
  <c r="AT15" i="26" s="1"/>
  <c r="AU13" i="26"/>
  <c r="AS19" i="26"/>
  <c r="AR20" i="25"/>
  <c r="AR16" i="25"/>
  <c r="AR19" i="25" s="1"/>
  <c r="Y21" i="25"/>
  <c r="Z11" i="25"/>
  <c r="AS14" i="25"/>
  <c r="AS15" i="25" s="1"/>
  <c r="AT13" i="25"/>
  <c r="AS20" i="24"/>
  <c r="AS16" i="24"/>
  <c r="AS19" i="24" s="1"/>
  <c r="Y21" i="24"/>
  <c r="Z11" i="24"/>
  <c r="AT14" i="24"/>
  <c r="AT15" i="24" s="1"/>
  <c r="AU13" i="24"/>
  <c r="Y21" i="23"/>
  <c r="Z11" i="23"/>
  <c r="AT14" i="23"/>
  <c r="AT15" i="23" s="1"/>
  <c r="AU13" i="23"/>
  <c r="AS20" i="23"/>
  <c r="AS16" i="23"/>
  <c r="AS19" i="23" s="1"/>
  <c r="AQ17" i="20"/>
  <c r="AQ12" i="20"/>
  <c r="AR11" i="20" s="1"/>
  <c r="AR17" i="18"/>
  <c r="AR12" i="18"/>
  <c r="AS11" i="18" s="1"/>
  <c r="AE20" i="10"/>
  <c r="AE19" i="10"/>
  <c r="AP17" i="10"/>
  <c r="AP12" i="10"/>
  <c r="AQ11" i="10" s="1"/>
  <c r="AT20" i="29" l="1"/>
  <c r="AT16" i="29"/>
  <c r="Y21" i="29"/>
  <c r="Z11" i="29"/>
  <c r="AU15" i="29"/>
  <c r="AU14" i="29"/>
  <c r="AV13" i="29"/>
  <c r="AT15" i="29"/>
  <c r="AT19" i="29" s="1"/>
  <c r="AS20" i="28"/>
  <c r="AS16" i="28"/>
  <c r="Z23" i="28"/>
  <c r="Z18" i="28"/>
  <c r="Z17" i="28"/>
  <c r="Z12" i="28"/>
  <c r="AT14" i="28"/>
  <c r="AU13" i="28"/>
  <c r="AT15" i="28"/>
  <c r="AS19" i="28"/>
  <c r="AU14" i="27"/>
  <c r="AV13" i="27"/>
  <c r="Z23" i="27"/>
  <c r="Z18" i="27"/>
  <c r="Z17" i="27"/>
  <c r="Z12" i="27"/>
  <c r="AT20" i="27"/>
  <c r="AT16" i="27"/>
  <c r="AT19" i="27" s="1"/>
  <c r="AT16" i="26"/>
  <c r="AT20" i="26"/>
  <c r="Y21" i="26"/>
  <c r="Z11" i="26"/>
  <c r="AU14" i="26"/>
  <c r="AU15" i="26" s="1"/>
  <c r="AV13" i="26"/>
  <c r="AT19" i="26"/>
  <c r="AS20" i="25"/>
  <c r="AS16" i="25"/>
  <c r="AS19" i="25" s="1"/>
  <c r="Z23" i="25"/>
  <c r="Z17" i="25"/>
  <c r="Z18" i="25"/>
  <c r="Z12" i="25"/>
  <c r="AT14" i="25"/>
  <c r="AT15" i="25" s="1"/>
  <c r="AU13" i="25"/>
  <c r="Z23" i="24"/>
  <c r="Z18" i="24"/>
  <c r="Z17" i="24"/>
  <c r="Z12" i="24"/>
  <c r="AU14" i="24"/>
  <c r="AU15" i="24" s="1"/>
  <c r="AV13" i="24"/>
  <c r="AT20" i="24"/>
  <c r="AT16" i="24"/>
  <c r="AT19" i="24" s="1"/>
  <c r="AU14" i="23"/>
  <c r="AU15" i="23" s="1"/>
  <c r="AV13" i="23"/>
  <c r="AT20" i="23"/>
  <c r="AT16" i="23"/>
  <c r="AT19" i="23" s="1"/>
  <c r="Z23" i="23"/>
  <c r="Z18" i="23"/>
  <c r="Z17" i="23"/>
  <c r="Z12" i="23"/>
  <c r="AR17" i="20"/>
  <c r="AR12" i="20"/>
  <c r="AS11" i="20" s="1"/>
  <c r="AS17" i="18"/>
  <c r="AS12" i="18"/>
  <c r="AT11" i="18" s="1"/>
  <c r="AF20" i="10"/>
  <c r="AF19" i="10"/>
  <c r="AQ17" i="10"/>
  <c r="AQ12" i="10"/>
  <c r="AR11" i="10" s="1"/>
  <c r="AU20" i="29" l="1"/>
  <c r="AU16" i="29"/>
  <c r="Z23" i="29"/>
  <c r="Z18" i="29"/>
  <c r="Z17" i="29"/>
  <c r="Z12" i="29"/>
  <c r="AV14" i="29"/>
  <c r="AW13" i="29"/>
  <c r="AU19" i="29"/>
  <c r="AU14" i="28"/>
  <c r="AU15" i="28" s="1"/>
  <c r="AV13" i="28"/>
  <c r="Z21" i="28"/>
  <c r="AA11" i="28"/>
  <c r="AT20" i="28"/>
  <c r="AT16" i="28"/>
  <c r="AT19" i="28" s="1"/>
  <c r="AU20" i="27"/>
  <c r="AU16" i="27"/>
  <c r="Z21" i="27"/>
  <c r="AA11" i="27"/>
  <c r="AV14" i="27"/>
  <c r="AW13" i="27"/>
  <c r="AV15" i="27"/>
  <c r="AU15" i="27"/>
  <c r="AU19" i="27" s="1"/>
  <c r="AU20" i="26"/>
  <c r="AU16" i="26"/>
  <c r="Z23" i="26"/>
  <c r="Z18" i="26"/>
  <c r="Z17" i="26"/>
  <c r="Z12" i="26"/>
  <c r="AV15" i="26"/>
  <c r="AV14" i="26"/>
  <c r="AW13" i="26"/>
  <c r="AU19" i="26"/>
  <c r="AT20" i="25"/>
  <c r="AT16" i="25"/>
  <c r="Z21" i="25"/>
  <c r="AA11" i="25"/>
  <c r="AU15" i="25"/>
  <c r="AU14" i="25"/>
  <c r="AV13" i="25"/>
  <c r="AT19" i="25"/>
  <c r="AU19" i="24"/>
  <c r="AV14" i="24"/>
  <c r="AV15" i="24"/>
  <c r="AW13" i="24"/>
  <c r="AU20" i="24"/>
  <c r="AU16" i="24"/>
  <c r="Z21" i="24"/>
  <c r="AA11" i="24"/>
  <c r="AU20" i="23"/>
  <c r="AU16" i="23"/>
  <c r="AU19" i="23" s="1"/>
  <c r="Z21" i="23"/>
  <c r="AA11" i="23"/>
  <c r="AV14" i="23"/>
  <c r="AV15" i="23" s="1"/>
  <c r="AW13" i="23"/>
  <c r="AS17" i="20"/>
  <c r="AS12" i="20"/>
  <c r="AT11" i="20" s="1"/>
  <c r="AT17" i="18"/>
  <c r="AT12" i="18"/>
  <c r="AU11" i="18" s="1"/>
  <c r="AG20" i="10"/>
  <c r="AG19" i="10"/>
  <c r="AR17" i="10"/>
  <c r="AR12" i="10"/>
  <c r="AS11" i="10" s="1"/>
  <c r="AV20" i="29" l="1"/>
  <c r="AV16" i="29"/>
  <c r="Z21" i="29"/>
  <c r="AA11" i="29"/>
  <c r="AW15" i="29"/>
  <c r="AW14" i="29"/>
  <c r="AX13" i="29"/>
  <c r="AV15" i="29"/>
  <c r="AV19" i="29" s="1"/>
  <c r="AU20" i="28"/>
  <c r="AU16" i="28"/>
  <c r="AA23" i="28"/>
  <c r="AA17" i="28"/>
  <c r="AA18" i="28"/>
  <c r="AA12" i="28"/>
  <c r="AV14" i="28"/>
  <c r="AW13" i="28"/>
  <c r="AV15" i="28"/>
  <c r="AU19" i="28"/>
  <c r="AW14" i="27"/>
  <c r="AX13" i="27"/>
  <c r="AA23" i="27"/>
  <c r="AA17" i="27"/>
  <c r="AA18" i="27"/>
  <c r="AA12" i="27"/>
  <c r="AV20" i="27"/>
  <c r="AV16" i="27"/>
  <c r="AV19" i="27" s="1"/>
  <c r="AV20" i="26"/>
  <c r="AV16" i="26"/>
  <c r="Z21" i="26"/>
  <c r="AA11" i="26"/>
  <c r="AW14" i="26"/>
  <c r="AW15" i="26" s="1"/>
  <c r="AX13" i="26"/>
  <c r="AV19" i="26"/>
  <c r="AU20" i="25"/>
  <c r="AU16" i="25"/>
  <c r="AU19" i="25" s="1"/>
  <c r="AA23" i="25"/>
  <c r="AA18" i="25"/>
  <c r="AA17" i="25"/>
  <c r="AA12" i="25"/>
  <c r="AV14" i="25"/>
  <c r="AV15" i="25" s="1"/>
  <c r="AW13" i="25"/>
  <c r="AA23" i="24"/>
  <c r="AA17" i="24"/>
  <c r="AA18" i="24"/>
  <c r="AA12" i="24"/>
  <c r="AW14" i="24"/>
  <c r="AW15" i="24" s="1"/>
  <c r="AX13" i="24"/>
  <c r="AV20" i="24"/>
  <c r="AV16" i="24"/>
  <c r="AV19" i="24" s="1"/>
  <c r="AW14" i="23"/>
  <c r="AW15" i="23" s="1"/>
  <c r="AX13" i="23"/>
  <c r="AV20" i="23"/>
  <c r="AV16" i="23"/>
  <c r="AV19" i="23" s="1"/>
  <c r="AA23" i="23"/>
  <c r="AA17" i="23"/>
  <c r="AA18" i="23"/>
  <c r="AA12" i="23"/>
  <c r="AT17" i="20"/>
  <c r="AT12" i="20"/>
  <c r="AU11" i="20" s="1"/>
  <c r="AU17" i="18"/>
  <c r="AU12" i="18"/>
  <c r="AV11" i="18" s="1"/>
  <c r="AH20" i="10"/>
  <c r="AH19" i="10"/>
  <c r="AS17" i="10"/>
  <c r="AS12" i="10"/>
  <c r="AT11" i="10" s="1"/>
  <c r="AW20" i="29" l="1"/>
  <c r="AW16" i="29"/>
  <c r="AA23" i="29"/>
  <c r="AA17" i="29"/>
  <c r="AA18" i="29"/>
  <c r="AA12" i="29"/>
  <c r="AX14" i="29"/>
  <c r="AY13" i="29"/>
  <c r="AW19" i="29"/>
  <c r="AW14" i="28"/>
  <c r="AW15" i="28" s="1"/>
  <c r="AX13" i="28"/>
  <c r="AA21" i="28"/>
  <c r="AB11" i="28"/>
  <c r="AV20" i="28"/>
  <c r="AV16" i="28"/>
  <c r="AV19" i="28" s="1"/>
  <c r="AW20" i="27"/>
  <c r="AW16" i="27"/>
  <c r="AA21" i="27"/>
  <c r="AB11" i="27"/>
  <c r="AX14" i="27"/>
  <c r="AY13" i="27"/>
  <c r="AX15" i="27"/>
  <c r="AW15" i="27"/>
  <c r="AW19" i="27" s="1"/>
  <c r="AW20" i="26"/>
  <c r="AW16" i="26"/>
  <c r="AA23" i="26"/>
  <c r="AA17" i="26"/>
  <c r="AA18" i="26"/>
  <c r="AA12" i="26"/>
  <c r="AX14" i="26"/>
  <c r="AX15" i="26" s="1"/>
  <c r="AY13" i="26"/>
  <c r="AW19" i="26"/>
  <c r="AV20" i="25"/>
  <c r="AV16" i="25"/>
  <c r="AV19" i="25" s="1"/>
  <c r="AA21" i="25"/>
  <c r="AB11" i="25"/>
  <c r="AW14" i="25"/>
  <c r="AW15" i="25" s="1"/>
  <c r="AX13" i="25"/>
  <c r="AW20" i="24"/>
  <c r="AW16" i="24"/>
  <c r="AW19" i="24" s="1"/>
  <c r="AA21" i="24"/>
  <c r="AB11" i="24"/>
  <c r="AX14" i="24"/>
  <c r="AX15" i="24" s="1"/>
  <c r="AY13" i="24"/>
  <c r="AW20" i="23"/>
  <c r="AW16" i="23"/>
  <c r="AW19" i="23" s="1"/>
  <c r="AA21" i="23"/>
  <c r="AB11" i="23"/>
  <c r="AX14" i="23"/>
  <c r="AX15" i="23" s="1"/>
  <c r="AY13" i="23"/>
  <c r="AU17" i="20"/>
  <c r="AU12" i="20"/>
  <c r="AV11" i="20" s="1"/>
  <c r="AV17" i="18"/>
  <c r="AV12" i="18"/>
  <c r="AW11" i="18" s="1"/>
  <c r="AI20" i="10"/>
  <c r="AI19" i="10"/>
  <c r="AT17" i="10"/>
  <c r="AT12" i="10"/>
  <c r="AU11" i="10" s="1"/>
  <c r="AX20" i="29" l="1"/>
  <c r="AX16" i="29"/>
  <c r="AA21" i="29"/>
  <c r="AB11" i="29"/>
  <c r="AY15" i="29"/>
  <c r="AY14" i="29"/>
  <c r="AZ13" i="29"/>
  <c r="AX15" i="29"/>
  <c r="AX19" i="29" s="1"/>
  <c r="AW20" i="28"/>
  <c r="AW16" i="28"/>
  <c r="AB23" i="28"/>
  <c r="AB18" i="28"/>
  <c r="AB17" i="28"/>
  <c r="AB12" i="28"/>
  <c r="AX14" i="28"/>
  <c r="AY13" i="28"/>
  <c r="AX15" i="28"/>
  <c r="AW19" i="28"/>
  <c r="AY14" i="27"/>
  <c r="AZ13" i="27"/>
  <c r="AB23" i="27"/>
  <c r="AB18" i="27"/>
  <c r="AB17" i="27"/>
  <c r="AB12" i="27"/>
  <c r="AX20" i="27"/>
  <c r="AX16" i="27"/>
  <c r="AX19" i="27" s="1"/>
  <c r="AX16" i="26"/>
  <c r="AX20" i="26"/>
  <c r="AA21" i="26"/>
  <c r="AB11" i="26"/>
  <c r="AY14" i="26"/>
  <c r="AY15" i="26" s="1"/>
  <c r="AZ13" i="26"/>
  <c r="AX19" i="26"/>
  <c r="AW20" i="25"/>
  <c r="AW16" i="25"/>
  <c r="AW19" i="25" s="1"/>
  <c r="AB23" i="25"/>
  <c r="AB17" i="25"/>
  <c r="AB18" i="25"/>
  <c r="AB12" i="25"/>
  <c r="AX14" i="25"/>
  <c r="AX15" i="25" s="1"/>
  <c r="AY13" i="25"/>
  <c r="AB23" i="24"/>
  <c r="AB18" i="24"/>
  <c r="AB17" i="24"/>
  <c r="AB12" i="24"/>
  <c r="AY14" i="24"/>
  <c r="AY15" i="24" s="1"/>
  <c r="AZ13" i="24"/>
  <c r="AX20" i="24"/>
  <c r="AX16" i="24"/>
  <c r="AX19" i="24" s="1"/>
  <c r="AX20" i="23"/>
  <c r="AX16" i="23"/>
  <c r="AX19" i="23" s="1"/>
  <c r="AB23" i="23"/>
  <c r="AB18" i="23"/>
  <c r="AB17" i="23"/>
  <c r="AB12" i="23"/>
  <c r="AY14" i="23"/>
  <c r="AZ13" i="23"/>
  <c r="AV17" i="20"/>
  <c r="AV12" i="20"/>
  <c r="AW11" i="20" s="1"/>
  <c r="AW17" i="18"/>
  <c r="AW12" i="18"/>
  <c r="AX11" i="18" s="1"/>
  <c r="AJ20" i="10"/>
  <c r="AJ19" i="10"/>
  <c r="AU17" i="10"/>
  <c r="AU12" i="10"/>
  <c r="AV11" i="10" s="1"/>
  <c r="AY20" i="29" l="1"/>
  <c r="AY16" i="29"/>
  <c r="AB23" i="29"/>
  <c r="AB18" i="29"/>
  <c r="AB17" i="29"/>
  <c r="AB12" i="29"/>
  <c r="AZ15" i="29"/>
  <c r="AZ14" i="29"/>
  <c r="BA13" i="29"/>
  <c r="AY19" i="29"/>
  <c r="AY15" i="28"/>
  <c r="AY14" i="28"/>
  <c r="AZ13" i="28"/>
  <c r="AB21" i="28"/>
  <c r="AC11" i="28"/>
  <c r="AX20" i="28"/>
  <c r="AX16" i="28"/>
  <c r="AX19" i="28" s="1"/>
  <c r="AY20" i="27"/>
  <c r="AY16" i="27"/>
  <c r="AB21" i="27"/>
  <c r="AC11" i="27"/>
  <c r="AZ14" i="27"/>
  <c r="BA13" i="27"/>
  <c r="AZ15" i="27"/>
  <c r="AY15" i="27"/>
  <c r="AY19" i="27" s="1"/>
  <c r="AY20" i="26"/>
  <c r="AY16" i="26"/>
  <c r="AB23" i="26"/>
  <c r="AB18" i="26"/>
  <c r="AB17" i="26"/>
  <c r="AB12" i="26"/>
  <c r="AZ14" i="26"/>
  <c r="AZ15" i="26" s="1"/>
  <c r="BA13" i="26"/>
  <c r="AY19" i="26"/>
  <c r="AX20" i="25"/>
  <c r="AX16" i="25"/>
  <c r="AB21" i="25"/>
  <c r="AC11" i="25"/>
  <c r="AY14" i="25"/>
  <c r="AY15" i="25" s="1"/>
  <c r="AZ13" i="25"/>
  <c r="AX19" i="25"/>
  <c r="AZ14" i="24"/>
  <c r="AZ15" i="24" s="1"/>
  <c r="BA13" i="24"/>
  <c r="AY20" i="24"/>
  <c r="AY16" i="24"/>
  <c r="AY19" i="24" s="1"/>
  <c r="AB21" i="24"/>
  <c r="AC11" i="24"/>
  <c r="AY20" i="23"/>
  <c r="AY16" i="23"/>
  <c r="AB21" i="23"/>
  <c r="AC11" i="23"/>
  <c r="AZ14" i="23"/>
  <c r="AZ15" i="23" s="1"/>
  <c r="BA13" i="23"/>
  <c r="AY15" i="23"/>
  <c r="AW17" i="20"/>
  <c r="AW12" i="20"/>
  <c r="AX11" i="20" s="1"/>
  <c r="AX17" i="18"/>
  <c r="AX12" i="18"/>
  <c r="AY11" i="18" s="1"/>
  <c r="AK20" i="10"/>
  <c r="AK19" i="10"/>
  <c r="AV17" i="10"/>
  <c r="AV12" i="10"/>
  <c r="AW11" i="10" s="1"/>
  <c r="AZ20" i="29" l="1"/>
  <c r="AZ16" i="29"/>
  <c r="AB21" i="29"/>
  <c r="AC11" i="29"/>
  <c r="BA15" i="29"/>
  <c r="BA14" i="29"/>
  <c r="BB13" i="29"/>
  <c r="AZ19" i="29"/>
  <c r="AY20" i="28"/>
  <c r="AY16" i="28"/>
  <c r="AC23" i="28"/>
  <c r="AC17" i="28"/>
  <c r="AC18" i="28"/>
  <c r="AC12" i="28"/>
  <c r="AZ14" i="28"/>
  <c r="BA13" i="28"/>
  <c r="AZ15" i="28"/>
  <c r="AY19" i="28"/>
  <c r="BA15" i="27"/>
  <c r="BA14" i="27"/>
  <c r="BB13" i="27"/>
  <c r="AC23" i="27"/>
  <c r="AC17" i="27"/>
  <c r="AC18" i="27"/>
  <c r="AC12" i="27"/>
  <c r="AZ20" i="27"/>
  <c r="AZ16" i="27"/>
  <c r="AZ19" i="27" s="1"/>
  <c r="AZ20" i="26"/>
  <c r="AZ16" i="26"/>
  <c r="AZ19" i="26" s="1"/>
  <c r="AB21" i="26"/>
  <c r="AC11" i="26"/>
  <c r="BA14" i="26"/>
  <c r="BA15" i="26" s="1"/>
  <c r="BB13" i="26"/>
  <c r="AY20" i="25"/>
  <c r="AY16" i="25"/>
  <c r="AC23" i="25"/>
  <c r="AC18" i="25"/>
  <c r="AC17" i="25"/>
  <c r="AC12" i="25"/>
  <c r="AZ14" i="25"/>
  <c r="BA13" i="25"/>
  <c r="AY19" i="25"/>
  <c r="AC23" i="24"/>
  <c r="AC17" i="24"/>
  <c r="AC18" i="24"/>
  <c r="AC12" i="24"/>
  <c r="BA14" i="24"/>
  <c r="BA15" i="24" s="1"/>
  <c r="BB13" i="24"/>
  <c r="AZ20" i="24"/>
  <c r="AZ16" i="24"/>
  <c r="AZ19" i="24" s="1"/>
  <c r="AY19" i="23"/>
  <c r="AZ20" i="23"/>
  <c r="AZ16" i="23"/>
  <c r="AZ19" i="23" s="1"/>
  <c r="AC23" i="23"/>
  <c r="AC17" i="23"/>
  <c r="AC18" i="23"/>
  <c r="AC12" i="23"/>
  <c r="BA14" i="23"/>
  <c r="BA15" i="23" s="1"/>
  <c r="BB13" i="23"/>
  <c r="AX17" i="20"/>
  <c r="AX12" i="20"/>
  <c r="AY11" i="20" s="1"/>
  <c r="AY17" i="18"/>
  <c r="AY12" i="18"/>
  <c r="AZ11" i="18" s="1"/>
  <c r="AL20" i="10"/>
  <c r="AL19" i="10"/>
  <c r="AW17" i="10"/>
  <c r="AW12" i="10"/>
  <c r="AX11" i="10" s="1"/>
  <c r="BA20" i="29" l="1"/>
  <c r="BA16" i="29"/>
  <c r="AC23" i="29"/>
  <c r="AC17" i="29"/>
  <c r="AC18" i="29"/>
  <c r="AC12" i="29"/>
  <c r="BB15" i="29"/>
  <c r="BB14" i="29"/>
  <c r="BC13" i="29"/>
  <c r="BA19" i="29"/>
  <c r="BA15" i="28"/>
  <c r="BA14" i="28"/>
  <c r="BB13" i="28"/>
  <c r="AC21" i="28"/>
  <c r="AD11" i="28"/>
  <c r="AZ20" i="28"/>
  <c r="AZ16" i="28"/>
  <c r="AZ19" i="28" s="1"/>
  <c r="BA20" i="27"/>
  <c r="BA16" i="27"/>
  <c r="AC21" i="27"/>
  <c r="AD11" i="27"/>
  <c r="BB14" i="27"/>
  <c r="BC13" i="27"/>
  <c r="BB15" i="27"/>
  <c r="BA19" i="27"/>
  <c r="BA20" i="26"/>
  <c r="BA16" i="26"/>
  <c r="AC23" i="26"/>
  <c r="AC17" i="26"/>
  <c r="AC18" i="26"/>
  <c r="AC12" i="26"/>
  <c r="BB14" i="26"/>
  <c r="BB15" i="26" s="1"/>
  <c r="BC13" i="26"/>
  <c r="BA19" i="26"/>
  <c r="AZ20" i="25"/>
  <c r="AZ16" i="25"/>
  <c r="AC21" i="25"/>
  <c r="AD11" i="25"/>
  <c r="BA14" i="25"/>
  <c r="BA15" i="25" s="1"/>
  <c r="BB13" i="25"/>
  <c r="AZ15" i="25"/>
  <c r="AZ19" i="25" s="1"/>
  <c r="BA20" i="24"/>
  <c r="BA16" i="24"/>
  <c r="BA19" i="24" s="1"/>
  <c r="AC21" i="24"/>
  <c r="AD11" i="24"/>
  <c r="BB14" i="24"/>
  <c r="BB15" i="24" s="1"/>
  <c r="BC13" i="24"/>
  <c r="BA20" i="23"/>
  <c r="BA16" i="23"/>
  <c r="BA19" i="23" s="1"/>
  <c r="AC21" i="23"/>
  <c r="AD11" i="23"/>
  <c r="BB14" i="23"/>
  <c r="BB15" i="23" s="1"/>
  <c r="BC13" i="23"/>
  <c r="AY17" i="20"/>
  <c r="AY12" i="20"/>
  <c r="AZ11" i="20" s="1"/>
  <c r="AZ17" i="18"/>
  <c r="AZ12" i="18"/>
  <c r="BA11" i="18" s="1"/>
  <c r="AM20" i="10"/>
  <c r="AM19" i="10"/>
  <c r="AX17" i="10"/>
  <c r="AX12" i="10"/>
  <c r="AY11" i="10" s="1"/>
  <c r="BB20" i="29" l="1"/>
  <c r="BB16" i="29"/>
  <c r="AC21" i="29"/>
  <c r="AD11" i="29"/>
  <c r="BC15" i="29"/>
  <c r="BC14" i="29"/>
  <c r="BD13" i="29"/>
  <c r="BB19" i="29"/>
  <c r="BA20" i="28"/>
  <c r="BA16" i="28"/>
  <c r="AD23" i="28"/>
  <c r="AD18" i="28"/>
  <c r="AD17" i="28"/>
  <c r="AD12" i="28"/>
  <c r="BB14" i="28"/>
  <c r="BC13" i="28"/>
  <c r="BB15" i="28"/>
  <c r="BA19" i="28"/>
  <c r="BC14" i="27"/>
  <c r="BD13" i="27"/>
  <c r="AD23" i="27"/>
  <c r="AD18" i="27"/>
  <c r="AD17" i="27"/>
  <c r="AD12" i="27"/>
  <c r="BB20" i="27"/>
  <c r="BB16" i="27"/>
  <c r="BB19" i="27" s="1"/>
  <c r="BB16" i="26"/>
  <c r="BB19" i="26" s="1"/>
  <c r="BB20" i="26"/>
  <c r="AC21" i="26"/>
  <c r="AD11" i="26"/>
  <c r="BC15" i="26"/>
  <c r="BC14" i="26"/>
  <c r="BD13" i="26"/>
  <c r="BA20" i="25"/>
  <c r="BA16" i="25"/>
  <c r="BA19" i="25" s="1"/>
  <c r="AD23" i="25"/>
  <c r="AD17" i="25"/>
  <c r="AD18" i="25"/>
  <c r="AD12" i="25"/>
  <c r="BB14" i="25"/>
  <c r="BB15" i="25" s="1"/>
  <c r="BC13" i="25"/>
  <c r="AD23" i="24"/>
  <c r="AD18" i="24"/>
  <c r="AD17" i="24"/>
  <c r="AD12" i="24"/>
  <c r="BC14" i="24"/>
  <c r="BC15" i="24" s="1"/>
  <c r="BD13" i="24"/>
  <c r="BB20" i="24"/>
  <c r="BB16" i="24"/>
  <c r="BB19" i="24" s="1"/>
  <c r="BB20" i="23"/>
  <c r="BB16" i="23"/>
  <c r="BB19" i="23" s="1"/>
  <c r="AD23" i="23"/>
  <c r="AD18" i="23"/>
  <c r="AD17" i="23"/>
  <c r="AD12" i="23"/>
  <c r="BC14" i="23"/>
  <c r="BD13" i="23"/>
  <c r="AZ17" i="20"/>
  <c r="AZ12" i="20"/>
  <c r="BA11" i="20" s="1"/>
  <c r="BA17" i="18"/>
  <c r="BA12" i="18"/>
  <c r="BB11" i="18" s="1"/>
  <c r="AN19" i="10"/>
  <c r="AN20" i="10"/>
  <c r="AY17" i="10"/>
  <c r="AY12" i="10"/>
  <c r="AZ11" i="10" s="1"/>
  <c r="BC20" i="29" l="1"/>
  <c r="BC16" i="29"/>
  <c r="AD23" i="29"/>
  <c r="AD18" i="29"/>
  <c r="AD17" i="29"/>
  <c r="AD12" i="29"/>
  <c r="BD15" i="29"/>
  <c r="BD14" i="29"/>
  <c r="BE13" i="29"/>
  <c r="BC19" i="29"/>
  <c r="BC14" i="28"/>
  <c r="BD13" i="28"/>
  <c r="AD21" i="28"/>
  <c r="AE11" i="28"/>
  <c r="BB20" i="28"/>
  <c r="BB16" i="28"/>
  <c r="BB19" i="28" s="1"/>
  <c r="BC20" i="27"/>
  <c r="BC16" i="27"/>
  <c r="AD21" i="27"/>
  <c r="AE11" i="27"/>
  <c r="BD14" i="27"/>
  <c r="BE13" i="27"/>
  <c r="BD15" i="27"/>
  <c r="BC15" i="27"/>
  <c r="BC19" i="27" s="1"/>
  <c r="BC20" i="26"/>
  <c r="BC16" i="26"/>
  <c r="AD23" i="26"/>
  <c r="AD18" i="26"/>
  <c r="AD17" i="26"/>
  <c r="AD12" i="26"/>
  <c r="BD14" i="26"/>
  <c r="BD15" i="26" s="1"/>
  <c r="BE13" i="26"/>
  <c r="BC19" i="26"/>
  <c r="BB20" i="25"/>
  <c r="BB16" i="25"/>
  <c r="BB19" i="25" s="1"/>
  <c r="AD21" i="25"/>
  <c r="AE11" i="25"/>
  <c r="BC14" i="25"/>
  <c r="BC15" i="25" s="1"/>
  <c r="BD13" i="25"/>
  <c r="BD14" i="24"/>
  <c r="BD15" i="24" s="1"/>
  <c r="BE13" i="24"/>
  <c r="BC20" i="24"/>
  <c r="BC16" i="24"/>
  <c r="BC19" i="24" s="1"/>
  <c r="AD21" i="24"/>
  <c r="AE11" i="24"/>
  <c r="BC20" i="23"/>
  <c r="BC16" i="23"/>
  <c r="AD21" i="23"/>
  <c r="AE11" i="23"/>
  <c r="BD14" i="23"/>
  <c r="BD15" i="23" s="1"/>
  <c r="BE13" i="23"/>
  <c r="BC15" i="23"/>
  <c r="BA17" i="20"/>
  <c r="BA12" i="20"/>
  <c r="BB11" i="20" s="1"/>
  <c r="BB17" i="18"/>
  <c r="BB12" i="18"/>
  <c r="BC11" i="18" s="1"/>
  <c r="AO20" i="10"/>
  <c r="AO19" i="10"/>
  <c r="AZ17" i="10"/>
  <c r="AZ12" i="10"/>
  <c r="BA11" i="10" s="1"/>
  <c r="BD20" i="29" l="1"/>
  <c r="BD16" i="29"/>
  <c r="AD21" i="29"/>
  <c r="AE11" i="29"/>
  <c r="BE15" i="29"/>
  <c r="BE14" i="29"/>
  <c r="BF13" i="29"/>
  <c r="BD19" i="29"/>
  <c r="BC20" i="28"/>
  <c r="BC16" i="28"/>
  <c r="AE23" i="28"/>
  <c r="AE17" i="28"/>
  <c r="AE18" i="28"/>
  <c r="AE12" i="28"/>
  <c r="BD14" i="28"/>
  <c r="BE13" i="28"/>
  <c r="BD15" i="28"/>
  <c r="BC15" i="28"/>
  <c r="BC19" i="28" s="1"/>
  <c r="BE14" i="27"/>
  <c r="BF13" i="27"/>
  <c r="AE23" i="27"/>
  <c r="AE17" i="27"/>
  <c r="AE18" i="27"/>
  <c r="AE12" i="27"/>
  <c r="BD20" i="27"/>
  <c r="BD16" i="27"/>
  <c r="BD19" i="27" s="1"/>
  <c r="BD20" i="26"/>
  <c r="BD16" i="26"/>
  <c r="AD21" i="26"/>
  <c r="AE11" i="26"/>
  <c r="BE14" i="26"/>
  <c r="BE15" i="26" s="1"/>
  <c r="BF13" i="26"/>
  <c r="BD19" i="26"/>
  <c r="BC20" i="25"/>
  <c r="BC16" i="25"/>
  <c r="BC19" i="25" s="1"/>
  <c r="AE23" i="25"/>
  <c r="AE18" i="25"/>
  <c r="AE17" i="25"/>
  <c r="AE12" i="25"/>
  <c r="BD14" i="25"/>
  <c r="BE13" i="25"/>
  <c r="AE23" i="24"/>
  <c r="AE17" i="24"/>
  <c r="AE18" i="24"/>
  <c r="AE12" i="24"/>
  <c r="BE14" i="24"/>
  <c r="BE15" i="24" s="1"/>
  <c r="BF13" i="24"/>
  <c r="BD20" i="24"/>
  <c r="BD16" i="24"/>
  <c r="BD19" i="24" s="1"/>
  <c r="BC19" i="23"/>
  <c r="BD20" i="23"/>
  <c r="BD16" i="23"/>
  <c r="BD19" i="23" s="1"/>
  <c r="AE23" i="23"/>
  <c r="AE17" i="23"/>
  <c r="AE18" i="23"/>
  <c r="AE12" i="23"/>
  <c r="BE14" i="23"/>
  <c r="BF13" i="23"/>
  <c r="BB17" i="20"/>
  <c r="BB12" i="20"/>
  <c r="BC11" i="20" s="1"/>
  <c r="BC17" i="18"/>
  <c r="BC12" i="18"/>
  <c r="BD11" i="18" s="1"/>
  <c r="AP19" i="10"/>
  <c r="AP20" i="10"/>
  <c r="BA17" i="10"/>
  <c r="BA12" i="10"/>
  <c r="BB11" i="10" s="1"/>
  <c r="BE20" i="29" l="1"/>
  <c r="BE16" i="29"/>
  <c r="AE23" i="29"/>
  <c r="AE17" i="29"/>
  <c r="AE18" i="29"/>
  <c r="AE12" i="29"/>
  <c r="BF15" i="29"/>
  <c r="BF14" i="29"/>
  <c r="BG13" i="29"/>
  <c r="BE19" i="29"/>
  <c r="BE15" i="28"/>
  <c r="BE14" i="28"/>
  <c r="BF13" i="28"/>
  <c r="AE21" i="28"/>
  <c r="AF11" i="28"/>
  <c r="BD20" i="28"/>
  <c r="BD16" i="28"/>
  <c r="BD19" i="28" s="1"/>
  <c r="BE20" i="27"/>
  <c r="BE16" i="27"/>
  <c r="AE21" i="27"/>
  <c r="AF11" i="27"/>
  <c r="BF14" i="27"/>
  <c r="BG13" i="27"/>
  <c r="BF15" i="27"/>
  <c r="BE15" i="27"/>
  <c r="BE19" i="27" s="1"/>
  <c r="BE20" i="26"/>
  <c r="BE16" i="26"/>
  <c r="AE23" i="26"/>
  <c r="AE17" i="26"/>
  <c r="AE18" i="26"/>
  <c r="AE12" i="26"/>
  <c r="BF15" i="26"/>
  <c r="BF14" i="26"/>
  <c r="BG13" i="26"/>
  <c r="BE19" i="26"/>
  <c r="BD20" i="25"/>
  <c r="BD16" i="25"/>
  <c r="AE21" i="25"/>
  <c r="AF11" i="25"/>
  <c r="BE15" i="25"/>
  <c r="BE14" i="25"/>
  <c r="BF13" i="25"/>
  <c r="BD15" i="25"/>
  <c r="BD19" i="25" s="1"/>
  <c r="BE20" i="24"/>
  <c r="BE16" i="24"/>
  <c r="AE21" i="24"/>
  <c r="AF11" i="24"/>
  <c r="BF14" i="24"/>
  <c r="BF15" i="24" s="1"/>
  <c r="BG13" i="24"/>
  <c r="BE19" i="24"/>
  <c r="BE20" i="23"/>
  <c r="BE16" i="23"/>
  <c r="AE21" i="23"/>
  <c r="AF11" i="23"/>
  <c r="BF14" i="23"/>
  <c r="BF15" i="23" s="1"/>
  <c r="BG13" i="23"/>
  <c r="BE15" i="23"/>
  <c r="BC17" i="20"/>
  <c r="BC12" i="20"/>
  <c r="BD11" i="20" s="1"/>
  <c r="BD17" i="18"/>
  <c r="BD12" i="18"/>
  <c r="BE11" i="18" s="1"/>
  <c r="AQ20" i="10"/>
  <c r="AQ19" i="10"/>
  <c r="BB17" i="10"/>
  <c r="BB12" i="10"/>
  <c r="BC11" i="10" s="1"/>
  <c r="BF20" i="29" l="1"/>
  <c r="BF16" i="29"/>
  <c r="AE21" i="29"/>
  <c r="AF11" i="29"/>
  <c r="BG15" i="29"/>
  <c r="BG14" i="29"/>
  <c r="BH13" i="29"/>
  <c r="BF19" i="29"/>
  <c r="BE20" i="28"/>
  <c r="BE16" i="28"/>
  <c r="AF23" i="28"/>
  <c r="AF18" i="28"/>
  <c r="AF17" i="28"/>
  <c r="AF12" i="28"/>
  <c r="BF14" i="28"/>
  <c r="BG13" i="28"/>
  <c r="BF15" i="28"/>
  <c r="BE19" i="28"/>
  <c r="BG14" i="27"/>
  <c r="BH13" i="27"/>
  <c r="AF23" i="27"/>
  <c r="AF18" i="27"/>
  <c r="AF17" i="27"/>
  <c r="AF12" i="27"/>
  <c r="BF20" i="27"/>
  <c r="BF16" i="27"/>
  <c r="BF19" i="27" s="1"/>
  <c r="BF16" i="26"/>
  <c r="BF20" i="26"/>
  <c r="AE21" i="26"/>
  <c r="AF11" i="26"/>
  <c r="BG14" i="26"/>
  <c r="BG15" i="26" s="1"/>
  <c r="BH13" i="26"/>
  <c r="BF19" i="26"/>
  <c r="BE20" i="25"/>
  <c r="BE16" i="25"/>
  <c r="BE19" i="25" s="1"/>
  <c r="AF23" i="25"/>
  <c r="AF17" i="25"/>
  <c r="AF18" i="25"/>
  <c r="AF12" i="25"/>
  <c r="BF14" i="25"/>
  <c r="BF15" i="25" s="1"/>
  <c r="BG13" i="25"/>
  <c r="AF23" i="24"/>
  <c r="AF18" i="24"/>
  <c r="AF17" i="24"/>
  <c r="AF12" i="24"/>
  <c r="BG14" i="24"/>
  <c r="BG15" i="24" s="1"/>
  <c r="BH13" i="24"/>
  <c r="BF20" i="24"/>
  <c r="BF16" i="24"/>
  <c r="BF19" i="24" s="1"/>
  <c r="BE19" i="23"/>
  <c r="BF20" i="23"/>
  <c r="BF16" i="23"/>
  <c r="BF19" i="23" s="1"/>
  <c r="AF23" i="23"/>
  <c r="AF18" i="23"/>
  <c r="AF17" i="23"/>
  <c r="AF12" i="23"/>
  <c r="BG14" i="23"/>
  <c r="BH13" i="23"/>
  <c r="BD17" i="20"/>
  <c r="BD12" i="20"/>
  <c r="BE11" i="20" s="1"/>
  <c r="BE17" i="18"/>
  <c r="BE12" i="18"/>
  <c r="BF11" i="18" s="1"/>
  <c r="AR20" i="10"/>
  <c r="AR19" i="10"/>
  <c r="BC17" i="10"/>
  <c r="BC12" i="10"/>
  <c r="BD11" i="10" s="1"/>
  <c r="BG20" i="29" l="1"/>
  <c r="BG16" i="29"/>
  <c r="AF23" i="29"/>
  <c r="AF18" i="29"/>
  <c r="AF17" i="29"/>
  <c r="AF12" i="29"/>
  <c r="BH14" i="29"/>
  <c r="BI13" i="29"/>
  <c r="BG19" i="29"/>
  <c r="BG14" i="28"/>
  <c r="BG15" i="28" s="1"/>
  <c r="BH13" i="28"/>
  <c r="AF21" i="28"/>
  <c r="AG11" i="28"/>
  <c r="BF20" i="28"/>
  <c r="BF16" i="28"/>
  <c r="BF19" i="28" s="1"/>
  <c r="BG20" i="27"/>
  <c r="BG16" i="27"/>
  <c r="AF21" i="27"/>
  <c r="AG11" i="27"/>
  <c r="BH14" i="27"/>
  <c r="BI13" i="27"/>
  <c r="BH15" i="27"/>
  <c r="BG15" i="27"/>
  <c r="BG19" i="27" s="1"/>
  <c r="BG20" i="26"/>
  <c r="BG16" i="26"/>
  <c r="AF23" i="26"/>
  <c r="AF18" i="26"/>
  <c r="AF17" i="26"/>
  <c r="AF12" i="26"/>
  <c r="BH14" i="26"/>
  <c r="BI13" i="26"/>
  <c r="BG19" i="26"/>
  <c r="BF20" i="25"/>
  <c r="BF16" i="25"/>
  <c r="BF19" i="25" s="1"/>
  <c r="AF21" i="25"/>
  <c r="AG11" i="25"/>
  <c r="BG14" i="25"/>
  <c r="BG15" i="25" s="1"/>
  <c r="BH13" i="25"/>
  <c r="BH14" i="24"/>
  <c r="BH15" i="24" s="1"/>
  <c r="BI13" i="24"/>
  <c r="BG20" i="24"/>
  <c r="BG16" i="24"/>
  <c r="BG19" i="24" s="1"/>
  <c r="AF21" i="24"/>
  <c r="AG11" i="24"/>
  <c r="BG20" i="23"/>
  <c r="BG16" i="23"/>
  <c r="AF21" i="23"/>
  <c r="AG11" i="23"/>
  <c r="BH14" i="23"/>
  <c r="BH15" i="23" s="1"/>
  <c r="BI13" i="23"/>
  <c r="BG15" i="23"/>
  <c r="BE17" i="20"/>
  <c r="BE12" i="20"/>
  <c r="BF11" i="20" s="1"/>
  <c r="BF17" i="18"/>
  <c r="BF12" i="18"/>
  <c r="BG11" i="18" s="1"/>
  <c r="AS20" i="10"/>
  <c r="AS19" i="10"/>
  <c r="BD17" i="10"/>
  <c r="BD12" i="10"/>
  <c r="BE11" i="10" s="1"/>
  <c r="BH20" i="29" l="1"/>
  <c r="BH16" i="29"/>
  <c r="AF21" i="29"/>
  <c r="AG11" i="29"/>
  <c r="BI15" i="29"/>
  <c r="BI14" i="29"/>
  <c r="BJ13" i="29"/>
  <c r="BH15" i="29"/>
  <c r="BH19" i="29" s="1"/>
  <c r="BG20" i="28"/>
  <c r="BG16" i="28"/>
  <c r="AG23" i="28"/>
  <c r="AG17" i="28"/>
  <c r="AG18" i="28"/>
  <c r="AG12" i="28"/>
  <c r="BH14" i="28"/>
  <c r="BI13" i="28"/>
  <c r="BH15" i="28"/>
  <c r="BG19" i="28"/>
  <c r="BI14" i="27"/>
  <c r="BJ13" i="27"/>
  <c r="AG23" i="27"/>
  <c r="AG17" i="27"/>
  <c r="AG18" i="27"/>
  <c r="AG12" i="27"/>
  <c r="BH20" i="27"/>
  <c r="BH16" i="27"/>
  <c r="BH19" i="27" s="1"/>
  <c r="BH20" i="26"/>
  <c r="BH16" i="26"/>
  <c r="AF21" i="26"/>
  <c r="AG11" i="26"/>
  <c r="BI14" i="26"/>
  <c r="BI15" i="26" s="1"/>
  <c r="BJ13" i="26"/>
  <c r="BH15" i="26"/>
  <c r="BH19" i="26" s="1"/>
  <c r="BG20" i="25"/>
  <c r="BG16" i="25"/>
  <c r="BG19" i="25" s="1"/>
  <c r="AG23" i="25"/>
  <c r="AG18" i="25"/>
  <c r="AG17" i="25"/>
  <c r="AG12" i="25"/>
  <c r="BH14" i="25"/>
  <c r="BH15" i="25" s="1"/>
  <c r="BI13" i="25"/>
  <c r="AG23" i="24"/>
  <c r="AG17" i="24"/>
  <c r="AG18" i="24"/>
  <c r="AG12" i="24"/>
  <c r="BI14" i="24"/>
  <c r="BI15" i="24" s="1"/>
  <c r="BJ13" i="24"/>
  <c r="BH20" i="24"/>
  <c r="BH16" i="24"/>
  <c r="BH19" i="24" s="1"/>
  <c r="BG19" i="23"/>
  <c r="BH20" i="23"/>
  <c r="BH16" i="23"/>
  <c r="BH19" i="23" s="1"/>
  <c r="AG23" i="23"/>
  <c r="AG17" i="23"/>
  <c r="AG18" i="23"/>
  <c r="AG12" i="23"/>
  <c r="BI14" i="23"/>
  <c r="BJ13" i="23"/>
  <c r="BF17" i="20"/>
  <c r="BF12" i="20"/>
  <c r="BG11" i="20" s="1"/>
  <c r="BG17" i="18"/>
  <c r="BG12" i="18"/>
  <c r="BH11" i="18" s="1"/>
  <c r="AT19" i="10"/>
  <c r="AT20" i="10"/>
  <c r="BE17" i="10"/>
  <c r="BE12" i="10"/>
  <c r="BF11" i="10" s="1"/>
  <c r="BI20" i="29" l="1"/>
  <c r="BI16" i="29"/>
  <c r="AG23" i="29"/>
  <c r="AG17" i="29"/>
  <c r="AG18" i="29"/>
  <c r="AG12" i="29"/>
  <c r="BJ15" i="29"/>
  <c r="BJ14" i="29"/>
  <c r="BK13" i="29"/>
  <c r="BI19" i="29"/>
  <c r="BI15" i="28"/>
  <c r="BI14" i="28"/>
  <c r="BJ13" i="28"/>
  <c r="AG21" i="28"/>
  <c r="AH11" i="28"/>
  <c r="BH20" i="28"/>
  <c r="BH16" i="28"/>
  <c r="BH19" i="28" s="1"/>
  <c r="BI20" i="27"/>
  <c r="BI16" i="27"/>
  <c r="AG21" i="27"/>
  <c r="AH11" i="27"/>
  <c r="BJ14" i="27"/>
  <c r="BK13" i="27"/>
  <c r="BJ15" i="27"/>
  <c r="BI15" i="27"/>
  <c r="BI19" i="27" s="1"/>
  <c r="BI20" i="26"/>
  <c r="BI16" i="26"/>
  <c r="AG23" i="26"/>
  <c r="AG17" i="26"/>
  <c r="AG18" i="26"/>
  <c r="AG12" i="26"/>
  <c r="BJ14" i="26"/>
  <c r="BJ15" i="26" s="1"/>
  <c r="BK13" i="26"/>
  <c r="BI19" i="26"/>
  <c r="BH20" i="25"/>
  <c r="BH16" i="25"/>
  <c r="BH19" i="25" s="1"/>
  <c r="AG21" i="25"/>
  <c r="AH11" i="25"/>
  <c r="BI14" i="25"/>
  <c r="BI15" i="25" s="1"/>
  <c r="BJ13" i="25"/>
  <c r="BI20" i="24"/>
  <c r="BI16" i="24"/>
  <c r="BI19" i="24" s="1"/>
  <c r="AG21" i="24"/>
  <c r="AH11" i="24"/>
  <c r="BJ14" i="24"/>
  <c r="BJ15" i="24" s="1"/>
  <c r="BK13" i="24"/>
  <c r="BI20" i="23"/>
  <c r="BI16" i="23"/>
  <c r="AG21" i="23"/>
  <c r="AH11" i="23"/>
  <c r="BJ14" i="23"/>
  <c r="BJ15" i="23" s="1"/>
  <c r="BK13" i="23"/>
  <c r="BI15" i="23"/>
  <c r="BG17" i="20"/>
  <c r="BG12" i="20"/>
  <c r="BH11" i="20" s="1"/>
  <c r="BH17" i="18"/>
  <c r="BH12" i="18"/>
  <c r="BI11" i="18" s="1"/>
  <c r="AU20" i="10"/>
  <c r="AU19" i="10"/>
  <c r="BF17" i="10"/>
  <c r="BF12" i="10"/>
  <c r="BG11" i="10" s="1"/>
  <c r="BJ20" i="29" l="1"/>
  <c r="BJ16" i="29"/>
  <c r="AG21" i="29"/>
  <c r="AH11" i="29"/>
  <c r="BK15" i="29"/>
  <c r="BK14" i="29"/>
  <c r="BL13" i="29"/>
  <c r="BJ19" i="29"/>
  <c r="BI20" i="28"/>
  <c r="BI16" i="28"/>
  <c r="AH23" i="28"/>
  <c r="AH18" i="28"/>
  <c r="AH17" i="28"/>
  <c r="AH12" i="28"/>
  <c r="BJ14" i="28"/>
  <c r="BK13" i="28"/>
  <c r="BJ15" i="28"/>
  <c r="BI19" i="28"/>
  <c r="BK14" i="27"/>
  <c r="BL13" i="27"/>
  <c r="AH23" i="27"/>
  <c r="AH18" i="27"/>
  <c r="AH17" i="27"/>
  <c r="AH12" i="27"/>
  <c r="BJ20" i="27"/>
  <c r="BJ16" i="27"/>
  <c r="BJ19" i="27" s="1"/>
  <c r="BJ20" i="26"/>
  <c r="BJ16" i="26"/>
  <c r="AG21" i="26"/>
  <c r="AH11" i="26"/>
  <c r="BK15" i="26"/>
  <c r="BK14" i="26"/>
  <c r="BL13" i="26"/>
  <c r="BJ19" i="26"/>
  <c r="BI20" i="25"/>
  <c r="BI16" i="25"/>
  <c r="AH23" i="25"/>
  <c r="AH17" i="25"/>
  <c r="AH18" i="25"/>
  <c r="AH12" i="25"/>
  <c r="BJ14" i="25"/>
  <c r="BK13" i="25"/>
  <c r="BI19" i="25"/>
  <c r="AH23" i="24"/>
  <c r="AH18" i="24"/>
  <c r="AH17" i="24"/>
  <c r="AH12" i="24"/>
  <c r="BK14" i="24"/>
  <c r="BK15" i="24" s="1"/>
  <c r="BL13" i="24"/>
  <c r="BJ20" i="24"/>
  <c r="BJ16" i="24"/>
  <c r="BJ19" i="24" s="1"/>
  <c r="BI19" i="23"/>
  <c r="BJ20" i="23"/>
  <c r="BJ16" i="23"/>
  <c r="BJ19" i="23" s="1"/>
  <c r="AH23" i="23"/>
  <c r="AH18" i="23"/>
  <c r="AH17" i="23"/>
  <c r="AH12" i="23"/>
  <c r="BK14" i="23"/>
  <c r="BL13" i="23"/>
  <c r="BH17" i="20"/>
  <c r="BH12" i="20"/>
  <c r="BI11" i="20" s="1"/>
  <c r="BI17" i="18"/>
  <c r="BI12" i="18"/>
  <c r="BJ11" i="18" s="1"/>
  <c r="AV20" i="10"/>
  <c r="AV19" i="10"/>
  <c r="BG17" i="10"/>
  <c r="BG12" i="10"/>
  <c r="BH11" i="10" s="1"/>
  <c r="BK20" i="29" l="1"/>
  <c r="BK16" i="29"/>
  <c r="AH23" i="29"/>
  <c r="AH18" i="29"/>
  <c r="AH17" i="29"/>
  <c r="AH12" i="29"/>
  <c r="BL15" i="29"/>
  <c r="BL14" i="29"/>
  <c r="BM13" i="29"/>
  <c r="BK19" i="29"/>
  <c r="BK15" i="28"/>
  <c r="BK14" i="28"/>
  <c r="BL13" i="28"/>
  <c r="AH21" i="28"/>
  <c r="AI11" i="28"/>
  <c r="BJ20" i="28"/>
  <c r="BJ16" i="28"/>
  <c r="BJ19" i="28" s="1"/>
  <c r="BK20" i="27"/>
  <c r="BK16" i="27"/>
  <c r="AH21" i="27"/>
  <c r="AI11" i="27"/>
  <c r="BL14" i="27"/>
  <c r="BM13" i="27"/>
  <c r="BL15" i="27"/>
  <c r="BK15" i="27"/>
  <c r="BK19" i="27" s="1"/>
  <c r="BK20" i="26"/>
  <c r="BK16" i="26"/>
  <c r="AH23" i="26"/>
  <c r="AH18" i="26"/>
  <c r="AH17" i="26"/>
  <c r="AH12" i="26"/>
  <c r="BL14" i="26"/>
  <c r="BL15" i="26" s="1"/>
  <c r="BM13" i="26"/>
  <c r="BK19" i="26"/>
  <c r="BJ20" i="25"/>
  <c r="BJ16" i="25"/>
  <c r="AH21" i="25"/>
  <c r="AI11" i="25"/>
  <c r="BK14" i="25"/>
  <c r="BK15" i="25" s="1"/>
  <c r="BL13" i="25"/>
  <c r="BJ15" i="25"/>
  <c r="BJ19" i="25" s="1"/>
  <c r="BL14" i="24"/>
  <c r="BL15" i="24" s="1"/>
  <c r="BM13" i="24"/>
  <c r="BK20" i="24"/>
  <c r="BK16" i="24"/>
  <c r="BK19" i="24" s="1"/>
  <c r="AH21" i="24"/>
  <c r="AI11" i="24"/>
  <c r="BK20" i="23"/>
  <c r="BK16" i="23"/>
  <c r="AH21" i="23"/>
  <c r="AI11" i="23"/>
  <c r="BL14" i="23"/>
  <c r="BL15" i="23" s="1"/>
  <c r="BM13" i="23"/>
  <c r="BK15" i="23"/>
  <c r="BI17" i="20"/>
  <c r="BI12" i="20"/>
  <c r="BJ11" i="20" s="1"/>
  <c r="BJ17" i="18"/>
  <c r="BJ12" i="18"/>
  <c r="BK11" i="18" s="1"/>
  <c r="AW20" i="10"/>
  <c r="AW19" i="10"/>
  <c r="BH17" i="10"/>
  <c r="BH12" i="10"/>
  <c r="BI11" i="10" s="1"/>
  <c r="BL20" i="29" l="1"/>
  <c r="BL16" i="29"/>
  <c r="AH21" i="29"/>
  <c r="AI11" i="29"/>
  <c r="BM15" i="29"/>
  <c r="BM14" i="29"/>
  <c r="BN13" i="29"/>
  <c r="BL19" i="29"/>
  <c r="BK20" i="28"/>
  <c r="BK16" i="28"/>
  <c r="AI23" i="28"/>
  <c r="AI17" i="28"/>
  <c r="AI18" i="28"/>
  <c r="AI12" i="28"/>
  <c r="BL14" i="28"/>
  <c r="BM13" i="28"/>
  <c r="BL15" i="28"/>
  <c r="BK19" i="28"/>
  <c r="BM14" i="27"/>
  <c r="BN13" i="27"/>
  <c r="AI23" i="27"/>
  <c r="AI17" i="27"/>
  <c r="AI18" i="27"/>
  <c r="AI12" i="27"/>
  <c r="BL20" i="27"/>
  <c r="BL16" i="27"/>
  <c r="BL19" i="27" s="1"/>
  <c r="BL20" i="26"/>
  <c r="BL16" i="26"/>
  <c r="AH21" i="26"/>
  <c r="AI11" i="26"/>
  <c r="BM14" i="26"/>
  <c r="BM15" i="26" s="1"/>
  <c r="BN13" i="26"/>
  <c r="BL19" i="26"/>
  <c r="BL14" i="25"/>
  <c r="BM13" i="25"/>
  <c r="BK20" i="25"/>
  <c r="BK16" i="25"/>
  <c r="BK19" i="25" s="1"/>
  <c r="AI23" i="25"/>
  <c r="AI18" i="25"/>
  <c r="AI17" i="25"/>
  <c r="AI12" i="25"/>
  <c r="AI23" i="24"/>
  <c r="AI17" i="24"/>
  <c r="AI18" i="24"/>
  <c r="AI12" i="24"/>
  <c r="BM14" i="24"/>
  <c r="BM15" i="24" s="1"/>
  <c r="BN13" i="24"/>
  <c r="BL20" i="24"/>
  <c r="BL16" i="24"/>
  <c r="BL19" i="24" s="1"/>
  <c r="BK19" i="23"/>
  <c r="BL20" i="23"/>
  <c r="BL16" i="23"/>
  <c r="BL19" i="23" s="1"/>
  <c r="AI23" i="23"/>
  <c r="AI17" i="23"/>
  <c r="AI18" i="23"/>
  <c r="AI12" i="23"/>
  <c r="BM14" i="23"/>
  <c r="BN13" i="23"/>
  <c r="BJ17" i="20"/>
  <c r="BJ12" i="20"/>
  <c r="BK11" i="20" s="1"/>
  <c r="BK17" i="18"/>
  <c r="BK12" i="18"/>
  <c r="BL11" i="18" s="1"/>
  <c r="AX20" i="10"/>
  <c r="AX19" i="10"/>
  <c r="BI17" i="10"/>
  <c r="BI12" i="10"/>
  <c r="BJ11" i="10" s="1"/>
  <c r="BM20" i="29" l="1"/>
  <c r="BM16" i="29"/>
  <c r="AI23" i="29"/>
  <c r="AI17" i="29"/>
  <c r="AI18" i="29"/>
  <c r="AI12" i="29"/>
  <c r="BN15" i="29"/>
  <c r="BN14" i="29"/>
  <c r="BO13" i="29"/>
  <c r="BM19" i="29"/>
  <c r="BM15" i="28"/>
  <c r="BM14" i="28"/>
  <c r="BN13" i="28"/>
  <c r="AI21" i="28"/>
  <c r="AJ11" i="28"/>
  <c r="BL20" i="28"/>
  <c r="BL16" i="28"/>
  <c r="BL19" i="28" s="1"/>
  <c r="BM20" i="27"/>
  <c r="BM16" i="27"/>
  <c r="AI21" i="27"/>
  <c r="AJ11" i="27"/>
  <c r="BN14" i="27"/>
  <c r="BO13" i="27"/>
  <c r="BN15" i="27"/>
  <c r="BM15" i="27"/>
  <c r="BM19" i="27" s="1"/>
  <c r="BM20" i="26"/>
  <c r="BM16" i="26"/>
  <c r="AI23" i="26"/>
  <c r="AI17" i="26"/>
  <c r="AI18" i="26"/>
  <c r="AI12" i="26"/>
  <c r="BN14" i="26"/>
  <c r="BN15" i="26" s="1"/>
  <c r="BO13" i="26"/>
  <c r="BM19" i="26"/>
  <c r="AI21" i="25"/>
  <c r="AJ11" i="25"/>
  <c r="BL20" i="25"/>
  <c r="BL16" i="25"/>
  <c r="BM14" i="25"/>
  <c r="BN13" i="25"/>
  <c r="BL15" i="25"/>
  <c r="BN14" i="24"/>
  <c r="BN15" i="24" s="1"/>
  <c r="BO13" i="24"/>
  <c r="BM20" i="24"/>
  <c r="BM16" i="24"/>
  <c r="BM19" i="24" s="1"/>
  <c r="AI21" i="24"/>
  <c r="AJ11" i="24"/>
  <c r="BM20" i="23"/>
  <c r="BM16" i="23"/>
  <c r="AI21" i="23"/>
  <c r="AJ11" i="23"/>
  <c r="BN14" i="23"/>
  <c r="BN15" i="23" s="1"/>
  <c r="BO13" i="23"/>
  <c r="BM15" i="23"/>
  <c r="BK17" i="20"/>
  <c r="BK12" i="20"/>
  <c r="BL11" i="20" s="1"/>
  <c r="BL17" i="18"/>
  <c r="BL12" i="18"/>
  <c r="BM11" i="18" s="1"/>
  <c r="AY20" i="10"/>
  <c r="AY19" i="10"/>
  <c r="BJ17" i="10"/>
  <c r="BJ12" i="10"/>
  <c r="BK11" i="10" s="1"/>
  <c r="BL19" i="25" l="1"/>
  <c r="BN20" i="29"/>
  <c r="BN16" i="29"/>
  <c r="AI21" i="29"/>
  <c r="AJ11" i="29"/>
  <c r="BO14" i="29"/>
  <c r="BO15" i="29" s="1"/>
  <c r="BP13" i="29"/>
  <c r="BN19" i="29"/>
  <c r="BM20" i="28"/>
  <c r="BM16" i="28"/>
  <c r="AJ23" i="28"/>
  <c r="AJ18" i="28"/>
  <c r="AJ17" i="28"/>
  <c r="AJ12" i="28"/>
  <c r="BN14" i="28"/>
  <c r="BO13" i="28"/>
  <c r="BN15" i="28"/>
  <c r="BM19" i="28"/>
  <c r="BO14" i="27"/>
  <c r="BP13" i="27"/>
  <c r="AJ23" i="27"/>
  <c r="AJ18" i="27"/>
  <c r="AJ17" i="27"/>
  <c r="AJ12" i="27"/>
  <c r="BN20" i="27"/>
  <c r="BN16" i="27"/>
  <c r="BN19" i="27" s="1"/>
  <c r="BN20" i="26"/>
  <c r="BN16" i="26"/>
  <c r="AI21" i="26"/>
  <c r="AJ11" i="26"/>
  <c r="BO14" i="26"/>
  <c r="BO15" i="26" s="1"/>
  <c r="BP13" i="26"/>
  <c r="BN19" i="26"/>
  <c r="BM20" i="25"/>
  <c r="BM16" i="25"/>
  <c r="AJ23" i="25"/>
  <c r="AJ17" i="25"/>
  <c r="AJ18" i="25"/>
  <c r="AJ12" i="25"/>
  <c r="BN14" i="25"/>
  <c r="BN15" i="25" s="1"/>
  <c r="BO13" i="25"/>
  <c r="BM15" i="25"/>
  <c r="BM19" i="25" s="1"/>
  <c r="AJ23" i="24"/>
  <c r="AJ18" i="24"/>
  <c r="AJ17" i="24"/>
  <c r="AJ12" i="24"/>
  <c r="BO14" i="24"/>
  <c r="BO15" i="24" s="1"/>
  <c r="BP13" i="24"/>
  <c r="BN20" i="24"/>
  <c r="BN16" i="24"/>
  <c r="BN19" i="24" s="1"/>
  <c r="BM19" i="23"/>
  <c r="BN20" i="23"/>
  <c r="BN16" i="23"/>
  <c r="BN19" i="23" s="1"/>
  <c r="AJ23" i="23"/>
  <c r="AJ18" i="23"/>
  <c r="AJ17" i="23"/>
  <c r="AJ12" i="23"/>
  <c r="BO14" i="23"/>
  <c r="BO15" i="23" s="1"/>
  <c r="BP13" i="23"/>
  <c r="BL17" i="20"/>
  <c r="BL12" i="20"/>
  <c r="BM11" i="20" s="1"/>
  <c r="BM17" i="18"/>
  <c r="BM12" i="18"/>
  <c r="BN11" i="18" s="1"/>
  <c r="AZ20" i="10"/>
  <c r="AZ19" i="10"/>
  <c r="BK17" i="10"/>
  <c r="BK12" i="10"/>
  <c r="BL11" i="10" s="1"/>
  <c r="BP14" i="29" l="1"/>
  <c r="BP15" i="29" s="1"/>
  <c r="BQ13" i="29"/>
  <c r="BO20" i="29"/>
  <c r="BO16" i="29"/>
  <c r="BO19" i="29" s="1"/>
  <c r="AJ23" i="29"/>
  <c r="AJ18" i="29"/>
  <c r="AJ17" i="29"/>
  <c r="AJ12" i="29"/>
  <c r="BO15" i="28"/>
  <c r="BO14" i="28"/>
  <c r="BP13" i="28"/>
  <c r="AJ21" i="28"/>
  <c r="AK11" i="28"/>
  <c r="BN20" i="28"/>
  <c r="BN16" i="28"/>
  <c r="BN19" i="28" s="1"/>
  <c r="BO20" i="27"/>
  <c r="BO16" i="27"/>
  <c r="AJ21" i="27"/>
  <c r="AK11" i="27"/>
  <c r="BP14" i="27"/>
  <c r="BQ13" i="27"/>
  <c r="BP15" i="27"/>
  <c r="BO15" i="27"/>
  <c r="BO19" i="27" s="1"/>
  <c r="BO20" i="26"/>
  <c r="BO16" i="26"/>
  <c r="AJ23" i="26"/>
  <c r="AJ18" i="26"/>
  <c r="AJ17" i="26"/>
  <c r="AJ12" i="26"/>
  <c r="BP14" i="26"/>
  <c r="BP15" i="26" s="1"/>
  <c r="BQ13" i="26"/>
  <c r="BO19" i="26"/>
  <c r="BO14" i="25"/>
  <c r="BP13" i="25"/>
  <c r="BN20" i="25"/>
  <c r="BN16" i="25"/>
  <c r="BN19" i="25" s="1"/>
  <c r="AJ21" i="25"/>
  <c r="AK11" i="25"/>
  <c r="BP14" i="24"/>
  <c r="BP15" i="24" s="1"/>
  <c r="BQ13" i="24"/>
  <c r="BO20" i="24"/>
  <c r="BO16" i="24"/>
  <c r="BO19" i="24" s="1"/>
  <c r="AJ21" i="24"/>
  <c r="AK11" i="24"/>
  <c r="BO20" i="23"/>
  <c r="BO16" i="23"/>
  <c r="BO19" i="23" s="1"/>
  <c r="AJ21" i="23"/>
  <c r="AK11" i="23"/>
  <c r="BP14" i="23"/>
  <c r="BP15" i="23" s="1"/>
  <c r="BQ13" i="23"/>
  <c r="BM17" i="20"/>
  <c r="BM12" i="20"/>
  <c r="BN11" i="20" s="1"/>
  <c r="BN17" i="18"/>
  <c r="BN12" i="18"/>
  <c r="BO11" i="18" s="1"/>
  <c r="BA19" i="10"/>
  <c r="BA20" i="10"/>
  <c r="BL17" i="10"/>
  <c r="BL12" i="10"/>
  <c r="BM11" i="10" s="1"/>
  <c r="AJ21" i="29" l="1"/>
  <c r="AK11" i="29"/>
  <c r="BQ15" i="29"/>
  <c r="BQ14" i="29"/>
  <c r="BR13" i="29"/>
  <c r="BP20" i="29"/>
  <c r="BP16" i="29"/>
  <c r="BP19" i="29" s="1"/>
  <c r="BO20" i="28"/>
  <c r="BO16" i="28"/>
  <c r="AK23" i="28"/>
  <c r="AK17" i="28"/>
  <c r="AK18" i="28"/>
  <c r="AK12" i="28"/>
  <c r="BP14" i="28"/>
  <c r="BQ13" i="28"/>
  <c r="BP15" i="28"/>
  <c r="BO19" i="28"/>
  <c r="BQ14" i="27"/>
  <c r="BR13" i="27"/>
  <c r="AK23" i="27"/>
  <c r="AK17" i="27"/>
  <c r="AK18" i="27"/>
  <c r="AK12" i="27"/>
  <c r="BP20" i="27"/>
  <c r="BP16" i="27"/>
  <c r="BP19" i="27" s="1"/>
  <c r="BP20" i="26"/>
  <c r="BP16" i="26"/>
  <c r="AJ21" i="26"/>
  <c r="AK11" i="26"/>
  <c r="BQ14" i="26"/>
  <c r="BQ15" i="26" s="1"/>
  <c r="BR13" i="26"/>
  <c r="BP19" i="26"/>
  <c r="AK23" i="25"/>
  <c r="AK18" i="25"/>
  <c r="AK17" i="25"/>
  <c r="AK12" i="25"/>
  <c r="BO20" i="25"/>
  <c r="BO16" i="25"/>
  <c r="BP14" i="25"/>
  <c r="BQ13" i="25"/>
  <c r="BO15" i="25"/>
  <c r="AK23" i="24"/>
  <c r="AK17" i="24"/>
  <c r="AK18" i="24"/>
  <c r="AK12" i="24"/>
  <c r="BQ14" i="24"/>
  <c r="BQ15" i="24" s="1"/>
  <c r="BR13" i="24"/>
  <c r="BP20" i="24"/>
  <c r="BP16" i="24"/>
  <c r="BP19" i="24" s="1"/>
  <c r="BP20" i="23"/>
  <c r="BP16" i="23"/>
  <c r="BP19" i="23" s="1"/>
  <c r="AK23" i="23"/>
  <c r="AK17" i="23"/>
  <c r="AK18" i="23"/>
  <c r="AK12" i="23"/>
  <c r="BQ14" i="23"/>
  <c r="BQ15" i="23" s="1"/>
  <c r="BR13" i="23"/>
  <c r="BN17" i="20"/>
  <c r="BN12" i="20"/>
  <c r="BO11" i="20" s="1"/>
  <c r="BO17" i="18"/>
  <c r="BO12" i="18"/>
  <c r="BP11" i="18" s="1"/>
  <c r="BB19" i="10"/>
  <c r="BB20" i="10"/>
  <c r="BM17" i="10"/>
  <c r="BM12" i="10"/>
  <c r="BN11" i="10" s="1"/>
  <c r="BR15" i="29" l="1"/>
  <c r="BR14" i="29"/>
  <c r="BS13" i="29"/>
  <c r="BO19" i="25"/>
  <c r="BQ20" i="29"/>
  <c r="BQ16" i="29"/>
  <c r="BQ19" i="29" s="1"/>
  <c r="AK23" i="29"/>
  <c r="AK17" i="29"/>
  <c r="AK18" i="29"/>
  <c r="AK12" i="29"/>
  <c r="BQ14" i="28"/>
  <c r="BQ15" i="28" s="1"/>
  <c r="BR13" i="28"/>
  <c r="AK21" i="28"/>
  <c r="AL11" i="28"/>
  <c r="BP20" i="28"/>
  <c r="BP16" i="28"/>
  <c r="BP19" i="28" s="1"/>
  <c r="BQ20" i="27"/>
  <c r="BQ16" i="27"/>
  <c r="AK21" i="27"/>
  <c r="AL11" i="27"/>
  <c r="BR14" i="27"/>
  <c r="BS13" i="27"/>
  <c r="BR15" i="27"/>
  <c r="BQ15" i="27"/>
  <c r="BQ19" i="27" s="1"/>
  <c r="BQ20" i="26"/>
  <c r="BQ16" i="26"/>
  <c r="AK23" i="26"/>
  <c r="AK17" i="26"/>
  <c r="AK18" i="26"/>
  <c r="AK12" i="26"/>
  <c r="BR14" i="26"/>
  <c r="BS13" i="26"/>
  <c r="BQ19" i="26"/>
  <c r="BP20" i="25"/>
  <c r="BP16" i="25"/>
  <c r="AK21" i="25"/>
  <c r="AL11" i="25"/>
  <c r="BQ14" i="25"/>
  <c r="BQ15" i="25" s="1"/>
  <c r="BR13" i="25"/>
  <c r="BP15" i="25"/>
  <c r="BR14" i="24"/>
  <c r="BR15" i="24" s="1"/>
  <c r="BS13" i="24"/>
  <c r="BQ20" i="24"/>
  <c r="BQ16" i="24"/>
  <c r="BQ19" i="24" s="1"/>
  <c r="AK21" i="24"/>
  <c r="AL11" i="24"/>
  <c r="BQ20" i="23"/>
  <c r="BQ16" i="23"/>
  <c r="BQ19" i="23" s="1"/>
  <c r="AK21" i="23"/>
  <c r="AL11" i="23"/>
  <c r="BR14" i="23"/>
  <c r="BR15" i="23" s="1"/>
  <c r="BS13" i="23"/>
  <c r="BO17" i="20"/>
  <c r="BO12" i="20"/>
  <c r="BP11" i="20" s="1"/>
  <c r="BP17" i="18"/>
  <c r="BP12" i="18"/>
  <c r="BQ11" i="18" s="1"/>
  <c r="BC20" i="10"/>
  <c r="BC19" i="10"/>
  <c r="BN17" i="10"/>
  <c r="BN12" i="10"/>
  <c r="BO11" i="10" s="1"/>
  <c r="BR20" i="29" l="1"/>
  <c r="BR16" i="29"/>
  <c r="AK21" i="29"/>
  <c r="AL11" i="29"/>
  <c r="BS15" i="29"/>
  <c r="BS14" i="29"/>
  <c r="BT13" i="29"/>
  <c r="BR19" i="29"/>
  <c r="BP19" i="25"/>
  <c r="BQ20" i="28"/>
  <c r="BQ16" i="28"/>
  <c r="AL23" i="28"/>
  <c r="AL18" i="28"/>
  <c r="AL17" i="28"/>
  <c r="AL12" i="28"/>
  <c r="BR14" i="28"/>
  <c r="BS13" i="28"/>
  <c r="BR15" i="28"/>
  <c r="BQ19" i="28"/>
  <c r="BS14" i="27"/>
  <c r="BS15" i="27" s="1"/>
  <c r="BT13" i="27"/>
  <c r="AL23" i="27"/>
  <c r="AL18" i="27"/>
  <c r="AL17" i="27"/>
  <c r="AL12" i="27"/>
  <c r="BR20" i="27"/>
  <c r="BR16" i="27"/>
  <c r="BR19" i="27" s="1"/>
  <c r="BR20" i="26"/>
  <c r="BR16" i="26"/>
  <c r="AK21" i="26"/>
  <c r="AL11" i="26"/>
  <c r="BS14" i="26"/>
  <c r="BS15" i="26" s="1"/>
  <c r="BT13" i="26"/>
  <c r="BR15" i="26"/>
  <c r="BR19" i="26" s="1"/>
  <c r="BR14" i="25"/>
  <c r="BR15" i="25" s="1"/>
  <c r="BS13" i="25"/>
  <c r="BQ20" i="25"/>
  <c r="BQ16" i="25"/>
  <c r="BQ19" i="25" s="1"/>
  <c r="AL23" i="25"/>
  <c r="AL17" i="25"/>
  <c r="AL18" i="25"/>
  <c r="AL12" i="25"/>
  <c r="AL23" i="24"/>
  <c r="AL18" i="24"/>
  <c r="AL17" i="24"/>
  <c r="AL12" i="24"/>
  <c r="BS14" i="24"/>
  <c r="BT13" i="24"/>
  <c r="BR20" i="24"/>
  <c r="BR16" i="24"/>
  <c r="BR19" i="24" s="1"/>
  <c r="BR20" i="23"/>
  <c r="BR16" i="23"/>
  <c r="BR19" i="23" s="1"/>
  <c r="AL23" i="23"/>
  <c r="AL18" i="23"/>
  <c r="AL17" i="23"/>
  <c r="AL12" i="23"/>
  <c r="BS14" i="23"/>
  <c r="BT13" i="23"/>
  <c r="BP17" i="20"/>
  <c r="BP12" i="20"/>
  <c r="BQ11" i="20" s="1"/>
  <c r="BQ17" i="18"/>
  <c r="BQ12" i="18"/>
  <c r="BR11" i="18" s="1"/>
  <c r="BD20" i="10"/>
  <c r="BD19" i="10"/>
  <c r="BO17" i="10"/>
  <c r="BO12" i="10"/>
  <c r="BP11" i="10" s="1"/>
  <c r="BS20" i="29" l="1"/>
  <c r="BS16" i="29"/>
  <c r="AL23" i="29"/>
  <c r="AL18" i="29"/>
  <c r="AL17" i="29"/>
  <c r="AL12" i="29"/>
  <c r="BT14" i="29"/>
  <c r="BU13" i="29"/>
  <c r="BS19" i="29"/>
  <c r="BR20" i="28"/>
  <c r="BR16" i="28"/>
  <c r="BR19" i="28" s="1"/>
  <c r="BS14" i="28"/>
  <c r="BS15" i="28" s="1"/>
  <c r="BT13" i="28"/>
  <c r="AL21" i="28"/>
  <c r="AM11" i="28"/>
  <c r="BS20" i="27"/>
  <c r="BS16" i="27"/>
  <c r="AL21" i="27"/>
  <c r="AM11" i="27"/>
  <c r="BT14" i="27"/>
  <c r="BU13" i="27"/>
  <c r="BT15" i="27"/>
  <c r="BS19" i="27"/>
  <c r="BS20" i="26"/>
  <c r="BS16" i="26"/>
  <c r="AL23" i="26"/>
  <c r="AL18" i="26"/>
  <c r="AL17" i="26"/>
  <c r="AL12" i="26"/>
  <c r="BT14" i="26"/>
  <c r="BT15" i="26" s="1"/>
  <c r="BU13" i="26"/>
  <c r="BS19" i="26"/>
  <c r="BS14" i="25"/>
  <c r="BS15" i="25" s="1"/>
  <c r="BT13" i="25"/>
  <c r="AL21" i="25"/>
  <c r="AM11" i="25"/>
  <c r="BR20" i="25"/>
  <c r="BR16" i="25"/>
  <c r="BR19" i="25" s="1"/>
  <c r="BS20" i="24"/>
  <c r="BS16" i="24"/>
  <c r="AL21" i="24"/>
  <c r="AM11" i="24"/>
  <c r="BT14" i="24"/>
  <c r="BT15" i="24" s="1"/>
  <c r="BU13" i="24"/>
  <c r="BS15" i="24"/>
  <c r="BS20" i="23"/>
  <c r="BS16" i="23"/>
  <c r="AL21" i="23"/>
  <c r="AM11" i="23"/>
  <c r="BT14" i="23"/>
  <c r="BT15" i="23" s="1"/>
  <c r="BU13" i="23"/>
  <c r="BS15" i="23"/>
  <c r="BQ17" i="20"/>
  <c r="BQ12" i="20"/>
  <c r="BR11" i="20" s="1"/>
  <c r="BR17" i="18"/>
  <c r="BR12" i="18"/>
  <c r="BS11" i="18" s="1"/>
  <c r="BE20" i="10"/>
  <c r="BE19" i="10"/>
  <c r="BP17" i="10"/>
  <c r="BP12" i="10"/>
  <c r="BQ11" i="10" s="1"/>
  <c r="BT20" i="29" l="1"/>
  <c r="BT16" i="29"/>
  <c r="AL21" i="29"/>
  <c r="AM11" i="29"/>
  <c r="BS19" i="24"/>
  <c r="BU14" i="29"/>
  <c r="BU15" i="29" s="1"/>
  <c r="BV13" i="29"/>
  <c r="BT15" i="29"/>
  <c r="BT19" i="29" s="1"/>
  <c r="AM23" i="28"/>
  <c r="AM17" i="28"/>
  <c r="AM18" i="28"/>
  <c r="AM12" i="28"/>
  <c r="BT14" i="28"/>
  <c r="BU13" i="28"/>
  <c r="BT15" i="28"/>
  <c r="BS20" i="28"/>
  <c r="BS16" i="28"/>
  <c r="BS19" i="28" s="1"/>
  <c r="BU14" i="27"/>
  <c r="BV13" i="27"/>
  <c r="AM23" i="27"/>
  <c r="AM17" i="27"/>
  <c r="AM18" i="27"/>
  <c r="AM12" i="27"/>
  <c r="BT20" i="27"/>
  <c r="BT16" i="27"/>
  <c r="BT19" i="27" s="1"/>
  <c r="BT20" i="26"/>
  <c r="BT16" i="26"/>
  <c r="AL21" i="26"/>
  <c r="AM11" i="26"/>
  <c r="BU14" i="26"/>
  <c r="BU15" i="26" s="1"/>
  <c r="BV13" i="26"/>
  <c r="BT19" i="26"/>
  <c r="BT14" i="25"/>
  <c r="BT15" i="25" s="1"/>
  <c r="BU13" i="25"/>
  <c r="AM23" i="25"/>
  <c r="AM18" i="25"/>
  <c r="AM17" i="25"/>
  <c r="AM12" i="25"/>
  <c r="BS20" i="25"/>
  <c r="BS16" i="25"/>
  <c r="BS19" i="25" s="1"/>
  <c r="AM23" i="24"/>
  <c r="AM17" i="24"/>
  <c r="AM18" i="24"/>
  <c r="AM12" i="24"/>
  <c r="BU14" i="24"/>
  <c r="BU15" i="24" s="1"/>
  <c r="BV13" i="24"/>
  <c r="BT20" i="24"/>
  <c r="BT16" i="24"/>
  <c r="BT19" i="24" s="1"/>
  <c r="BS19" i="23"/>
  <c r="BT20" i="23"/>
  <c r="BT16" i="23"/>
  <c r="BT19" i="23" s="1"/>
  <c r="AM23" i="23"/>
  <c r="AM17" i="23"/>
  <c r="AM18" i="23"/>
  <c r="AM12" i="23"/>
  <c r="BU14" i="23"/>
  <c r="BV13" i="23"/>
  <c r="BR17" i="20"/>
  <c r="BR12" i="20"/>
  <c r="BS11" i="20" s="1"/>
  <c r="BS17" i="18"/>
  <c r="BS12" i="18"/>
  <c r="BT11" i="18" s="1"/>
  <c r="BF20" i="10"/>
  <c r="BF19" i="10"/>
  <c r="BQ17" i="10"/>
  <c r="BQ12" i="10"/>
  <c r="BR11" i="10" s="1"/>
  <c r="BV14" i="29" l="1"/>
  <c r="BV15" i="29" s="1"/>
  <c r="BW13" i="29"/>
  <c r="AM23" i="29"/>
  <c r="AM17" i="29"/>
  <c r="AM18" i="29"/>
  <c r="AM12" i="29"/>
  <c r="BU20" i="29"/>
  <c r="BU16" i="29"/>
  <c r="BU19" i="29" s="1"/>
  <c r="BT20" i="28"/>
  <c r="BT16" i="28"/>
  <c r="BT19" i="28" s="1"/>
  <c r="BU14" i="28"/>
  <c r="BU15" i="28" s="1"/>
  <c r="BV13" i="28"/>
  <c r="AM21" i="28"/>
  <c r="AN11" i="28"/>
  <c r="BU20" i="27"/>
  <c r="BU16" i="27"/>
  <c r="AM21" i="27"/>
  <c r="AN11" i="27"/>
  <c r="BV14" i="27"/>
  <c r="BW13" i="27"/>
  <c r="BV15" i="27"/>
  <c r="BU15" i="27"/>
  <c r="BU19" i="27" s="1"/>
  <c r="BU20" i="26"/>
  <c r="BU16" i="26"/>
  <c r="AM23" i="26"/>
  <c r="AM17" i="26"/>
  <c r="AM18" i="26"/>
  <c r="AM12" i="26"/>
  <c r="BV14" i="26"/>
  <c r="BV15" i="26" s="1"/>
  <c r="BW13" i="26"/>
  <c r="BU19" i="26"/>
  <c r="BU14" i="25"/>
  <c r="BU15" i="25" s="1"/>
  <c r="BV13" i="25"/>
  <c r="AM21" i="25"/>
  <c r="AN11" i="25"/>
  <c r="BT20" i="25"/>
  <c r="BT16" i="25"/>
  <c r="BT19" i="25" s="1"/>
  <c r="BV14" i="24"/>
  <c r="BV15" i="24" s="1"/>
  <c r="BW13" i="24"/>
  <c r="BU20" i="24"/>
  <c r="BU16" i="24"/>
  <c r="BU19" i="24" s="1"/>
  <c r="AM21" i="24"/>
  <c r="AN11" i="24"/>
  <c r="BU20" i="23"/>
  <c r="BU16" i="23"/>
  <c r="AM21" i="23"/>
  <c r="AN11" i="23"/>
  <c r="BV14" i="23"/>
  <c r="BV15" i="23" s="1"/>
  <c r="BW13" i="23"/>
  <c r="BU15" i="23"/>
  <c r="BS17" i="20"/>
  <c r="BS12" i="20"/>
  <c r="BT11" i="20" s="1"/>
  <c r="BT17" i="18"/>
  <c r="BT12" i="18"/>
  <c r="BU11" i="18" s="1"/>
  <c r="BG20" i="10"/>
  <c r="BG19" i="10"/>
  <c r="BR17" i="10"/>
  <c r="BR12" i="10"/>
  <c r="BS11" i="10" s="1"/>
  <c r="AM21" i="29" l="1"/>
  <c r="AN11" i="29"/>
  <c r="BW15" i="29"/>
  <c r="BW14" i="29"/>
  <c r="BX13" i="29"/>
  <c r="BV20" i="29"/>
  <c r="BV16" i="29"/>
  <c r="BV19" i="29" s="1"/>
  <c r="AN23" i="28"/>
  <c r="AN18" i="28"/>
  <c r="AN17" i="28"/>
  <c r="AN12" i="28"/>
  <c r="BV14" i="28"/>
  <c r="BW13" i="28"/>
  <c r="BV15" i="28"/>
  <c r="BU20" i="28"/>
  <c r="BU16" i="28"/>
  <c r="BU19" i="28" s="1"/>
  <c r="BW14" i="27"/>
  <c r="BX13" i="27"/>
  <c r="AN23" i="27"/>
  <c r="AN18" i="27"/>
  <c r="AN17" i="27"/>
  <c r="AN12" i="27"/>
  <c r="BV20" i="27"/>
  <c r="BV16" i="27"/>
  <c r="BV19" i="27" s="1"/>
  <c r="BV20" i="26"/>
  <c r="BV16" i="26"/>
  <c r="AM21" i="26"/>
  <c r="AN11" i="26"/>
  <c r="BW15" i="26"/>
  <c r="BW14" i="26"/>
  <c r="BX13" i="26"/>
  <c r="BV19" i="26"/>
  <c r="BV14" i="25"/>
  <c r="BV15" i="25" s="1"/>
  <c r="BW13" i="25"/>
  <c r="AN23" i="25"/>
  <c r="AN17" i="25"/>
  <c r="AN18" i="25"/>
  <c r="AN12" i="25"/>
  <c r="BU20" i="25"/>
  <c r="BU16" i="25"/>
  <c r="BU19" i="25" s="1"/>
  <c r="AN23" i="24"/>
  <c r="AN18" i="24"/>
  <c r="AN17" i="24"/>
  <c r="AN12" i="24"/>
  <c r="BW14" i="24"/>
  <c r="BX13" i="24"/>
  <c r="BV20" i="24"/>
  <c r="BV16" i="24"/>
  <c r="BV19" i="24" s="1"/>
  <c r="BU19" i="23"/>
  <c r="BV20" i="23"/>
  <c r="BV16" i="23"/>
  <c r="BV19" i="23" s="1"/>
  <c r="AN23" i="23"/>
  <c r="AN18" i="23"/>
  <c r="AN17" i="23"/>
  <c r="AN12" i="23"/>
  <c r="BW14" i="23"/>
  <c r="BX13" i="23"/>
  <c r="BT17" i="20"/>
  <c r="BT12" i="20"/>
  <c r="BU11" i="20" s="1"/>
  <c r="BU17" i="18"/>
  <c r="BU12" i="18"/>
  <c r="BV11" i="18" s="1"/>
  <c r="BH20" i="10"/>
  <c r="BH19" i="10"/>
  <c r="BS17" i="10"/>
  <c r="BS12" i="10"/>
  <c r="BT11" i="10" s="1"/>
  <c r="BX15" i="29" l="1"/>
  <c r="BX14" i="29"/>
  <c r="BY13" i="29"/>
  <c r="BW20" i="29"/>
  <c r="BW16" i="29"/>
  <c r="BW19" i="29" s="1"/>
  <c r="AN23" i="29"/>
  <c r="AN18" i="29"/>
  <c r="AN17" i="29"/>
  <c r="AN12" i="29"/>
  <c r="BV20" i="28"/>
  <c r="BV16" i="28"/>
  <c r="BV19" i="28" s="1"/>
  <c r="BW14" i="28"/>
  <c r="BW15" i="28" s="1"/>
  <c r="BX13" i="28"/>
  <c r="AN21" i="28"/>
  <c r="AO11" i="28"/>
  <c r="BW20" i="27"/>
  <c r="BW16" i="27"/>
  <c r="AN21" i="27"/>
  <c r="AO11" i="27"/>
  <c r="BX14" i="27"/>
  <c r="BY13" i="27"/>
  <c r="BX15" i="27"/>
  <c r="BW15" i="27"/>
  <c r="BW19" i="27" s="1"/>
  <c r="BW20" i="26"/>
  <c r="BW16" i="26"/>
  <c r="AN23" i="26"/>
  <c r="AN18" i="26"/>
  <c r="AN17" i="26"/>
  <c r="AN12" i="26"/>
  <c r="BX15" i="26"/>
  <c r="BX14" i="26"/>
  <c r="BY13" i="26"/>
  <c r="BW19" i="26"/>
  <c r="BW15" i="25"/>
  <c r="BW14" i="25"/>
  <c r="BX13" i="25"/>
  <c r="AN21" i="25"/>
  <c r="AO11" i="25"/>
  <c r="BV20" i="25"/>
  <c r="BV16" i="25"/>
  <c r="BV19" i="25" s="1"/>
  <c r="BW20" i="24"/>
  <c r="BW16" i="24"/>
  <c r="AN21" i="24"/>
  <c r="AO11" i="24"/>
  <c r="BX14" i="24"/>
  <c r="BX15" i="24" s="1"/>
  <c r="BY13" i="24"/>
  <c r="BW15" i="24"/>
  <c r="BW20" i="23"/>
  <c r="BW16" i="23"/>
  <c r="AN21" i="23"/>
  <c r="AO11" i="23"/>
  <c r="BX14" i="23"/>
  <c r="BX15" i="23" s="1"/>
  <c r="BY13" i="23"/>
  <c r="BW15" i="23"/>
  <c r="BU17" i="20"/>
  <c r="BU12" i="20"/>
  <c r="BV11" i="20" s="1"/>
  <c r="BV17" i="18"/>
  <c r="BV12" i="18"/>
  <c r="BW11" i="18" s="1"/>
  <c r="BI20" i="10"/>
  <c r="BI19" i="10"/>
  <c r="BT17" i="10"/>
  <c r="BT12" i="10"/>
  <c r="BU11" i="10" s="1"/>
  <c r="AN21" i="29" l="1"/>
  <c r="AO11" i="29"/>
  <c r="BX20" i="29"/>
  <c r="BX16" i="29"/>
  <c r="BY15" i="29"/>
  <c r="BY14" i="29"/>
  <c r="BZ13" i="29"/>
  <c r="BX19" i="29"/>
  <c r="AO23" i="28"/>
  <c r="AO17" i="28"/>
  <c r="AO18" i="28"/>
  <c r="AO12" i="28"/>
  <c r="BX14" i="28"/>
  <c r="BY13" i="28"/>
  <c r="BX15" i="28"/>
  <c r="BW20" i="28"/>
  <c r="BW16" i="28"/>
  <c r="BW19" i="28" s="1"/>
  <c r="BY14" i="27"/>
  <c r="BZ13" i="27"/>
  <c r="AO23" i="27"/>
  <c r="AO17" i="27"/>
  <c r="AO18" i="27"/>
  <c r="AO12" i="27"/>
  <c r="BX20" i="27"/>
  <c r="BX16" i="27"/>
  <c r="BX19" i="27" s="1"/>
  <c r="BW19" i="24"/>
  <c r="BX20" i="26"/>
  <c r="BX16" i="26"/>
  <c r="AN21" i="26"/>
  <c r="AO11" i="26"/>
  <c r="BY14" i="26"/>
  <c r="BY15" i="26" s="1"/>
  <c r="BZ13" i="26"/>
  <c r="BX19" i="26"/>
  <c r="BX14" i="25"/>
  <c r="BX15" i="25" s="1"/>
  <c r="BY13" i="25"/>
  <c r="AO23" i="25"/>
  <c r="AO18" i="25"/>
  <c r="AO17" i="25"/>
  <c r="AO12" i="25"/>
  <c r="BW20" i="25"/>
  <c r="BW16" i="25"/>
  <c r="BW19" i="25" s="1"/>
  <c r="AO23" i="24"/>
  <c r="AO17" i="24"/>
  <c r="AO18" i="24"/>
  <c r="AO12" i="24"/>
  <c r="BY14" i="24"/>
  <c r="BY15" i="24" s="1"/>
  <c r="BZ13" i="24"/>
  <c r="BX20" i="24"/>
  <c r="BX16" i="24"/>
  <c r="BX19" i="24" s="1"/>
  <c r="BW19" i="23"/>
  <c r="BX20" i="23"/>
  <c r="BX16" i="23"/>
  <c r="BX19" i="23" s="1"/>
  <c r="AO23" i="23"/>
  <c r="AO17" i="23"/>
  <c r="AO18" i="23"/>
  <c r="AO12" i="23"/>
  <c r="BY14" i="23"/>
  <c r="BZ13" i="23"/>
  <c r="BV17" i="20"/>
  <c r="BV12" i="20"/>
  <c r="BW11" i="20" s="1"/>
  <c r="BW17" i="18"/>
  <c r="BW12" i="18"/>
  <c r="BX11" i="18" s="1"/>
  <c r="BJ20" i="10"/>
  <c r="BJ19" i="10"/>
  <c r="BU17" i="10"/>
  <c r="BU12" i="10"/>
  <c r="BV11" i="10" s="1"/>
  <c r="BY20" i="29" l="1"/>
  <c r="BY16" i="29"/>
  <c r="AO23" i="29"/>
  <c r="AO17" i="29"/>
  <c r="AO18" i="29"/>
  <c r="AO12" i="29"/>
  <c r="BZ15" i="29"/>
  <c r="BZ14" i="29"/>
  <c r="CA13" i="29"/>
  <c r="BY19" i="29"/>
  <c r="BX20" i="28"/>
  <c r="BX16" i="28"/>
  <c r="BX19" i="28" s="1"/>
  <c r="BY14" i="28"/>
  <c r="BY15" i="28" s="1"/>
  <c r="BZ13" i="28"/>
  <c r="AO21" i="28"/>
  <c r="AP11" i="28"/>
  <c r="BY20" i="27"/>
  <c r="BY16" i="27"/>
  <c r="AO21" i="27"/>
  <c r="AP11" i="27"/>
  <c r="BZ14" i="27"/>
  <c r="CA13" i="27"/>
  <c r="BZ15" i="27"/>
  <c r="BY15" i="27"/>
  <c r="BY19" i="27" s="1"/>
  <c r="BZ15" i="26"/>
  <c r="BZ14" i="26"/>
  <c r="CA13" i="26"/>
  <c r="BY20" i="26"/>
  <c r="BY16" i="26"/>
  <c r="BY19" i="26" s="1"/>
  <c r="AO23" i="26"/>
  <c r="AO17" i="26"/>
  <c r="AO18" i="26"/>
  <c r="AO12" i="26"/>
  <c r="BY14" i="25"/>
  <c r="BY15" i="25" s="1"/>
  <c r="BZ13" i="25"/>
  <c r="AO21" i="25"/>
  <c r="AP11" i="25"/>
  <c r="BX20" i="25"/>
  <c r="BX16" i="25"/>
  <c r="BX19" i="25" s="1"/>
  <c r="BZ14" i="24"/>
  <c r="BZ15" i="24" s="1"/>
  <c r="CA13" i="24"/>
  <c r="BY20" i="24"/>
  <c r="BY16" i="24"/>
  <c r="BY19" i="24" s="1"/>
  <c r="AO21" i="24"/>
  <c r="AP11" i="24"/>
  <c r="BY20" i="23"/>
  <c r="BY16" i="23"/>
  <c r="AO21" i="23"/>
  <c r="AP11" i="23"/>
  <c r="BZ14" i="23"/>
  <c r="BZ15" i="23" s="1"/>
  <c r="CA13" i="23"/>
  <c r="BY15" i="23"/>
  <c r="BW17" i="20"/>
  <c r="BW12" i="20"/>
  <c r="BX11" i="20" s="1"/>
  <c r="BX17" i="18"/>
  <c r="BX12" i="18"/>
  <c r="BY11" i="18" s="1"/>
  <c r="BK20" i="10"/>
  <c r="BK19" i="10"/>
  <c r="BV17" i="10"/>
  <c r="BV12" i="10"/>
  <c r="BW11" i="10" s="1"/>
  <c r="BZ20" i="29" l="1"/>
  <c r="BZ16" i="29"/>
  <c r="AO21" i="29"/>
  <c r="AP11" i="29"/>
  <c r="CA15" i="29"/>
  <c r="CA14" i="29"/>
  <c r="CB13" i="29"/>
  <c r="BZ19" i="29"/>
  <c r="AP23" i="28"/>
  <c r="AP18" i="28"/>
  <c r="AP17" i="28"/>
  <c r="AP12" i="28"/>
  <c r="BZ14" i="28"/>
  <c r="CA13" i="28"/>
  <c r="BZ15" i="28"/>
  <c r="BY20" i="28"/>
  <c r="BY16" i="28"/>
  <c r="BY19" i="28" s="1"/>
  <c r="CA14" i="27"/>
  <c r="CB13" i="27"/>
  <c r="AP23" i="27"/>
  <c r="AP18" i="27"/>
  <c r="AP17" i="27"/>
  <c r="AP12" i="27"/>
  <c r="BZ20" i="27"/>
  <c r="BZ16" i="27"/>
  <c r="BZ19" i="27" s="1"/>
  <c r="AO21" i="26"/>
  <c r="AP11" i="26"/>
  <c r="BZ20" i="26"/>
  <c r="BZ16" i="26"/>
  <c r="CA14" i="26"/>
  <c r="CA15" i="26" s="1"/>
  <c r="CB13" i="26"/>
  <c r="BZ19" i="26"/>
  <c r="BZ14" i="25"/>
  <c r="BZ15" i="25" s="1"/>
  <c r="CA13" i="25"/>
  <c r="AP23" i="25"/>
  <c r="AP17" i="25"/>
  <c r="AP18" i="25"/>
  <c r="AP12" i="25"/>
  <c r="BY20" i="25"/>
  <c r="BY16" i="25"/>
  <c r="BY19" i="25" s="1"/>
  <c r="AP23" i="24"/>
  <c r="AP18" i="24"/>
  <c r="AP17" i="24"/>
  <c r="AP12" i="24"/>
  <c r="CA14" i="24"/>
  <c r="CB13" i="24"/>
  <c r="BZ20" i="24"/>
  <c r="BZ16" i="24"/>
  <c r="BZ19" i="24" s="1"/>
  <c r="BY19" i="23"/>
  <c r="BZ20" i="23"/>
  <c r="BZ16" i="23"/>
  <c r="BZ19" i="23" s="1"/>
  <c r="AP23" i="23"/>
  <c r="AP18" i="23"/>
  <c r="AP17" i="23"/>
  <c r="AP12" i="23"/>
  <c r="CA14" i="23"/>
  <c r="CB13" i="23"/>
  <c r="BX17" i="20"/>
  <c r="BX12" i="20"/>
  <c r="BY11" i="20" s="1"/>
  <c r="BY17" i="18"/>
  <c r="BY12" i="18"/>
  <c r="BZ11" i="18" s="1"/>
  <c r="BL20" i="10"/>
  <c r="BL19" i="10"/>
  <c r="BW17" i="10"/>
  <c r="BW12" i="10"/>
  <c r="BX11" i="10" s="1"/>
  <c r="CA20" i="29" l="1"/>
  <c r="CA16" i="29"/>
  <c r="AP23" i="29"/>
  <c r="AP18" i="29"/>
  <c r="AP17" i="29"/>
  <c r="AP12" i="29"/>
  <c r="CB15" i="29"/>
  <c r="CB14" i="29"/>
  <c r="CC13" i="29"/>
  <c r="CA19" i="29"/>
  <c r="BZ20" i="28"/>
  <c r="BZ16" i="28"/>
  <c r="BZ19" i="28" s="1"/>
  <c r="CA14" i="28"/>
  <c r="CA15" i="28" s="1"/>
  <c r="CB13" i="28"/>
  <c r="AP21" i="28"/>
  <c r="AQ11" i="28"/>
  <c r="CA20" i="27"/>
  <c r="CA16" i="27"/>
  <c r="AP21" i="27"/>
  <c r="AQ11" i="27"/>
  <c r="CB14" i="27"/>
  <c r="CC13" i="27"/>
  <c r="CB15" i="27"/>
  <c r="CA15" i="27"/>
  <c r="CA19" i="27" s="1"/>
  <c r="CA20" i="26"/>
  <c r="CA16" i="26"/>
  <c r="AP23" i="26"/>
  <c r="AP18" i="26"/>
  <c r="AP17" i="26"/>
  <c r="AP12" i="26"/>
  <c r="CB14" i="26"/>
  <c r="CC13" i="26"/>
  <c r="CA19" i="26"/>
  <c r="CA14" i="25"/>
  <c r="CA15" i="25" s="1"/>
  <c r="CB13" i="25"/>
  <c r="AP21" i="25"/>
  <c r="AQ11" i="25"/>
  <c r="BZ20" i="25"/>
  <c r="BZ16" i="25"/>
  <c r="BZ19" i="25" s="1"/>
  <c r="CA20" i="24"/>
  <c r="CA16" i="24"/>
  <c r="AP21" i="24"/>
  <c r="AQ11" i="24"/>
  <c r="CB14" i="24"/>
  <c r="CB15" i="24" s="1"/>
  <c r="CC13" i="24"/>
  <c r="CA15" i="24"/>
  <c r="CA20" i="23"/>
  <c r="CA16" i="23"/>
  <c r="AP21" i="23"/>
  <c r="AQ11" i="23"/>
  <c r="CB14" i="23"/>
  <c r="CB15" i="23" s="1"/>
  <c r="CC13" i="23"/>
  <c r="CA15" i="23"/>
  <c r="BY17" i="20"/>
  <c r="BY12" i="20"/>
  <c r="BZ11" i="20" s="1"/>
  <c r="BZ17" i="18"/>
  <c r="BZ12" i="18"/>
  <c r="CA11" i="18" s="1"/>
  <c r="BM20" i="10"/>
  <c r="BM19" i="10"/>
  <c r="BX17" i="10"/>
  <c r="BX12" i="10"/>
  <c r="BY11" i="10" s="1"/>
  <c r="CB20" i="29" l="1"/>
  <c r="CB16" i="29"/>
  <c r="AP21" i="29"/>
  <c r="AQ11" i="29"/>
  <c r="CC15" i="29"/>
  <c r="CC14" i="29"/>
  <c r="CD13" i="29"/>
  <c r="CB19" i="29"/>
  <c r="AQ23" i="28"/>
  <c r="AQ17" i="28"/>
  <c r="AQ18" i="28"/>
  <c r="AQ12" i="28"/>
  <c r="CB14" i="28"/>
  <c r="CC13" i="28"/>
  <c r="CB15" i="28"/>
  <c r="CA20" i="28"/>
  <c r="CA16" i="28"/>
  <c r="CA19" i="28" s="1"/>
  <c r="CA19" i="24"/>
  <c r="CC14" i="27"/>
  <c r="CD13" i="27"/>
  <c r="AQ23" i="27"/>
  <c r="AQ17" i="27"/>
  <c r="AQ18" i="27"/>
  <c r="AQ12" i="27"/>
  <c r="CB20" i="27"/>
  <c r="CB16" i="27"/>
  <c r="CB19" i="27" s="1"/>
  <c r="CB20" i="26"/>
  <c r="CB16" i="26"/>
  <c r="AP21" i="26"/>
  <c r="AQ11" i="26"/>
  <c r="CC15" i="26"/>
  <c r="CC14" i="26"/>
  <c r="CD13" i="26"/>
  <c r="CB15" i="26"/>
  <c r="CB19" i="26" s="1"/>
  <c r="CB14" i="25"/>
  <c r="CC13" i="25"/>
  <c r="AQ23" i="25"/>
  <c r="AQ18" i="25"/>
  <c r="AQ17" i="25"/>
  <c r="AQ12" i="25"/>
  <c r="CA20" i="25"/>
  <c r="CA16" i="25"/>
  <c r="CA19" i="25" s="1"/>
  <c r="AQ23" i="24"/>
  <c r="AQ17" i="24"/>
  <c r="AQ18" i="24"/>
  <c r="AQ12" i="24"/>
  <c r="CC14" i="24"/>
  <c r="CC15" i="24" s="1"/>
  <c r="CD13" i="24"/>
  <c r="CB20" i="24"/>
  <c r="CB16" i="24"/>
  <c r="CB19" i="24" s="1"/>
  <c r="CA19" i="23"/>
  <c r="CB20" i="23"/>
  <c r="CB16" i="23"/>
  <c r="CB19" i="23" s="1"/>
  <c r="AQ23" i="23"/>
  <c r="AQ17" i="23"/>
  <c r="AQ18" i="23"/>
  <c r="AQ12" i="23"/>
  <c r="CC14" i="23"/>
  <c r="CD13" i="23"/>
  <c r="BZ17" i="20"/>
  <c r="BZ12" i="20"/>
  <c r="CA11" i="20" s="1"/>
  <c r="CA17" i="18"/>
  <c r="CA12" i="18"/>
  <c r="CB11" i="18" s="1"/>
  <c r="BN20" i="10"/>
  <c r="BN19" i="10"/>
  <c r="BY17" i="10"/>
  <c r="BY12" i="10"/>
  <c r="BZ11" i="10" s="1"/>
  <c r="CC20" i="29" l="1"/>
  <c r="CC16" i="29"/>
  <c r="AQ23" i="29"/>
  <c r="AQ17" i="29"/>
  <c r="AQ18" i="29"/>
  <c r="AQ12" i="29"/>
  <c r="CD15" i="29"/>
  <c r="CD14" i="29"/>
  <c r="CE13" i="29"/>
  <c r="CC19" i="29"/>
  <c r="CB20" i="28"/>
  <c r="CB16" i="28"/>
  <c r="CB19" i="28" s="1"/>
  <c r="CC14" i="28"/>
  <c r="CC15" i="28" s="1"/>
  <c r="CD13" i="28"/>
  <c r="AQ21" i="28"/>
  <c r="AR11" i="28"/>
  <c r="CC20" i="27"/>
  <c r="CC16" i="27"/>
  <c r="AQ21" i="27"/>
  <c r="AR11" i="27"/>
  <c r="CD14" i="27"/>
  <c r="CE13" i="27"/>
  <c r="CD15" i="27"/>
  <c r="CC15" i="27"/>
  <c r="CC19" i="27" s="1"/>
  <c r="CC20" i="26"/>
  <c r="CC16" i="26"/>
  <c r="AQ23" i="26"/>
  <c r="AQ17" i="26"/>
  <c r="AQ18" i="26"/>
  <c r="AQ12" i="26"/>
  <c r="CD14" i="26"/>
  <c r="CE13" i="26"/>
  <c r="CC19" i="26"/>
  <c r="AQ21" i="25"/>
  <c r="AR11" i="25"/>
  <c r="CB20" i="25"/>
  <c r="CB16" i="25"/>
  <c r="CC14" i="25"/>
  <c r="CC15" i="25" s="1"/>
  <c r="CD13" i="25"/>
  <c r="CB15" i="25"/>
  <c r="CD14" i="24"/>
  <c r="CD15" i="24" s="1"/>
  <c r="CE13" i="24"/>
  <c r="CC20" i="24"/>
  <c r="CC16" i="24"/>
  <c r="CC19" i="24" s="1"/>
  <c r="AQ21" i="24"/>
  <c r="AR11" i="24"/>
  <c r="CC20" i="23"/>
  <c r="CC16" i="23"/>
  <c r="AQ21" i="23"/>
  <c r="AR11" i="23"/>
  <c r="CD14" i="23"/>
  <c r="CD15" i="23" s="1"/>
  <c r="CE13" i="23"/>
  <c r="CC15" i="23"/>
  <c r="CA17" i="20"/>
  <c r="CA12" i="20"/>
  <c r="CB11" i="20" s="1"/>
  <c r="CB17" i="18"/>
  <c r="CB12" i="18"/>
  <c r="CC11" i="18" s="1"/>
  <c r="BO20" i="10"/>
  <c r="BO19" i="10"/>
  <c r="BZ17" i="10"/>
  <c r="BZ12" i="10"/>
  <c r="CA11" i="10" s="1"/>
  <c r="CD20" i="29" l="1"/>
  <c r="CD16" i="29"/>
  <c r="AQ21" i="29"/>
  <c r="AR11" i="29"/>
  <c r="CE15" i="29"/>
  <c r="CE14" i="29"/>
  <c r="CF13" i="29"/>
  <c r="CD19" i="29"/>
  <c r="CB19" i="25"/>
  <c r="AR23" i="28"/>
  <c r="AR18" i="28"/>
  <c r="AR17" i="28"/>
  <c r="AR12" i="28"/>
  <c r="CD14" i="28"/>
  <c r="CE13" i="28"/>
  <c r="CD15" i="28"/>
  <c r="CC20" i="28"/>
  <c r="CC16" i="28"/>
  <c r="CC19" i="28" s="1"/>
  <c r="CE14" i="27"/>
  <c r="CF13" i="27"/>
  <c r="AR23" i="27"/>
  <c r="AR18" i="27"/>
  <c r="AR17" i="27"/>
  <c r="AR12" i="27"/>
  <c r="CD20" i="27"/>
  <c r="CD16" i="27"/>
  <c r="CD19" i="27" s="1"/>
  <c r="CD20" i="26"/>
  <c r="CD16" i="26"/>
  <c r="AQ21" i="26"/>
  <c r="AR11" i="26"/>
  <c r="CE14" i="26"/>
  <c r="CE15" i="26" s="1"/>
  <c r="CF13" i="26"/>
  <c r="CD15" i="26"/>
  <c r="CC20" i="25"/>
  <c r="CC16" i="25"/>
  <c r="CC19" i="25" s="1"/>
  <c r="AR23" i="25"/>
  <c r="AR17" i="25"/>
  <c r="AR18" i="25"/>
  <c r="AR12" i="25"/>
  <c r="CD14" i="25"/>
  <c r="CD15" i="25" s="1"/>
  <c r="CE13" i="25"/>
  <c r="AR23" i="24"/>
  <c r="AR18" i="24"/>
  <c r="AR17" i="24"/>
  <c r="AR12" i="24"/>
  <c r="CE14" i="24"/>
  <c r="CF13" i="24"/>
  <c r="CD20" i="24"/>
  <c r="CD16" i="24"/>
  <c r="CD19" i="24" s="1"/>
  <c r="CC19" i="23"/>
  <c r="CD20" i="23"/>
  <c r="CD16" i="23"/>
  <c r="CD19" i="23" s="1"/>
  <c r="AR23" i="23"/>
  <c r="AR18" i="23"/>
  <c r="AR17" i="23"/>
  <c r="AR12" i="23"/>
  <c r="CE14" i="23"/>
  <c r="CF13" i="23"/>
  <c r="CB17" i="20"/>
  <c r="CB12" i="20"/>
  <c r="CC11" i="20" s="1"/>
  <c r="CC17" i="18"/>
  <c r="CC12" i="18"/>
  <c r="CD11" i="18" s="1"/>
  <c r="BP19" i="10"/>
  <c r="BP20" i="10"/>
  <c r="CA17" i="10"/>
  <c r="CA12" i="10"/>
  <c r="CB11" i="10" s="1"/>
  <c r="CE20" i="29" l="1"/>
  <c r="CE16" i="29"/>
  <c r="AR23" i="29"/>
  <c r="AR18" i="29"/>
  <c r="AR17" i="29"/>
  <c r="AR12" i="29"/>
  <c r="CF15" i="29"/>
  <c r="CF14" i="29"/>
  <c r="CG13" i="29"/>
  <c r="CE19" i="29"/>
  <c r="CD19" i="26"/>
  <c r="CE14" i="28"/>
  <c r="CE15" i="28" s="1"/>
  <c r="CF13" i="28"/>
  <c r="AR21" i="28"/>
  <c r="AS11" i="28"/>
  <c r="CD20" i="28"/>
  <c r="CD16" i="28"/>
  <c r="CD19" i="28" s="1"/>
  <c r="CE20" i="27"/>
  <c r="CE16" i="27"/>
  <c r="AR21" i="27"/>
  <c r="AS11" i="27"/>
  <c r="CF14" i="27"/>
  <c r="CG13" i="27"/>
  <c r="CF15" i="27"/>
  <c r="CE15" i="27"/>
  <c r="CE19" i="27" s="1"/>
  <c r="CE20" i="26"/>
  <c r="CE16" i="26"/>
  <c r="CE19" i="26" s="1"/>
  <c r="AR23" i="26"/>
  <c r="AR18" i="26"/>
  <c r="AR17" i="26"/>
  <c r="AR12" i="26"/>
  <c r="CF14" i="26"/>
  <c r="CG13" i="26"/>
  <c r="CD20" i="25"/>
  <c r="CD16" i="25"/>
  <c r="CD19" i="25" s="1"/>
  <c r="AR21" i="25"/>
  <c r="AS11" i="25"/>
  <c r="CE14" i="25"/>
  <c r="CE15" i="25" s="1"/>
  <c r="CF13" i="25"/>
  <c r="CE20" i="24"/>
  <c r="CE16" i="24"/>
  <c r="AR21" i="24"/>
  <c r="AS11" i="24"/>
  <c r="CF14" i="24"/>
  <c r="CF15" i="24" s="1"/>
  <c r="CG13" i="24"/>
  <c r="CE15" i="24"/>
  <c r="CE20" i="23"/>
  <c r="CE16" i="23"/>
  <c r="AR21" i="23"/>
  <c r="AS11" i="23"/>
  <c r="CF14" i="23"/>
  <c r="CF15" i="23" s="1"/>
  <c r="CG13" i="23"/>
  <c r="CE15" i="23"/>
  <c r="CC17" i="20"/>
  <c r="CC12" i="20"/>
  <c r="CD11" i="20" s="1"/>
  <c r="CD17" i="18"/>
  <c r="CD12" i="18"/>
  <c r="CE11" i="18" s="1"/>
  <c r="BQ19" i="10"/>
  <c r="BQ20" i="10"/>
  <c r="CB17" i="10"/>
  <c r="CB12" i="10"/>
  <c r="CC11" i="10" s="1"/>
  <c r="CF20" i="29" l="1"/>
  <c r="CF16" i="29"/>
  <c r="AR21" i="29"/>
  <c r="AS11" i="29"/>
  <c r="CG15" i="29"/>
  <c r="CG14" i="29"/>
  <c r="CH13" i="29"/>
  <c r="CF19" i="29"/>
  <c r="CE19" i="24"/>
  <c r="AS23" i="28"/>
  <c r="AS17" i="28"/>
  <c r="AS18" i="28"/>
  <c r="AS12" i="28"/>
  <c r="CF14" i="28"/>
  <c r="CG13" i="28"/>
  <c r="CF15" i="28"/>
  <c r="CE20" i="28"/>
  <c r="CE16" i="28"/>
  <c r="CE19" i="28" s="1"/>
  <c r="CG14" i="27"/>
  <c r="CH13" i="27"/>
  <c r="AS23" i="27"/>
  <c r="AS17" i="27"/>
  <c r="AS18" i="27"/>
  <c r="AS12" i="27"/>
  <c r="CF20" i="27"/>
  <c r="CF16" i="27"/>
  <c r="CF19" i="27" s="1"/>
  <c r="CF20" i="26"/>
  <c r="CF16" i="26"/>
  <c r="AR21" i="26"/>
  <c r="AS11" i="26"/>
  <c r="CG14" i="26"/>
  <c r="CG15" i="26" s="1"/>
  <c r="CH13" i="26"/>
  <c r="CF15" i="26"/>
  <c r="CF19" i="26" s="1"/>
  <c r="CE20" i="25"/>
  <c r="CE16" i="25"/>
  <c r="CE19" i="25" s="1"/>
  <c r="AS23" i="25"/>
  <c r="AS18" i="25"/>
  <c r="AS17" i="25"/>
  <c r="AS12" i="25"/>
  <c r="CF14" i="25"/>
  <c r="CF15" i="25" s="1"/>
  <c r="CG13" i="25"/>
  <c r="AS23" i="24"/>
  <c r="AS17" i="24"/>
  <c r="AS18" i="24"/>
  <c r="AS12" i="24"/>
  <c r="CG14" i="24"/>
  <c r="CG15" i="24" s="1"/>
  <c r="CH13" i="24"/>
  <c r="CF20" i="24"/>
  <c r="CF16" i="24"/>
  <c r="CF19" i="24" s="1"/>
  <c r="CE19" i="23"/>
  <c r="CF20" i="23"/>
  <c r="CF16" i="23"/>
  <c r="CF19" i="23" s="1"/>
  <c r="AS23" i="23"/>
  <c r="AS17" i="23"/>
  <c r="AS18" i="23"/>
  <c r="AS12" i="23"/>
  <c r="CG14" i="23"/>
  <c r="CH13" i="23"/>
  <c r="CD17" i="20"/>
  <c r="CD12" i="20"/>
  <c r="CE11" i="20" s="1"/>
  <c r="CE17" i="18"/>
  <c r="CE12" i="18"/>
  <c r="CF11" i="18" s="1"/>
  <c r="BR20" i="10"/>
  <c r="BR19" i="10"/>
  <c r="CC17" i="10"/>
  <c r="CC12" i="10"/>
  <c r="CD11" i="10" s="1"/>
  <c r="CG20" i="29" l="1"/>
  <c r="CG16" i="29"/>
  <c r="AS23" i="29"/>
  <c r="AS17" i="29"/>
  <c r="AS18" i="29"/>
  <c r="AS12" i="29"/>
  <c r="CH15" i="29"/>
  <c r="CH14" i="29"/>
  <c r="CI13" i="29"/>
  <c r="CG19" i="29"/>
  <c r="CG15" i="28"/>
  <c r="CG14" i="28"/>
  <c r="CH13" i="28"/>
  <c r="AS21" i="28"/>
  <c r="AT11" i="28"/>
  <c r="CF20" i="28"/>
  <c r="CF16" i="28"/>
  <c r="CF19" i="28" s="1"/>
  <c r="CG20" i="27"/>
  <c r="CG16" i="27"/>
  <c r="AS21" i="27"/>
  <c r="AT11" i="27"/>
  <c r="CH14" i="27"/>
  <c r="CI13" i="27"/>
  <c r="CH15" i="27"/>
  <c r="CG15" i="27"/>
  <c r="CG19" i="27" s="1"/>
  <c r="CG20" i="26"/>
  <c r="CG16" i="26"/>
  <c r="AS23" i="26"/>
  <c r="AS17" i="26"/>
  <c r="AS18" i="26"/>
  <c r="AS12" i="26"/>
  <c r="CH14" i="26"/>
  <c r="CI13" i="26"/>
  <c r="CG19" i="26"/>
  <c r="CF20" i="25"/>
  <c r="CF16" i="25"/>
  <c r="CF19" i="25" s="1"/>
  <c r="AS21" i="25"/>
  <c r="AT11" i="25"/>
  <c r="CG14" i="25"/>
  <c r="CG15" i="25" s="1"/>
  <c r="CH13" i="25"/>
  <c r="CH14" i="24"/>
  <c r="CH15" i="24" s="1"/>
  <c r="CI13" i="24"/>
  <c r="CG20" i="24"/>
  <c r="CG16" i="24"/>
  <c r="CG19" i="24" s="1"/>
  <c r="AS21" i="24"/>
  <c r="AT11" i="24"/>
  <c r="CG20" i="23"/>
  <c r="CG16" i="23"/>
  <c r="AS21" i="23"/>
  <c r="AT11" i="23"/>
  <c r="CH14" i="23"/>
  <c r="CH15" i="23" s="1"/>
  <c r="CI13" i="23"/>
  <c r="CG15" i="23"/>
  <c r="CE17" i="20"/>
  <c r="CE12" i="20"/>
  <c r="CF11" i="20" s="1"/>
  <c r="CF17" i="18"/>
  <c r="CF12" i="18"/>
  <c r="CG11" i="18" s="1"/>
  <c r="BS20" i="10"/>
  <c r="BS19" i="10"/>
  <c r="CD17" i="10"/>
  <c r="CD12" i="10"/>
  <c r="CE11" i="10" s="1"/>
  <c r="CH20" i="29" l="1"/>
  <c r="CH16" i="29"/>
  <c r="AS21" i="29"/>
  <c r="AT11" i="29"/>
  <c r="CI15" i="29"/>
  <c r="CI14" i="29"/>
  <c r="CJ13" i="29"/>
  <c r="CH19" i="29"/>
  <c r="CG20" i="28"/>
  <c r="CG16" i="28"/>
  <c r="AT23" i="28"/>
  <c r="AT18" i="28"/>
  <c r="AT17" i="28"/>
  <c r="AT12" i="28"/>
  <c r="CH14" i="28"/>
  <c r="CI13" i="28"/>
  <c r="CH15" i="28"/>
  <c r="CG19" i="28"/>
  <c r="CI14" i="27"/>
  <c r="CJ13" i="27"/>
  <c r="AT23" i="27"/>
  <c r="AT18" i="27"/>
  <c r="AT17" i="27"/>
  <c r="AT12" i="27"/>
  <c r="CH20" i="27"/>
  <c r="CH16" i="27"/>
  <c r="CH19" i="27" s="1"/>
  <c r="CH20" i="26"/>
  <c r="CH16" i="26"/>
  <c r="AS21" i="26"/>
  <c r="AT11" i="26"/>
  <c r="CI14" i="26"/>
  <c r="CI15" i="26" s="1"/>
  <c r="CJ13" i="26"/>
  <c r="CH15" i="26"/>
  <c r="CH19" i="26" s="1"/>
  <c r="CG20" i="25"/>
  <c r="CG16" i="25"/>
  <c r="CG19" i="25" s="1"/>
  <c r="AT23" i="25"/>
  <c r="AT17" i="25"/>
  <c r="AT18" i="25"/>
  <c r="AT12" i="25"/>
  <c r="CH14" i="25"/>
  <c r="CH15" i="25" s="1"/>
  <c r="CI13" i="25"/>
  <c r="AT23" i="24"/>
  <c r="AT18" i="24"/>
  <c r="AT17" i="24"/>
  <c r="AT12" i="24"/>
  <c r="CI14" i="24"/>
  <c r="CI15" i="24" s="1"/>
  <c r="CJ13" i="24"/>
  <c r="CH20" i="24"/>
  <c r="CH16" i="24"/>
  <c r="CH19" i="24" s="1"/>
  <c r="CG19" i="23"/>
  <c r="CH20" i="23"/>
  <c r="CH16" i="23"/>
  <c r="CH19" i="23" s="1"/>
  <c r="AT23" i="23"/>
  <c r="AT18" i="23"/>
  <c r="AT17" i="23"/>
  <c r="AT12" i="23"/>
  <c r="CI14" i="23"/>
  <c r="CJ13" i="23"/>
  <c r="CF17" i="20"/>
  <c r="CF12" i="20"/>
  <c r="CG11" i="20" s="1"/>
  <c r="CG17" i="18"/>
  <c r="CG12" i="18"/>
  <c r="CH11" i="18" s="1"/>
  <c r="BT20" i="10"/>
  <c r="BT19" i="10"/>
  <c r="CE17" i="10"/>
  <c r="CE12" i="10"/>
  <c r="CF11" i="10" s="1"/>
  <c r="CI20" i="29" l="1"/>
  <c r="CI16" i="29"/>
  <c r="AT23" i="29"/>
  <c r="AT18" i="29"/>
  <c r="AT17" i="29"/>
  <c r="AT12" i="29"/>
  <c r="CJ15" i="29"/>
  <c r="CJ14" i="29"/>
  <c r="CK13" i="29"/>
  <c r="CI19" i="29"/>
  <c r="CH20" i="28"/>
  <c r="CH16" i="28"/>
  <c r="CH19" i="28" s="1"/>
  <c r="CI14" i="28"/>
  <c r="CI15" i="28" s="1"/>
  <c r="CJ13" i="28"/>
  <c r="AT21" i="28"/>
  <c r="AU11" i="28"/>
  <c r="CI20" i="27"/>
  <c r="CI16" i="27"/>
  <c r="AT21" i="27"/>
  <c r="AU11" i="27"/>
  <c r="CJ14" i="27"/>
  <c r="CK13" i="27"/>
  <c r="CJ15" i="27"/>
  <c r="CI15" i="27"/>
  <c r="CI19" i="27" s="1"/>
  <c r="CI20" i="26"/>
  <c r="CI16" i="26"/>
  <c r="AT23" i="26"/>
  <c r="AT18" i="26"/>
  <c r="AT17" i="26"/>
  <c r="AT12" i="26"/>
  <c r="CJ14" i="26"/>
  <c r="CK13" i="26"/>
  <c r="CI19" i="26"/>
  <c r="CH20" i="25"/>
  <c r="CH16" i="25"/>
  <c r="CH19" i="25" s="1"/>
  <c r="AT21" i="25"/>
  <c r="AU11" i="25"/>
  <c r="CI14" i="25"/>
  <c r="CI15" i="25" s="1"/>
  <c r="CJ13" i="25"/>
  <c r="CJ14" i="24"/>
  <c r="CJ15" i="24" s="1"/>
  <c r="CK13" i="24"/>
  <c r="AT21" i="24"/>
  <c r="AU11" i="24"/>
  <c r="CI20" i="24"/>
  <c r="CI16" i="24"/>
  <c r="CI19" i="24" s="1"/>
  <c r="CI20" i="23"/>
  <c r="CI16" i="23"/>
  <c r="AT21" i="23"/>
  <c r="AU11" i="23"/>
  <c r="CJ14" i="23"/>
  <c r="CJ15" i="23" s="1"/>
  <c r="CK13" i="23"/>
  <c r="CI15" i="23"/>
  <c r="CG17" i="20"/>
  <c r="CG12" i="20"/>
  <c r="CH11" i="20" s="1"/>
  <c r="CH17" i="18"/>
  <c r="CH12" i="18"/>
  <c r="CI11" i="18" s="1"/>
  <c r="BU20" i="10"/>
  <c r="BU19" i="10"/>
  <c r="CF17" i="10"/>
  <c r="CF12" i="10"/>
  <c r="CG11" i="10" s="1"/>
  <c r="CJ20" i="29" l="1"/>
  <c r="CJ16" i="29"/>
  <c r="AT21" i="29"/>
  <c r="AU11" i="29"/>
  <c r="CK15" i="29"/>
  <c r="CK14" i="29"/>
  <c r="CL13" i="29"/>
  <c r="CJ19" i="29"/>
  <c r="AU23" i="28"/>
  <c r="AU17" i="28"/>
  <c r="AU18" i="28"/>
  <c r="AU12" i="28"/>
  <c r="CJ14" i="28"/>
  <c r="CK13" i="28"/>
  <c r="CJ15" i="28"/>
  <c r="CI20" i="28"/>
  <c r="CI16" i="28"/>
  <c r="CI19" i="28" s="1"/>
  <c r="CK14" i="27"/>
  <c r="CL13" i="27"/>
  <c r="AU23" i="27"/>
  <c r="AU17" i="27"/>
  <c r="AU18" i="27"/>
  <c r="AU12" i="27"/>
  <c r="CJ20" i="27"/>
  <c r="CJ16" i="27"/>
  <c r="CJ19" i="27" s="1"/>
  <c r="CJ20" i="26"/>
  <c r="CJ16" i="26"/>
  <c r="AT21" i="26"/>
  <c r="AU11" i="26"/>
  <c r="CK14" i="26"/>
  <c r="CK15" i="26" s="1"/>
  <c r="CL13" i="26"/>
  <c r="CJ15" i="26"/>
  <c r="CJ19" i="26" s="1"/>
  <c r="CI20" i="25"/>
  <c r="CI16" i="25"/>
  <c r="CI19" i="25" s="1"/>
  <c r="AU23" i="25"/>
  <c r="AU18" i="25"/>
  <c r="AU17" i="25"/>
  <c r="AU12" i="25"/>
  <c r="CJ14" i="25"/>
  <c r="CJ15" i="25" s="1"/>
  <c r="CK13" i="25"/>
  <c r="AU23" i="24"/>
  <c r="AU17" i="24"/>
  <c r="AU18" i="24"/>
  <c r="AU12" i="24"/>
  <c r="CK14" i="24"/>
  <c r="CK15" i="24" s="1"/>
  <c r="CL13" i="24"/>
  <c r="CJ20" i="24"/>
  <c r="CJ16" i="24"/>
  <c r="CJ19" i="24" s="1"/>
  <c r="CI19" i="23"/>
  <c r="CJ20" i="23"/>
  <c r="CJ16" i="23"/>
  <c r="CJ19" i="23" s="1"/>
  <c r="AU23" i="23"/>
  <c r="AU17" i="23"/>
  <c r="AU18" i="23"/>
  <c r="AU12" i="23"/>
  <c r="CK14" i="23"/>
  <c r="CL13" i="23"/>
  <c r="CH17" i="20"/>
  <c r="CH12" i="20"/>
  <c r="CI11" i="20" s="1"/>
  <c r="CI17" i="18"/>
  <c r="CI12" i="18"/>
  <c r="CJ11" i="18" s="1"/>
  <c r="BV19" i="10"/>
  <c r="BV20" i="10"/>
  <c r="CG17" i="10"/>
  <c r="CG12" i="10"/>
  <c r="CH11" i="10" s="1"/>
  <c r="CK20" i="29" l="1"/>
  <c r="CK16" i="29"/>
  <c r="AU23" i="29"/>
  <c r="AU17" i="29"/>
  <c r="AU18" i="29"/>
  <c r="AU12" i="29"/>
  <c r="CL14" i="29"/>
  <c r="CL15" i="29" s="1"/>
  <c r="CM13" i="29"/>
  <c r="CK19" i="29"/>
  <c r="CJ20" i="28"/>
  <c r="CJ16" i="28"/>
  <c r="CJ19" i="28" s="1"/>
  <c r="CK14" i="28"/>
  <c r="CK15" i="28" s="1"/>
  <c r="CL13" i="28"/>
  <c r="AU21" i="28"/>
  <c r="AV11" i="28"/>
  <c r="CK20" i="27"/>
  <c r="CK16" i="27"/>
  <c r="AU21" i="27"/>
  <c r="AV11" i="27"/>
  <c r="CL14" i="27"/>
  <c r="CM13" i="27"/>
  <c r="CL15" i="27"/>
  <c r="CK15" i="27"/>
  <c r="CK19" i="27" s="1"/>
  <c r="CK20" i="26"/>
  <c r="CK16" i="26"/>
  <c r="AU23" i="26"/>
  <c r="AU17" i="26"/>
  <c r="AU18" i="26"/>
  <c r="AU12" i="26"/>
  <c r="CL15" i="26"/>
  <c r="CL14" i="26"/>
  <c r="CM13" i="26"/>
  <c r="CK19" i="26"/>
  <c r="CJ20" i="25"/>
  <c r="CJ16" i="25"/>
  <c r="AU21" i="25"/>
  <c r="AV11" i="25"/>
  <c r="CK14" i="25"/>
  <c r="CL13" i="25"/>
  <c r="CJ19" i="25"/>
  <c r="CK20" i="24"/>
  <c r="CK16" i="24"/>
  <c r="CK19" i="24" s="1"/>
  <c r="AU21" i="24"/>
  <c r="AV11" i="24"/>
  <c r="CL14" i="24"/>
  <c r="CL15" i="24" s="1"/>
  <c r="CM13" i="24"/>
  <c r="CK20" i="23"/>
  <c r="CK16" i="23"/>
  <c r="AU21" i="23"/>
  <c r="AV11" i="23"/>
  <c r="CL14" i="23"/>
  <c r="CL15" i="23" s="1"/>
  <c r="CM13" i="23"/>
  <c r="CK15" i="23"/>
  <c r="CI17" i="20"/>
  <c r="CI12" i="20"/>
  <c r="CJ11" i="20" s="1"/>
  <c r="CJ17" i="18"/>
  <c r="CJ12" i="18"/>
  <c r="CK11" i="18" s="1"/>
  <c r="BW20" i="10"/>
  <c r="BW19" i="10"/>
  <c r="CH17" i="10"/>
  <c r="CH12" i="10"/>
  <c r="CI11" i="10" s="1"/>
  <c r="AU21" i="29" l="1"/>
  <c r="AV11" i="29"/>
  <c r="CM15" i="29"/>
  <c r="CM14" i="29"/>
  <c r="CN13" i="29"/>
  <c r="CL20" i="29"/>
  <c r="CL16" i="29"/>
  <c r="CL19" i="29" s="1"/>
  <c r="AV23" i="28"/>
  <c r="AV18" i="28"/>
  <c r="AV17" i="28"/>
  <c r="AV12" i="28"/>
  <c r="CL14" i="28"/>
  <c r="CM13" i="28"/>
  <c r="CL15" i="28"/>
  <c r="CK20" i="28"/>
  <c r="CK16" i="28"/>
  <c r="CK19" i="28" s="1"/>
  <c r="CM14" i="27"/>
  <c r="CN13" i="27"/>
  <c r="AV23" i="27"/>
  <c r="AV18" i="27"/>
  <c r="AV17" i="27"/>
  <c r="AV12" i="27"/>
  <c r="CL20" i="27"/>
  <c r="CL16" i="27"/>
  <c r="CL19" i="27" s="1"/>
  <c r="CL20" i="26"/>
  <c r="CL16" i="26"/>
  <c r="AU21" i="26"/>
  <c r="AV11" i="26"/>
  <c r="CM15" i="26"/>
  <c r="CM14" i="26"/>
  <c r="CN13" i="26"/>
  <c r="CL19" i="26"/>
  <c r="CK20" i="25"/>
  <c r="CK16" i="25"/>
  <c r="AV23" i="25"/>
  <c r="AV17" i="25"/>
  <c r="AV18" i="25"/>
  <c r="AV12" i="25"/>
  <c r="CL14" i="25"/>
  <c r="CM13" i="25"/>
  <c r="CK15" i="25"/>
  <c r="CK19" i="25" s="1"/>
  <c r="AV23" i="24"/>
  <c r="AV18" i="24"/>
  <c r="AV17" i="24"/>
  <c r="AV12" i="24"/>
  <c r="CM14" i="24"/>
  <c r="CM15" i="24" s="1"/>
  <c r="CN13" i="24"/>
  <c r="CL20" i="24"/>
  <c r="CL16" i="24"/>
  <c r="CL19" i="24" s="1"/>
  <c r="CK19" i="23"/>
  <c r="CL20" i="23"/>
  <c r="CL16" i="23"/>
  <c r="CL19" i="23" s="1"/>
  <c r="AV23" i="23"/>
  <c r="AV18" i="23"/>
  <c r="AV17" i="23"/>
  <c r="AV12" i="23"/>
  <c r="CM14" i="23"/>
  <c r="CN13" i="23"/>
  <c r="CJ17" i="20"/>
  <c r="CJ12" i="20"/>
  <c r="CK11" i="20" s="1"/>
  <c r="CK17" i="18"/>
  <c r="CK12" i="18"/>
  <c r="CL11" i="18" s="1"/>
  <c r="BX20" i="10"/>
  <c r="BX19" i="10"/>
  <c r="CI17" i="10"/>
  <c r="CI12" i="10"/>
  <c r="CJ11" i="10" s="1"/>
  <c r="CN14" i="29" l="1"/>
  <c r="CN15" i="29" s="1"/>
  <c r="CO13" i="29"/>
  <c r="CM20" i="29"/>
  <c r="CM16" i="29"/>
  <c r="CM19" i="29" s="1"/>
  <c r="AV23" i="29"/>
  <c r="AV18" i="29"/>
  <c r="AV17" i="29"/>
  <c r="AV12" i="29"/>
  <c r="CL20" i="28"/>
  <c r="CL16" i="28"/>
  <c r="CL19" i="28" s="1"/>
  <c r="CM14" i="28"/>
  <c r="CM15" i="28" s="1"/>
  <c r="CN13" i="28"/>
  <c r="AV21" i="28"/>
  <c r="AW11" i="28"/>
  <c r="CM20" i="27"/>
  <c r="CM16" i="27"/>
  <c r="AV21" i="27"/>
  <c r="AW11" i="27"/>
  <c r="CN14" i="27"/>
  <c r="CO13" i="27"/>
  <c r="CN15" i="27"/>
  <c r="CM15" i="27"/>
  <c r="CM19" i="27" s="1"/>
  <c r="CM20" i="26"/>
  <c r="CM16" i="26"/>
  <c r="AV23" i="26"/>
  <c r="AV18" i="26"/>
  <c r="AV17" i="26"/>
  <c r="AV12" i="26"/>
  <c r="CN14" i="26"/>
  <c r="CO13" i="26"/>
  <c r="CM19" i="26"/>
  <c r="CL20" i="25"/>
  <c r="CL16" i="25"/>
  <c r="AV21" i="25"/>
  <c r="AW11" i="25"/>
  <c r="CM14" i="25"/>
  <c r="CM15" i="25" s="1"/>
  <c r="CN13" i="25"/>
  <c r="CL15" i="25"/>
  <c r="CN14" i="24"/>
  <c r="CN15" i="24" s="1"/>
  <c r="CO13" i="24"/>
  <c r="CM20" i="24"/>
  <c r="CM16" i="24"/>
  <c r="CM19" i="24" s="1"/>
  <c r="AV21" i="24"/>
  <c r="AW11" i="24"/>
  <c r="CM20" i="23"/>
  <c r="CM16" i="23"/>
  <c r="AV21" i="23"/>
  <c r="AW11" i="23"/>
  <c r="CN14" i="23"/>
  <c r="CN15" i="23" s="1"/>
  <c r="CO13" i="23"/>
  <c r="CM15" i="23"/>
  <c r="CK17" i="20"/>
  <c r="CK12" i="20"/>
  <c r="CL11" i="20" s="1"/>
  <c r="CL17" i="18"/>
  <c r="CL12" i="18"/>
  <c r="CM11" i="18" s="1"/>
  <c r="BY20" i="10"/>
  <c r="BY19" i="10"/>
  <c r="CJ17" i="10"/>
  <c r="CJ12" i="10"/>
  <c r="CK11" i="10" s="1"/>
  <c r="AV21" i="29" l="1"/>
  <c r="AW11" i="29"/>
  <c r="CO14" i="29"/>
  <c r="CO15" i="29" s="1"/>
  <c r="CP13" i="29"/>
  <c r="CN20" i="29"/>
  <c r="CN16" i="29"/>
  <c r="CN19" i="29" s="1"/>
  <c r="CL19" i="25"/>
  <c r="AW23" i="28"/>
  <c r="AW17" i="28"/>
  <c r="AW18" i="28"/>
  <c r="AW12" i="28"/>
  <c r="CN14" i="28"/>
  <c r="CO13" i="28"/>
  <c r="CN15" i="28"/>
  <c r="CM20" i="28"/>
  <c r="CM16" i="28"/>
  <c r="CM19" i="28" s="1"/>
  <c r="CO14" i="27"/>
  <c r="CP13" i="27"/>
  <c r="AW23" i="27"/>
  <c r="AW17" i="27"/>
  <c r="AW18" i="27"/>
  <c r="AW12" i="27"/>
  <c r="CN20" i="27"/>
  <c r="CN16" i="27"/>
  <c r="CN19" i="27" s="1"/>
  <c r="CN20" i="26"/>
  <c r="CN16" i="26"/>
  <c r="AV21" i="26"/>
  <c r="AW11" i="26"/>
  <c r="CO14" i="26"/>
  <c r="CO15" i="26" s="1"/>
  <c r="CP13" i="26"/>
  <c r="CN15" i="26"/>
  <c r="CN19" i="26" s="1"/>
  <c r="CM20" i="25"/>
  <c r="CM16" i="25"/>
  <c r="CM19" i="25" s="1"/>
  <c r="AW23" i="25"/>
  <c r="AW18" i="25"/>
  <c r="AW17" i="25"/>
  <c r="AW12" i="25"/>
  <c r="CN14" i="25"/>
  <c r="CO13" i="25"/>
  <c r="AW23" i="24"/>
  <c r="AW17" i="24"/>
  <c r="AW18" i="24"/>
  <c r="AW12" i="24"/>
  <c r="CO14" i="24"/>
  <c r="CO15" i="24" s="1"/>
  <c r="CP13" i="24"/>
  <c r="CN20" i="24"/>
  <c r="CN16" i="24"/>
  <c r="CN19" i="24" s="1"/>
  <c r="CM19" i="23"/>
  <c r="CN20" i="23"/>
  <c r="CN16" i="23"/>
  <c r="CN19" i="23" s="1"/>
  <c r="AW23" i="23"/>
  <c r="AW17" i="23"/>
  <c r="AW18" i="23"/>
  <c r="AW12" i="23"/>
  <c r="CO14" i="23"/>
  <c r="CP13" i="23"/>
  <c r="CL17" i="20"/>
  <c r="CL12" i="20"/>
  <c r="CM11" i="20" s="1"/>
  <c r="CM17" i="18"/>
  <c r="CM12" i="18"/>
  <c r="CN11" i="18" s="1"/>
  <c r="BZ20" i="10"/>
  <c r="BZ19" i="10"/>
  <c r="CK17" i="10"/>
  <c r="CK12" i="10"/>
  <c r="CL11" i="10" s="1"/>
  <c r="CO19" i="29" l="1"/>
  <c r="CP14" i="29"/>
  <c r="CP15" i="29"/>
  <c r="CQ13" i="29"/>
  <c r="CO20" i="29"/>
  <c r="CO16" i="29"/>
  <c r="AW23" i="29"/>
  <c r="AW17" i="29"/>
  <c r="AW18" i="29"/>
  <c r="AW12" i="29"/>
  <c r="CO15" i="28"/>
  <c r="CO14" i="28"/>
  <c r="CP13" i="28"/>
  <c r="AW21" i="28"/>
  <c r="AX11" i="28"/>
  <c r="CN20" i="28"/>
  <c r="CN16" i="28"/>
  <c r="CN19" i="28" s="1"/>
  <c r="CO20" i="27"/>
  <c r="CO16" i="27"/>
  <c r="AW21" i="27"/>
  <c r="AX11" i="27"/>
  <c r="CP14" i="27"/>
  <c r="CQ13" i="27"/>
  <c r="CP15" i="27"/>
  <c r="CO15" i="27"/>
  <c r="CO19" i="27" s="1"/>
  <c r="CO20" i="26"/>
  <c r="CO16" i="26"/>
  <c r="CO19" i="26" s="1"/>
  <c r="AW23" i="26"/>
  <c r="AW17" i="26"/>
  <c r="AW18" i="26"/>
  <c r="AW12" i="26"/>
  <c r="CP14" i="26"/>
  <c r="CQ13" i="26"/>
  <c r="CN20" i="25"/>
  <c r="CN16" i="25"/>
  <c r="AW21" i="25"/>
  <c r="AX11" i="25"/>
  <c r="CO14" i="25"/>
  <c r="CO15" i="25" s="1"/>
  <c r="CP13" i="25"/>
  <c r="CN15" i="25"/>
  <c r="CO20" i="24"/>
  <c r="CO16" i="24"/>
  <c r="CO19" i="24" s="1"/>
  <c r="AW21" i="24"/>
  <c r="AX11" i="24"/>
  <c r="CP14" i="24"/>
  <c r="CP15" i="24" s="1"/>
  <c r="CQ13" i="24"/>
  <c r="CO20" i="23"/>
  <c r="CO16" i="23"/>
  <c r="AW21" i="23"/>
  <c r="AX11" i="23"/>
  <c r="CP14" i="23"/>
  <c r="CP15" i="23" s="1"/>
  <c r="CQ13" i="23"/>
  <c r="CO15" i="23"/>
  <c r="CM17" i="20"/>
  <c r="CM12" i="20"/>
  <c r="CN11" i="20" s="1"/>
  <c r="CN17" i="18"/>
  <c r="CN12" i="18"/>
  <c r="CO11" i="18" s="1"/>
  <c r="CA20" i="10"/>
  <c r="CA19" i="10"/>
  <c r="CL17" i="10"/>
  <c r="CL12" i="10"/>
  <c r="CM11" i="10" s="1"/>
  <c r="CN19" i="25" l="1"/>
  <c r="AW21" i="29"/>
  <c r="AX11" i="29"/>
  <c r="CQ14" i="29"/>
  <c r="CQ15" i="29" s="1"/>
  <c r="CR13" i="29"/>
  <c r="CP20" i="29"/>
  <c r="CP16" i="29"/>
  <c r="CP19" i="29"/>
  <c r="CO20" i="28"/>
  <c r="CO16" i="28"/>
  <c r="AX23" i="28"/>
  <c r="AX18" i="28"/>
  <c r="AX17" i="28"/>
  <c r="AX12" i="28"/>
  <c r="CP14" i="28"/>
  <c r="CQ13" i="28"/>
  <c r="CP15" i="28"/>
  <c r="CO19" i="28"/>
  <c r="CQ14" i="27"/>
  <c r="CQ15" i="27" s="1"/>
  <c r="CR13" i="27"/>
  <c r="AX23" i="27"/>
  <c r="AX18" i="27"/>
  <c r="AX17" i="27"/>
  <c r="AX12" i="27"/>
  <c r="CP20" i="27"/>
  <c r="CP16" i="27"/>
  <c r="CP19" i="27" s="1"/>
  <c r="CP20" i="26"/>
  <c r="CP16" i="26"/>
  <c r="AW21" i="26"/>
  <c r="AX11" i="26"/>
  <c r="CQ14" i="26"/>
  <c r="CQ15" i="26" s="1"/>
  <c r="CR13" i="26"/>
  <c r="CP15" i="26"/>
  <c r="CP19" i="26" s="1"/>
  <c r="CO20" i="25"/>
  <c r="CO16" i="25"/>
  <c r="CO19" i="25" s="1"/>
  <c r="AX23" i="25"/>
  <c r="AX17" i="25"/>
  <c r="AX18" i="25"/>
  <c r="AX12" i="25"/>
  <c r="CP14" i="25"/>
  <c r="CP15" i="25" s="1"/>
  <c r="CQ13" i="25"/>
  <c r="AX23" i="24"/>
  <c r="AX18" i="24"/>
  <c r="AX17" i="24"/>
  <c r="AX12" i="24"/>
  <c r="CQ14" i="24"/>
  <c r="CQ15" i="24" s="1"/>
  <c r="CR13" i="24"/>
  <c r="CP20" i="24"/>
  <c r="CP16" i="24"/>
  <c r="CP19" i="24" s="1"/>
  <c r="CO19" i="23"/>
  <c r="CP20" i="23"/>
  <c r="CP16" i="23"/>
  <c r="CP19" i="23" s="1"/>
  <c r="AX23" i="23"/>
  <c r="AX18" i="23"/>
  <c r="AX17" i="23"/>
  <c r="AX12" i="23"/>
  <c r="CQ14" i="23"/>
  <c r="CR13" i="23"/>
  <c r="CN17" i="20"/>
  <c r="CN12" i="20"/>
  <c r="CO11" i="20" s="1"/>
  <c r="CO17" i="18"/>
  <c r="CO12" i="18"/>
  <c r="CP11" i="18" s="1"/>
  <c r="CB20" i="10"/>
  <c r="CB19" i="10"/>
  <c r="CM17" i="10"/>
  <c r="CM12" i="10"/>
  <c r="CN11" i="10" s="1"/>
  <c r="CR14" i="29" l="1"/>
  <c r="CR15" i="29"/>
  <c r="CS13" i="29"/>
  <c r="CQ20" i="29"/>
  <c r="CQ16" i="29"/>
  <c r="CQ19" i="29" s="1"/>
  <c r="AX23" i="29"/>
  <c r="AX18" i="29"/>
  <c r="AX17" i="29"/>
  <c r="AX12" i="29"/>
  <c r="CQ15" i="28"/>
  <c r="CQ14" i="28"/>
  <c r="CR13" i="28"/>
  <c r="AX21" i="28"/>
  <c r="AY11" i="28"/>
  <c r="CP20" i="28"/>
  <c r="CP16" i="28"/>
  <c r="CP19" i="28" s="1"/>
  <c r="CQ20" i="27"/>
  <c r="CQ16" i="27"/>
  <c r="AX21" i="27"/>
  <c r="AY11" i="27"/>
  <c r="CR14" i="27"/>
  <c r="CS13" i="27"/>
  <c r="CR15" i="27"/>
  <c r="CQ19" i="27"/>
  <c r="CQ20" i="26"/>
  <c r="CQ16" i="26"/>
  <c r="AX23" i="26"/>
  <c r="AX18" i="26"/>
  <c r="AX17" i="26"/>
  <c r="AX12" i="26"/>
  <c r="CR14" i="26"/>
  <c r="CS13" i="26"/>
  <c r="CQ19" i="26"/>
  <c r="CP20" i="25"/>
  <c r="CP16" i="25"/>
  <c r="CP19" i="25" s="1"/>
  <c r="AX21" i="25"/>
  <c r="AY11" i="25"/>
  <c r="CQ14" i="25"/>
  <c r="CQ15" i="25" s="1"/>
  <c r="CR13" i="25"/>
  <c r="CR14" i="24"/>
  <c r="CR15" i="24" s="1"/>
  <c r="CS13" i="24"/>
  <c r="CQ20" i="24"/>
  <c r="CQ16" i="24"/>
  <c r="CQ19" i="24" s="1"/>
  <c r="AX21" i="24"/>
  <c r="AY11" i="24"/>
  <c r="CQ20" i="23"/>
  <c r="CQ16" i="23"/>
  <c r="AX21" i="23"/>
  <c r="AY11" i="23"/>
  <c r="CR14" i="23"/>
  <c r="CR15" i="23" s="1"/>
  <c r="CS13" i="23"/>
  <c r="CQ15" i="23"/>
  <c r="CO17" i="20"/>
  <c r="CO12" i="20"/>
  <c r="CP11" i="20" s="1"/>
  <c r="CP17" i="18"/>
  <c r="CP12" i="18"/>
  <c r="CQ11" i="18" s="1"/>
  <c r="CC19" i="10"/>
  <c r="CC20" i="10"/>
  <c r="CN17" i="10"/>
  <c r="CN12" i="10"/>
  <c r="CO11" i="10" s="1"/>
  <c r="AX21" i="29" l="1"/>
  <c r="AY11" i="29"/>
  <c r="CS15" i="29"/>
  <c r="CS14" i="29"/>
  <c r="CT13" i="29"/>
  <c r="CR20" i="29"/>
  <c r="CR16" i="29"/>
  <c r="CR19" i="29" s="1"/>
  <c r="CQ20" i="28"/>
  <c r="CQ16" i="28"/>
  <c r="AY23" i="28"/>
  <c r="AY17" i="28"/>
  <c r="AY18" i="28"/>
  <c r="AY12" i="28"/>
  <c r="CR14" i="28"/>
  <c r="CS13" i="28"/>
  <c r="CR15" i="28"/>
  <c r="CQ19" i="28"/>
  <c r="CS14" i="27"/>
  <c r="CT13" i="27"/>
  <c r="AY23" i="27"/>
  <c r="AY17" i="27"/>
  <c r="AY18" i="27"/>
  <c r="AY12" i="27"/>
  <c r="CR20" i="27"/>
  <c r="CR16" i="27"/>
  <c r="CR19" i="27" s="1"/>
  <c r="CR20" i="26"/>
  <c r="CR16" i="26"/>
  <c r="AX21" i="26"/>
  <c r="AY11" i="26"/>
  <c r="CS14" i="26"/>
  <c r="CS15" i="26" s="1"/>
  <c r="CT13" i="26"/>
  <c r="CR15" i="26"/>
  <c r="CR19" i="26" s="1"/>
  <c r="CQ20" i="25"/>
  <c r="CQ16" i="25"/>
  <c r="CQ19" i="25" s="1"/>
  <c r="AY23" i="25"/>
  <c r="AY18" i="25"/>
  <c r="AY17" i="25"/>
  <c r="AY12" i="25"/>
  <c r="CR14" i="25"/>
  <c r="CS13" i="25"/>
  <c r="AY23" i="24"/>
  <c r="AY17" i="24"/>
  <c r="AY18" i="24"/>
  <c r="AY12" i="24"/>
  <c r="CS14" i="24"/>
  <c r="CS15" i="24" s="1"/>
  <c r="CT13" i="24"/>
  <c r="CR20" i="24"/>
  <c r="CR16" i="24"/>
  <c r="CR19" i="24" s="1"/>
  <c r="CQ19" i="23"/>
  <c r="CR20" i="23"/>
  <c r="CR16" i="23"/>
  <c r="CR19" i="23" s="1"/>
  <c r="AY23" i="23"/>
  <c r="AY17" i="23"/>
  <c r="AY18" i="23"/>
  <c r="AY12" i="23"/>
  <c r="CS14" i="23"/>
  <c r="CS15" i="23" s="1"/>
  <c r="CT13" i="23"/>
  <c r="CP17" i="20"/>
  <c r="CP12" i="20"/>
  <c r="CQ11" i="20" s="1"/>
  <c r="CQ17" i="18"/>
  <c r="CQ12" i="18"/>
  <c r="CR11" i="18" s="1"/>
  <c r="CD20" i="10"/>
  <c r="CD19" i="10"/>
  <c r="CO17" i="10"/>
  <c r="CO12" i="10"/>
  <c r="CP11" i="10" s="1"/>
  <c r="CS20" i="29" l="1"/>
  <c r="CS16" i="29"/>
  <c r="AY23" i="29"/>
  <c r="AY17" i="29"/>
  <c r="AY18" i="29"/>
  <c r="AY12" i="29"/>
  <c r="CT14" i="29"/>
  <c r="CT15" i="29" s="1"/>
  <c r="CU13" i="29"/>
  <c r="CS19" i="29"/>
  <c r="CS14" i="28"/>
  <c r="CS15" i="28" s="1"/>
  <c r="CT13" i="28"/>
  <c r="AY21" i="28"/>
  <c r="AZ11" i="28"/>
  <c r="CR20" i="28"/>
  <c r="CR16" i="28"/>
  <c r="CR19" i="28" s="1"/>
  <c r="CS20" i="27"/>
  <c r="CS16" i="27"/>
  <c r="AY21" i="27"/>
  <c r="AZ11" i="27"/>
  <c r="CT14" i="27"/>
  <c r="CU13" i="27"/>
  <c r="CT15" i="27"/>
  <c r="CS15" i="27"/>
  <c r="CS19" i="27" s="1"/>
  <c r="CS20" i="26"/>
  <c r="CS16" i="26"/>
  <c r="CS19" i="26" s="1"/>
  <c r="AY23" i="26"/>
  <c r="AY17" i="26"/>
  <c r="AY18" i="26"/>
  <c r="AY12" i="26"/>
  <c r="CT14" i="26"/>
  <c r="CU13" i="26"/>
  <c r="CR20" i="25"/>
  <c r="CR16" i="25"/>
  <c r="AY21" i="25"/>
  <c r="AZ11" i="25"/>
  <c r="CS14" i="25"/>
  <c r="CS15" i="25" s="1"/>
  <c r="CT13" i="25"/>
  <c r="CR15" i="25"/>
  <c r="CR19" i="25" s="1"/>
  <c r="CS20" i="24"/>
  <c r="CS16" i="24"/>
  <c r="CS19" i="24" s="1"/>
  <c r="AY21" i="24"/>
  <c r="AZ11" i="24"/>
  <c r="CT14" i="24"/>
  <c r="CT15" i="24" s="1"/>
  <c r="CU13" i="24"/>
  <c r="CT14" i="23"/>
  <c r="CT15" i="23" s="1"/>
  <c r="CU13" i="23"/>
  <c r="CS20" i="23"/>
  <c r="CS16" i="23"/>
  <c r="CS19" i="23" s="1"/>
  <c r="AY21" i="23"/>
  <c r="AZ11" i="23"/>
  <c r="CQ17" i="20"/>
  <c r="CQ12" i="20"/>
  <c r="CR11" i="20" s="1"/>
  <c r="CR17" i="18"/>
  <c r="CR12" i="18"/>
  <c r="CS11" i="18" s="1"/>
  <c r="CE20" i="10"/>
  <c r="CE19" i="10"/>
  <c r="CP17" i="10"/>
  <c r="CP12" i="10"/>
  <c r="CQ11" i="10" s="1"/>
  <c r="AY21" i="29" l="1"/>
  <c r="AZ11" i="29"/>
  <c r="CU15" i="29"/>
  <c r="CU14" i="29"/>
  <c r="CV13" i="29"/>
  <c r="CT20" i="29"/>
  <c r="CT16" i="29"/>
  <c r="CT19" i="29" s="1"/>
  <c r="CS20" i="28"/>
  <c r="CS16" i="28"/>
  <c r="AZ23" i="28"/>
  <c r="AZ18" i="28"/>
  <c r="AZ17" i="28"/>
  <c r="AZ12" i="28"/>
  <c r="CT14" i="28"/>
  <c r="CU13" i="28"/>
  <c r="CT15" i="28"/>
  <c r="CS19" i="28"/>
  <c r="CU14" i="27"/>
  <c r="CV13" i="27"/>
  <c r="AZ23" i="27"/>
  <c r="AZ18" i="27"/>
  <c r="AZ17" i="27"/>
  <c r="AZ12" i="27"/>
  <c r="CT20" i="27"/>
  <c r="CT16" i="27"/>
  <c r="CT19" i="27" s="1"/>
  <c r="CT20" i="26"/>
  <c r="CT16" i="26"/>
  <c r="AY21" i="26"/>
  <c r="AZ11" i="26"/>
  <c r="CU14" i="26"/>
  <c r="CU15" i="26" s="1"/>
  <c r="CV13" i="26"/>
  <c r="CT15" i="26"/>
  <c r="CT19" i="26" s="1"/>
  <c r="CS20" i="25"/>
  <c r="CS16" i="25"/>
  <c r="AZ23" i="25"/>
  <c r="AZ17" i="25"/>
  <c r="AZ18" i="25"/>
  <c r="AZ12" i="25"/>
  <c r="CT14" i="25"/>
  <c r="CT15" i="25" s="1"/>
  <c r="CU13" i="25"/>
  <c r="CS19" i="25"/>
  <c r="AZ23" i="24"/>
  <c r="AZ18" i="24"/>
  <c r="AZ17" i="24"/>
  <c r="AZ12" i="24"/>
  <c r="CU14" i="24"/>
  <c r="CU15" i="24" s="1"/>
  <c r="CV13" i="24"/>
  <c r="CT20" i="24"/>
  <c r="CT16" i="24"/>
  <c r="CT19" i="24" s="1"/>
  <c r="CT20" i="23"/>
  <c r="CT16" i="23"/>
  <c r="CT19" i="23" s="1"/>
  <c r="AZ23" i="23"/>
  <c r="AZ18" i="23"/>
  <c r="AZ17" i="23"/>
  <c r="AZ12" i="23"/>
  <c r="CU14" i="23"/>
  <c r="CV13" i="23"/>
  <c r="CR17" i="20"/>
  <c r="CR12" i="20"/>
  <c r="CS11" i="20" s="1"/>
  <c r="CS17" i="18"/>
  <c r="CS12" i="18"/>
  <c r="CT11" i="18" s="1"/>
  <c r="CF20" i="10"/>
  <c r="CF19" i="10"/>
  <c r="CQ17" i="10"/>
  <c r="CQ12" i="10"/>
  <c r="CR11" i="10" s="1"/>
  <c r="CV14" i="29" l="1"/>
  <c r="CV15" i="29" s="1"/>
  <c r="CW13" i="29"/>
  <c r="CU20" i="29"/>
  <c r="CU16" i="29"/>
  <c r="CU19" i="29" s="1"/>
  <c r="AZ23" i="29"/>
  <c r="AZ18" i="29"/>
  <c r="AZ17" i="29"/>
  <c r="AZ12" i="29"/>
  <c r="CU14" i="28"/>
  <c r="CU15" i="28" s="1"/>
  <c r="CV13" i="28"/>
  <c r="AZ21" i="28"/>
  <c r="BA11" i="28"/>
  <c r="CT20" i="28"/>
  <c r="CT16" i="28"/>
  <c r="CT19" i="28" s="1"/>
  <c r="CU20" i="27"/>
  <c r="CU16" i="27"/>
  <c r="AZ21" i="27"/>
  <c r="BA11" i="27"/>
  <c r="CV14" i="27"/>
  <c r="CW13" i="27"/>
  <c r="CV15" i="27"/>
  <c r="CU15" i="27"/>
  <c r="CU19" i="27" s="1"/>
  <c r="CU20" i="26"/>
  <c r="CU16" i="26"/>
  <c r="AZ23" i="26"/>
  <c r="AZ18" i="26"/>
  <c r="AZ17" i="26"/>
  <c r="AZ12" i="26"/>
  <c r="CV14" i="26"/>
  <c r="CW13" i="26"/>
  <c r="CU19" i="26"/>
  <c r="CU14" i="25"/>
  <c r="CU15" i="25" s="1"/>
  <c r="CV13" i="25"/>
  <c r="CT20" i="25"/>
  <c r="CT16" i="25"/>
  <c r="CT19" i="25" s="1"/>
  <c r="AZ21" i="25"/>
  <c r="BA11" i="25"/>
  <c r="CV14" i="24"/>
  <c r="CV15" i="24" s="1"/>
  <c r="CW13" i="24"/>
  <c r="CU20" i="24"/>
  <c r="CU16" i="24"/>
  <c r="CU19" i="24" s="1"/>
  <c r="AZ21" i="24"/>
  <c r="BA11" i="24"/>
  <c r="CU20" i="23"/>
  <c r="CU16" i="23"/>
  <c r="AZ21" i="23"/>
  <c r="BA11" i="23"/>
  <c r="CV14" i="23"/>
  <c r="CV15" i="23" s="1"/>
  <c r="CW13" i="23"/>
  <c r="CU15" i="23"/>
  <c r="CS17" i="20"/>
  <c r="CS12" i="20"/>
  <c r="CT11" i="20" s="1"/>
  <c r="CT17" i="18"/>
  <c r="CT12" i="18"/>
  <c r="CU11" i="18" s="1"/>
  <c r="CG20" i="10"/>
  <c r="CG19" i="10"/>
  <c r="CR17" i="10"/>
  <c r="CR12" i="10"/>
  <c r="CS11" i="10" s="1"/>
  <c r="AZ21" i="29" l="1"/>
  <c r="BA11" i="29"/>
  <c r="CW14" i="29"/>
  <c r="CW15" i="29" s="1"/>
  <c r="CX13" i="29"/>
  <c r="CV20" i="29"/>
  <c r="CV16" i="29"/>
  <c r="CV19" i="29" s="1"/>
  <c r="CU20" i="28"/>
  <c r="CU16" i="28"/>
  <c r="BA23" i="28"/>
  <c r="BA17" i="28"/>
  <c r="BA18" i="28"/>
  <c r="BA12" i="28"/>
  <c r="CV14" i="28"/>
  <c r="CW13" i="28"/>
  <c r="CV15" i="28"/>
  <c r="CU19" i="28"/>
  <c r="CW14" i="27"/>
  <c r="CX13" i="27"/>
  <c r="BA23" i="27"/>
  <c r="BA17" i="27"/>
  <c r="BA18" i="27"/>
  <c r="BA12" i="27"/>
  <c r="CV20" i="27"/>
  <c r="CV16" i="27"/>
  <c r="CV19" i="27" s="1"/>
  <c r="CV20" i="26"/>
  <c r="CV16" i="26"/>
  <c r="AZ21" i="26"/>
  <c r="BA11" i="26"/>
  <c r="CW14" i="26"/>
  <c r="CW15" i="26" s="1"/>
  <c r="CX13" i="26"/>
  <c r="CV15" i="26"/>
  <c r="CV19" i="26" s="1"/>
  <c r="CV14" i="25"/>
  <c r="CV15" i="25" s="1"/>
  <c r="CW13" i="25"/>
  <c r="BA23" i="25"/>
  <c r="BA18" i="25"/>
  <c r="BA17" i="25"/>
  <c r="BA12" i="25"/>
  <c r="CU20" i="25"/>
  <c r="CU16" i="25"/>
  <c r="CU19" i="25" s="1"/>
  <c r="BA23" i="24"/>
  <c r="BA17" i="24"/>
  <c r="BA18" i="24"/>
  <c r="BA12" i="24"/>
  <c r="CW14" i="24"/>
  <c r="CW15" i="24" s="1"/>
  <c r="CX13" i="24"/>
  <c r="CV20" i="24"/>
  <c r="CV16" i="24"/>
  <c r="CV19" i="24" s="1"/>
  <c r="CU19" i="23"/>
  <c r="CV20" i="23"/>
  <c r="CV16" i="23"/>
  <c r="CV19" i="23" s="1"/>
  <c r="BA23" i="23"/>
  <c r="BA17" i="23"/>
  <c r="BA18" i="23"/>
  <c r="BA12" i="23"/>
  <c r="CW14" i="23"/>
  <c r="CX13" i="23"/>
  <c r="CT17" i="20"/>
  <c r="CT12" i="20"/>
  <c r="CU11" i="20" s="1"/>
  <c r="CU17" i="18"/>
  <c r="CU12" i="18"/>
  <c r="CV11" i="18" s="1"/>
  <c r="CH20" i="10"/>
  <c r="CH19" i="10"/>
  <c r="CS17" i="10"/>
  <c r="CS12" i="10"/>
  <c r="CT11" i="10" s="1"/>
  <c r="CX14" i="29" l="1"/>
  <c r="CX15" i="29"/>
  <c r="CY13" i="29"/>
  <c r="CW20" i="29"/>
  <c r="CW16" i="29"/>
  <c r="CW19" i="29" s="1"/>
  <c r="BA23" i="29"/>
  <c r="BA17" i="29"/>
  <c r="BA18" i="29"/>
  <c r="BA12" i="29"/>
  <c r="CW15" i="28"/>
  <c r="CW14" i="28"/>
  <c r="CX13" i="28"/>
  <c r="BA21" i="28"/>
  <c r="BB11" i="28"/>
  <c r="CV20" i="28"/>
  <c r="CV16" i="28"/>
  <c r="CV19" i="28" s="1"/>
  <c r="CW20" i="27"/>
  <c r="CW16" i="27"/>
  <c r="BA21" i="27"/>
  <c r="BB11" i="27"/>
  <c r="CX14" i="27"/>
  <c r="CY13" i="27"/>
  <c r="CX15" i="27"/>
  <c r="CW15" i="27"/>
  <c r="CW19" i="27" s="1"/>
  <c r="CW20" i="26"/>
  <c r="CW16" i="26"/>
  <c r="BA23" i="26"/>
  <c r="BA17" i="26"/>
  <c r="BA18" i="26"/>
  <c r="BA12" i="26"/>
  <c r="CX14" i="26"/>
  <c r="CX15" i="26" s="1"/>
  <c r="CY13" i="26"/>
  <c r="CW19" i="26"/>
  <c r="CW14" i="25"/>
  <c r="CW15" i="25" s="1"/>
  <c r="CX13" i="25"/>
  <c r="BA21" i="25"/>
  <c r="BB11" i="25"/>
  <c r="CV20" i="25"/>
  <c r="CV16" i="25"/>
  <c r="CV19" i="25" s="1"/>
  <c r="CW20" i="24"/>
  <c r="CW16" i="24"/>
  <c r="CW19" i="24" s="1"/>
  <c r="BA21" i="24"/>
  <c r="BB11" i="24"/>
  <c r="CX14" i="24"/>
  <c r="CX15" i="24" s="1"/>
  <c r="CY13" i="24"/>
  <c r="CW20" i="23"/>
  <c r="CW16" i="23"/>
  <c r="BA21" i="23"/>
  <c r="BB11" i="23"/>
  <c r="CX14" i="23"/>
  <c r="CX15" i="23" s="1"/>
  <c r="CY13" i="23"/>
  <c r="CW15" i="23"/>
  <c r="CU17" i="20"/>
  <c r="CU12" i="20"/>
  <c r="CV11" i="20" s="1"/>
  <c r="CV17" i="18"/>
  <c r="CV12" i="18"/>
  <c r="CW11" i="18" s="1"/>
  <c r="CI20" i="10"/>
  <c r="CI19" i="10"/>
  <c r="CT17" i="10"/>
  <c r="CT12" i="10"/>
  <c r="CU11" i="10" s="1"/>
  <c r="BA21" i="29" l="1"/>
  <c r="BB11" i="29"/>
  <c r="CY15" i="29"/>
  <c r="CY14" i="29"/>
  <c r="CZ13" i="29"/>
  <c r="CX20" i="29"/>
  <c r="CX16" i="29"/>
  <c r="CX19" i="29" s="1"/>
  <c r="CW20" i="28"/>
  <c r="CW16" i="28"/>
  <c r="BB23" i="28"/>
  <c r="BB18" i="28"/>
  <c r="BB17" i="28"/>
  <c r="BB12" i="28"/>
  <c r="CX14" i="28"/>
  <c r="CY13" i="28"/>
  <c r="CX15" i="28"/>
  <c r="CW19" i="28"/>
  <c r="CY14" i="27"/>
  <c r="CZ13" i="27"/>
  <c r="BB23" i="27"/>
  <c r="BB18" i="27"/>
  <c r="BB17" i="27"/>
  <c r="BB12" i="27"/>
  <c r="CX20" i="27"/>
  <c r="CX16" i="27"/>
  <c r="CX19" i="27" s="1"/>
  <c r="CX20" i="26"/>
  <c r="CX16" i="26"/>
  <c r="BA21" i="26"/>
  <c r="BB11" i="26"/>
  <c r="CY14" i="26"/>
  <c r="CY15" i="26" s="1"/>
  <c r="CZ13" i="26"/>
  <c r="CX19" i="26"/>
  <c r="BB23" i="25"/>
  <c r="BB17" i="25"/>
  <c r="BB18" i="25"/>
  <c r="BB12" i="25"/>
  <c r="CW20" i="25"/>
  <c r="CW16" i="25"/>
  <c r="CW19" i="25" s="1"/>
  <c r="CX14" i="25"/>
  <c r="CX15" i="25" s="1"/>
  <c r="CY13" i="25"/>
  <c r="BB23" i="24"/>
  <c r="BB18" i="24"/>
  <c r="BB17" i="24"/>
  <c r="BB12" i="24"/>
  <c r="CY14" i="24"/>
  <c r="CY15" i="24" s="1"/>
  <c r="CZ13" i="24"/>
  <c r="CX20" i="24"/>
  <c r="CX16" i="24"/>
  <c r="CX19" i="24" s="1"/>
  <c r="CW19" i="23"/>
  <c r="CX20" i="23"/>
  <c r="CX16" i="23"/>
  <c r="CX19" i="23" s="1"/>
  <c r="BB23" i="23"/>
  <c r="BB18" i="23"/>
  <c r="BB17" i="23"/>
  <c r="BB12" i="23"/>
  <c r="CY14" i="23"/>
  <c r="CZ13" i="23"/>
  <c r="CV17" i="20"/>
  <c r="CV12" i="20"/>
  <c r="CW11" i="20" s="1"/>
  <c r="CW17" i="18"/>
  <c r="CW12" i="18"/>
  <c r="CX11" i="18" s="1"/>
  <c r="CJ20" i="10"/>
  <c r="CJ19" i="10"/>
  <c r="CU17" i="10"/>
  <c r="CU12" i="10"/>
  <c r="CV11" i="10" s="1"/>
  <c r="CY20" i="29" l="1"/>
  <c r="CY16" i="29"/>
  <c r="BB23" i="29"/>
  <c r="BB18" i="29"/>
  <c r="BB17" i="29"/>
  <c r="BB12" i="29"/>
  <c r="CZ14" i="29"/>
  <c r="CZ15" i="29"/>
  <c r="DA13" i="29"/>
  <c r="CY19" i="29"/>
  <c r="CY14" i="28"/>
  <c r="CY15" i="28" s="1"/>
  <c r="CZ13" i="28"/>
  <c r="BB21" i="28"/>
  <c r="BC11" i="28"/>
  <c r="CX20" i="28"/>
  <c r="CX16" i="28"/>
  <c r="CX19" i="28" s="1"/>
  <c r="CY20" i="27"/>
  <c r="CY16" i="27"/>
  <c r="BB21" i="27"/>
  <c r="BC11" i="27"/>
  <c r="CZ14" i="27"/>
  <c r="DA13" i="27"/>
  <c r="CZ15" i="27"/>
  <c r="CY15" i="27"/>
  <c r="CY19" i="27" s="1"/>
  <c r="CY20" i="26"/>
  <c r="CY16" i="26"/>
  <c r="BB23" i="26"/>
  <c r="BB18" i="26"/>
  <c r="BB17" i="26"/>
  <c r="BB12" i="26"/>
  <c r="CZ14" i="26"/>
  <c r="DA13" i="26"/>
  <c r="CY19" i="26"/>
  <c r="CX20" i="25"/>
  <c r="CX16" i="25"/>
  <c r="CX19" i="25" s="1"/>
  <c r="BB21" i="25"/>
  <c r="BC11" i="25"/>
  <c r="CY14" i="25"/>
  <c r="CY15" i="25" s="1"/>
  <c r="CZ13" i="25"/>
  <c r="CZ14" i="24"/>
  <c r="CZ15" i="24" s="1"/>
  <c r="DA13" i="24"/>
  <c r="CY20" i="24"/>
  <c r="CY16" i="24"/>
  <c r="CY19" i="24" s="1"/>
  <c r="BB21" i="24"/>
  <c r="BC11" i="24"/>
  <c r="CY20" i="23"/>
  <c r="CY16" i="23"/>
  <c r="BB21" i="23"/>
  <c r="BC11" i="23"/>
  <c r="CZ14" i="23"/>
  <c r="CZ15" i="23" s="1"/>
  <c r="DA13" i="23"/>
  <c r="CY15" i="23"/>
  <c r="CW17" i="20"/>
  <c r="CW12" i="20"/>
  <c r="CX11" i="20" s="1"/>
  <c r="CX17" i="18"/>
  <c r="CX12" i="18"/>
  <c r="CY11" i="18" s="1"/>
  <c r="CK20" i="10"/>
  <c r="CK19" i="10"/>
  <c r="CV17" i="10"/>
  <c r="CV12" i="10"/>
  <c r="CW11" i="10" s="1"/>
  <c r="BB21" i="29" l="1"/>
  <c r="BC11" i="29"/>
  <c r="DA14" i="29"/>
  <c r="DA15" i="29" s="1"/>
  <c r="DB13" i="29"/>
  <c r="CZ20" i="29"/>
  <c r="CZ16" i="29"/>
  <c r="CZ19" i="29" s="1"/>
  <c r="CY20" i="28"/>
  <c r="CY16" i="28"/>
  <c r="BC23" i="28"/>
  <c r="BC17" i="28"/>
  <c r="BC18" i="28"/>
  <c r="BC12" i="28"/>
  <c r="CZ14" i="28"/>
  <c r="DA13" i="28"/>
  <c r="CZ15" i="28"/>
  <c r="CY19" i="28"/>
  <c r="DA14" i="27"/>
  <c r="DB13" i="27"/>
  <c r="BC23" i="27"/>
  <c r="BC17" i="27"/>
  <c r="BC18" i="27"/>
  <c r="BC12" i="27"/>
  <c r="CZ20" i="27"/>
  <c r="CZ16" i="27"/>
  <c r="CZ19" i="27" s="1"/>
  <c r="CZ20" i="26"/>
  <c r="CZ16" i="26"/>
  <c r="BB21" i="26"/>
  <c r="BC11" i="26"/>
  <c r="DA14" i="26"/>
  <c r="DA15" i="26" s="1"/>
  <c r="DB13" i="26"/>
  <c r="CZ15" i="26"/>
  <c r="CZ19" i="26" s="1"/>
  <c r="CY20" i="25"/>
  <c r="CY16" i="25"/>
  <c r="CY19" i="25" s="1"/>
  <c r="BC23" i="25"/>
  <c r="BC18" i="25"/>
  <c r="BC17" i="25"/>
  <c r="BC12" i="25"/>
  <c r="CZ14" i="25"/>
  <c r="CZ15" i="25" s="1"/>
  <c r="DA13" i="25"/>
  <c r="BC23" i="24"/>
  <c r="BC17" i="24"/>
  <c r="BC18" i="24"/>
  <c r="BC12" i="24"/>
  <c r="DA14" i="24"/>
  <c r="DA15" i="24" s="1"/>
  <c r="DB13" i="24"/>
  <c r="CZ20" i="24"/>
  <c r="CZ16" i="24"/>
  <c r="CZ19" i="24" s="1"/>
  <c r="CY19" i="23"/>
  <c r="CZ20" i="23"/>
  <c r="CZ16" i="23"/>
  <c r="CZ19" i="23" s="1"/>
  <c r="BC23" i="23"/>
  <c r="BC17" i="23"/>
  <c r="BC18" i="23"/>
  <c r="BC12" i="23"/>
  <c r="DA14" i="23"/>
  <c r="DB13" i="23"/>
  <c r="CX17" i="20"/>
  <c r="CX12" i="20"/>
  <c r="CY11" i="20" s="1"/>
  <c r="CY17" i="18"/>
  <c r="CY12" i="18"/>
  <c r="CZ11" i="18" s="1"/>
  <c r="CL20" i="10"/>
  <c r="CL19" i="10"/>
  <c r="CW17" i="10"/>
  <c r="CW12" i="10"/>
  <c r="CX11" i="10" s="1"/>
  <c r="DA19" i="29" l="1"/>
  <c r="DB14" i="29"/>
  <c r="DB15" i="29"/>
  <c r="DC13" i="29"/>
  <c r="DA20" i="29"/>
  <c r="DA16" i="29"/>
  <c r="BC23" i="29"/>
  <c r="BC17" i="29"/>
  <c r="BC18" i="29"/>
  <c r="BC12" i="29"/>
  <c r="DA15" i="28"/>
  <c r="DA14" i="28"/>
  <c r="DB13" i="28"/>
  <c r="BC21" i="28"/>
  <c r="BD11" i="28"/>
  <c r="CZ20" i="28"/>
  <c r="CZ16" i="28"/>
  <c r="CZ19" i="28" s="1"/>
  <c r="DA20" i="27"/>
  <c r="DA16" i="27"/>
  <c r="BC21" i="27"/>
  <c r="BD11" i="27"/>
  <c r="DB14" i="27"/>
  <c r="DC13" i="27"/>
  <c r="DB15" i="27"/>
  <c r="DA15" i="27"/>
  <c r="DA19" i="27" s="1"/>
  <c r="DA20" i="26"/>
  <c r="DA16" i="26"/>
  <c r="DA19" i="26" s="1"/>
  <c r="BC23" i="26"/>
  <c r="BC17" i="26"/>
  <c r="BC18" i="26"/>
  <c r="BC12" i="26"/>
  <c r="DB14" i="26"/>
  <c r="DC13" i="26"/>
  <c r="CZ20" i="25"/>
  <c r="CZ16" i="25"/>
  <c r="CZ19" i="25" s="1"/>
  <c r="BC21" i="25"/>
  <c r="BD11" i="25"/>
  <c r="DA14" i="25"/>
  <c r="DA15" i="25" s="1"/>
  <c r="DB13" i="25"/>
  <c r="DB14" i="24"/>
  <c r="DB15" i="24" s="1"/>
  <c r="DC13" i="24"/>
  <c r="DA20" i="24"/>
  <c r="DA16" i="24"/>
  <c r="DA19" i="24" s="1"/>
  <c r="BC21" i="24"/>
  <c r="BD11" i="24"/>
  <c r="DA20" i="23"/>
  <c r="DA16" i="23"/>
  <c r="BC21" i="23"/>
  <c r="BD11" i="23"/>
  <c r="DB14" i="23"/>
  <c r="DB15" i="23" s="1"/>
  <c r="DC13" i="23"/>
  <c r="DA15" i="23"/>
  <c r="CY17" i="20"/>
  <c r="CY12" i="20"/>
  <c r="CZ11" i="20" s="1"/>
  <c r="CZ17" i="18"/>
  <c r="CZ12" i="18"/>
  <c r="DA11" i="18" s="1"/>
  <c r="CM20" i="10"/>
  <c r="CM19" i="10"/>
  <c r="CX17" i="10"/>
  <c r="CX12" i="10"/>
  <c r="CY11" i="10" s="1"/>
  <c r="BC21" i="29" l="1"/>
  <c r="BD11" i="29"/>
  <c r="DC15" i="29"/>
  <c r="DC14" i="29"/>
  <c r="DD13" i="29"/>
  <c r="DB20" i="29"/>
  <c r="DB16" i="29"/>
  <c r="DB19" i="29" s="1"/>
  <c r="DA20" i="28"/>
  <c r="DA16" i="28"/>
  <c r="BD23" i="28"/>
  <c r="BD18" i="28"/>
  <c r="BD17" i="28"/>
  <c r="BD12" i="28"/>
  <c r="DB15" i="28"/>
  <c r="DB14" i="28"/>
  <c r="DC13" i="28"/>
  <c r="DA19" i="28"/>
  <c r="DC14" i="27"/>
  <c r="DD13" i="27"/>
  <c r="BD23" i="27"/>
  <c r="BD18" i="27"/>
  <c r="BD17" i="27"/>
  <c r="BD12" i="27"/>
  <c r="DB20" i="27"/>
  <c r="DB16" i="27"/>
  <c r="DB19" i="27" s="1"/>
  <c r="DB20" i="26"/>
  <c r="DB16" i="26"/>
  <c r="BC21" i="26"/>
  <c r="BD11" i="26"/>
  <c r="DC14" i="26"/>
  <c r="DC15" i="26" s="1"/>
  <c r="DD13" i="26"/>
  <c r="DB15" i="26"/>
  <c r="DB19" i="26" s="1"/>
  <c r="DA20" i="25"/>
  <c r="DA16" i="25"/>
  <c r="DA19" i="25" s="1"/>
  <c r="BD23" i="25"/>
  <c r="BD17" i="25"/>
  <c r="BD18" i="25"/>
  <c r="BD12" i="25"/>
  <c r="DB14" i="25"/>
  <c r="DB15" i="25" s="1"/>
  <c r="DC13" i="25"/>
  <c r="BD23" i="24"/>
  <c r="BD18" i="24"/>
  <c r="BD17" i="24"/>
  <c r="BD12" i="24"/>
  <c r="DC14" i="24"/>
  <c r="DC15" i="24" s="1"/>
  <c r="DD13" i="24"/>
  <c r="DB20" i="24"/>
  <c r="DB16" i="24"/>
  <c r="DB19" i="24" s="1"/>
  <c r="DA19" i="23"/>
  <c r="DB20" i="23"/>
  <c r="DB16" i="23"/>
  <c r="DB19" i="23" s="1"/>
  <c r="BD23" i="23"/>
  <c r="BD18" i="23"/>
  <c r="BD17" i="23"/>
  <c r="BD12" i="23"/>
  <c r="DC14" i="23"/>
  <c r="DD13" i="23"/>
  <c r="CZ17" i="20"/>
  <c r="CZ12" i="20"/>
  <c r="DA11" i="20" s="1"/>
  <c r="DA17" i="18"/>
  <c r="DA12" i="18"/>
  <c r="DB11" i="18" s="1"/>
  <c r="CN20" i="10"/>
  <c r="CN19" i="10"/>
  <c r="CY17" i="10"/>
  <c r="CY12" i="10"/>
  <c r="CZ11" i="10" s="1"/>
  <c r="DC20" i="29" l="1"/>
  <c r="DC16" i="29"/>
  <c r="BD23" i="29"/>
  <c r="BD18" i="29"/>
  <c r="BD17" i="29"/>
  <c r="BD12" i="29"/>
  <c r="DD14" i="29"/>
  <c r="DD15" i="29" s="1"/>
  <c r="DE13" i="29"/>
  <c r="DC19" i="29"/>
  <c r="DB20" i="28"/>
  <c r="DB16" i="28"/>
  <c r="BD21" i="28"/>
  <c r="BE11" i="28"/>
  <c r="DC15" i="28"/>
  <c r="DC14" i="28"/>
  <c r="DD13" i="28"/>
  <c r="DB19" i="28"/>
  <c r="DC20" i="27"/>
  <c r="DC16" i="27"/>
  <c r="BD21" i="27"/>
  <c r="BE11" i="27"/>
  <c r="DD14" i="27"/>
  <c r="DE13" i="27"/>
  <c r="DD15" i="27"/>
  <c r="DC15" i="27"/>
  <c r="DC19" i="27" s="1"/>
  <c r="DC20" i="26"/>
  <c r="DC16" i="26"/>
  <c r="BD23" i="26"/>
  <c r="BD18" i="26"/>
  <c r="BD17" i="26"/>
  <c r="BD12" i="26"/>
  <c r="DD14" i="26"/>
  <c r="DE13" i="26"/>
  <c r="DC19" i="26"/>
  <c r="DB20" i="25"/>
  <c r="DB16" i="25"/>
  <c r="DB19" i="25" s="1"/>
  <c r="BD21" i="25"/>
  <c r="BE11" i="25"/>
  <c r="DC14" i="25"/>
  <c r="DC15" i="25" s="1"/>
  <c r="DD13" i="25"/>
  <c r="DD14" i="24"/>
  <c r="DD15" i="24" s="1"/>
  <c r="DE13" i="24"/>
  <c r="BD21" i="24"/>
  <c r="BE11" i="24"/>
  <c r="DC20" i="24"/>
  <c r="DC16" i="24"/>
  <c r="DC19" i="24" s="1"/>
  <c r="DC20" i="23"/>
  <c r="DC16" i="23"/>
  <c r="BD21" i="23"/>
  <c r="BE11" i="23"/>
  <c r="DD14" i="23"/>
  <c r="DD15" i="23" s="1"/>
  <c r="DE13" i="23"/>
  <c r="DC15" i="23"/>
  <c r="DA17" i="20"/>
  <c r="DA12" i="20"/>
  <c r="DB11" i="20" s="1"/>
  <c r="DB17" i="18"/>
  <c r="DB12" i="18"/>
  <c r="DC11" i="18" s="1"/>
  <c r="CO20" i="10"/>
  <c r="CO19" i="10"/>
  <c r="CZ17" i="10"/>
  <c r="CZ12" i="10"/>
  <c r="DA11" i="10" s="1"/>
  <c r="BD21" i="29" l="1"/>
  <c r="BE11" i="29"/>
  <c r="DE14" i="29"/>
  <c r="DE15" i="29" s="1"/>
  <c r="DF13" i="29"/>
  <c r="DD20" i="29"/>
  <c r="DD16" i="29"/>
  <c r="DD19" i="29" s="1"/>
  <c r="DC20" i="28"/>
  <c r="DC16" i="28"/>
  <c r="BE23" i="28"/>
  <c r="BE17" i="28"/>
  <c r="BE18" i="28"/>
  <c r="BE12" i="28"/>
  <c r="DD14" i="28"/>
  <c r="DE13" i="28"/>
  <c r="DD15" i="28"/>
  <c r="DC19" i="28"/>
  <c r="DE14" i="27"/>
  <c r="DF13" i="27"/>
  <c r="BE23" i="27"/>
  <c r="BE17" i="27"/>
  <c r="BE18" i="27"/>
  <c r="BE12" i="27"/>
  <c r="DD20" i="27"/>
  <c r="DD16" i="27"/>
  <c r="DD19" i="27" s="1"/>
  <c r="DD20" i="26"/>
  <c r="DD16" i="26"/>
  <c r="BD21" i="26"/>
  <c r="BE11" i="26"/>
  <c r="DE14" i="26"/>
  <c r="DE15" i="26" s="1"/>
  <c r="DF13" i="26"/>
  <c r="DD15" i="26"/>
  <c r="DD19" i="26" s="1"/>
  <c r="DC20" i="25"/>
  <c r="DC16" i="25"/>
  <c r="DC19" i="25" s="1"/>
  <c r="BE23" i="25"/>
  <c r="BE18" i="25"/>
  <c r="BE17" i="25"/>
  <c r="BE12" i="25"/>
  <c r="DD14" i="25"/>
  <c r="DE13" i="25"/>
  <c r="BE23" i="24"/>
  <c r="BE17" i="24"/>
  <c r="BE18" i="24"/>
  <c r="BE12" i="24"/>
  <c r="DE14" i="24"/>
  <c r="DE15" i="24" s="1"/>
  <c r="DF13" i="24"/>
  <c r="DD20" i="24"/>
  <c r="DD16" i="24"/>
  <c r="DD19" i="24" s="1"/>
  <c r="DC19" i="23"/>
  <c r="DD20" i="23"/>
  <c r="DD16" i="23"/>
  <c r="DD19" i="23" s="1"/>
  <c r="BE23" i="23"/>
  <c r="BE17" i="23"/>
  <c r="BE18" i="23"/>
  <c r="BE12" i="23"/>
  <c r="DE14" i="23"/>
  <c r="DF13" i="23"/>
  <c r="DB17" i="20"/>
  <c r="DB12" i="20"/>
  <c r="DC11" i="20" s="1"/>
  <c r="DC17" i="18"/>
  <c r="DC12" i="18"/>
  <c r="DD11" i="18" s="1"/>
  <c r="CP20" i="10"/>
  <c r="CP19" i="10"/>
  <c r="DA17" i="10"/>
  <c r="DA12" i="10"/>
  <c r="DB11" i="10" s="1"/>
  <c r="DF14" i="29" l="1"/>
  <c r="DF15" i="29"/>
  <c r="DG13" i="29"/>
  <c r="DE20" i="29"/>
  <c r="DE16" i="29"/>
  <c r="DE19" i="29" s="1"/>
  <c r="BE23" i="29"/>
  <c r="BE17" i="29"/>
  <c r="BE18" i="29"/>
  <c r="BE12" i="29"/>
  <c r="DE15" i="28"/>
  <c r="DE14" i="28"/>
  <c r="DF13" i="28"/>
  <c r="BE21" i="28"/>
  <c r="BF11" i="28"/>
  <c r="DD20" i="28"/>
  <c r="DD16" i="28"/>
  <c r="DD19" i="28" s="1"/>
  <c r="DE20" i="27"/>
  <c r="DE16" i="27"/>
  <c r="BE21" i="27"/>
  <c r="BF11" i="27"/>
  <c r="DF14" i="27"/>
  <c r="DG13" i="27"/>
  <c r="DF15" i="27"/>
  <c r="DE15" i="27"/>
  <c r="DE19" i="27" s="1"/>
  <c r="DE20" i="26"/>
  <c r="DE16" i="26"/>
  <c r="BE23" i="26"/>
  <c r="BE17" i="26"/>
  <c r="BE18" i="26"/>
  <c r="BE12" i="26"/>
  <c r="DF14" i="26"/>
  <c r="DG13" i="26"/>
  <c r="DE19" i="26"/>
  <c r="DD20" i="25"/>
  <c r="DD16" i="25"/>
  <c r="BE21" i="25"/>
  <c r="BF11" i="25"/>
  <c r="DE14" i="25"/>
  <c r="DE15" i="25" s="1"/>
  <c r="DF13" i="25"/>
  <c r="DD15" i="25"/>
  <c r="DF14" i="24"/>
  <c r="DF15" i="24" s="1"/>
  <c r="DG13" i="24"/>
  <c r="DE20" i="24"/>
  <c r="DE16" i="24"/>
  <c r="DE19" i="24" s="1"/>
  <c r="BE21" i="24"/>
  <c r="BF11" i="24"/>
  <c r="DE20" i="23"/>
  <c r="DE16" i="23"/>
  <c r="BE21" i="23"/>
  <c r="BF11" i="23"/>
  <c r="DF14" i="23"/>
  <c r="DF15" i="23" s="1"/>
  <c r="DG13" i="23"/>
  <c r="DE15" i="23"/>
  <c r="DC17" i="20"/>
  <c r="DC12" i="20"/>
  <c r="DD11" i="20" s="1"/>
  <c r="DD17" i="18"/>
  <c r="DD12" i="18"/>
  <c r="DE11" i="18" s="1"/>
  <c r="CQ20" i="10"/>
  <c r="CQ19" i="10"/>
  <c r="DB17" i="10"/>
  <c r="DB12" i="10"/>
  <c r="DC11" i="10" s="1"/>
  <c r="BE21" i="29" l="1"/>
  <c r="BF11" i="29"/>
  <c r="DG15" i="29"/>
  <c r="DG14" i="29"/>
  <c r="DH13" i="29"/>
  <c r="DF20" i="29"/>
  <c r="DF16" i="29"/>
  <c r="DF19" i="29" s="1"/>
  <c r="DE20" i="28"/>
  <c r="DE16" i="28"/>
  <c r="BF23" i="28"/>
  <c r="BF18" i="28"/>
  <c r="BF17" i="28"/>
  <c r="BF12" i="28"/>
  <c r="DF14" i="28"/>
  <c r="DG13" i="28"/>
  <c r="DE19" i="28"/>
  <c r="DD19" i="25"/>
  <c r="DG14" i="27"/>
  <c r="DG15" i="27" s="1"/>
  <c r="DH13" i="27"/>
  <c r="BF23" i="27"/>
  <c r="BF18" i="27"/>
  <c r="BF17" i="27"/>
  <c r="BF12" i="27"/>
  <c r="DF20" i="27"/>
  <c r="DF16" i="27"/>
  <c r="DF19" i="27" s="1"/>
  <c r="DF20" i="26"/>
  <c r="DF16" i="26"/>
  <c r="BE21" i="26"/>
  <c r="BF11" i="26"/>
  <c r="DG15" i="26"/>
  <c r="DG14" i="26"/>
  <c r="DH13" i="26"/>
  <c r="DF15" i="26"/>
  <c r="DF19" i="26" s="1"/>
  <c r="DE20" i="25"/>
  <c r="DE16" i="25"/>
  <c r="BF23" i="25"/>
  <c r="BF17" i="25"/>
  <c r="BF18" i="25"/>
  <c r="BF12" i="25"/>
  <c r="DF15" i="25"/>
  <c r="DF14" i="25"/>
  <c r="DG13" i="25"/>
  <c r="DE19" i="25"/>
  <c r="BF23" i="24"/>
  <c r="BF18" i="24"/>
  <c r="BF17" i="24"/>
  <c r="BF12" i="24"/>
  <c r="DG14" i="24"/>
  <c r="DG15" i="24" s="1"/>
  <c r="DH13" i="24"/>
  <c r="DF20" i="24"/>
  <c r="DF16" i="24"/>
  <c r="DF19" i="24" s="1"/>
  <c r="DE19" i="23"/>
  <c r="DF20" i="23"/>
  <c r="DF16" i="23"/>
  <c r="DF19" i="23" s="1"/>
  <c r="BF23" i="23"/>
  <c r="BF18" i="23"/>
  <c r="BF17" i="23"/>
  <c r="BF12" i="23"/>
  <c r="DG14" i="23"/>
  <c r="DH13" i="23"/>
  <c r="DD17" i="20"/>
  <c r="DD12" i="20"/>
  <c r="DE11" i="20" s="1"/>
  <c r="DE17" i="18"/>
  <c r="DE12" i="18"/>
  <c r="DF11" i="18" s="1"/>
  <c r="CR19" i="10"/>
  <c r="CR20" i="10"/>
  <c r="DC17" i="10"/>
  <c r="DC12" i="10"/>
  <c r="DD11" i="10" s="1"/>
  <c r="DG20" i="29" l="1"/>
  <c r="DG16" i="29"/>
  <c r="BF23" i="29"/>
  <c r="BF18" i="29"/>
  <c r="BF17" i="29"/>
  <c r="BF12" i="29"/>
  <c r="DH14" i="29"/>
  <c r="DH15" i="29" s="1"/>
  <c r="DI13" i="29"/>
  <c r="DG19" i="29"/>
  <c r="DF20" i="28"/>
  <c r="DF16" i="28"/>
  <c r="BF21" i="28"/>
  <c r="BG11" i="28"/>
  <c r="DG15" i="28"/>
  <c r="DG14" i="28"/>
  <c r="DH13" i="28"/>
  <c r="DF15" i="28"/>
  <c r="DF19" i="28" s="1"/>
  <c r="BF21" i="27"/>
  <c r="BG11" i="27"/>
  <c r="DH14" i="27"/>
  <c r="DI13" i="27"/>
  <c r="DH15" i="27"/>
  <c r="DG20" i="27"/>
  <c r="DG16" i="27"/>
  <c r="DG19" i="27" s="1"/>
  <c r="DG20" i="26"/>
  <c r="DG16" i="26"/>
  <c r="DG19" i="26" s="1"/>
  <c r="BF23" i="26"/>
  <c r="BF18" i="26"/>
  <c r="BF17" i="26"/>
  <c r="BF12" i="26"/>
  <c r="DH14" i="26"/>
  <c r="DI13" i="26"/>
  <c r="DF20" i="25"/>
  <c r="DF16" i="25"/>
  <c r="DF19" i="25" s="1"/>
  <c r="BF21" i="25"/>
  <c r="BG11" i="25"/>
  <c r="DG14" i="25"/>
  <c r="DG15" i="25" s="1"/>
  <c r="DH13" i="25"/>
  <c r="DH14" i="24"/>
  <c r="DH15" i="24" s="1"/>
  <c r="DI13" i="24"/>
  <c r="DG20" i="24"/>
  <c r="DG16" i="24"/>
  <c r="DG19" i="24" s="1"/>
  <c r="BF21" i="24"/>
  <c r="BG11" i="24"/>
  <c r="DG20" i="23"/>
  <c r="DG16" i="23"/>
  <c r="BF21" i="23"/>
  <c r="BG11" i="23"/>
  <c r="DH14" i="23"/>
  <c r="DH15" i="23" s="1"/>
  <c r="DI13" i="23"/>
  <c r="DG15" i="23"/>
  <c r="DE17" i="20"/>
  <c r="DE12" i="20"/>
  <c r="DF11" i="20" s="1"/>
  <c r="DF17" i="18"/>
  <c r="DF12" i="18"/>
  <c r="DG11" i="18" s="1"/>
  <c r="CS19" i="10"/>
  <c r="CS20" i="10"/>
  <c r="DD17" i="10"/>
  <c r="DD12" i="10"/>
  <c r="DE11" i="10" s="1"/>
  <c r="BF21" i="29" l="1"/>
  <c r="BG11" i="29"/>
  <c r="DI15" i="29"/>
  <c r="DI14" i="29"/>
  <c r="DJ13" i="29"/>
  <c r="DH20" i="29"/>
  <c r="DH16" i="29"/>
  <c r="DH19" i="29" s="1"/>
  <c r="DG20" i="28"/>
  <c r="DG16" i="28"/>
  <c r="BG23" i="28"/>
  <c r="BG17" i="28"/>
  <c r="BG18" i="28"/>
  <c r="BG12" i="28"/>
  <c r="DH14" i="28"/>
  <c r="DI13" i="28"/>
  <c r="DH15" i="28"/>
  <c r="DG19" i="28"/>
  <c r="DH20" i="27"/>
  <c r="DH16" i="27"/>
  <c r="DH19" i="27" s="1"/>
  <c r="DI14" i="27"/>
  <c r="DI15" i="27" s="1"/>
  <c r="DJ13" i="27"/>
  <c r="BG23" i="27"/>
  <c r="BG17" i="27"/>
  <c r="BG18" i="27"/>
  <c r="BG12" i="27"/>
  <c r="DH20" i="26"/>
  <c r="DH16" i="26"/>
  <c r="BF21" i="26"/>
  <c r="BG11" i="26"/>
  <c r="DI15" i="26"/>
  <c r="DI14" i="26"/>
  <c r="DJ13" i="26"/>
  <c r="DH15" i="26"/>
  <c r="DH19" i="26" s="1"/>
  <c r="DG20" i="25"/>
  <c r="DG16" i="25"/>
  <c r="BG23" i="25"/>
  <c r="BG18" i="25"/>
  <c r="BG17" i="25"/>
  <c r="BG12" i="25"/>
  <c r="DH15" i="25"/>
  <c r="DH14" i="25"/>
  <c r="DI13" i="25"/>
  <c r="DG19" i="25"/>
  <c r="BG23" i="24"/>
  <c r="BG17" i="24"/>
  <c r="BG18" i="24"/>
  <c r="BG12" i="24"/>
  <c r="DI15" i="24"/>
  <c r="DI14" i="24"/>
  <c r="DJ13" i="24"/>
  <c r="DH20" i="24"/>
  <c r="DH16" i="24"/>
  <c r="DH19" i="24" s="1"/>
  <c r="DG19" i="23"/>
  <c r="DH20" i="23"/>
  <c r="DH16" i="23"/>
  <c r="DH19" i="23" s="1"/>
  <c r="BG23" i="23"/>
  <c r="BG17" i="23"/>
  <c r="BG18" i="23"/>
  <c r="BG12" i="23"/>
  <c r="DI14" i="23"/>
  <c r="DJ13" i="23"/>
  <c r="DF17" i="20"/>
  <c r="DF12" i="20"/>
  <c r="DG11" i="20" s="1"/>
  <c r="DG17" i="18"/>
  <c r="DG12" i="18"/>
  <c r="DH11" i="18" s="1"/>
  <c r="CT20" i="10"/>
  <c r="CT19" i="10"/>
  <c r="DE17" i="10"/>
  <c r="DE12" i="10"/>
  <c r="DF11" i="10" s="1"/>
  <c r="DJ14" i="29" l="1"/>
  <c r="DJ15" i="29" s="1"/>
  <c r="DK13" i="29"/>
  <c r="DI20" i="29"/>
  <c r="DI16" i="29"/>
  <c r="DI19" i="29" s="1"/>
  <c r="BG23" i="29"/>
  <c r="BG17" i="29"/>
  <c r="BG18" i="29"/>
  <c r="BG12" i="29"/>
  <c r="DI15" i="28"/>
  <c r="DI14" i="28"/>
  <c r="DJ13" i="28"/>
  <c r="BG21" i="28"/>
  <c r="BH11" i="28"/>
  <c r="DH20" i="28"/>
  <c r="DH16" i="28"/>
  <c r="DH19" i="28" s="1"/>
  <c r="BG21" i="27"/>
  <c r="BH11" i="27"/>
  <c r="DJ14" i="27"/>
  <c r="DK13" i="27"/>
  <c r="DJ15" i="27"/>
  <c r="DI20" i="27"/>
  <c r="DI16" i="27"/>
  <c r="DI19" i="27" s="1"/>
  <c r="DI20" i="26"/>
  <c r="DI16" i="26"/>
  <c r="BG23" i="26"/>
  <c r="BG17" i="26"/>
  <c r="BG18" i="26"/>
  <c r="BG12" i="26"/>
  <c r="DJ15" i="26"/>
  <c r="DJ14" i="26"/>
  <c r="DK13" i="26"/>
  <c r="DI19" i="26"/>
  <c r="DH20" i="25"/>
  <c r="DH16" i="25"/>
  <c r="BG21" i="25"/>
  <c r="BH11" i="25"/>
  <c r="DI15" i="25"/>
  <c r="DI14" i="25"/>
  <c r="DJ13" i="25"/>
  <c r="DH19" i="25"/>
  <c r="DI20" i="24"/>
  <c r="DI16" i="24"/>
  <c r="BG21" i="24"/>
  <c r="BH11" i="24"/>
  <c r="DJ14" i="24"/>
  <c r="DJ15" i="24" s="1"/>
  <c r="DK13" i="24"/>
  <c r="DI19" i="24"/>
  <c r="DI20" i="23"/>
  <c r="DI16" i="23"/>
  <c r="BG21" i="23"/>
  <c r="BH11" i="23"/>
  <c r="DJ14" i="23"/>
  <c r="DJ15" i="23" s="1"/>
  <c r="DK13" i="23"/>
  <c r="DI15" i="23"/>
  <c r="DG17" i="20"/>
  <c r="DG12" i="20"/>
  <c r="DH11" i="20" s="1"/>
  <c r="DH17" i="18"/>
  <c r="DH12" i="18"/>
  <c r="DI11" i="18" s="1"/>
  <c r="CU20" i="10"/>
  <c r="CU19" i="10"/>
  <c r="DF17" i="10"/>
  <c r="DF12" i="10"/>
  <c r="DG11" i="10" s="1"/>
  <c r="BG21" i="29" l="1"/>
  <c r="BH11" i="29"/>
  <c r="DK14" i="29"/>
  <c r="DK15" i="29" s="1"/>
  <c r="DL13" i="29"/>
  <c r="DJ20" i="29"/>
  <c r="DJ16" i="29"/>
  <c r="DJ19" i="29" s="1"/>
  <c r="DI20" i="28"/>
  <c r="DI16" i="28"/>
  <c r="BH23" i="28"/>
  <c r="BH18" i="28"/>
  <c r="BH17" i="28"/>
  <c r="BH12" i="28"/>
  <c r="DJ14" i="28"/>
  <c r="DK13" i="28"/>
  <c r="DI19" i="28"/>
  <c r="DJ20" i="27"/>
  <c r="DJ16" i="27"/>
  <c r="DJ19" i="27" s="1"/>
  <c r="DK14" i="27"/>
  <c r="DK15" i="27" s="1"/>
  <c r="DL13" i="27"/>
  <c r="BH23" i="27"/>
  <c r="BH18" i="27"/>
  <c r="BH17" i="27"/>
  <c r="BH12" i="27"/>
  <c r="DJ20" i="26"/>
  <c r="DJ16" i="26"/>
  <c r="BG21" i="26"/>
  <c r="BH11" i="26"/>
  <c r="DK14" i="26"/>
  <c r="DK15" i="26" s="1"/>
  <c r="DL13" i="26"/>
  <c r="DJ19" i="26"/>
  <c r="DI20" i="25"/>
  <c r="DI16" i="25"/>
  <c r="DI19" i="25" s="1"/>
  <c r="BH23" i="25"/>
  <c r="BH17" i="25"/>
  <c r="BH18" i="25"/>
  <c r="BH12" i="25"/>
  <c r="DJ14" i="25"/>
  <c r="DJ15" i="25" s="1"/>
  <c r="DK13" i="25"/>
  <c r="BH23" i="24"/>
  <c r="BH18" i="24"/>
  <c r="BH17" i="24"/>
  <c r="BH12" i="24"/>
  <c r="DK14" i="24"/>
  <c r="DK15" i="24" s="1"/>
  <c r="DL13" i="24"/>
  <c r="DJ20" i="24"/>
  <c r="DJ16" i="24"/>
  <c r="DJ19" i="24" s="1"/>
  <c r="DI19" i="23"/>
  <c r="DJ20" i="23"/>
  <c r="DJ16" i="23"/>
  <c r="DJ19" i="23" s="1"/>
  <c r="BH23" i="23"/>
  <c r="BH18" i="23"/>
  <c r="BH17" i="23"/>
  <c r="BH12" i="23"/>
  <c r="DK14" i="23"/>
  <c r="DL13" i="23"/>
  <c r="DH17" i="20"/>
  <c r="DH12" i="20"/>
  <c r="DI11" i="20" s="1"/>
  <c r="DI17" i="18"/>
  <c r="DI12" i="18"/>
  <c r="DJ11" i="18" s="1"/>
  <c r="CV20" i="10"/>
  <c r="CV19" i="10"/>
  <c r="DG17" i="10"/>
  <c r="DG12" i="10"/>
  <c r="DH11" i="10" s="1"/>
  <c r="DK19" i="29" l="1"/>
  <c r="DL14" i="29"/>
  <c r="DL15" i="29"/>
  <c r="DM13" i="29"/>
  <c r="DK20" i="29"/>
  <c r="DK16" i="29"/>
  <c r="BH23" i="29"/>
  <c r="BH18" i="29"/>
  <c r="BH17" i="29"/>
  <c r="BH12" i="29"/>
  <c r="DJ20" i="28"/>
  <c r="DJ16" i="28"/>
  <c r="BH21" i="28"/>
  <c r="BI11" i="28"/>
  <c r="DK15" i="28"/>
  <c r="DK14" i="28"/>
  <c r="DL13" i="28"/>
  <c r="DJ15" i="28"/>
  <c r="DJ19" i="28" s="1"/>
  <c r="BH21" i="27"/>
  <c r="BI11" i="27"/>
  <c r="DL14" i="27"/>
  <c r="DM13" i="27"/>
  <c r="DL15" i="27"/>
  <c r="DK20" i="27"/>
  <c r="DK16" i="27"/>
  <c r="DK19" i="27" s="1"/>
  <c r="DK20" i="26"/>
  <c r="DK16" i="26"/>
  <c r="DK19" i="26" s="1"/>
  <c r="BH23" i="26"/>
  <c r="BH18" i="26"/>
  <c r="BH17" i="26"/>
  <c r="BH12" i="26"/>
  <c r="DL14" i="26"/>
  <c r="DM13" i="26"/>
  <c r="DJ20" i="25"/>
  <c r="DJ16" i="25"/>
  <c r="DJ19" i="25" s="1"/>
  <c r="BH21" i="25"/>
  <c r="BI11" i="25"/>
  <c r="DK14" i="25"/>
  <c r="DK15" i="25" s="1"/>
  <c r="DL13" i="25"/>
  <c r="DL14" i="24"/>
  <c r="DL15" i="24" s="1"/>
  <c r="DM13" i="24"/>
  <c r="DK20" i="24"/>
  <c r="DK16" i="24"/>
  <c r="DK19" i="24" s="1"/>
  <c r="BH21" i="24"/>
  <c r="BI11" i="24"/>
  <c r="DK20" i="23"/>
  <c r="DK16" i="23"/>
  <c r="BH21" i="23"/>
  <c r="BI11" i="23"/>
  <c r="DL14" i="23"/>
  <c r="DL15" i="23" s="1"/>
  <c r="DM13" i="23"/>
  <c r="DK15" i="23"/>
  <c r="DI17" i="20"/>
  <c r="DI12" i="20"/>
  <c r="DJ11" i="20" s="1"/>
  <c r="DJ17" i="18"/>
  <c r="DJ12" i="18"/>
  <c r="DK11" i="18" s="1"/>
  <c r="CW20" i="10"/>
  <c r="CW19" i="10"/>
  <c r="DH17" i="10"/>
  <c r="DH12" i="10"/>
  <c r="DI11" i="10" s="1"/>
  <c r="BH21" i="29" l="1"/>
  <c r="BI11" i="29"/>
  <c r="DM15" i="29"/>
  <c r="DM14" i="29"/>
  <c r="DN13" i="29"/>
  <c r="DL20" i="29"/>
  <c r="DL16" i="29"/>
  <c r="DL19" i="29" s="1"/>
  <c r="DK20" i="28"/>
  <c r="DK16" i="28"/>
  <c r="BI23" i="28"/>
  <c r="BI17" i="28"/>
  <c r="BI18" i="28"/>
  <c r="BI12" i="28"/>
  <c r="DL14" i="28"/>
  <c r="DM13" i="28"/>
  <c r="DL15" i="28"/>
  <c r="DK19" i="28"/>
  <c r="DM14" i="27"/>
  <c r="DN13" i="27"/>
  <c r="BI23" i="27"/>
  <c r="BI17" i="27"/>
  <c r="BI18" i="27"/>
  <c r="BI12" i="27"/>
  <c r="DL20" i="27"/>
  <c r="DL16" i="27"/>
  <c r="DL19" i="27" s="1"/>
  <c r="DL20" i="26"/>
  <c r="DL16" i="26"/>
  <c r="BH21" i="26"/>
  <c r="BI11" i="26"/>
  <c r="DM15" i="26"/>
  <c r="DM14" i="26"/>
  <c r="DN13" i="26"/>
  <c r="DL15" i="26"/>
  <c r="DL19" i="26" s="1"/>
  <c r="DK20" i="25"/>
  <c r="DK16" i="25"/>
  <c r="BI23" i="25"/>
  <c r="BI18" i="25"/>
  <c r="BI17" i="25"/>
  <c r="BI12" i="25"/>
  <c r="DL14" i="25"/>
  <c r="DM13" i="25"/>
  <c r="DK19" i="25"/>
  <c r="BI23" i="24"/>
  <c r="BI17" i="24"/>
  <c r="BI18" i="24"/>
  <c r="BI12" i="24"/>
  <c r="DM14" i="24"/>
  <c r="DM15" i="24" s="1"/>
  <c r="DN13" i="24"/>
  <c r="DL20" i="24"/>
  <c r="DL16" i="24"/>
  <c r="DL19" i="24" s="1"/>
  <c r="DK19" i="23"/>
  <c r="DL20" i="23"/>
  <c r="DL16" i="23"/>
  <c r="DL19" i="23" s="1"/>
  <c r="BI23" i="23"/>
  <c r="BI17" i="23"/>
  <c r="BI18" i="23"/>
  <c r="BI12" i="23"/>
  <c r="DM14" i="23"/>
  <c r="DN13" i="23"/>
  <c r="DJ17" i="20"/>
  <c r="DJ12" i="20"/>
  <c r="DK11" i="20" s="1"/>
  <c r="DK17" i="18"/>
  <c r="DK12" i="18"/>
  <c r="DL11" i="18" s="1"/>
  <c r="CX19" i="10"/>
  <c r="CX20" i="10"/>
  <c r="DI17" i="10"/>
  <c r="DI12" i="10"/>
  <c r="DJ11" i="10" s="1"/>
  <c r="DM20" i="29" l="1"/>
  <c r="DM16" i="29"/>
  <c r="BI23" i="29"/>
  <c r="BI17" i="29"/>
  <c r="BI18" i="29"/>
  <c r="BI12" i="29"/>
  <c r="DN14" i="29"/>
  <c r="DN15" i="29" s="1"/>
  <c r="DO13" i="29"/>
  <c r="DM19" i="29"/>
  <c r="DM15" i="28"/>
  <c r="DM14" i="28"/>
  <c r="DN13" i="28"/>
  <c r="BI21" i="28"/>
  <c r="BJ11" i="28"/>
  <c r="DL20" i="28"/>
  <c r="DL16" i="28"/>
  <c r="DL19" i="28" s="1"/>
  <c r="DM20" i="27"/>
  <c r="DM16" i="27"/>
  <c r="BI21" i="27"/>
  <c r="BJ11" i="27"/>
  <c r="DN14" i="27"/>
  <c r="DO13" i="27"/>
  <c r="DN15" i="27"/>
  <c r="DM15" i="27"/>
  <c r="DM19" i="27" s="1"/>
  <c r="DM20" i="26"/>
  <c r="DM16" i="26"/>
  <c r="BI23" i="26"/>
  <c r="BI17" i="26"/>
  <c r="BI18" i="26"/>
  <c r="BI12" i="26"/>
  <c r="DN14" i="26"/>
  <c r="DN15" i="26" s="1"/>
  <c r="DO13" i="26"/>
  <c r="DM19" i="26"/>
  <c r="DL20" i="25"/>
  <c r="DL16" i="25"/>
  <c r="BI21" i="25"/>
  <c r="BJ11" i="25"/>
  <c r="DM15" i="25"/>
  <c r="DM14" i="25"/>
  <c r="DN13" i="25"/>
  <c r="DL15" i="25"/>
  <c r="DL19" i="25" s="1"/>
  <c r="DM20" i="24"/>
  <c r="DM16" i="24"/>
  <c r="BI21" i="24"/>
  <c r="BJ11" i="24"/>
  <c r="DN14" i="24"/>
  <c r="DN15" i="24" s="1"/>
  <c r="DO13" i="24"/>
  <c r="DM19" i="24"/>
  <c r="DM20" i="23"/>
  <c r="DM16" i="23"/>
  <c r="BI21" i="23"/>
  <c r="BJ11" i="23"/>
  <c r="DN14" i="23"/>
  <c r="DN15" i="23" s="1"/>
  <c r="DO13" i="23"/>
  <c r="DM15" i="23"/>
  <c r="DK17" i="20"/>
  <c r="DK12" i="20"/>
  <c r="DL11" i="20" s="1"/>
  <c r="DL17" i="18"/>
  <c r="DL12" i="18"/>
  <c r="DM11" i="18" s="1"/>
  <c r="CY20" i="10"/>
  <c r="CY19" i="10"/>
  <c r="DJ17" i="10"/>
  <c r="DJ12" i="10"/>
  <c r="DK11" i="10" s="1"/>
  <c r="BI21" i="29" l="1"/>
  <c r="BJ11" i="29"/>
  <c r="DO14" i="29"/>
  <c r="DO15" i="29" s="1"/>
  <c r="DP13" i="29"/>
  <c r="DN20" i="29"/>
  <c r="DN16" i="29"/>
  <c r="DN19" i="29" s="1"/>
  <c r="DM20" i="28"/>
  <c r="DM16" i="28"/>
  <c r="BJ23" i="28"/>
  <c r="BJ18" i="28"/>
  <c r="BJ17" i="28"/>
  <c r="BJ12" i="28"/>
  <c r="DN15" i="28"/>
  <c r="DN14" i="28"/>
  <c r="DO13" i="28"/>
  <c r="DM19" i="28"/>
  <c r="DO14" i="27"/>
  <c r="DP13" i="27"/>
  <c r="BJ23" i="27"/>
  <c r="BJ18" i="27"/>
  <c r="BJ17" i="27"/>
  <c r="BJ12" i="27"/>
  <c r="DN20" i="27"/>
  <c r="DN16" i="27"/>
  <c r="DN19" i="27" s="1"/>
  <c r="DN20" i="26"/>
  <c r="DN16" i="26"/>
  <c r="BI21" i="26"/>
  <c r="BJ11" i="26"/>
  <c r="DO14" i="26"/>
  <c r="DO15" i="26" s="1"/>
  <c r="DP13" i="26"/>
  <c r="DN19" i="26"/>
  <c r="DM20" i="25"/>
  <c r="DM16" i="25"/>
  <c r="BJ23" i="25"/>
  <c r="BJ17" i="25"/>
  <c r="BJ18" i="25"/>
  <c r="BJ12" i="25"/>
  <c r="DN14" i="25"/>
  <c r="DN15" i="25" s="1"/>
  <c r="DO13" i="25"/>
  <c r="DM19" i="25"/>
  <c r="BJ23" i="24"/>
  <c r="BJ18" i="24"/>
  <c r="BJ17" i="24"/>
  <c r="BJ12" i="24"/>
  <c r="DO14" i="24"/>
  <c r="DP13" i="24"/>
  <c r="DN20" i="24"/>
  <c r="DN16" i="24"/>
  <c r="DN19" i="24" s="1"/>
  <c r="DM19" i="23"/>
  <c r="DN20" i="23"/>
  <c r="DN16" i="23"/>
  <c r="DN19" i="23" s="1"/>
  <c r="BJ23" i="23"/>
  <c r="BJ18" i="23"/>
  <c r="BJ17" i="23"/>
  <c r="BJ12" i="23"/>
  <c r="DO14" i="23"/>
  <c r="DP13" i="23"/>
  <c r="DL17" i="20"/>
  <c r="DL12" i="20"/>
  <c r="DM11" i="20" s="1"/>
  <c r="DM17" i="18"/>
  <c r="DM12" i="18"/>
  <c r="DN11" i="18" s="1"/>
  <c r="CZ20" i="10"/>
  <c r="CZ19" i="10"/>
  <c r="DK17" i="10"/>
  <c r="DK12" i="10"/>
  <c r="DL11" i="10" s="1"/>
  <c r="DP14" i="29" l="1"/>
  <c r="DP15" i="29"/>
  <c r="DQ13" i="29"/>
  <c r="DO20" i="29"/>
  <c r="DO16" i="29"/>
  <c r="DO19" i="29" s="1"/>
  <c r="BJ23" i="29"/>
  <c r="BJ18" i="29"/>
  <c r="BJ17" i="29"/>
  <c r="BJ12" i="29"/>
  <c r="DN20" i="28"/>
  <c r="DN16" i="28"/>
  <c r="BJ21" i="28"/>
  <c r="BK11" i="28"/>
  <c r="DO15" i="28"/>
  <c r="DO14" i="28"/>
  <c r="DP13" i="28"/>
  <c r="DN19" i="28"/>
  <c r="DO20" i="27"/>
  <c r="DO16" i="27"/>
  <c r="BJ21" i="27"/>
  <c r="BK11" i="27"/>
  <c r="DP14" i="27"/>
  <c r="DQ13" i="27"/>
  <c r="DP15" i="27"/>
  <c r="DO15" i="27"/>
  <c r="DO19" i="27" s="1"/>
  <c r="DO20" i="26"/>
  <c r="DO16" i="26"/>
  <c r="BJ23" i="26"/>
  <c r="BJ18" i="26"/>
  <c r="BJ17" i="26"/>
  <c r="BJ12" i="26"/>
  <c r="DP14" i="26"/>
  <c r="DQ13" i="26"/>
  <c r="DO19" i="26"/>
  <c r="DN20" i="25"/>
  <c r="DN16" i="25"/>
  <c r="DN19" i="25" s="1"/>
  <c r="BJ21" i="25"/>
  <c r="BK11" i="25"/>
  <c r="DO14" i="25"/>
  <c r="DO15" i="25" s="1"/>
  <c r="DP13" i="25"/>
  <c r="DO20" i="24"/>
  <c r="DO16" i="24"/>
  <c r="BJ21" i="24"/>
  <c r="BK11" i="24"/>
  <c r="DP14" i="24"/>
  <c r="DP15" i="24" s="1"/>
  <c r="DQ13" i="24"/>
  <c r="DO15" i="24"/>
  <c r="DO19" i="24" s="1"/>
  <c r="DO20" i="23"/>
  <c r="DO16" i="23"/>
  <c r="BJ21" i="23"/>
  <c r="BK11" i="23"/>
  <c r="DP14" i="23"/>
  <c r="DP15" i="23" s="1"/>
  <c r="DQ13" i="23"/>
  <c r="DO15" i="23"/>
  <c r="DM17" i="20"/>
  <c r="DM12" i="20"/>
  <c r="DN11" i="20" s="1"/>
  <c r="DN17" i="18"/>
  <c r="DN12" i="18"/>
  <c r="DO11" i="18" s="1"/>
  <c r="DA20" i="10"/>
  <c r="DA19" i="10"/>
  <c r="DL17" i="10"/>
  <c r="DL12" i="10"/>
  <c r="DM11" i="10" s="1"/>
  <c r="BJ21" i="29" l="1"/>
  <c r="BK11" i="29"/>
  <c r="DQ15" i="29"/>
  <c r="DQ14" i="29"/>
  <c r="DR13" i="29"/>
  <c r="DP20" i="29"/>
  <c r="DP16" i="29"/>
  <c r="DP19" i="29" s="1"/>
  <c r="DO20" i="28"/>
  <c r="DO16" i="28"/>
  <c r="BK23" i="28"/>
  <c r="BK17" i="28"/>
  <c r="BK18" i="28"/>
  <c r="BK12" i="28"/>
  <c r="DP14" i="28"/>
  <c r="DQ13" i="28"/>
  <c r="DP15" i="28"/>
  <c r="DO19" i="28"/>
  <c r="DQ14" i="27"/>
  <c r="DR13" i="27"/>
  <c r="BK23" i="27"/>
  <c r="BK17" i="27"/>
  <c r="BK18" i="27"/>
  <c r="BK12" i="27"/>
  <c r="DP20" i="27"/>
  <c r="DP16" i="27"/>
  <c r="DP19" i="27" s="1"/>
  <c r="DP20" i="26"/>
  <c r="DP16" i="26"/>
  <c r="BJ21" i="26"/>
  <c r="BK11" i="26"/>
  <c r="DQ14" i="26"/>
  <c r="DQ15" i="26" s="1"/>
  <c r="DR13" i="26"/>
  <c r="DP15" i="26"/>
  <c r="DP19" i="26" s="1"/>
  <c r="DO20" i="25"/>
  <c r="DO16" i="25"/>
  <c r="DO19" i="25" s="1"/>
  <c r="BK23" i="25"/>
  <c r="BK18" i="25"/>
  <c r="BK17" i="25"/>
  <c r="BK12" i="25"/>
  <c r="DP14" i="25"/>
  <c r="DP15" i="25" s="1"/>
  <c r="DQ13" i="25"/>
  <c r="BK23" i="24"/>
  <c r="BK17" i="24"/>
  <c r="BK18" i="24"/>
  <c r="BK12" i="24"/>
  <c r="DQ14" i="24"/>
  <c r="DQ15" i="24" s="1"/>
  <c r="DR13" i="24"/>
  <c r="DP20" i="24"/>
  <c r="DP16" i="24"/>
  <c r="DP19" i="24" s="1"/>
  <c r="DO19" i="23"/>
  <c r="DP20" i="23"/>
  <c r="DP16" i="23"/>
  <c r="DP19" i="23" s="1"/>
  <c r="BK23" i="23"/>
  <c r="BK17" i="23"/>
  <c r="BK18" i="23"/>
  <c r="BK12" i="23"/>
  <c r="DQ14" i="23"/>
  <c r="DR13" i="23"/>
  <c r="DN17" i="20"/>
  <c r="DN12" i="20"/>
  <c r="DO11" i="20" s="1"/>
  <c r="DO17" i="18"/>
  <c r="DO12" i="18"/>
  <c r="DP11" i="18" s="1"/>
  <c r="DB20" i="10"/>
  <c r="DB19" i="10"/>
  <c r="DM17" i="10"/>
  <c r="DM12" i="10"/>
  <c r="DN11" i="10" s="1"/>
  <c r="DQ20" i="29" l="1"/>
  <c r="DQ16" i="29"/>
  <c r="BK23" i="29"/>
  <c r="BK17" i="29"/>
  <c r="BK18" i="29"/>
  <c r="BK12" i="29"/>
  <c r="DR14" i="29"/>
  <c r="DR15" i="29" s="1"/>
  <c r="DS13" i="29"/>
  <c r="DQ19" i="29"/>
  <c r="DQ14" i="28"/>
  <c r="DQ15" i="28" s="1"/>
  <c r="DR13" i="28"/>
  <c r="BK21" i="28"/>
  <c r="BL11" i="28"/>
  <c r="DP20" i="28"/>
  <c r="DP16" i="28"/>
  <c r="DP19" i="28" s="1"/>
  <c r="DQ20" i="27"/>
  <c r="DQ16" i="27"/>
  <c r="BK21" i="27"/>
  <c r="BL11" i="27"/>
  <c r="DR14" i="27"/>
  <c r="DS13" i="27"/>
  <c r="DR15" i="27"/>
  <c r="DQ15" i="27"/>
  <c r="DQ19" i="27" s="1"/>
  <c r="DQ20" i="26"/>
  <c r="DQ16" i="26"/>
  <c r="BK23" i="26"/>
  <c r="BK17" i="26"/>
  <c r="BK18" i="26"/>
  <c r="BK12" i="26"/>
  <c r="DR14" i="26"/>
  <c r="DS13" i="26"/>
  <c r="DQ19" i="26"/>
  <c r="DP20" i="25"/>
  <c r="DP16" i="25"/>
  <c r="DP19" i="25" s="1"/>
  <c r="BK21" i="25"/>
  <c r="BL11" i="25"/>
  <c r="DQ14" i="25"/>
  <c r="DQ15" i="25" s="1"/>
  <c r="DR13" i="25"/>
  <c r="DR14" i="24"/>
  <c r="DR15" i="24" s="1"/>
  <c r="DS13" i="24"/>
  <c r="DQ20" i="24"/>
  <c r="DQ16" i="24"/>
  <c r="DQ19" i="24" s="1"/>
  <c r="BK21" i="24"/>
  <c r="BL11" i="24"/>
  <c r="DQ20" i="23"/>
  <c r="DQ16" i="23"/>
  <c r="BK21" i="23"/>
  <c r="BL11" i="23"/>
  <c r="DR14" i="23"/>
  <c r="DR15" i="23" s="1"/>
  <c r="DS13" i="23"/>
  <c r="DQ15" i="23"/>
  <c r="DO17" i="20"/>
  <c r="DO12" i="20"/>
  <c r="DP11" i="20" s="1"/>
  <c r="DP17" i="18"/>
  <c r="DP12" i="18"/>
  <c r="DQ11" i="18" s="1"/>
  <c r="DC20" i="10"/>
  <c r="DC19" i="10"/>
  <c r="DN17" i="10"/>
  <c r="DN12" i="10"/>
  <c r="DO11" i="10" s="1"/>
  <c r="DR19" i="29" l="1"/>
  <c r="BK21" i="29"/>
  <c r="BL11" i="29"/>
  <c r="DS14" i="29"/>
  <c r="DS15" i="29" s="1"/>
  <c r="DT13" i="29"/>
  <c r="DR20" i="29"/>
  <c r="DR16" i="29"/>
  <c r="DQ20" i="28"/>
  <c r="DQ16" i="28"/>
  <c r="BL23" i="28"/>
  <c r="BL18" i="28"/>
  <c r="BL17" i="28"/>
  <c r="BL12" i="28"/>
  <c r="DR14" i="28"/>
  <c r="DS13" i="28"/>
  <c r="DQ19" i="28"/>
  <c r="DS14" i="27"/>
  <c r="DT13" i="27"/>
  <c r="BL23" i="27"/>
  <c r="BL18" i="27"/>
  <c r="BL17" i="27"/>
  <c r="BL12" i="27"/>
  <c r="DR20" i="27"/>
  <c r="DR16" i="27"/>
  <c r="DR19" i="27" s="1"/>
  <c r="DR20" i="26"/>
  <c r="DR16" i="26"/>
  <c r="BK21" i="26"/>
  <c r="BL11" i="26"/>
  <c r="DS14" i="26"/>
  <c r="DS15" i="26" s="1"/>
  <c r="DT13" i="26"/>
  <c r="DR15" i="26"/>
  <c r="DQ20" i="25"/>
  <c r="DQ16" i="25"/>
  <c r="BL23" i="25"/>
  <c r="BL17" i="25"/>
  <c r="BL18" i="25"/>
  <c r="BL12" i="25"/>
  <c r="DR14" i="25"/>
  <c r="DR15" i="25" s="1"/>
  <c r="DS13" i="25"/>
  <c r="DQ19" i="25"/>
  <c r="BL23" i="24"/>
  <c r="BL18" i="24"/>
  <c r="BL17" i="24"/>
  <c r="BL12" i="24"/>
  <c r="DS14" i="24"/>
  <c r="DT13" i="24"/>
  <c r="DR20" i="24"/>
  <c r="DR16" i="24"/>
  <c r="DR19" i="24" s="1"/>
  <c r="DQ19" i="23"/>
  <c r="DR20" i="23"/>
  <c r="DR16" i="23"/>
  <c r="DR19" i="23" s="1"/>
  <c r="BL23" i="23"/>
  <c r="BL18" i="23"/>
  <c r="BL17" i="23"/>
  <c r="BL12" i="23"/>
  <c r="DS14" i="23"/>
  <c r="DT13" i="23"/>
  <c r="DP17" i="20"/>
  <c r="DP12" i="20"/>
  <c r="DQ11" i="20" s="1"/>
  <c r="DQ17" i="18"/>
  <c r="DQ12" i="18"/>
  <c r="DR11" i="18" s="1"/>
  <c r="DD20" i="10"/>
  <c r="DD19" i="10"/>
  <c r="DO17" i="10"/>
  <c r="DO12" i="10"/>
  <c r="DP11" i="10" s="1"/>
  <c r="DR19" i="26" l="1"/>
  <c r="DT14" i="29"/>
  <c r="DT15" i="29" s="1"/>
  <c r="DU13" i="29"/>
  <c r="DS20" i="29"/>
  <c r="DS16" i="29"/>
  <c r="DS19" i="29" s="1"/>
  <c r="BL23" i="29"/>
  <c r="BL18" i="29"/>
  <c r="BL17" i="29"/>
  <c r="BL12" i="29"/>
  <c r="DR20" i="28"/>
  <c r="DR16" i="28"/>
  <c r="BL21" i="28"/>
  <c r="BM11" i="28"/>
  <c r="DS14" i="28"/>
  <c r="DS15" i="28" s="1"/>
  <c r="DT13" i="28"/>
  <c r="DR15" i="28"/>
  <c r="DR19" i="28" s="1"/>
  <c r="DS20" i="27"/>
  <c r="DS16" i="27"/>
  <c r="BL21" i="27"/>
  <c r="BM11" i="27"/>
  <c r="DT14" i="27"/>
  <c r="DU13" i="27"/>
  <c r="DT15" i="27"/>
  <c r="DS15" i="27"/>
  <c r="DS19" i="27" s="1"/>
  <c r="DS20" i="26"/>
  <c r="DS16" i="26"/>
  <c r="DS19" i="26" s="1"/>
  <c r="BL23" i="26"/>
  <c r="BL18" i="26"/>
  <c r="BL17" i="26"/>
  <c r="BL12" i="26"/>
  <c r="DT14" i="26"/>
  <c r="DU13" i="26"/>
  <c r="DR20" i="25"/>
  <c r="DR16" i="25"/>
  <c r="DR19" i="25" s="1"/>
  <c r="BL21" i="25"/>
  <c r="BM11" i="25"/>
  <c r="DS14" i="25"/>
  <c r="DS15" i="25" s="1"/>
  <c r="DT13" i="25"/>
  <c r="DS20" i="24"/>
  <c r="DS16" i="24"/>
  <c r="BL21" i="24"/>
  <c r="BM11" i="24"/>
  <c r="DT14" i="24"/>
  <c r="DT15" i="24" s="1"/>
  <c r="DU13" i="24"/>
  <c r="DS15" i="24"/>
  <c r="DS20" i="23"/>
  <c r="DS16" i="23"/>
  <c r="BL21" i="23"/>
  <c r="BM11" i="23"/>
  <c r="DT14" i="23"/>
  <c r="DT15" i="23" s="1"/>
  <c r="DU13" i="23"/>
  <c r="DS15" i="23"/>
  <c r="DQ17" i="20"/>
  <c r="DQ12" i="20"/>
  <c r="DR11" i="20" s="1"/>
  <c r="DR17" i="18"/>
  <c r="DR12" i="18"/>
  <c r="DS11" i="18" s="1"/>
  <c r="DE20" i="10"/>
  <c r="DE19" i="10"/>
  <c r="DP17" i="10"/>
  <c r="DP12" i="10"/>
  <c r="DQ11" i="10" s="1"/>
  <c r="BL21" i="29" l="1"/>
  <c r="BM11" i="29"/>
  <c r="DU14" i="29"/>
  <c r="DU15" i="29" s="1"/>
  <c r="DV13" i="29"/>
  <c r="DT20" i="29"/>
  <c r="DT16" i="29"/>
  <c r="DT19" i="29" s="1"/>
  <c r="DS20" i="28"/>
  <c r="DS16" i="28"/>
  <c r="BM23" i="28"/>
  <c r="BM17" i="28"/>
  <c r="BM18" i="28"/>
  <c r="BM12" i="28"/>
  <c r="DT14" i="28"/>
  <c r="DU13" i="28"/>
  <c r="DT15" i="28"/>
  <c r="DS19" i="28"/>
  <c r="DU15" i="27"/>
  <c r="DU14" i="27"/>
  <c r="DV13" i="27"/>
  <c r="BM23" i="27"/>
  <c r="BM17" i="27"/>
  <c r="BM18" i="27"/>
  <c r="BM12" i="27"/>
  <c r="DT20" i="27"/>
  <c r="DT16" i="27"/>
  <c r="DT19" i="27" s="1"/>
  <c r="DT20" i="26"/>
  <c r="DT16" i="26"/>
  <c r="BL21" i="26"/>
  <c r="BM11" i="26"/>
  <c r="DS19" i="24"/>
  <c r="DU14" i="26"/>
  <c r="DU15" i="26" s="1"/>
  <c r="DV13" i="26"/>
  <c r="DT15" i="26"/>
  <c r="DS20" i="25"/>
  <c r="DS16" i="25"/>
  <c r="DS19" i="25" s="1"/>
  <c r="BM23" i="25"/>
  <c r="BM18" i="25"/>
  <c r="BM17" i="25"/>
  <c r="BM12" i="25"/>
  <c r="DT14" i="25"/>
  <c r="DT15" i="25" s="1"/>
  <c r="DU13" i="25"/>
  <c r="BM23" i="24"/>
  <c r="BM17" i="24"/>
  <c r="BM18" i="24"/>
  <c r="BM12" i="24"/>
  <c r="DU14" i="24"/>
  <c r="DU15" i="24" s="1"/>
  <c r="DV13" i="24"/>
  <c r="DT20" i="24"/>
  <c r="DT16" i="24"/>
  <c r="DT19" i="24" s="1"/>
  <c r="DS19" i="23"/>
  <c r="DT20" i="23"/>
  <c r="DT16" i="23"/>
  <c r="DT19" i="23" s="1"/>
  <c r="BM23" i="23"/>
  <c r="BM17" i="23"/>
  <c r="BM18" i="23"/>
  <c r="BM12" i="23"/>
  <c r="DU14" i="23"/>
  <c r="DU15" i="23" s="1"/>
  <c r="DV13" i="23"/>
  <c r="DR17" i="20"/>
  <c r="DR12" i="20"/>
  <c r="DS11" i="20" s="1"/>
  <c r="DS17" i="18"/>
  <c r="DS12" i="18"/>
  <c r="DT11" i="18" s="1"/>
  <c r="DF19" i="10"/>
  <c r="DF20" i="10"/>
  <c r="DQ17" i="10"/>
  <c r="DQ12" i="10"/>
  <c r="DR11" i="10" s="1"/>
  <c r="DV14" i="29" l="1"/>
  <c r="DV15" i="29"/>
  <c r="DW13" i="29"/>
  <c r="DU20" i="29"/>
  <c r="DU16" i="29"/>
  <c r="DU19" i="29" s="1"/>
  <c r="BM23" i="29"/>
  <c r="BM17" i="29"/>
  <c r="BM18" i="29"/>
  <c r="BM12" i="29"/>
  <c r="DU15" i="28"/>
  <c r="DU14" i="28"/>
  <c r="DV13" i="28"/>
  <c r="BM21" i="28"/>
  <c r="BN11" i="28"/>
  <c r="DT20" i="28"/>
  <c r="DT16" i="28"/>
  <c r="DT19" i="28" s="1"/>
  <c r="DU20" i="27"/>
  <c r="DU16" i="27"/>
  <c r="BM21" i="27"/>
  <c r="BN11" i="27"/>
  <c r="DV14" i="27"/>
  <c r="DW13" i="27"/>
  <c r="DV15" i="27"/>
  <c r="DU19" i="27"/>
  <c r="DV14" i="26"/>
  <c r="DW13" i="26"/>
  <c r="BM23" i="26"/>
  <c r="BM17" i="26"/>
  <c r="BM18" i="26"/>
  <c r="BM12" i="26"/>
  <c r="DT19" i="26"/>
  <c r="DU20" i="26"/>
  <c r="DU16" i="26"/>
  <c r="DU19" i="26" s="1"/>
  <c r="DT20" i="25"/>
  <c r="DT16" i="25"/>
  <c r="DT19" i="25" s="1"/>
  <c r="BM21" i="25"/>
  <c r="BN11" i="25"/>
  <c r="DU14" i="25"/>
  <c r="DU15" i="25" s="1"/>
  <c r="DV13" i="25"/>
  <c r="DV14" i="24"/>
  <c r="DV15" i="24" s="1"/>
  <c r="DW13" i="24"/>
  <c r="DU20" i="24"/>
  <c r="DU16" i="24"/>
  <c r="DU19" i="24" s="1"/>
  <c r="BM21" i="24"/>
  <c r="BN11" i="24"/>
  <c r="DU20" i="23"/>
  <c r="DU16" i="23"/>
  <c r="DU19" i="23" s="1"/>
  <c r="BM21" i="23"/>
  <c r="BN11" i="23"/>
  <c r="DV14" i="23"/>
  <c r="DV15" i="23" s="1"/>
  <c r="DW13" i="23"/>
  <c r="DS17" i="20"/>
  <c r="DS12" i="20"/>
  <c r="DT11" i="20" s="1"/>
  <c r="DT17" i="18"/>
  <c r="DT12" i="18"/>
  <c r="DU11" i="18" s="1"/>
  <c r="DG20" i="10"/>
  <c r="DG19" i="10"/>
  <c r="DR17" i="10"/>
  <c r="DR12" i="10"/>
  <c r="DS11" i="10" s="1"/>
  <c r="BM21" i="29" l="1"/>
  <c r="BN11" i="29"/>
  <c r="DW15" i="29"/>
  <c r="DW14" i="29"/>
  <c r="DX13" i="29"/>
  <c r="DV20" i="29"/>
  <c r="DV16" i="29"/>
  <c r="DV19" i="29" s="1"/>
  <c r="DU20" i="28"/>
  <c r="DU16" i="28"/>
  <c r="BN23" i="28"/>
  <c r="BN18" i="28"/>
  <c r="BN17" i="28"/>
  <c r="BN12" i="28"/>
  <c r="DV15" i="28"/>
  <c r="DV14" i="28"/>
  <c r="DW13" i="28"/>
  <c r="DU19" i="28"/>
  <c r="DW14" i="27"/>
  <c r="DX13" i="27"/>
  <c r="BN23" i="27"/>
  <c r="BN18" i="27"/>
  <c r="BN17" i="27"/>
  <c r="BN12" i="27"/>
  <c r="DV20" i="27"/>
  <c r="DV16" i="27"/>
  <c r="DV19" i="27" s="1"/>
  <c r="BM21" i="26"/>
  <c r="BN11" i="26"/>
  <c r="DV20" i="26"/>
  <c r="DV16" i="26"/>
  <c r="DW15" i="26"/>
  <c r="DW14" i="26"/>
  <c r="DX13" i="26"/>
  <c r="DV15" i="26"/>
  <c r="DV19" i="26" s="1"/>
  <c r="BN23" i="25"/>
  <c r="BN17" i="25"/>
  <c r="BN18" i="25"/>
  <c r="BN12" i="25"/>
  <c r="DV14" i="25"/>
  <c r="DV15" i="25" s="1"/>
  <c r="DW13" i="25"/>
  <c r="DU20" i="25"/>
  <c r="DU16" i="25"/>
  <c r="DU19" i="25" s="1"/>
  <c r="BN23" i="24"/>
  <c r="BN18" i="24"/>
  <c r="BN17" i="24"/>
  <c r="BN12" i="24"/>
  <c r="DW14" i="24"/>
  <c r="DX13" i="24"/>
  <c r="DV20" i="24"/>
  <c r="DV16" i="24"/>
  <c r="DV19" i="24"/>
  <c r="DV20" i="23"/>
  <c r="DV16" i="23"/>
  <c r="DV19" i="23" s="1"/>
  <c r="BN23" i="23"/>
  <c r="BN18" i="23"/>
  <c r="BN17" i="23"/>
  <c r="BN12" i="23"/>
  <c r="DW14" i="23"/>
  <c r="DX13" i="23"/>
  <c r="DT17" i="20"/>
  <c r="DT12" i="20"/>
  <c r="DU11" i="20" s="1"/>
  <c r="DU17" i="18"/>
  <c r="DU12" i="18"/>
  <c r="DV11" i="18" s="1"/>
  <c r="DH20" i="10"/>
  <c r="DH19" i="10"/>
  <c r="DS17" i="10"/>
  <c r="DS12" i="10"/>
  <c r="DT11" i="10" s="1"/>
  <c r="DW20" i="29" l="1"/>
  <c r="DW16" i="29"/>
  <c r="BN23" i="29"/>
  <c r="BN18" i="29"/>
  <c r="BN17" i="29"/>
  <c r="BN12" i="29"/>
  <c r="DX14" i="29"/>
  <c r="DX15" i="29"/>
  <c r="DW19" i="29"/>
  <c r="DV20" i="28"/>
  <c r="DV16" i="28"/>
  <c r="BN21" i="28"/>
  <c r="BO11" i="28"/>
  <c r="DW15" i="28"/>
  <c r="DW14" i="28"/>
  <c r="DX13" i="28"/>
  <c r="DV19" i="28"/>
  <c r="DW20" i="27"/>
  <c r="DW16" i="27"/>
  <c r="BN21" i="27"/>
  <c r="BO11" i="27"/>
  <c r="DX14" i="27"/>
  <c r="DX15" i="27" s="1"/>
  <c r="DW15" i="27"/>
  <c r="DW19" i="27" s="1"/>
  <c r="DW20" i="26"/>
  <c r="DW16" i="26"/>
  <c r="BN23" i="26"/>
  <c r="BN18" i="26"/>
  <c r="BN17" i="26"/>
  <c r="BN12" i="26"/>
  <c r="DX14" i="26"/>
  <c r="DW19" i="26"/>
  <c r="DW14" i="25"/>
  <c r="DW15" i="25" s="1"/>
  <c r="DX13" i="25"/>
  <c r="DV20" i="25"/>
  <c r="DV16" i="25"/>
  <c r="DV19" i="25" s="1"/>
  <c r="BN21" i="25"/>
  <c r="BO11" i="25"/>
  <c r="DW20" i="24"/>
  <c r="DW16" i="24"/>
  <c r="BN21" i="24"/>
  <c r="BO11" i="24"/>
  <c r="DX14" i="24"/>
  <c r="DX15" i="24" s="1"/>
  <c r="DW15" i="24"/>
  <c r="DW19" i="24" s="1"/>
  <c r="DW20" i="23"/>
  <c r="DW16" i="23"/>
  <c r="BN21" i="23"/>
  <c r="BO11" i="23"/>
  <c r="DX14" i="23"/>
  <c r="DX15" i="23" s="1"/>
  <c r="DW15" i="23"/>
  <c r="DU17" i="20"/>
  <c r="DU12" i="20"/>
  <c r="DV11" i="20" s="1"/>
  <c r="DV17" i="18"/>
  <c r="DV12" i="18"/>
  <c r="DW11" i="18" s="1"/>
  <c r="DI20" i="10"/>
  <c r="DI19" i="10"/>
  <c r="DT17" i="10"/>
  <c r="DT12" i="10"/>
  <c r="DU11" i="10" s="1"/>
  <c r="BN21" i="29" l="1"/>
  <c r="BO11" i="29"/>
  <c r="DX20" i="29"/>
  <c r="DX16" i="29"/>
  <c r="DX19" i="29" s="1"/>
  <c r="DW20" i="28"/>
  <c r="DW16" i="28"/>
  <c r="BO23" i="28"/>
  <c r="BO17" i="28"/>
  <c r="BO18" i="28"/>
  <c r="BO12" i="28"/>
  <c r="DX14" i="28"/>
  <c r="DX15" i="28" s="1"/>
  <c r="DW19" i="28"/>
  <c r="BO23" i="27"/>
  <c r="BO17" i="27"/>
  <c r="BO18" i="27"/>
  <c r="BO12" i="27"/>
  <c r="DX20" i="27"/>
  <c r="DX16" i="27"/>
  <c r="DX19" i="27" s="1"/>
  <c r="DX20" i="26"/>
  <c r="DX16" i="26"/>
  <c r="BN21" i="26"/>
  <c r="BO11" i="26"/>
  <c r="DX15" i="26"/>
  <c r="BO23" i="25"/>
  <c r="BO18" i="25"/>
  <c r="BO17" i="25"/>
  <c r="BO12" i="25"/>
  <c r="DX14" i="25"/>
  <c r="DW20" i="25"/>
  <c r="DW16" i="25"/>
  <c r="DW19" i="25" s="1"/>
  <c r="BO23" i="24"/>
  <c r="BO17" i="24"/>
  <c r="BO18" i="24"/>
  <c r="BO12" i="24"/>
  <c r="DX20" i="24"/>
  <c r="DX16" i="24"/>
  <c r="DX19" i="24" s="1"/>
  <c r="DX20" i="23"/>
  <c r="DX16" i="23"/>
  <c r="BO23" i="23"/>
  <c r="BO17" i="23"/>
  <c r="BO18" i="23"/>
  <c r="BO12" i="23"/>
  <c r="DW19" i="23"/>
  <c r="DX19" i="23"/>
  <c r="DV17" i="20"/>
  <c r="DV12" i="20"/>
  <c r="DW11" i="20" s="1"/>
  <c r="DW17" i="18"/>
  <c r="DW12" i="18"/>
  <c r="DX11" i="18" s="1"/>
  <c r="DJ20" i="10"/>
  <c r="DJ19" i="10"/>
  <c r="DU17" i="10"/>
  <c r="DU12" i="10"/>
  <c r="DV11" i="10" s="1"/>
  <c r="DX19" i="26" l="1"/>
  <c r="BO23" i="29"/>
  <c r="BO17" i="29"/>
  <c r="BO18" i="29"/>
  <c r="BO12" i="29"/>
  <c r="BO21" i="28"/>
  <c r="BP11" i="28"/>
  <c r="DX20" i="28"/>
  <c r="DX16" i="28"/>
  <c r="DX19" i="28" s="1"/>
  <c r="BO21" i="27"/>
  <c r="BP11" i="27"/>
  <c r="BO23" i="26"/>
  <c r="BO17" i="26"/>
  <c r="BO18" i="26"/>
  <c r="BO12" i="26"/>
  <c r="DX20" i="25"/>
  <c r="DX16" i="25"/>
  <c r="BO21" i="25"/>
  <c r="BP11" i="25"/>
  <c r="DX15" i="25"/>
  <c r="DX19" i="25" s="1"/>
  <c r="BO21" i="24"/>
  <c r="BP11" i="24"/>
  <c r="BO21" i="23"/>
  <c r="BP11" i="23"/>
  <c r="DW17" i="20"/>
  <c r="DW12" i="20"/>
  <c r="DX11" i="20" s="1"/>
  <c r="DX12" i="18"/>
  <c r="DY11" i="18" s="1"/>
  <c r="DX17" i="18"/>
  <c r="DK20" i="10"/>
  <c r="DK19" i="10"/>
  <c r="DV17" i="10"/>
  <c r="DV12" i="10"/>
  <c r="DW11" i="10" s="1"/>
  <c r="BO21" i="29" l="1"/>
  <c r="BP11" i="29"/>
  <c r="BP23" i="28"/>
  <c r="BP18" i="28"/>
  <c r="BP17" i="28"/>
  <c r="BP12" i="28"/>
  <c r="BP23" i="27"/>
  <c r="BP18" i="27"/>
  <c r="BP17" i="27"/>
  <c r="BP12" i="27"/>
  <c r="BO21" i="26"/>
  <c r="BP11" i="26"/>
  <c r="BP23" i="25"/>
  <c r="BP17" i="25"/>
  <c r="BP18" i="25"/>
  <c r="BP12" i="25"/>
  <c r="BP23" i="24"/>
  <c r="BP18" i="24"/>
  <c r="BP17" i="24"/>
  <c r="BP12" i="24"/>
  <c r="BP23" i="23"/>
  <c r="BP18" i="23"/>
  <c r="BP17" i="23"/>
  <c r="BP12" i="23"/>
  <c r="DX17" i="20"/>
  <c r="DX12" i="20"/>
  <c r="DY11" i="20" s="1"/>
  <c r="DY17" i="18"/>
  <c r="DY12" i="18"/>
  <c r="DZ11" i="18" s="1"/>
  <c r="DL20" i="10"/>
  <c r="DL19" i="10"/>
  <c r="DW17" i="10"/>
  <c r="DW12" i="10"/>
  <c r="DX11" i="10" s="1"/>
  <c r="BP23" i="29" l="1"/>
  <c r="BP18" i="29"/>
  <c r="BP17" i="29"/>
  <c r="BP12" i="29"/>
  <c r="BP21" i="28"/>
  <c r="BQ11" i="28"/>
  <c r="BP21" i="27"/>
  <c r="BQ11" i="27"/>
  <c r="BP23" i="26"/>
  <c r="BP18" i="26"/>
  <c r="BP17" i="26"/>
  <c r="BP12" i="26"/>
  <c r="BP21" i="25"/>
  <c r="BQ11" i="25"/>
  <c r="BP21" i="24"/>
  <c r="BQ11" i="24"/>
  <c r="BP21" i="23"/>
  <c r="BQ11" i="23"/>
  <c r="DY17" i="20"/>
  <c r="DY12" i="20"/>
  <c r="DZ11" i="20" s="1"/>
  <c r="DZ17" i="18"/>
  <c r="DZ12" i="18"/>
  <c r="EA11" i="18" s="1"/>
  <c r="DM20" i="10"/>
  <c r="DM19" i="10"/>
  <c r="DX17" i="10"/>
  <c r="DX12" i="10"/>
  <c r="DY11" i="10" s="1"/>
  <c r="BP21" i="29" l="1"/>
  <c r="BQ11" i="29"/>
  <c r="BQ23" i="28"/>
  <c r="BQ17" i="28"/>
  <c r="BQ18" i="28"/>
  <c r="BQ12" i="28"/>
  <c r="BQ23" i="27"/>
  <c r="BQ18" i="27"/>
  <c r="BQ17" i="27"/>
  <c r="BQ12" i="27"/>
  <c r="BP21" i="26"/>
  <c r="BQ11" i="26"/>
  <c r="BQ23" i="25"/>
  <c r="BQ18" i="25"/>
  <c r="BQ17" i="25"/>
  <c r="BQ12" i="25"/>
  <c r="BQ23" i="24"/>
  <c r="BQ17" i="24"/>
  <c r="BQ18" i="24"/>
  <c r="BQ12" i="24"/>
  <c r="BQ23" i="23"/>
  <c r="BQ17" i="23"/>
  <c r="BQ18" i="23"/>
  <c r="BQ12" i="23"/>
  <c r="DZ17" i="20"/>
  <c r="DZ12" i="20"/>
  <c r="EA11" i="20" s="1"/>
  <c r="EA17" i="18"/>
  <c r="EA12" i="18"/>
  <c r="EB11" i="18" s="1"/>
  <c r="DN20" i="10"/>
  <c r="DN19" i="10"/>
  <c r="DY17" i="10"/>
  <c r="DY12" i="10"/>
  <c r="DZ11" i="10" s="1"/>
  <c r="BQ23" i="29" l="1"/>
  <c r="BQ17" i="29"/>
  <c r="BQ18" i="29"/>
  <c r="BQ12" i="29"/>
  <c r="BQ21" i="28"/>
  <c r="BR11" i="28"/>
  <c r="BQ21" i="27"/>
  <c r="BR11" i="27"/>
  <c r="BQ23" i="26"/>
  <c r="BQ17" i="26"/>
  <c r="BQ18" i="26"/>
  <c r="BQ12" i="26"/>
  <c r="BQ21" i="25"/>
  <c r="BR11" i="25"/>
  <c r="BQ21" i="24"/>
  <c r="BR11" i="24"/>
  <c r="BQ21" i="23"/>
  <c r="BR11" i="23"/>
  <c r="EA17" i="20"/>
  <c r="EA12" i="20"/>
  <c r="EB11" i="20" s="1"/>
  <c r="EB17" i="18"/>
  <c r="EB12" i="18"/>
  <c r="EC11" i="18" s="1"/>
  <c r="DO20" i="10"/>
  <c r="DO19" i="10"/>
  <c r="DZ17" i="10"/>
  <c r="DZ12" i="10"/>
  <c r="EA11" i="10" s="1"/>
  <c r="BQ21" i="29" l="1"/>
  <c r="BR11" i="29"/>
  <c r="BR23" i="28"/>
  <c r="BR18" i="28"/>
  <c r="BR17" i="28"/>
  <c r="BR12" i="28"/>
  <c r="BR23" i="27"/>
  <c r="BR18" i="27"/>
  <c r="BR17" i="27"/>
  <c r="BR12" i="27"/>
  <c r="BQ21" i="26"/>
  <c r="BR11" i="26"/>
  <c r="BR23" i="25"/>
  <c r="BR17" i="25"/>
  <c r="BR18" i="25"/>
  <c r="BR12" i="25"/>
  <c r="BR23" i="24"/>
  <c r="BR18" i="24"/>
  <c r="BR17" i="24"/>
  <c r="BR12" i="24"/>
  <c r="BR23" i="23"/>
  <c r="BR18" i="23"/>
  <c r="BR17" i="23"/>
  <c r="BR12" i="23"/>
  <c r="EB17" i="20"/>
  <c r="EB12" i="20"/>
  <c r="EC11" i="20" s="1"/>
  <c r="EC17" i="18"/>
  <c r="EC12" i="18"/>
  <c r="ED11" i="18" s="1"/>
  <c r="DP20" i="10"/>
  <c r="DP19" i="10"/>
  <c r="EA17" i="10"/>
  <c r="EA12" i="10"/>
  <c r="EB11" i="10" s="1"/>
  <c r="BR23" i="29" l="1"/>
  <c r="BR18" i="29"/>
  <c r="BR17" i="29"/>
  <c r="BR12" i="29"/>
  <c r="BR21" i="28"/>
  <c r="BS11" i="28"/>
  <c r="BR21" i="27"/>
  <c r="BS11" i="27"/>
  <c r="BR23" i="26"/>
  <c r="BR18" i="26"/>
  <c r="BR17" i="26"/>
  <c r="BR12" i="26"/>
  <c r="BR21" i="25"/>
  <c r="BS11" i="25"/>
  <c r="BR21" i="24"/>
  <c r="BS11" i="24"/>
  <c r="BR21" i="23"/>
  <c r="BS11" i="23"/>
  <c r="EC17" i="20"/>
  <c r="EC12" i="20"/>
  <c r="ED11" i="20" s="1"/>
  <c r="ED17" i="18"/>
  <c r="ED12" i="18"/>
  <c r="EE11" i="18" s="1"/>
  <c r="DQ20" i="10"/>
  <c r="DQ19" i="10"/>
  <c r="EB17" i="10"/>
  <c r="EB12" i="10"/>
  <c r="EC11" i="10" s="1"/>
  <c r="BR21" i="29" l="1"/>
  <c r="BS11" i="29"/>
  <c r="BS23" i="28"/>
  <c r="BS17" i="28"/>
  <c r="BS18" i="28"/>
  <c r="BS12" i="28"/>
  <c r="BS23" i="27"/>
  <c r="BS18" i="27"/>
  <c r="BS17" i="27"/>
  <c r="BS12" i="27"/>
  <c r="BR21" i="26"/>
  <c r="BS11" i="26"/>
  <c r="BS23" i="25"/>
  <c r="BS18" i="25"/>
  <c r="BS17" i="25"/>
  <c r="BS12" i="25"/>
  <c r="BS23" i="24"/>
  <c r="BS17" i="24"/>
  <c r="BS18" i="24"/>
  <c r="BS12" i="24"/>
  <c r="BS23" i="23"/>
  <c r="BS17" i="23"/>
  <c r="BS18" i="23"/>
  <c r="BS12" i="23"/>
  <c r="ED17" i="20"/>
  <c r="ED12" i="20"/>
  <c r="EE11" i="20" s="1"/>
  <c r="EE17" i="18"/>
  <c r="EE12" i="18"/>
  <c r="EF11" i="18" s="1"/>
  <c r="DR20" i="10"/>
  <c r="DR19" i="10"/>
  <c r="EC17" i="10"/>
  <c r="EC12" i="10"/>
  <c r="ED11" i="10" s="1"/>
  <c r="BS23" i="29" l="1"/>
  <c r="BS17" i="29"/>
  <c r="BS18" i="29"/>
  <c r="BS12" i="29"/>
  <c r="BS21" i="28"/>
  <c r="BT11" i="28"/>
  <c r="BS21" i="27"/>
  <c r="BT11" i="27"/>
  <c r="BS23" i="26"/>
  <c r="BS17" i="26"/>
  <c r="BS18" i="26"/>
  <c r="BS12" i="26"/>
  <c r="BS21" i="25"/>
  <c r="BT11" i="25"/>
  <c r="BS21" i="24"/>
  <c r="BT11" i="24"/>
  <c r="BS21" i="23"/>
  <c r="BT11" i="23"/>
  <c r="EE17" i="20"/>
  <c r="EE12" i="20"/>
  <c r="EF11" i="20" s="1"/>
  <c r="EF17" i="18"/>
  <c r="EF12" i="18"/>
  <c r="EG11" i="18" s="1"/>
  <c r="DS20" i="10"/>
  <c r="DS19" i="10"/>
  <c r="ED17" i="10"/>
  <c r="ED12" i="10"/>
  <c r="EE11" i="10" s="1"/>
  <c r="BS21" i="29" l="1"/>
  <c r="BT11" i="29"/>
  <c r="BT23" i="28"/>
  <c r="BT18" i="28"/>
  <c r="BT17" i="28"/>
  <c r="BT12" i="28"/>
  <c r="BT23" i="27"/>
  <c r="BT18" i="27"/>
  <c r="BT17" i="27"/>
  <c r="BT12" i="27"/>
  <c r="BS21" i="26"/>
  <c r="BT11" i="26"/>
  <c r="BT23" i="25"/>
  <c r="BT17" i="25"/>
  <c r="BT18" i="25"/>
  <c r="BT12" i="25"/>
  <c r="BT23" i="24"/>
  <c r="BT18" i="24"/>
  <c r="BT17" i="24"/>
  <c r="BT12" i="24"/>
  <c r="BT23" i="23"/>
  <c r="BT18" i="23"/>
  <c r="BT17" i="23"/>
  <c r="BT12" i="23"/>
  <c r="EF17" i="20"/>
  <c r="EF12" i="20"/>
  <c r="EG11" i="20" s="1"/>
  <c r="EG17" i="18"/>
  <c r="EG12" i="18"/>
  <c r="EH11" i="18" s="1"/>
  <c r="DT19" i="10"/>
  <c r="DT20" i="10"/>
  <c r="EE17" i="10"/>
  <c r="EE12" i="10"/>
  <c r="EF11" i="10" s="1"/>
  <c r="BT23" i="29" l="1"/>
  <c r="BT18" i="29"/>
  <c r="BT17" i="29"/>
  <c r="BT12" i="29"/>
  <c r="BT21" i="28"/>
  <c r="BU11" i="28"/>
  <c r="BT21" i="27"/>
  <c r="BU11" i="27"/>
  <c r="BT23" i="26"/>
  <c r="BT18" i="26"/>
  <c r="BT17" i="26"/>
  <c r="BT12" i="26"/>
  <c r="BT21" i="25"/>
  <c r="BU11" i="25"/>
  <c r="BT21" i="24"/>
  <c r="BU11" i="24"/>
  <c r="BT21" i="23"/>
  <c r="BU11" i="23"/>
  <c r="EG17" i="20"/>
  <c r="EG12" i="20"/>
  <c r="EH11" i="20" s="1"/>
  <c r="EH17" i="18"/>
  <c r="EH12" i="18"/>
  <c r="EI11" i="18" s="1"/>
  <c r="DU20" i="10"/>
  <c r="DU19" i="10"/>
  <c r="EF17" i="10"/>
  <c r="EF12" i="10"/>
  <c r="EG11" i="10" s="1"/>
  <c r="BT21" i="29" l="1"/>
  <c r="BU11" i="29"/>
  <c r="BU23" i="28"/>
  <c r="BU17" i="28"/>
  <c r="BU18" i="28"/>
  <c r="BU12" i="28"/>
  <c r="BU23" i="27"/>
  <c r="BU18" i="27"/>
  <c r="BU17" i="27"/>
  <c r="BU12" i="27"/>
  <c r="BT21" i="26"/>
  <c r="BU11" i="26"/>
  <c r="BU23" i="25"/>
  <c r="BU18" i="25"/>
  <c r="BU17" i="25"/>
  <c r="BU12" i="25"/>
  <c r="BU23" i="24"/>
  <c r="BU17" i="24"/>
  <c r="BU18" i="24"/>
  <c r="BU12" i="24"/>
  <c r="BU23" i="23"/>
  <c r="BU17" i="23"/>
  <c r="BU18" i="23"/>
  <c r="BU12" i="23"/>
  <c r="EH17" i="20"/>
  <c r="EH12" i="20"/>
  <c r="EI11" i="20" s="1"/>
  <c r="EI17" i="18"/>
  <c r="EI12" i="18"/>
  <c r="EJ11" i="18" s="1"/>
  <c r="DV19" i="10"/>
  <c r="DV20" i="10"/>
  <c r="EG17" i="10"/>
  <c r="EG12" i="10"/>
  <c r="EH11" i="10" s="1"/>
  <c r="BU23" i="29" l="1"/>
  <c r="BU17" i="29"/>
  <c r="BU18" i="29"/>
  <c r="BU12" i="29"/>
  <c r="BU21" i="28"/>
  <c r="BV11" i="28"/>
  <c r="BU21" i="27"/>
  <c r="BV11" i="27"/>
  <c r="BU23" i="26"/>
  <c r="BU17" i="26"/>
  <c r="BU18" i="26"/>
  <c r="BU12" i="26"/>
  <c r="BU21" i="25"/>
  <c r="BV11" i="25"/>
  <c r="BU21" i="24"/>
  <c r="BV11" i="24"/>
  <c r="BU21" i="23"/>
  <c r="BV11" i="23"/>
  <c r="EI17" i="20"/>
  <c r="EI12" i="20"/>
  <c r="EJ11" i="20" s="1"/>
  <c r="EJ17" i="18"/>
  <c r="EJ12" i="18"/>
  <c r="EK11" i="18" s="1"/>
  <c r="DW20" i="10"/>
  <c r="DW19" i="10"/>
  <c r="EH17" i="10"/>
  <c r="EH12" i="10"/>
  <c r="EI11" i="10" s="1"/>
  <c r="BU21" i="29" l="1"/>
  <c r="BV11" i="29"/>
  <c r="BV23" i="28"/>
  <c r="BV18" i="28"/>
  <c r="BV17" i="28"/>
  <c r="BV12" i="28"/>
  <c r="BV23" i="27"/>
  <c r="BV18" i="27"/>
  <c r="BV17" i="27"/>
  <c r="BV12" i="27"/>
  <c r="BU21" i="26"/>
  <c r="BV11" i="26"/>
  <c r="BV23" i="25"/>
  <c r="BV17" i="25"/>
  <c r="BV18" i="25"/>
  <c r="BV12" i="25"/>
  <c r="BV23" i="24"/>
  <c r="BV18" i="24"/>
  <c r="BV17" i="24"/>
  <c r="BV12" i="24"/>
  <c r="BV23" i="23"/>
  <c r="BV18" i="23"/>
  <c r="BV17" i="23"/>
  <c r="BV12" i="23"/>
  <c r="EJ17" i="20"/>
  <c r="EJ12" i="20"/>
  <c r="EK11" i="20" s="1"/>
  <c r="EK17" i="18"/>
  <c r="EK12" i="18"/>
  <c r="EL11" i="18" s="1"/>
  <c r="DX20" i="10"/>
  <c r="DX19" i="10"/>
  <c r="EI17" i="10"/>
  <c r="EI12" i="10"/>
  <c r="EJ11" i="10" s="1"/>
  <c r="BV23" i="29" l="1"/>
  <c r="BV18" i="29"/>
  <c r="BV17" i="29"/>
  <c r="BV12" i="29"/>
  <c r="BV21" i="28"/>
  <c r="BW11" i="28"/>
  <c r="BV21" i="27"/>
  <c r="BW11" i="27"/>
  <c r="BV23" i="26"/>
  <c r="BV18" i="26"/>
  <c r="BV17" i="26"/>
  <c r="BV12" i="26"/>
  <c r="BV21" i="25"/>
  <c r="BW11" i="25"/>
  <c r="BV21" i="24"/>
  <c r="BW11" i="24"/>
  <c r="BV21" i="23"/>
  <c r="BW11" i="23"/>
  <c r="EK17" i="20"/>
  <c r="EK12" i="20"/>
  <c r="EL11" i="20" s="1"/>
  <c r="EL17" i="18"/>
  <c r="EL12" i="18"/>
  <c r="EM11" i="18" s="1"/>
  <c r="DY20" i="10"/>
  <c r="DY19" i="10"/>
  <c r="EJ17" i="10"/>
  <c r="EJ12" i="10"/>
  <c r="EK11" i="10" s="1"/>
  <c r="BV21" i="29" l="1"/>
  <c r="BW11" i="29"/>
  <c r="BW23" i="28"/>
  <c r="BW17" i="28"/>
  <c r="BW18" i="28"/>
  <c r="BW12" i="28"/>
  <c r="BW23" i="27"/>
  <c r="BW18" i="27"/>
  <c r="BW17" i="27"/>
  <c r="BW12" i="27"/>
  <c r="BV21" i="26"/>
  <c r="BW11" i="26"/>
  <c r="BW23" i="25"/>
  <c r="BW18" i="25"/>
  <c r="BW17" i="25"/>
  <c r="BW12" i="25"/>
  <c r="BW23" i="24"/>
  <c r="BW17" i="24"/>
  <c r="BW18" i="24"/>
  <c r="BW12" i="24"/>
  <c r="BW23" i="23"/>
  <c r="BW17" i="23"/>
  <c r="BW18" i="23"/>
  <c r="BW12" i="23"/>
  <c r="EL17" i="20"/>
  <c r="EL12" i="20"/>
  <c r="EM11" i="20" s="1"/>
  <c r="EM17" i="18"/>
  <c r="EM12" i="18"/>
  <c r="EN11" i="18" s="1"/>
  <c r="DZ20" i="10"/>
  <c r="DZ19" i="10"/>
  <c r="EK17" i="10"/>
  <c r="EK12" i="10"/>
  <c r="EL11" i="10" s="1"/>
  <c r="BW23" i="29" l="1"/>
  <c r="BW17" i="29"/>
  <c r="BW18" i="29"/>
  <c r="BW12" i="29"/>
  <c r="BW21" i="28"/>
  <c r="BX11" i="28"/>
  <c r="BW21" i="27"/>
  <c r="BX11" i="27"/>
  <c r="BW23" i="26"/>
  <c r="BW17" i="26"/>
  <c r="BW18" i="26"/>
  <c r="BW12" i="26"/>
  <c r="BW21" i="25"/>
  <c r="BX11" i="25"/>
  <c r="BW21" i="24"/>
  <c r="BX11" i="24"/>
  <c r="BW21" i="23"/>
  <c r="BX11" i="23"/>
  <c r="EM17" i="20"/>
  <c r="EM12" i="20"/>
  <c r="EN11" i="20" s="1"/>
  <c r="EN17" i="18"/>
  <c r="EN12" i="18"/>
  <c r="EO11" i="18" s="1"/>
  <c r="EA20" i="10"/>
  <c r="EA19" i="10"/>
  <c r="EL17" i="10"/>
  <c r="EL12" i="10"/>
  <c r="EM11" i="10" s="1"/>
  <c r="BW21" i="29" l="1"/>
  <c r="BX11" i="29"/>
  <c r="BX23" i="28"/>
  <c r="BX18" i="28"/>
  <c r="BX17" i="28"/>
  <c r="BX12" i="28"/>
  <c r="BX23" i="27"/>
  <c r="BX18" i="27"/>
  <c r="BX17" i="27"/>
  <c r="BX12" i="27"/>
  <c r="BW21" i="26"/>
  <c r="BX11" i="26"/>
  <c r="BX23" i="25"/>
  <c r="BX17" i="25"/>
  <c r="BX18" i="25"/>
  <c r="BX12" i="25"/>
  <c r="BX23" i="24"/>
  <c r="BX18" i="24"/>
  <c r="BX17" i="24"/>
  <c r="BX12" i="24"/>
  <c r="BX23" i="23"/>
  <c r="BX18" i="23"/>
  <c r="BX17" i="23"/>
  <c r="BX12" i="23"/>
  <c r="EN17" i="20"/>
  <c r="EN12" i="20"/>
  <c r="EO11" i="20" s="1"/>
  <c r="EO17" i="18"/>
  <c r="EO12" i="18"/>
  <c r="EP11" i="18" s="1"/>
  <c r="EB20" i="10"/>
  <c r="EB19" i="10"/>
  <c r="EM17" i="10"/>
  <c r="EM12" i="10"/>
  <c r="EN11" i="10" s="1"/>
  <c r="BX23" i="29" l="1"/>
  <c r="BX18" i="29"/>
  <c r="BX17" i="29"/>
  <c r="BX12" i="29"/>
  <c r="BX21" i="28"/>
  <c r="BY11" i="28"/>
  <c r="BX21" i="27"/>
  <c r="BY11" i="27"/>
  <c r="BX23" i="26"/>
  <c r="BX18" i="26"/>
  <c r="BX17" i="26"/>
  <c r="BX12" i="26"/>
  <c r="BX21" i="25"/>
  <c r="BY11" i="25"/>
  <c r="BX21" i="24"/>
  <c r="BY11" i="24"/>
  <c r="BX21" i="23"/>
  <c r="BY11" i="23"/>
  <c r="EO17" i="20"/>
  <c r="EO12" i="20"/>
  <c r="EP11" i="20" s="1"/>
  <c r="EP17" i="18"/>
  <c r="EP12" i="18"/>
  <c r="EQ11" i="18" s="1"/>
  <c r="EC20" i="10"/>
  <c r="EC19" i="10"/>
  <c r="EN17" i="10"/>
  <c r="EN12" i="10"/>
  <c r="EO11" i="10" s="1"/>
  <c r="BX21" i="29" l="1"/>
  <c r="BY11" i="29"/>
  <c r="BY23" i="28"/>
  <c r="BY17" i="28"/>
  <c r="BY18" i="28"/>
  <c r="BY12" i="28"/>
  <c r="BY23" i="27"/>
  <c r="BY18" i="27"/>
  <c r="BY17" i="27"/>
  <c r="BY12" i="27"/>
  <c r="BX21" i="26"/>
  <c r="BY11" i="26"/>
  <c r="BY23" i="25"/>
  <c r="BY18" i="25"/>
  <c r="BY17" i="25"/>
  <c r="BY12" i="25"/>
  <c r="BY23" i="24"/>
  <c r="BY17" i="24"/>
  <c r="BY18" i="24"/>
  <c r="BY12" i="24"/>
  <c r="BY23" i="23"/>
  <c r="BY17" i="23"/>
  <c r="BY18" i="23"/>
  <c r="BY12" i="23"/>
  <c r="EP17" i="20"/>
  <c r="EP12" i="20"/>
  <c r="EQ11" i="20" s="1"/>
  <c r="EQ17" i="18"/>
  <c r="EQ12" i="18"/>
  <c r="ER11" i="18" s="1"/>
  <c r="ED20" i="10"/>
  <c r="ED19" i="10"/>
  <c r="EO17" i="10"/>
  <c r="EO12" i="10"/>
  <c r="EP11" i="10" s="1"/>
  <c r="BY23" i="29" l="1"/>
  <c r="BY17" i="29"/>
  <c r="BY18" i="29"/>
  <c r="BY12" i="29"/>
  <c r="BY21" i="28"/>
  <c r="BZ11" i="28"/>
  <c r="BY21" i="27"/>
  <c r="BZ11" i="27"/>
  <c r="BY23" i="26"/>
  <c r="BY17" i="26"/>
  <c r="BY18" i="26"/>
  <c r="BY12" i="26"/>
  <c r="BY21" i="25"/>
  <c r="BZ11" i="25"/>
  <c r="BY21" i="24"/>
  <c r="BZ11" i="24"/>
  <c r="BY21" i="23"/>
  <c r="BZ11" i="23"/>
  <c r="EQ17" i="20"/>
  <c r="EQ12" i="20"/>
  <c r="ER11" i="20" s="1"/>
  <c r="ER17" i="18"/>
  <c r="ER12" i="18"/>
  <c r="ES11" i="18" s="1"/>
  <c r="EE20" i="10"/>
  <c r="EE19" i="10"/>
  <c r="EP17" i="10"/>
  <c r="EP12" i="10"/>
  <c r="EQ11" i="10" s="1"/>
  <c r="BY21" i="29" l="1"/>
  <c r="BZ11" i="29"/>
  <c r="BZ23" i="28"/>
  <c r="BZ18" i="28"/>
  <c r="BZ17" i="28"/>
  <c r="BZ12" i="28"/>
  <c r="BZ23" i="27"/>
  <c r="BZ18" i="27"/>
  <c r="BZ17" i="27"/>
  <c r="BZ12" i="27"/>
  <c r="BY21" i="26"/>
  <c r="BZ11" i="26"/>
  <c r="BZ23" i="25"/>
  <c r="BZ17" i="25"/>
  <c r="BZ18" i="25"/>
  <c r="BZ12" i="25"/>
  <c r="BZ23" i="24"/>
  <c r="BZ18" i="24"/>
  <c r="BZ17" i="24"/>
  <c r="BZ12" i="24"/>
  <c r="BZ23" i="23"/>
  <c r="BZ18" i="23"/>
  <c r="BZ17" i="23"/>
  <c r="BZ12" i="23"/>
  <c r="ER17" i="20"/>
  <c r="ER12" i="20"/>
  <c r="ES11" i="20" s="1"/>
  <c r="ES17" i="18"/>
  <c r="ES12" i="18"/>
  <c r="ET11" i="18" s="1"/>
  <c r="EF20" i="10"/>
  <c r="EF19" i="10"/>
  <c r="EQ17" i="10"/>
  <c r="EQ12" i="10"/>
  <c r="ER11" i="10" s="1"/>
  <c r="BZ23" i="29" l="1"/>
  <c r="BZ18" i="29"/>
  <c r="BZ17" i="29"/>
  <c r="BZ12" i="29"/>
  <c r="BZ21" i="28"/>
  <c r="CA11" i="28"/>
  <c r="BZ21" i="27"/>
  <c r="CA11" i="27"/>
  <c r="BZ23" i="26"/>
  <c r="BZ18" i="26"/>
  <c r="BZ17" i="26"/>
  <c r="BZ12" i="26"/>
  <c r="BZ21" i="25"/>
  <c r="CA11" i="25"/>
  <c r="BZ21" i="24"/>
  <c r="CA11" i="24"/>
  <c r="BZ21" i="23"/>
  <c r="CA11" i="23"/>
  <c r="ES17" i="20"/>
  <c r="ES12" i="20"/>
  <c r="ET11" i="20" s="1"/>
  <c r="ET17" i="18"/>
  <c r="ET12" i="18"/>
  <c r="EU11" i="18" s="1"/>
  <c r="EG20" i="10"/>
  <c r="EG19" i="10"/>
  <c r="ER17" i="10"/>
  <c r="ER12" i="10"/>
  <c r="ES11" i="10" s="1"/>
  <c r="BZ21" i="29" l="1"/>
  <c r="CA11" i="29"/>
  <c r="CA23" i="28"/>
  <c r="CA17" i="28"/>
  <c r="CA18" i="28"/>
  <c r="CA12" i="28"/>
  <c r="CA23" i="27"/>
  <c r="CA18" i="27"/>
  <c r="CA17" i="27"/>
  <c r="CA12" i="27"/>
  <c r="BZ21" i="26"/>
  <c r="CA11" i="26"/>
  <c r="CA23" i="25"/>
  <c r="CA18" i="25"/>
  <c r="CA17" i="25"/>
  <c r="CA12" i="25"/>
  <c r="CA23" i="24"/>
  <c r="CA17" i="24"/>
  <c r="CA18" i="24"/>
  <c r="CA12" i="24"/>
  <c r="CA23" i="23"/>
  <c r="CA17" i="23"/>
  <c r="CA18" i="23"/>
  <c r="CA12" i="23"/>
  <c r="ET17" i="20"/>
  <c r="ET12" i="20"/>
  <c r="EU11" i="20" s="1"/>
  <c r="EU17" i="18"/>
  <c r="EU12" i="18"/>
  <c r="EV11" i="18" s="1"/>
  <c r="EH19" i="10"/>
  <c r="EH20" i="10"/>
  <c r="ES17" i="10"/>
  <c r="ES12" i="10"/>
  <c r="ET11" i="10" s="1"/>
  <c r="CA23" i="29" l="1"/>
  <c r="CA17" i="29"/>
  <c r="CA18" i="29"/>
  <c r="CA12" i="29"/>
  <c r="CA21" i="28"/>
  <c r="CB11" i="28"/>
  <c r="CA21" i="27"/>
  <c r="CB11" i="27"/>
  <c r="CA23" i="26"/>
  <c r="CA17" i="26"/>
  <c r="CA18" i="26"/>
  <c r="CA12" i="26"/>
  <c r="CA21" i="25"/>
  <c r="CB11" i="25"/>
  <c r="CA21" i="24"/>
  <c r="CB11" i="24"/>
  <c r="CA21" i="23"/>
  <c r="CB11" i="23"/>
  <c r="EU17" i="20"/>
  <c r="EU12" i="20"/>
  <c r="EV11" i="20" s="1"/>
  <c r="EV17" i="18"/>
  <c r="EV12" i="18"/>
  <c r="EW11" i="18" s="1"/>
  <c r="EI20" i="10"/>
  <c r="EI19" i="10"/>
  <c r="ET17" i="10"/>
  <c r="ET12" i="10"/>
  <c r="EU11" i="10" s="1"/>
  <c r="CA21" i="29" l="1"/>
  <c r="CB11" i="29"/>
  <c r="CB23" i="28"/>
  <c r="CB18" i="28"/>
  <c r="CB17" i="28"/>
  <c r="CB12" i="28"/>
  <c r="CB23" i="27"/>
  <c r="CB18" i="27"/>
  <c r="CB17" i="27"/>
  <c r="CB12" i="27"/>
  <c r="CA21" i="26"/>
  <c r="CB11" i="26"/>
  <c r="CB23" i="25"/>
  <c r="CB17" i="25"/>
  <c r="CB18" i="25"/>
  <c r="CB12" i="25"/>
  <c r="CB23" i="24"/>
  <c r="CB18" i="24"/>
  <c r="CB17" i="24"/>
  <c r="CB12" i="24"/>
  <c r="CB23" i="23"/>
  <c r="CB18" i="23"/>
  <c r="CB17" i="23"/>
  <c r="CB12" i="23"/>
  <c r="EV17" i="20"/>
  <c r="EV12" i="20"/>
  <c r="EW11" i="20" s="1"/>
  <c r="EW17" i="18"/>
  <c r="EW12" i="18"/>
  <c r="EX11" i="18" s="1"/>
  <c r="EJ20" i="10"/>
  <c r="EJ19" i="10"/>
  <c r="EU17" i="10"/>
  <c r="EU12" i="10"/>
  <c r="EV11" i="10" s="1"/>
  <c r="CB23" i="29" l="1"/>
  <c r="CB18" i="29"/>
  <c r="CB17" i="29"/>
  <c r="CB12" i="29"/>
  <c r="CB21" i="28"/>
  <c r="CC11" i="28"/>
  <c r="CB21" i="27"/>
  <c r="CC11" i="27"/>
  <c r="CB23" i="26"/>
  <c r="CB18" i="26"/>
  <c r="CB17" i="26"/>
  <c r="CB12" i="26"/>
  <c r="CB21" i="25"/>
  <c r="CC11" i="25"/>
  <c r="CB21" i="24"/>
  <c r="CC11" i="24"/>
  <c r="CB21" i="23"/>
  <c r="CC11" i="23"/>
  <c r="EW17" i="20"/>
  <c r="EW12" i="20"/>
  <c r="EX11" i="20" s="1"/>
  <c r="EX17" i="18"/>
  <c r="EX12" i="18"/>
  <c r="EY11" i="18" s="1"/>
  <c r="EK20" i="10"/>
  <c r="EK19" i="10"/>
  <c r="EV17" i="10"/>
  <c r="EV12" i="10"/>
  <c r="EW11" i="10" s="1"/>
  <c r="CB21" i="29" l="1"/>
  <c r="CC11" i="29"/>
  <c r="CC23" i="28"/>
  <c r="CC17" i="28"/>
  <c r="CC18" i="28"/>
  <c r="CC12" i="28"/>
  <c r="CC23" i="27"/>
  <c r="CC18" i="27"/>
  <c r="CC17" i="27"/>
  <c r="CC12" i="27"/>
  <c r="CB21" i="26"/>
  <c r="CC11" i="26"/>
  <c r="CC23" i="25"/>
  <c r="CC18" i="25"/>
  <c r="CC17" i="25"/>
  <c r="CC12" i="25"/>
  <c r="CC23" i="24"/>
  <c r="CC17" i="24"/>
  <c r="CC18" i="24"/>
  <c r="CC12" i="24"/>
  <c r="CC23" i="23"/>
  <c r="CC17" i="23"/>
  <c r="CC18" i="23"/>
  <c r="CC12" i="23"/>
  <c r="EX17" i="20"/>
  <c r="EX12" i="20"/>
  <c r="EY11" i="20" s="1"/>
  <c r="EY17" i="18"/>
  <c r="EY12" i="18"/>
  <c r="EZ11" i="18" s="1"/>
  <c r="EL20" i="10"/>
  <c r="EL19" i="10"/>
  <c r="EW17" i="10"/>
  <c r="EW12" i="10"/>
  <c r="EX11" i="10" s="1"/>
  <c r="CC23" i="29" l="1"/>
  <c r="CC17" i="29"/>
  <c r="CC18" i="29"/>
  <c r="CC12" i="29"/>
  <c r="CC21" i="28"/>
  <c r="CD11" i="28"/>
  <c r="CC21" i="27"/>
  <c r="CD11" i="27"/>
  <c r="CC23" i="26"/>
  <c r="CC17" i="26"/>
  <c r="CC18" i="26"/>
  <c r="CC12" i="26"/>
  <c r="CC21" i="25"/>
  <c r="CD11" i="25"/>
  <c r="CC21" i="24"/>
  <c r="CD11" i="24"/>
  <c r="CC21" i="23"/>
  <c r="CD11" i="23"/>
  <c r="EY17" i="20"/>
  <c r="EY12" i="20"/>
  <c r="EZ11" i="20" s="1"/>
  <c r="EZ17" i="18"/>
  <c r="EZ12" i="18"/>
  <c r="FA11" i="18" s="1"/>
  <c r="EM20" i="10"/>
  <c r="EM19" i="10"/>
  <c r="EX17" i="10"/>
  <c r="EX12" i="10"/>
  <c r="EY11" i="10" s="1"/>
  <c r="CC21" i="29" l="1"/>
  <c r="CD11" i="29"/>
  <c r="CD23" i="28"/>
  <c r="CD18" i="28"/>
  <c r="CD17" i="28"/>
  <c r="CD12" i="28"/>
  <c r="CD23" i="27"/>
  <c r="CD18" i="27"/>
  <c r="CD17" i="27"/>
  <c r="CD12" i="27"/>
  <c r="CC21" i="26"/>
  <c r="CD11" i="26"/>
  <c r="CD23" i="25"/>
  <c r="CD17" i="25"/>
  <c r="CD18" i="25"/>
  <c r="CD12" i="25"/>
  <c r="CD23" i="24"/>
  <c r="CD18" i="24"/>
  <c r="CD17" i="24"/>
  <c r="CD12" i="24"/>
  <c r="CD23" i="23"/>
  <c r="CD18" i="23"/>
  <c r="CD17" i="23"/>
  <c r="CD12" i="23"/>
  <c r="EZ17" i="20"/>
  <c r="EZ12" i="20"/>
  <c r="FA11" i="20" s="1"/>
  <c r="FA17" i="18"/>
  <c r="FA12" i="18"/>
  <c r="FB11" i="18" s="1"/>
  <c r="EN20" i="10"/>
  <c r="EN19" i="10"/>
  <c r="EY17" i="10"/>
  <c r="EY12" i="10"/>
  <c r="EZ11" i="10" s="1"/>
  <c r="CD23" i="29" l="1"/>
  <c r="CD18" i="29"/>
  <c r="CD17" i="29"/>
  <c r="CD12" i="29"/>
  <c r="CD21" i="28"/>
  <c r="CE11" i="28"/>
  <c r="CD21" i="27"/>
  <c r="CE11" i="27"/>
  <c r="CD23" i="26"/>
  <c r="CD18" i="26"/>
  <c r="CD17" i="26"/>
  <c r="CD12" i="26"/>
  <c r="CD21" i="25"/>
  <c r="CE11" i="25"/>
  <c r="CD21" i="24"/>
  <c r="CE11" i="24"/>
  <c r="CD21" i="23"/>
  <c r="CE11" i="23"/>
  <c r="FA17" i="20"/>
  <c r="FA12" i="20"/>
  <c r="FB11" i="20" s="1"/>
  <c r="FB17" i="18"/>
  <c r="FB12" i="18"/>
  <c r="FC11" i="18" s="1"/>
  <c r="EO20" i="10"/>
  <c r="EO19" i="10"/>
  <c r="EZ17" i="10"/>
  <c r="EZ12" i="10"/>
  <c r="FA11" i="10" s="1"/>
  <c r="CD21" i="29" l="1"/>
  <c r="CE11" i="29"/>
  <c r="CE23" i="28"/>
  <c r="CE17" i="28"/>
  <c r="CE18" i="28"/>
  <c r="CE12" i="28"/>
  <c r="CE23" i="27"/>
  <c r="CE18" i="27"/>
  <c r="CE17" i="27"/>
  <c r="CE12" i="27"/>
  <c r="CD21" i="26"/>
  <c r="CE11" i="26"/>
  <c r="CE23" i="25"/>
  <c r="CE18" i="25"/>
  <c r="CE17" i="25"/>
  <c r="CE12" i="25"/>
  <c r="CE23" i="24"/>
  <c r="CE17" i="24"/>
  <c r="CE18" i="24"/>
  <c r="CE12" i="24"/>
  <c r="CE23" i="23"/>
  <c r="CE17" i="23"/>
  <c r="CE18" i="23"/>
  <c r="CE12" i="23"/>
  <c r="FB17" i="20"/>
  <c r="FB12" i="20"/>
  <c r="FC11" i="20" s="1"/>
  <c r="FC17" i="18"/>
  <c r="FC12" i="18"/>
  <c r="FD11" i="18" s="1"/>
  <c r="EP20" i="10"/>
  <c r="EP19" i="10"/>
  <c r="FA17" i="10"/>
  <c r="FA12" i="10"/>
  <c r="FB11" i="10" s="1"/>
  <c r="CE23" i="29" l="1"/>
  <c r="CE17" i="29"/>
  <c r="CE18" i="29"/>
  <c r="CE12" i="29"/>
  <c r="CE21" i="28"/>
  <c r="CF11" i="28"/>
  <c r="CE21" i="27"/>
  <c r="CF11" i="27"/>
  <c r="CE23" i="26"/>
  <c r="CE17" i="26"/>
  <c r="CE18" i="26"/>
  <c r="CE12" i="26"/>
  <c r="CE21" i="25"/>
  <c r="CF11" i="25"/>
  <c r="CE21" i="24"/>
  <c r="CF11" i="24"/>
  <c r="CE21" i="23"/>
  <c r="CF11" i="23"/>
  <c r="FC17" i="20"/>
  <c r="FC12" i="20"/>
  <c r="FD11" i="20" s="1"/>
  <c r="FD17" i="18"/>
  <c r="FD12" i="18"/>
  <c r="FE11" i="18" s="1"/>
  <c r="EQ19" i="10"/>
  <c r="EQ20" i="10"/>
  <c r="FB17" i="10"/>
  <c r="FB12" i="10"/>
  <c r="FC11" i="10" s="1"/>
  <c r="CE21" i="29" l="1"/>
  <c r="CF11" i="29"/>
  <c r="CF23" i="28"/>
  <c r="CF18" i="28"/>
  <c r="CF17" i="28"/>
  <c r="CF12" i="28"/>
  <c r="CF23" i="27"/>
  <c r="CF18" i="27"/>
  <c r="CF17" i="27"/>
  <c r="CF12" i="27"/>
  <c r="CE21" i="26"/>
  <c r="CF11" i="26"/>
  <c r="CF23" i="25"/>
  <c r="CF17" i="25"/>
  <c r="CF18" i="25"/>
  <c r="CF12" i="25"/>
  <c r="CF23" i="24"/>
  <c r="CF18" i="24"/>
  <c r="CF17" i="24"/>
  <c r="CF12" i="24"/>
  <c r="CF23" i="23"/>
  <c r="CF18" i="23"/>
  <c r="CF17" i="23"/>
  <c r="CF12" i="23"/>
  <c r="FD17" i="20"/>
  <c r="FD12" i="20"/>
  <c r="FE11" i="20" s="1"/>
  <c r="FE17" i="18"/>
  <c r="FE12" i="18"/>
  <c r="FF11" i="18" s="1"/>
  <c r="ER20" i="10"/>
  <c r="ER19" i="10"/>
  <c r="FC17" i="10"/>
  <c r="FC12" i="10"/>
  <c r="FD11" i="10" s="1"/>
  <c r="CF23" i="29" l="1"/>
  <c r="CF18" i="29"/>
  <c r="CF17" i="29"/>
  <c r="CF12" i="29"/>
  <c r="CF21" i="28"/>
  <c r="CG11" i="28"/>
  <c r="CF21" i="27"/>
  <c r="CG11" i="27"/>
  <c r="CF23" i="26"/>
  <c r="CF18" i="26"/>
  <c r="CF17" i="26"/>
  <c r="CF12" i="26"/>
  <c r="CF21" i="25"/>
  <c r="CG11" i="25"/>
  <c r="CF21" i="24"/>
  <c r="CG11" i="24"/>
  <c r="CF21" i="23"/>
  <c r="CG11" i="23"/>
  <c r="FE17" i="20"/>
  <c r="FE12" i="20"/>
  <c r="FF11" i="20" s="1"/>
  <c r="FF17" i="18"/>
  <c r="FF12" i="18"/>
  <c r="FG11" i="18" s="1"/>
  <c r="ES20" i="10"/>
  <c r="ES19" i="10"/>
  <c r="FD17" i="10"/>
  <c r="FD12" i="10"/>
  <c r="FE11" i="10" s="1"/>
  <c r="CF21" i="29" l="1"/>
  <c r="CG11" i="29"/>
  <c r="CG23" i="28"/>
  <c r="CG17" i="28"/>
  <c r="CG18" i="28"/>
  <c r="CG12" i="28"/>
  <c r="CG23" i="27"/>
  <c r="CG18" i="27"/>
  <c r="CG17" i="27"/>
  <c r="CG12" i="27"/>
  <c r="CF21" i="26"/>
  <c r="CG11" i="26"/>
  <c r="CG23" i="25"/>
  <c r="CG18" i="25"/>
  <c r="CG17" i="25"/>
  <c r="CG12" i="25"/>
  <c r="CG23" i="24"/>
  <c r="CG17" i="24"/>
  <c r="CG18" i="24"/>
  <c r="CG12" i="24"/>
  <c r="CG23" i="23"/>
  <c r="CG17" i="23"/>
  <c r="CG18" i="23"/>
  <c r="CG12" i="23"/>
  <c r="FF17" i="20"/>
  <c r="FF12" i="20"/>
  <c r="FG11" i="20" s="1"/>
  <c r="FG17" i="18"/>
  <c r="FG12" i="18"/>
  <c r="FH11" i="18" s="1"/>
  <c r="ET20" i="10"/>
  <c r="ET19" i="10"/>
  <c r="FE17" i="10"/>
  <c r="FE12" i="10"/>
  <c r="FF11" i="10" s="1"/>
  <c r="CG23" i="29" l="1"/>
  <c r="CG17" i="29"/>
  <c r="CG18" i="29"/>
  <c r="CG12" i="29"/>
  <c r="CG21" i="28"/>
  <c r="CH11" i="28"/>
  <c r="CG21" i="27"/>
  <c r="CH11" i="27"/>
  <c r="CG23" i="26"/>
  <c r="CG17" i="26"/>
  <c r="CG18" i="26"/>
  <c r="CG12" i="26"/>
  <c r="CG21" i="25"/>
  <c r="CH11" i="25"/>
  <c r="CG21" i="24"/>
  <c r="CH11" i="24"/>
  <c r="CG21" i="23"/>
  <c r="CH11" i="23"/>
  <c r="FG17" i="20"/>
  <c r="FG12" i="20"/>
  <c r="FH11" i="20" s="1"/>
  <c r="FH17" i="18"/>
  <c r="FH12" i="18"/>
  <c r="FI11" i="18" s="1"/>
  <c r="EU20" i="10"/>
  <c r="EU19" i="10"/>
  <c r="FF17" i="10"/>
  <c r="FF12" i="10"/>
  <c r="FG11" i="10" s="1"/>
  <c r="CG21" i="29" l="1"/>
  <c r="CH11" i="29"/>
  <c r="CH23" i="28"/>
  <c r="CH18" i="28"/>
  <c r="CH17" i="28"/>
  <c r="CH12" i="28"/>
  <c r="CH23" i="27"/>
  <c r="CH18" i="27"/>
  <c r="CH17" i="27"/>
  <c r="CH12" i="27"/>
  <c r="CG21" i="26"/>
  <c r="CH11" i="26"/>
  <c r="CH23" i="25"/>
  <c r="CH17" i="25"/>
  <c r="CH18" i="25"/>
  <c r="CH12" i="25"/>
  <c r="CH23" i="24"/>
  <c r="CH18" i="24"/>
  <c r="CH17" i="24"/>
  <c r="CH12" i="24"/>
  <c r="CH23" i="23"/>
  <c r="CH18" i="23"/>
  <c r="CH17" i="23"/>
  <c r="CH12" i="23"/>
  <c r="FH17" i="20"/>
  <c r="FH12" i="20"/>
  <c r="FI11" i="20" s="1"/>
  <c r="FI17" i="18"/>
  <c r="FI12" i="18"/>
  <c r="FJ11" i="18" s="1"/>
  <c r="EV20" i="10"/>
  <c r="EV19" i="10"/>
  <c r="FG17" i="10"/>
  <c r="FG12" i="10"/>
  <c r="FH11" i="10" s="1"/>
  <c r="CH23" i="29" l="1"/>
  <c r="CH18" i="29"/>
  <c r="CH17" i="29"/>
  <c r="CH12" i="29"/>
  <c r="CH21" i="28"/>
  <c r="CI11" i="28"/>
  <c r="CH21" i="27"/>
  <c r="CI11" i="27"/>
  <c r="CH23" i="26"/>
  <c r="CH18" i="26"/>
  <c r="CH17" i="26"/>
  <c r="CH12" i="26"/>
  <c r="CH21" i="25"/>
  <c r="CI11" i="25"/>
  <c r="CH21" i="24"/>
  <c r="CI11" i="24"/>
  <c r="CH21" i="23"/>
  <c r="CI11" i="23"/>
  <c r="FI17" i="20"/>
  <c r="FI12" i="20"/>
  <c r="FJ11" i="20" s="1"/>
  <c r="FJ17" i="18"/>
  <c r="FJ12" i="18"/>
  <c r="FK11" i="18" s="1"/>
  <c r="EW19" i="10"/>
  <c r="EW20" i="10"/>
  <c r="FH17" i="10"/>
  <c r="FH12" i="10"/>
  <c r="FI11" i="10" s="1"/>
  <c r="CH21" i="29" l="1"/>
  <c r="CI11" i="29"/>
  <c r="CI23" i="28"/>
  <c r="CI17" i="28"/>
  <c r="CI18" i="28"/>
  <c r="CI12" i="28"/>
  <c r="CI23" i="27"/>
  <c r="CI18" i="27"/>
  <c r="CI17" i="27"/>
  <c r="CI12" i="27"/>
  <c r="CH21" i="26"/>
  <c r="CI11" i="26"/>
  <c r="CI23" i="25"/>
  <c r="CI18" i="25"/>
  <c r="CI17" i="25"/>
  <c r="CI12" i="25"/>
  <c r="CI23" i="24"/>
  <c r="CI17" i="24"/>
  <c r="CI18" i="24"/>
  <c r="CI12" i="24"/>
  <c r="CI23" i="23"/>
  <c r="CI17" i="23"/>
  <c r="CI18" i="23"/>
  <c r="CI12" i="23"/>
  <c r="FJ17" i="20"/>
  <c r="FJ12" i="20"/>
  <c r="FK11" i="20" s="1"/>
  <c r="FK17" i="18"/>
  <c r="FK12" i="18"/>
  <c r="FL11" i="18" s="1"/>
  <c r="EX19" i="10"/>
  <c r="EX20" i="10"/>
  <c r="FI17" i="10"/>
  <c r="FI12" i="10"/>
  <c r="FJ11" i="10" s="1"/>
  <c r="CI23" i="29" l="1"/>
  <c r="CI17" i="29"/>
  <c r="CI18" i="29"/>
  <c r="CI12" i="29"/>
  <c r="CI21" i="28"/>
  <c r="CJ11" i="28"/>
  <c r="CI21" i="27"/>
  <c r="CJ11" i="27"/>
  <c r="CI23" i="26"/>
  <c r="CI17" i="26"/>
  <c r="CI18" i="26"/>
  <c r="CI12" i="26"/>
  <c r="CI21" i="25"/>
  <c r="CJ11" i="25"/>
  <c r="CI21" i="24"/>
  <c r="CJ11" i="24"/>
  <c r="CI21" i="23"/>
  <c r="CJ11" i="23"/>
  <c r="FK17" i="20"/>
  <c r="FK12" i="20"/>
  <c r="FL11" i="20" s="1"/>
  <c r="FL17" i="18"/>
  <c r="FL12" i="18"/>
  <c r="FM11" i="18" s="1"/>
  <c r="EY20" i="10"/>
  <c r="EY19" i="10"/>
  <c r="FJ17" i="10"/>
  <c r="FJ12" i="10"/>
  <c r="FK11" i="10" s="1"/>
  <c r="CI21" i="29" l="1"/>
  <c r="CJ11" i="29"/>
  <c r="CJ23" i="28"/>
  <c r="CJ18" i="28"/>
  <c r="CJ17" i="28"/>
  <c r="CJ12" i="28"/>
  <c r="CJ23" i="27"/>
  <c r="CJ18" i="27"/>
  <c r="CJ17" i="27"/>
  <c r="CJ12" i="27"/>
  <c r="CI21" i="26"/>
  <c r="CJ11" i="26"/>
  <c r="CJ23" i="25"/>
  <c r="CJ17" i="25"/>
  <c r="CJ18" i="25"/>
  <c r="CJ12" i="25"/>
  <c r="CJ23" i="24"/>
  <c r="CJ18" i="24"/>
  <c r="CJ17" i="24"/>
  <c r="CJ12" i="24"/>
  <c r="CJ23" i="23"/>
  <c r="CJ18" i="23"/>
  <c r="CJ17" i="23"/>
  <c r="CJ12" i="23"/>
  <c r="FL17" i="20"/>
  <c r="FL12" i="20"/>
  <c r="FM11" i="20" s="1"/>
  <c r="FM17" i="18"/>
  <c r="FM12" i="18"/>
  <c r="FN11" i="18" s="1"/>
  <c r="EZ20" i="10"/>
  <c r="EZ19" i="10"/>
  <c r="FK17" i="10"/>
  <c r="FK12" i="10"/>
  <c r="FL11" i="10" s="1"/>
  <c r="CJ23" i="29" l="1"/>
  <c r="CJ18" i="29"/>
  <c r="CJ17" i="29"/>
  <c r="CJ12" i="29"/>
  <c r="CJ21" i="28"/>
  <c r="CK11" i="28"/>
  <c r="CJ21" i="27"/>
  <c r="CK11" i="27"/>
  <c r="CJ23" i="26"/>
  <c r="CJ18" i="26"/>
  <c r="CJ17" i="26"/>
  <c r="CJ12" i="26"/>
  <c r="CJ21" i="25"/>
  <c r="CK11" i="25"/>
  <c r="CJ21" i="24"/>
  <c r="CK11" i="24"/>
  <c r="CJ21" i="23"/>
  <c r="CK11" i="23"/>
  <c r="FM17" i="20"/>
  <c r="FM12" i="20"/>
  <c r="FN11" i="20" s="1"/>
  <c r="FN17" i="18"/>
  <c r="FN12" i="18"/>
  <c r="FO11" i="18" s="1"/>
  <c r="FA20" i="10"/>
  <c r="FA19" i="10"/>
  <c r="FL17" i="10"/>
  <c r="FL12" i="10"/>
  <c r="FM11" i="10" s="1"/>
  <c r="CJ21" i="29" l="1"/>
  <c r="CK11" i="29"/>
  <c r="CK23" i="28"/>
  <c r="CK17" i="28"/>
  <c r="CK18" i="28"/>
  <c r="CK12" i="28"/>
  <c r="CK23" i="27"/>
  <c r="CK18" i="27"/>
  <c r="CK17" i="27"/>
  <c r="CK12" i="27"/>
  <c r="CJ21" i="26"/>
  <c r="CK11" i="26"/>
  <c r="CK23" i="25"/>
  <c r="CK18" i="25"/>
  <c r="CK17" i="25"/>
  <c r="CK12" i="25"/>
  <c r="CK23" i="24"/>
  <c r="CK17" i="24"/>
  <c r="CK18" i="24"/>
  <c r="CK12" i="24"/>
  <c r="CK23" i="23"/>
  <c r="CK17" i="23"/>
  <c r="CK18" i="23"/>
  <c r="CK12" i="23"/>
  <c r="FN17" i="20"/>
  <c r="FN12" i="20"/>
  <c r="FO11" i="20" s="1"/>
  <c r="FO17" i="18"/>
  <c r="FO12" i="18"/>
  <c r="FP11" i="18" s="1"/>
  <c r="FB20" i="10"/>
  <c r="FB19" i="10"/>
  <c r="FM17" i="10"/>
  <c r="FM12" i="10"/>
  <c r="FN11" i="10" s="1"/>
  <c r="CK23" i="29" l="1"/>
  <c r="CK17" i="29"/>
  <c r="CK18" i="29"/>
  <c r="CK12" i="29"/>
  <c r="CK21" i="28"/>
  <c r="CL11" i="28"/>
  <c r="CK21" i="27"/>
  <c r="CL11" i="27"/>
  <c r="CK23" i="26"/>
  <c r="CK17" i="26"/>
  <c r="CK18" i="26"/>
  <c r="CK12" i="26"/>
  <c r="CK21" i="25"/>
  <c r="CL11" i="25"/>
  <c r="CK21" i="24"/>
  <c r="CL11" i="24"/>
  <c r="CK21" i="23"/>
  <c r="CL11" i="23"/>
  <c r="FO17" i="20"/>
  <c r="FO12" i="20"/>
  <c r="FP11" i="20" s="1"/>
  <c r="FP17" i="18"/>
  <c r="FP12" i="18"/>
  <c r="FQ11" i="18" s="1"/>
  <c r="FC20" i="10"/>
  <c r="FC19" i="10"/>
  <c r="FN17" i="10"/>
  <c r="FN12" i="10"/>
  <c r="FO11" i="10" s="1"/>
  <c r="CK21" i="29" l="1"/>
  <c r="CL11" i="29"/>
  <c r="CL23" i="28"/>
  <c r="CL18" i="28"/>
  <c r="CL17" i="28"/>
  <c r="CL12" i="28"/>
  <c r="CL23" i="27"/>
  <c r="CL18" i="27"/>
  <c r="CL17" i="27"/>
  <c r="CL12" i="27"/>
  <c r="CK21" i="26"/>
  <c r="CL11" i="26"/>
  <c r="CL23" i="25"/>
  <c r="CL17" i="25"/>
  <c r="CL18" i="25"/>
  <c r="CL12" i="25"/>
  <c r="CL23" i="24"/>
  <c r="CL18" i="24"/>
  <c r="CL17" i="24"/>
  <c r="CL12" i="24"/>
  <c r="CL23" i="23"/>
  <c r="CL18" i="23"/>
  <c r="CL17" i="23"/>
  <c r="CL12" i="23"/>
  <c r="FP17" i="20"/>
  <c r="FP12" i="20"/>
  <c r="FQ11" i="20" s="1"/>
  <c r="FQ17" i="18"/>
  <c r="FQ12" i="18"/>
  <c r="FR11" i="18" s="1"/>
  <c r="FD20" i="10"/>
  <c r="FD19" i="10"/>
  <c r="FO17" i="10"/>
  <c r="FO12" i="10"/>
  <c r="FP11" i="10" s="1"/>
  <c r="CL23" i="29" l="1"/>
  <c r="CL18" i="29"/>
  <c r="CL17" i="29"/>
  <c r="CL12" i="29"/>
  <c r="CL21" i="28"/>
  <c r="CM11" i="28"/>
  <c r="CL21" i="27"/>
  <c r="CM11" i="27"/>
  <c r="CL23" i="26"/>
  <c r="CL18" i="26"/>
  <c r="CL17" i="26"/>
  <c r="CL12" i="26"/>
  <c r="CL21" i="25"/>
  <c r="CM11" i="25"/>
  <c r="CL21" i="24"/>
  <c r="CM11" i="24"/>
  <c r="CL21" i="23"/>
  <c r="CM11" i="23"/>
  <c r="FQ17" i="20"/>
  <c r="FQ12" i="20"/>
  <c r="FR11" i="20" s="1"/>
  <c r="FR17" i="18"/>
  <c r="FR12" i="18"/>
  <c r="FS11" i="18" s="1"/>
  <c r="FE20" i="10"/>
  <c r="FE19" i="10"/>
  <c r="FP17" i="10"/>
  <c r="FP12" i="10"/>
  <c r="FQ11" i="10" s="1"/>
  <c r="CL21" i="29" l="1"/>
  <c r="CM11" i="29"/>
  <c r="CM23" i="28"/>
  <c r="CM17" i="28"/>
  <c r="CM18" i="28"/>
  <c r="CM12" i="28"/>
  <c r="CM23" i="27"/>
  <c r="CM18" i="27"/>
  <c r="CM17" i="27"/>
  <c r="CM12" i="27"/>
  <c r="CL21" i="26"/>
  <c r="CM11" i="26"/>
  <c r="CM23" i="25"/>
  <c r="CM18" i="25"/>
  <c r="CM17" i="25"/>
  <c r="CM12" i="25"/>
  <c r="CM23" i="24"/>
  <c r="CM17" i="24"/>
  <c r="CM18" i="24"/>
  <c r="CM12" i="24"/>
  <c r="CM23" i="23"/>
  <c r="CM17" i="23"/>
  <c r="CM18" i="23"/>
  <c r="CM12" i="23"/>
  <c r="FR17" i="20"/>
  <c r="FR12" i="20"/>
  <c r="FS11" i="20" s="1"/>
  <c r="FS17" i="18"/>
  <c r="FS12" i="18"/>
  <c r="FT11" i="18" s="1"/>
  <c r="FF20" i="10"/>
  <c r="FF19" i="10"/>
  <c r="FQ17" i="10"/>
  <c r="FQ12" i="10"/>
  <c r="FR11" i="10" s="1"/>
  <c r="CM23" i="29" l="1"/>
  <c r="CM17" i="29"/>
  <c r="CM18" i="29"/>
  <c r="CM12" i="29"/>
  <c r="CM21" i="28"/>
  <c r="CN11" i="28"/>
  <c r="CM21" i="27"/>
  <c r="CN11" i="27"/>
  <c r="CM23" i="26"/>
  <c r="CM17" i="26"/>
  <c r="CM18" i="26"/>
  <c r="CM12" i="26"/>
  <c r="CM21" i="25"/>
  <c r="CN11" i="25"/>
  <c r="CM21" i="24"/>
  <c r="CN11" i="24"/>
  <c r="CM21" i="23"/>
  <c r="CN11" i="23"/>
  <c r="FS17" i="20"/>
  <c r="FS12" i="20"/>
  <c r="FT11" i="20" s="1"/>
  <c r="FT17" i="18"/>
  <c r="FT12" i="18"/>
  <c r="FU11" i="18" s="1"/>
  <c r="FG19" i="10"/>
  <c r="FG20" i="10"/>
  <c r="FR17" i="10"/>
  <c r="FR12" i="10"/>
  <c r="FS11" i="10" s="1"/>
  <c r="CM21" i="29" l="1"/>
  <c r="CN11" i="29"/>
  <c r="CN23" i="28"/>
  <c r="CN18" i="28"/>
  <c r="CN17" i="28"/>
  <c r="CN12" i="28"/>
  <c r="CN23" i="27"/>
  <c r="CN18" i="27"/>
  <c r="CN17" i="27"/>
  <c r="CN12" i="27"/>
  <c r="CM21" i="26"/>
  <c r="CN11" i="26"/>
  <c r="CN23" i="25"/>
  <c r="CN17" i="25"/>
  <c r="CN18" i="25"/>
  <c r="CN12" i="25"/>
  <c r="CN23" i="24"/>
  <c r="CN18" i="24"/>
  <c r="CN17" i="24"/>
  <c r="CN12" i="24"/>
  <c r="CN23" i="23"/>
  <c r="CN18" i="23"/>
  <c r="CN17" i="23"/>
  <c r="CN12" i="23"/>
  <c r="FT17" i="20"/>
  <c r="FT12" i="20"/>
  <c r="FU11" i="20" s="1"/>
  <c r="FU17" i="18"/>
  <c r="FU12" i="18"/>
  <c r="FV11" i="18" s="1"/>
  <c r="FH20" i="10"/>
  <c r="FH19" i="10"/>
  <c r="FS17" i="10"/>
  <c r="FS12" i="10"/>
  <c r="FT11" i="10" s="1"/>
  <c r="CN23" i="29" l="1"/>
  <c r="CN18" i="29"/>
  <c r="CN17" i="29"/>
  <c r="CN12" i="29"/>
  <c r="CN21" i="28"/>
  <c r="CO11" i="28"/>
  <c r="CN21" i="27"/>
  <c r="CO11" i="27"/>
  <c r="CN23" i="26"/>
  <c r="CN18" i="26"/>
  <c r="CN17" i="26"/>
  <c r="CN12" i="26"/>
  <c r="CN21" i="25"/>
  <c r="CO11" i="25"/>
  <c r="CN21" i="24"/>
  <c r="CO11" i="24"/>
  <c r="CN21" i="23"/>
  <c r="CO11" i="23"/>
  <c r="FU17" i="20"/>
  <c r="FU12" i="20"/>
  <c r="FV11" i="20" s="1"/>
  <c r="FV17" i="18"/>
  <c r="FV12" i="18"/>
  <c r="FW11" i="18" s="1"/>
  <c r="FI20" i="10"/>
  <c r="FI19" i="10"/>
  <c r="FT17" i="10"/>
  <c r="FT12" i="10"/>
  <c r="FU11" i="10" s="1"/>
  <c r="CN21" i="29" l="1"/>
  <c r="CO11" i="29"/>
  <c r="CO23" i="28"/>
  <c r="CO17" i="28"/>
  <c r="CO18" i="28"/>
  <c r="CO12" i="28"/>
  <c r="CO23" i="27"/>
  <c r="CO18" i="27"/>
  <c r="CO17" i="27"/>
  <c r="CO12" i="27"/>
  <c r="CN21" i="26"/>
  <c r="CO11" i="26"/>
  <c r="CO23" i="25"/>
  <c r="CO18" i="25"/>
  <c r="CO17" i="25"/>
  <c r="CO12" i="25"/>
  <c r="CO23" i="24"/>
  <c r="CO17" i="24"/>
  <c r="CO18" i="24"/>
  <c r="CO12" i="24"/>
  <c r="CO23" i="23"/>
  <c r="CO17" i="23"/>
  <c r="CO18" i="23"/>
  <c r="CO12" i="23"/>
  <c r="FV17" i="20"/>
  <c r="FV12" i="20"/>
  <c r="FW11" i="20" s="1"/>
  <c r="FW17" i="18"/>
  <c r="FW12" i="18"/>
  <c r="FX11" i="18" s="1"/>
  <c r="FJ19" i="10"/>
  <c r="FJ20" i="10"/>
  <c r="FU17" i="10"/>
  <c r="FU12" i="10"/>
  <c r="FV11" i="10" s="1"/>
  <c r="CO23" i="29" l="1"/>
  <c r="CO17" i="29"/>
  <c r="CO18" i="29"/>
  <c r="CO12" i="29"/>
  <c r="CO21" i="28"/>
  <c r="CP11" i="28"/>
  <c r="CO21" i="27"/>
  <c r="CP11" i="27"/>
  <c r="CO23" i="26"/>
  <c r="CO17" i="26"/>
  <c r="CO18" i="26"/>
  <c r="CO12" i="26"/>
  <c r="CO21" i="25"/>
  <c r="CP11" i="25"/>
  <c r="CO21" i="24"/>
  <c r="CP11" i="24"/>
  <c r="CO21" i="23"/>
  <c r="CP11" i="23"/>
  <c r="FW17" i="20"/>
  <c r="FW12" i="20"/>
  <c r="FX11" i="20" s="1"/>
  <c r="FX17" i="18"/>
  <c r="FX12" i="18"/>
  <c r="FY11" i="18" s="1"/>
  <c r="FK20" i="10"/>
  <c r="FK19" i="10"/>
  <c r="FV17" i="10"/>
  <c r="FV12" i="10"/>
  <c r="FW11" i="10" s="1"/>
  <c r="CO21" i="29" l="1"/>
  <c r="CP11" i="29"/>
  <c r="CP23" i="28"/>
  <c r="CP18" i="28"/>
  <c r="CP17" i="28"/>
  <c r="CP12" i="28"/>
  <c r="CP23" i="27"/>
  <c r="CP18" i="27"/>
  <c r="CP17" i="27"/>
  <c r="CP12" i="27"/>
  <c r="CO21" i="26"/>
  <c r="CP11" i="26"/>
  <c r="CP23" i="25"/>
  <c r="CP17" i="25"/>
  <c r="CP18" i="25"/>
  <c r="CP12" i="25"/>
  <c r="CP23" i="24"/>
  <c r="CP18" i="24"/>
  <c r="CP17" i="24"/>
  <c r="CP12" i="24"/>
  <c r="CP23" i="23"/>
  <c r="CP18" i="23"/>
  <c r="CP17" i="23"/>
  <c r="CP12" i="23"/>
  <c r="FX17" i="20"/>
  <c r="FX12" i="20"/>
  <c r="FY11" i="20" s="1"/>
  <c r="FY17" i="18"/>
  <c r="FY12" i="18"/>
  <c r="FZ11" i="18" s="1"/>
  <c r="FL20" i="10"/>
  <c r="FL19" i="10"/>
  <c r="FW17" i="10"/>
  <c r="FW12" i="10"/>
  <c r="FX11" i="10" s="1"/>
  <c r="CP23" i="29" l="1"/>
  <c r="CP18" i="29"/>
  <c r="CP17" i="29"/>
  <c r="CP12" i="29"/>
  <c r="CP21" i="28"/>
  <c r="CQ11" i="28"/>
  <c r="CP21" i="27"/>
  <c r="CQ11" i="27"/>
  <c r="CP23" i="26"/>
  <c r="CP18" i="26"/>
  <c r="CP17" i="26"/>
  <c r="CP12" i="26"/>
  <c r="CP21" i="25"/>
  <c r="CQ11" i="25"/>
  <c r="CP21" i="24"/>
  <c r="CQ11" i="24"/>
  <c r="CP21" i="23"/>
  <c r="CQ11" i="23"/>
  <c r="FY17" i="20"/>
  <c r="FY12" i="20"/>
  <c r="FZ11" i="20" s="1"/>
  <c r="FZ17" i="18"/>
  <c r="FZ12" i="18"/>
  <c r="GA11" i="18" s="1"/>
  <c r="FM19" i="10"/>
  <c r="FM20" i="10"/>
  <c r="FX17" i="10"/>
  <c r="FX12" i="10"/>
  <c r="FY11" i="10" s="1"/>
  <c r="CP21" i="29" l="1"/>
  <c r="CQ11" i="29"/>
  <c r="CQ23" i="28"/>
  <c r="CQ17" i="28"/>
  <c r="CQ18" i="28"/>
  <c r="CQ12" i="28"/>
  <c r="CQ23" i="27"/>
  <c r="CQ18" i="27"/>
  <c r="CQ17" i="27"/>
  <c r="CQ12" i="27"/>
  <c r="CP21" i="26"/>
  <c r="CQ11" i="26"/>
  <c r="CQ23" i="25"/>
  <c r="CQ18" i="25"/>
  <c r="CQ17" i="25"/>
  <c r="CQ12" i="25"/>
  <c r="CQ23" i="24"/>
  <c r="CQ17" i="24"/>
  <c r="CQ18" i="24"/>
  <c r="CQ12" i="24"/>
  <c r="CQ23" i="23"/>
  <c r="CQ17" i="23"/>
  <c r="CQ18" i="23"/>
  <c r="CQ12" i="23"/>
  <c r="FZ17" i="20"/>
  <c r="FZ12" i="20"/>
  <c r="GA11" i="20" s="1"/>
  <c r="GA17" i="18"/>
  <c r="GA12" i="18"/>
  <c r="GB11" i="18" s="1"/>
  <c r="FN20" i="10"/>
  <c r="FN19" i="10"/>
  <c r="FY17" i="10"/>
  <c r="FY12" i="10"/>
  <c r="FZ11" i="10" s="1"/>
  <c r="CQ23" i="29" l="1"/>
  <c r="CQ17" i="29"/>
  <c r="CQ18" i="29"/>
  <c r="CQ12" i="29"/>
  <c r="CQ21" i="28"/>
  <c r="CR11" i="28"/>
  <c r="CQ21" i="27"/>
  <c r="CR11" i="27"/>
  <c r="CQ23" i="26"/>
  <c r="CQ17" i="26"/>
  <c r="CQ18" i="26"/>
  <c r="CQ12" i="26"/>
  <c r="CQ21" i="25"/>
  <c r="CR11" i="25"/>
  <c r="CQ21" i="24"/>
  <c r="CR11" i="24"/>
  <c r="CQ21" i="23"/>
  <c r="CR11" i="23"/>
  <c r="GA17" i="20"/>
  <c r="GA12" i="20"/>
  <c r="GB11" i="20" s="1"/>
  <c r="GB17" i="18"/>
  <c r="GB12" i="18"/>
  <c r="GC11" i="18" s="1"/>
  <c r="FO20" i="10"/>
  <c r="FO19" i="10"/>
  <c r="FZ17" i="10"/>
  <c r="FZ12" i="10"/>
  <c r="GA11" i="10" s="1"/>
  <c r="CQ21" i="29" l="1"/>
  <c r="CR11" i="29"/>
  <c r="CR23" i="28"/>
  <c r="CR18" i="28"/>
  <c r="CR17" i="28"/>
  <c r="CR12" i="28"/>
  <c r="CR23" i="27"/>
  <c r="CR18" i="27"/>
  <c r="CR17" i="27"/>
  <c r="CR12" i="27"/>
  <c r="CQ21" i="26"/>
  <c r="CR11" i="26"/>
  <c r="CR23" i="25"/>
  <c r="CR17" i="25"/>
  <c r="CR18" i="25"/>
  <c r="CR12" i="25"/>
  <c r="CR23" i="24"/>
  <c r="CR18" i="24"/>
  <c r="CR17" i="24"/>
  <c r="CR12" i="24"/>
  <c r="CR23" i="23"/>
  <c r="CR18" i="23"/>
  <c r="CR17" i="23"/>
  <c r="CR12" i="23"/>
  <c r="GB17" i="20"/>
  <c r="GB12" i="20"/>
  <c r="GC11" i="20" s="1"/>
  <c r="GC17" i="18"/>
  <c r="GC12" i="18"/>
  <c r="GD11" i="18" s="1"/>
  <c r="FP20" i="10"/>
  <c r="FP19" i="10"/>
  <c r="GA17" i="10"/>
  <c r="GA12" i="10"/>
  <c r="GB11" i="10" s="1"/>
  <c r="CR23" i="29" l="1"/>
  <c r="CR18" i="29"/>
  <c r="CR17" i="29"/>
  <c r="CR12" i="29"/>
  <c r="CR21" i="28"/>
  <c r="CS11" i="28"/>
  <c r="CR21" i="27"/>
  <c r="CS11" i="27"/>
  <c r="CR23" i="26"/>
  <c r="CR18" i="26"/>
  <c r="CR17" i="26"/>
  <c r="CR12" i="26"/>
  <c r="CR21" i="25"/>
  <c r="CS11" i="25"/>
  <c r="CR21" i="24"/>
  <c r="CS11" i="24"/>
  <c r="CR21" i="23"/>
  <c r="CS11" i="23"/>
  <c r="GC17" i="20"/>
  <c r="GC12" i="20"/>
  <c r="GD11" i="20" s="1"/>
  <c r="GD17" i="18"/>
  <c r="GD12" i="18"/>
  <c r="GE11" i="18" s="1"/>
  <c r="FQ20" i="10"/>
  <c r="FQ19" i="10"/>
  <c r="GB17" i="10"/>
  <c r="GB12" i="10"/>
  <c r="GC11" i="10" s="1"/>
  <c r="CR21" i="29" l="1"/>
  <c r="CS11" i="29"/>
  <c r="CS23" i="28"/>
  <c r="CS17" i="28"/>
  <c r="CS18" i="28"/>
  <c r="CS12" i="28"/>
  <c r="CS23" i="27"/>
  <c r="CS18" i="27"/>
  <c r="CS17" i="27"/>
  <c r="CS12" i="27"/>
  <c r="CR21" i="26"/>
  <c r="CS11" i="26"/>
  <c r="CS23" i="25"/>
  <c r="CS18" i="25"/>
  <c r="CS17" i="25"/>
  <c r="CS12" i="25"/>
  <c r="CS23" i="24"/>
  <c r="CS17" i="24"/>
  <c r="CS18" i="24"/>
  <c r="CS12" i="24"/>
  <c r="CS23" i="23"/>
  <c r="CS17" i="23"/>
  <c r="CS18" i="23"/>
  <c r="CS12" i="23"/>
  <c r="GD17" i="20"/>
  <c r="GD12" i="20"/>
  <c r="GE11" i="20" s="1"/>
  <c r="GE17" i="18"/>
  <c r="GE12" i="18"/>
  <c r="GF11" i="18" s="1"/>
  <c r="FR19" i="10"/>
  <c r="FR20" i="10"/>
  <c r="GC17" i="10"/>
  <c r="GC12" i="10"/>
  <c r="GD11" i="10" s="1"/>
  <c r="CS23" i="29" l="1"/>
  <c r="CS17" i="29"/>
  <c r="CS18" i="29"/>
  <c r="CS12" i="29"/>
  <c r="CS21" i="28"/>
  <c r="CT11" i="28"/>
  <c r="CS21" i="27"/>
  <c r="CT11" i="27"/>
  <c r="CS23" i="26"/>
  <c r="CS17" i="26"/>
  <c r="CS18" i="26"/>
  <c r="CS12" i="26"/>
  <c r="CS21" i="25"/>
  <c r="CT11" i="25"/>
  <c r="CS21" i="24"/>
  <c r="CT11" i="24"/>
  <c r="CS21" i="23"/>
  <c r="CT11" i="23"/>
  <c r="GE17" i="20"/>
  <c r="GE12" i="20"/>
  <c r="GF11" i="20" s="1"/>
  <c r="GF17" i="18"/>
  <c r="GF12" i="18"/>
  <c r="GG11" i="18" s="1"/>
  <c r="FS20" i="10"/>
  <c r="FS19" i="10"/>
  <c r="GD17" i="10"/>
  <c r="GD12" i="10"/>
  <c r="GE11" i="10" s="1"/>
  <c r="CS21" i="29" l="1"/>
  <c r="CT11" i="29"/>
  <c r="CT23" i="28"/>
  <c r="CT18" i="28"/>
  <c r="CT17" i="28"/>
  <c r="CT12" i="28"/>
  <c r="CT23" i="27"/>
  <c r="CT18" i="27"/>
  <c r="CT17" i="27"/>
  <c r="CT12" i="27"/>
  <c r="CS21" i="26"/>
  <c r="CT11" i="26"/>
  <c r="CT23" i="25"/>
  <c r="CT17" i="25"/>
  <c r="CT18" i="25"/>
  <c r="CT12" i="25"/>
  <c r="CT23" i="24"/>
  <c r="CT18" i="24"/>
  <c r="CT17" i="24"/>
  <c r="CT12" i="24"/>
  <c r="CT23" i="23"/>
  <c r="CT18" i="23"/>
  <c r="CT17" i="23"/>
  <c r="CT12" i="23"/>
  <c r="GF17" i="20"/>
  <c r="GF12" i="20"/>
  <c r="GG11" i="20" s="1"/>
  <c r="GG17" i="18"/>
  <c r="GG12" i="18"/>
  <c r="GH11" i="18" s="1"/>
  <c r="FT20" i="10"/>
  <c r="FT19" i="10"/>
  <c r="GE17" i="10"/>
  <c r="GE12" i="10"/>
  <c r="GF11" i="10" s="1"/>
  <c r="CT23" i="29" l="1"/>
  <c r="CT18" i="29"/>
  <c r="CT17" i="29"/>
  <c r="CT12" i="29"/>
  <c r="CT21" i="28"/>
  <c r="CU11" i="28"/>
  <c r="CT21" i="27"/>
  <c r="CU11" i="27"/>
  <c r="CT23" i="26"/>
  <c r="CT18" i="26"/>
  <c r="CT17" i="26"/>
  <c r="CT12" i="26"/>
  <c r="CT21" i="25"/>
  <c r="CU11" i="25"/>
  <c r="CT21" i="24"/>
  <c r="CU11" i="24"/>
  <c r="CT21" i="23"/>
  <c r="CU11" i="23"/>
  <c r="GG17" i="20"/>
  <c r="GG12" i="20"/>
  <c r="GH11" i="20" s="1"/>
  <c r="GH17" i="18"/>
  <c r="GH12" i="18"/>
  <c r="GI11" i="18" s="1"/>
  <c r="FU20" i="10"/>
  <c r="FU19" i="10"/>
  <c r="GF17" i="10"/>
  <c r="GF12" i="10"/>
  <c r="GG11" i="10" s="1"/>
  <c r="CT21" i="29" l="1"/>
  <c r="CU11" i="29"/>
  <c r="CU23" i="28"/>
  <c r="CU17" i="28"/>
  <c r="CU18" i="28"/>
  <c r="CU12" i="28"/>
  <c r="CU23" i="27"/>
  <c r="CU18" i="27"/>
  <c r="CU17" i="27"/>
  <c r="CU12" i="27"/>
  <c r="CT21" i="26"/>
  <c r="CU11" i="26"/>
  <c r="CU23" i="25"/>
  <c r="CU18" i="25"/>
  <c r="CU17" i="25"/>
  <c r="CU12" i="25"/>
  <c r="CU23" i="24"/>
  <c r="CU17" i="24"/>
  <c r="CU18" i="24"/>
  <c r="CU12" i="24"/>
  <c r="CU23" i="23"/>
  <c r="CU17" i="23"/>
  <c r="CU18" i="23"/>
  <c r="CU12" i="23"/>
  <c r="GH17" i="20"/>
  <c r="GH12" i="20"/>
  <c r="GI11" i="20" s="1"/>
  <c r="GI17" i="18"/>
  <c r="GI12" i="18"/>
  <c r="GJ11" i="18" s="1"/>
  <c r="FV20" i="10"/>
  <c r="FV19" i="10"/>
  <c r="GG17" i="10"/>
  <c r="GG12" i="10"/>
  <c r="GH11" i="10" s="1"/>
  <c r="CU23" i="29" l="1"/>
  <c r="CU17" i="29"/>
  <c r="CU18" i="29"/>
  <c r="CU12" i="29"/>
  <c r="CU21" i="28"/>
  <c r="CV11" i="28"/>
  <c r="CU21" i="27"/>
  <c r="CV11" i="27"/>
  <c r="CU23" i="26"/>
  <c r="CU17" i="26"/>
  <c r="CU18" i="26"/>
  <c r="CU12" i="26"/>
  <c r="CU21" i="25"/>
  <c r="CV11" i="25"/>
  <c r="CU21" i="24"/>
  <c r="CV11" i="24"/>
  <c r="CU21" i="23"/>
  <c r="CV11" i="23"/>
  <c r="GI17" i="20"/>
  <c r="GI12" i="20"/>
  <c r="GJ11" i="20" s="1"/>
  <c r="GJ17" i="18"/>
  <c r="GJ12" i="18"/>
  <c r="GK11" i="18" s="1"/>
  <c r="FW19" i="10"/>
  <c r="FW20" i="10"/>
  <c r="GH17" i="10"/>
  <c r="GH12" i="10"/>
  <c r="GI11" i="10" s="1"/>
  <c r="CU21" i="29" l="1"/>
  <c r="CV11" i="29"/>
  <c r="CV23" i="28"/>
  <c r="CV18" i="28"/>
  <c r="CV17" i="28"/>
  <c r="CV12" i="28"/>
  <c r="CV23" i="27"/>
  <c r="CV18" i="27"/>
  <c r="CV17" i="27"/>
  <c r="CV12" i="27"/>
  <c r="CU21" i="26"/>
  <c r="CV11" i="26"/>
  <c r="CV23" i="25"/>
  <c r="CV17" i="25"/>
  <c r="CV18" i="25"/>
  <c r="CV12" i="25"/>
  <c r="CV23" i="24"/>
  <c r="CV18" i="24"/>
  <c r="CV17" i="24"/>
  <c r="CV12" i="24"/>
  <c r="CV23" i="23"/>
  <c r="CV18" i="23"/>
  <c r="CV17" i="23"/>
  <c r="CV12" i="23"/>
  <c r="GJ17" i="20"/>
  <c r="GJ12" i="20"/>
  <c r="GK11" i="20" s="1"/>
  <c r="GK17" i="18"/>
  <c r="GK12" i="18"/>
  <c r="GL11" i="18" s="1"/>
  <c r="FX20" i="10"/>
  <c r="FX19" i="10"/>
  <c r="GI17" i="10"/>
  <c r="GI12" i="10"/>
  <c r="GJ11" i="10" s="1"/>
  <c r="CV23" i="29" l="1"/>
  <c r="CV18" i="29"/>
  <c r="CV17" i="29"/>
  <c r="CV12" i="29"/>
  <c r="CV21" i="28"/>
  <c r="CW11" i="28"/>
  <c r="CV21" i="27"/>
  <c r="CW11" i="27"/>
  <c r="CV23" i="26"/>
  <c r="CV18" i="26"/>
  <c r="CV17" i="26"/>
  <c r="CV12" i="26"/>
  <c r="CV21" i="25"/>
  <c r="CW11" i="25"/>
  <c r="CV21" i="24"/>
  <c r="CW11" i="24"/>
  <c r="CV21" i="23"/>
  <c r="CW11" i="23"/>
  <c r="GK17" i="20"/>
  <c r="GK12" i="20"/>
  <c r="GL11" i="20" s="1"/>
  <c r="GL17" i="18"/>
  <c r="GL12" i="18"/>
  <c r="GM11" i="18" s="1"/>
  <c r="FY19" i="10"/>
  <c r="FY20" i="10"/>
  <c r="GJ17" i="10"/>
  <c r="GJ12" i="10"/>
  <c r="GK11" i="10" s="1"/>
  <c r="CV21" i="29" l="1"/>
  <c r="CW11" i="29"/>
  <c r="CW23" i="28"/>
  <c r="CW17" i="28"/>
  <c r="CW18" i="28"/>
  <c r="CW12" i="28"/>
  <c r="CW23" i="27"/>
  <c r="CW18" i="27"/>
  <c r="CW17" i="27"/>
  <c r="CW12" i="27"/>
  <c r="CV21" i="26"/>
  <c r="CW11" i="26"/>
  <c r="CW23" i="25"/>
  <c r="CW18" i="25"/>
  <c r="CW17" i="25"/>
  <c r="CW12" i="25"/>
  <c r="CW23" i="24"/>
  <c r="CW17" i="24"/>
  <c r="CW18" i="24"/>
  <c r="CW12" i="24"/>
  <c r="CW23" i="23"/>
  <c r="CW17" i="23"/>
  <c r="CW18" i="23"/>
  <c r="CW12" i="23"/>
  <c r="GL17" i="20"/>
  <c r="GL12" i="20"/>
  <c r="GM11" i="20" s="1"/>
  <c r="GM17" i="18"/>
  <c r="GM12" i="18"/>
  <c r="GN11" i="18" s="1"/>
  <c r="FZ19" i="10"/>
  <c r="FZ20" i="10"/>
  <c r="GK17" i="10"/>
  <c r="GK12" i="10"/>
  <c r="GL11" i="10" s="1"/>
  <c r="CW23" i="29" l="1"/>
  <c r="CW17" i="29"/>
  <c r="CW18" i="29"/>
  <c r="CW12" i="29"/>
  <c r="CW21" i="28"/>
  <c r="CX11" i="28"/>
  <c r="CW21" i="27"/>
  <c r="CX11" i="27"/>
  <c r="CW23" i="26"/>
  <c r="CW17" i="26"/>
  <c r="CW18" i="26"/>
  <c r="CW12" i="26"/>
  <c r="CW21" i="25"/>
  <c r="CX11" i="25"/>
  <c r="CW21" i="24"/>
  <c r="CX11" i="24"/>
  <c r="CW21" i="23"/>
  <c r="CX11" i="23"/>
  <c r="GM17" i="20"/>
  <c r="GM12" i="20"/>
  <c r="GN11" i="20" s="1"/>
  <c r="GN17" i="18"/>
  <c r="GN12" i="18"/>
  <c r="GO11" i="18" s="1"/>
  <c r="GA20" i="10"/>
  <c r="GA19" i="10"/>
  <c r="GL17" i="10"/>
  <c r="GL12" i="10"/>
  <c r="GM11" i="10" s="1"/>
  <c r="CW21" i="29" l="1"/>
  <c r="CX11" i="29"/>
  <c r="CX23" i="28"/>
  <c r="CX18" i="28"/>
  <c r="CX17" i="28"/>
  <c r="CX12" i="28"/>
  <c r="CX23" i="27"/>
  <c r="CX18" i="27"/>
  <c r="CX17" i="27"/>
  <c r="CX12" i="27"/>
  <c r="CW21" i="26"/>
  <c r="CX11" i="26"/>
  <c r="CX23" i="25"/>
  <c r="CX17" i="25"/>
  <c r="CX18" i="25"/>
  <c r="CX12" i="25"/>
  <c r="CX23" i="24"/>
  <c r="CX18" i="24"/>
  <c r="CX17" i="24"/>
  <c r="CX12" i="24"/>
  <c r="CX23" i="23"/>
  <c r="CX18" i="23"/>
  <c r="CX17" i="23"/>
  <c r="CX12" i="23"/>
  <c r="GN17" i="20"/>
  <c r="GN12" i="20"/>
  <c r="GO11" i="20" s="1"/>
  <c r="GO17" i="18"/>
  <c r="GO12" i="18"/>
  <c r="GB20" i="10"/>
  <c r="GB19" i="10"/>
  <c r="GM17" i="10"/>
  <c r="GM12" i="10"/>
  <c r="GN11" i="10" s="1"/>
  <c r="CX23" i="29" l="1"/>
  <c r="CX18" i="29"/>
  <c r="CX17" i="29"/>
  <c r="CX12" i="29"/>
  <c r="CX21" i="28"/>
  <c r="CY11" i="28"/>
  <c r="CX21" i="27"/>
  <c r="CY11" i="27"/>
  <c r="CX23" i="26"/>
  <c r="CX18" i="26"/>
  <c r="CX17" i="26"/>
  <c r="CX12" i="26"/>
  <c r="CX21" i="25"/>
  <c r="CY11" i="25"/>
  <c r="CX21" i="24"/>
  <c r="CY11" i="24"/>
  <c r="CX21" i="23"/>
  <c r="CY11" i="23"/>
  <c r="GO17" i="20"/>
  <c r="GO12" i="20"/>
  <c r="GC20" i="10"/>
  <c r="GC19" i="10"/>
  <c r="GN17" i="10"/>
  <c r="GN12" i="10"/>
  <c r="GO11" i="10" s="1"/>
  <c r="CX21" i="29" l="1"/>
  <c r="CY11" i="29"/>
  <c r="CY23" i="28"/>
  <c r="CY17" i="28"/>
  <c r="CY18" i="28"/>
  <c r="CY12" i="28"/>
  <c r="CY23" i="27"/>
  <c r="CY18" i="27"/>
  <c r="CY17" i="27"/>
  <c r="CY12" i="27"/>
  <c r="CX21" i="26"/>
  <c r="CY11" i="26"/>
  <c r="CY23" i="25"/>
  <c r="CY18" i="25"/>
  <c r="CY17" i="25"/>
  <c r="CY12" i="25"/>
  <c r="CY23" i="24"/>
  <c r="CY17" i="24"/>
  <c r="CY18" i="24"/>
  <c r="CY12" i="24"/>
  <c r="CY23" i="23"/>
  <c r="CY17" i="23"/>
  <c r="CY18" i="23"/>
  <c r="CY12" i="23"/>
  <c r="GD20" i="10"/>
  <c r="GD19" i="10"/>
  <c r="GO17" i="10"/>
  <c r="GO12" i="10"/>
  <c r="CY23" i="29" l="1"/>
  <c r="CY17" i="29"/>
  <c r="CY18" i="29"/>
  <c r="CY12" i="29"/>
  <c r="CY21" i="28"/>
  <c r="CZ11" i="28"/>
  <c r="CY21" i="27"/>
  <c r="CZ11" i="27"/>
  <c r="CY23" i="26"/>
  <c r="CY17" i="26"/>
  <c r="CY18" i="26"/>
  <c r="CY12" i="26"/>
  <c r="CY21" i="25"/>
  <c r="CZ11" i="25"/>
  <c r="CY21" i="24"/>
  <c r="CZ11" i="24"/>
  <c r="CY21" i="23"/>
  <c r="CZ11" i="23"/>
  <c r="GE20" i="10"/>
  <c r="GE19" i="10"/>
  <c r="CY21" i="29" l="1"/>
  <c r="CZ11" i="29"/>
  <c r="CZ23" i="28"/>
  <c r="CZ18" i="28"/>
  <c r="CZ17" i="28"/>
  <c r="CZ12" i="28"/>
  <c r="CZ23" i="27"/>
  <c r="CZ18" i="27"/>
  <c r="CZ17" i="27"/>
  <c r="CZ12" i="27"/>
  <c r="CY21" i="26"/>
  <c r="CZ11" i="26"/>
  <c r="CZ23" i="25"/>
  <c r="CZ17" i="25"/>
  <c r="CZ18" i="25"/>
  <c r="CZ12" i="25"/>
  <c r="CZ23" i="24"/>
  <c r="CZ18" i="24"/>
  <c r="CZ17" i="24"/>
  <c r="CZ12" i="24"/>
  <c r="CZ23" i="23"/>
  <c r="CZ18" i="23"/>
  <c r="CZ17" i="23"/>
  <c r="CZ12" i="23"/>
  <c r="GF20" i="10"/>
  <c r="GF19" i="10"/>
  <c r="CZ23" i="29" l="1"/>
  <c r="CZ18" i="29"/>
  <c r="CZ17" i="29"/>
  <c r="CZ12" i="29"/>
  <c r="CZ21" i="28"/>
  <c r="DA11" i="28"/>
  <c r="CZ21" i="27"/>
  <c r="DA11" i="27"/>
  <c r="CZ23" i="26"/>
  <c r="CZ18" i="26"/>
  <c r="CZ17" i="26"/>
  <c r="CZ12" i="26"/>
  <c r="CZ21" i="25"/>
  <c r="DA11" i="25"/>
  <c r="CZ21" i="24"/>
  <c r="DA11" i="24"/>
  <c r="CZ21" i="23"/>
  <c r="DA11" i="23"/>
  <c r="GG20" i="10"/>
  <c r="GG19" i="10"/>
  <c r="CZ21" i="29" l="1"/>
  <c r="DA11" i="29"/>
  <c r="DA23" i="28"/>
  <c r="DA17" i="28"/>
  <c r="DA18" i="28"/>
  <c r="DA12" i="28"/>
  <c r="DA23" i="27"/>
  <c r="DA18" i="27"/>
  <c r="DA17" i="27"/>
  <c r="DA12" i="27"/>
  <c r="CZ21" i="26"/>
  <c r="DA11" i="26"/>
  <c r="DA23" i="25"/>
  <c r="DA18" i="25"/>
  <c r="DA17" i="25"/>
  <c r="DA12" i="25"/>
  <c r="DA23" i="24"/>
  <c r="DA17" i="24"/>
  <c r="DA18" i="24"/>
  <c r="DA12" i="24"/>
  <c r="DA23" i="23"/>
  <c r="DA17" i="23"/>
  <c r="DA18" i="23"/>
  <c r="DA12" i="23"/>
  <c r="GH20" i="10"/>
  <c r="GH19" i="10"/>
  <c r="DA23" i="29" l="1"/>
  <c r="DA17" i="29"/>
  <c r="DA18" i="29"/>
  <c r="DA12" i="29"/>
  <c r="DA21" i="28"/>
  <c r="DB11" i="28"/>
  <c r="DA21" i="27"/>
  <c r="DB11" i="27"/>
  <c r="DA23" i="26"/>
  <c r="DA17" i="26"/>
  <c r="DA18" i="26"/>
  <c r="DA12" i="26"/>
  <c r="DA21" i="25"/>
  <c r="DB11" i="25"/>
  <c r="DA21" i="24"/>
  <c r="DB11" i="24"/>
  <c r="DA21" i="23"/>
  <c r="DB11" i="23"/>
  <c r="GI20" i="10"/>
  <c r="GI19" i="10"/>
  <c r="DA21" i="29" l="1"/>
  <c r="DB11" i="29"/>
  <c r="DB23" i="28"/>
  <c r="DB18" i="28"/>
  <c r="DB17" i="28"/>
  <c r="DB12" i="28"/>
  <c r="DB23" i="27"/>
  <c r="DB18" i="27"/>
  <c r="DB17" i="27"/>
  <c r="DB12" i="27"/>
  <c r="DA21" i="26"/>
  <c r="DB11" i="26"/>
  <c r="DB23" i="25"/>
  <c r="DB17" i="25"/>
  <c r="DB18" i="25"/>
  <c r="DB12" i="25"/>
  <c r="DB23" i="24"/>
  <c r="DB18" i="24"/>
  <c r="DB17" i="24"/>
  <c r="DB12" i="24"/>
  <c r="DB23" i="23"/>
  <c r="DB18" i="23"/>
  <c r="DB17" i="23"/>
  <c r="DB12" i="23"/>
  <c r="GJ20" i="10"/>
  <c r="GJ19" i="10"/>
  <c r="DB23" i="29" l="1"/>
  <c r="DB18" i="29"/>
  <c r="DB17" i="29"/>
  <c r="DB12" i="29"/>
  <c r="DB21" i="28"/>
  <c r="DC11" i="28"/>
  <c r="DB21" i="27"/>
  <c r="DC11" i="27"/>
  <c r="DB23" i="26"/>
  <c r="DB18" i="26"/>
  <c r="DB17" i="26"/>
  <c r="DB12" i="26"/>
  <c r="DB21" i="25"/>
  <c r="DC11" i="25"/>
  <c r="DB21" i="24"/>
  <c r="DC11" i="24"/>
  <c r="DB21" i="23"/>
  <c r="DC11" i="23"/>
  <c r="GK20" i="10"/>
  <c r="GK19" i="10"/>
  <c r="DB21" i="29" l="1"/>
  <c r="DC11" i="29"/>
  <c r="DC23" i="28"/>
  <c r="DC17" i="28"/>
  <c r="DC18" i="28"/>
  <c r="DC12" i="28"/>
  <c r="DC23" i="27"/>
  <c r="DC18" i="27"/>
  <c r="DC17" i="27"/>
  <c r="DC12" i="27"/>
  <c r="DB21" i="26"/>
  <c r="DC11" i="26"/>
  <c r="DC23" i="25"/>
  <c r="DC18" i="25"/>
  <c r="DC17" i="25"/>
  <c r="DC12" i="25"/>
  <c r="DC23" i="24"/>
  <c r="DC17" i="24"/>
  <c r="DC18" i="24"/>
  <c r="DC12" i="24"/>
  <c r="DC23" i="23"/>
  <c r="DC17" i="23"/>
  <c r="DC18" i="23"/>
  <c r="DC12" i="23"/>
  <c r="GL20" i="10"/>
  <c r="GL19" i="10"/>
  <c r="DC23" i="29" l="1"/>
  <c r="DC17" i="29"/>
  <c r="DC18" i="29"/>
  <c r="DC12" i="29"/>
  <c r="DC21" i="28"/>
  <c r="DD11" i="28"/>
  <c r="DC21" i="27"/>
  <c r="DD11" i="27"/>
  <c r="DC23" i="26"/>
  <c r="DC17" i="26"/>
  <c r="DC18" i="26"/>
  <c r="DC12" i="26"/>
  <c r="DC21" i="25"/>
  <c r="DD11" i="25"/>
  <c r="DC21" i="24"/>
  <c r="DD11" i="24"/>
  <c r="DC21" i="23"/>
  <c r="DD11" i="23"/>
  <c r="GM19" i="10"/>
  <c r="GM20" i="10"/>
  <c r="DC21" i="29" l="1"/>
  <c r="DD11" i="29"/>
  <c r="DD23" i="28"/>
  <c r="DD18" i="28"/>
  <c r="DD17" i="28"/>
  <c r="DD12" i="28"/>
  <c r="DD23" i="27"/>
  <c r="DD18" i="27"/>
  <c r="DD17" i="27"/>
  <c r="DD12" i="27"/>
  <c r="DC21" i="26"/>
  <c r="DD11" i="26"/>
  <c r="DD23" i="25"/>
  <c r="DD17" i="25"/>
  <c r="DD18" i="25"/>
  <c r="DD12" i="25"/>
  <c r="DD23" i="24"/>
  <c r="DD18" i="24"/>
  <c r="DD17" i="24"/>
  <c r="DD12" i="24"/>
  <c r="DD23" i="23"/>
  <c r="DD18" i="23"/>
  <c r="DD17" i="23"/>
  <c r="DD12" i="23"/>
  <c r="GN19" i="10"/>
  <c r="GN20" i="10"/>
  <c r="DD23" i="29" l="1"/>
  <c r="DD18" i="29"/>
  <c r="DD17" i="29"/>
  <c r="DD12" i="29"/>
  <c r="DD21" i="28"/>
  <c r="DE11" i="28"/>
  <c r="DD21" i="27"/>
  <c r="DE11" i="27"/>
  <c r="DD23" i="26"/>
  <c r="DD18" i="26"/>
  <c r="DD17" i="26"/>
  <c r="DD12" i="26"/>
  <c r="DD21" i="25"/>
  <c r="DE11" i="25"/>
  <c r="DD21" i="24"/>
  <c r="DE11" i="24"/>
  <c r="DD21" i="23"/>
  <c r="DE11" i="23"/>
  <c r="GO19" i="10"/>
  <c r="E1" i="10"/>
  <c r="GO20" i="10"/>
  <c r="DD21" i="29" l="1"/>
  <c r="DE11" i="29"/>
  <c r="DE23" i="28"/>
  <c r="DE17" i="28"/>
  <c r="DE18" i="28"/>
  <c r="DE12" i="28"/>
  <c r="DE23" i="27"/>
  <c r="DE18" i="27"/>
  <c r="DE17" i="27"/>
  <c r="DE12" i="27"/>
  <c r="DD21" i="26"/>
  <c r="DE11" i="26"/>
  <c r="DE23" i="25"/>
  <c r="DE18" i="25"/>
  <c r="DE17" i="25"/>
  <c r="DE12" i="25"/>
  <c r="DE23" i="24"/>
  <c r="DE17" i="24"/>
  <c r="DE18" i="24"/>
  <c r="DE12" i="24"/>
  <c r="DE23" i="23"/>
  <c r="DE17" i="23"/>
  <c r="DE18" i="23"/>
  <c r="DE12" i="23"/>
  <c r="G22" i="10"/>
  <c r="H22" i="10" s="1"/>
  <c r="I22" i="10" s="1"/>
  <c r="J22" i="10" s="1"/>
  <c r="K22" i="10" s="1"/>
  <c r="L22" i="10" s="1"/>
  <c r="M22" i="10" s="1"/>
  <c r="N22" i="10" s="1"/>
  <c r="O22" i="10" s="1"/>
  <c r="P22" i="10" s="1"/>
  <c r="Q22" i="10" s="1"/>
  <c r="R22" i="10" s="1"/>
  <c r="S22" i="10" s="1"/>
  <c r="T22" i="10" s="1"/>
  <c r="U22" i="10" s="1"/>
  <c r="V22" i="10" s="1"/>
  <c r="W22" i="10" s="1"/>
  <c r="X22" i="10" s="1"/>
  <c r="Y22" i="10" s="1"/>
  <c r="Z22" i="10" s="1"/>
  <c r="AA22" i="10" s="1"/>
  <c r="AB22" i="10" s="1"/>
  <c r="AC22" i="10" s="1"/>
  <c r="AD22" i="10" s="1"/>
  <c r="AE22" i="10" s="1"/>
  <c r="AF22" i="10" s="1"/>
  <c r="AG22" i="10" s="1"/>
  <c r="AH22" i="10" s="1"/>
  <c r="AI22" i="10" s="1"/>
  <c r="AJ22" i="10" s="1"/>
  <c r="AK22" i="10" s="1"/>
  <c r="AL22" i="10" s="1"/>
  <c r="AM22" i="10" s="1"/>
  <c r="AN22" i="10" s="1"/>
  <c r="AO22" i="10" s="1"/>
  <c r="AP22" i="10" s="1"/>
  <c r="AQ22" i="10" s="1"/>
  <c r="AR22" i="10" s="1"/>
  <c r="AS22" i="10" s="1"/>
  <c r="AT22" i="10" s="1"/>
  <c r="AU22" i="10" s="1"/>
  <c r="AV22" i="10" s="1"/>
  <c r="AW22" i="10" s="1"/>
  <c r="AX22" i="10" s="1"/>
  <c r="AY22" i="10" s="1"/>
  <c r="AZ22" i="10" s="1"/>
  <c r="BA22" i="10" s="1"/>
  <c r="BB22" i="10" s="1"/>
  <c r="BC22" i="10" s="1"/>
  <c r="BD22" i="10" s="1"/>
  <c r="BE22" i="10" s="1"/>
  <c r="BF22" i="10" s="1"/>
  <c r="BG22" i="10" s="1"/>
  <c r="BH22" i="10" s="1"/>
  <c r="BI22" i="10" s="1"/>
  <c r="BJ22" i="10" s="1"/>
  <c r="BK22" i="10" s="1"/>
  <c r="BL22" i="10" s="1"/>
  <c r="BM22" i="10" s="1"/>
  <c r="BN22" i="10" s="1"/>
  <c r="BO22" i="10" s="1"/>
  <c r="BP22" i="10" s="1"/>
  <c r="BQ22" i="10" s="1"/>
  <c r="BR22" i="10" s="1"/>
  <c r="BS22" i="10" s="1"/>
  <c r="BT22" i="10" s="1"/>
  <c r="BU22" i="10" s="1"/>
  <c r="BV22" i="10" s="1"/>
  <c r="BW22" i="10" s="1"/>
  <c r="BX22" i="10" s="1"/>
  <c r="BY22" i="10" s="1"/>
  <c r="BZ22" i="10" s="1"/>
  <c r="CA22" i="10" s="1"/>
  <c r="CB22" i="10" s="1"/>
  <c r="CC22" i="10" s="1"/>
  <c r="CD22" i="10" s="1"/>
  <c r="CE22" i="10" s="1"/>
  <c r="CF22" i="10" s="1"/>
  <c r="CG22" i="10" s="1"/>
  <c r="CH22" i="10" s="1"/>
  <c r="CI22" i="10" s="1"/>
  <c r="CJ22" i="10" s="1"/>
  <c r="CK22" i="10" s="1"/>
  <c r="CL22" i="10" s="1"/>
  <c r="CM22" i="10" s="1"/>
  <c r="CN22" i="10" s="1"/>
  <c r="CO22" i="10" s="1"/>
  <c r="CP22" i="10" s="1"/>
  <c r="CQ22" i="10" s="1"/>
  <c r="CR22" i="10" s="1"/>
  <c r="CS22" i="10" s="1"/>
  <c r="CT22" i="10" s="1"/>
  <c r="CU22" i="10" s="1"/>
  <c r="CV22" i="10" s="1"/>
  <c r="CW22" i="10" s="1"/>
  <c r="CX22" i="10" s="1"/>
  <c r="CY22" i="10" s="1"/>
  <c r="CZ22" i="10" s="1"/>
  <c r="DA22" i="10" s="1"/>
  <c r="DB22" i="10" s="1"/>
  <c r="DC22" i="10" s="1"/>
  <c r="DD22" i="10" s="1"/>
  <c r="DE22" i="10" s="1"/>
  <c r="DF22" i="10" s="1"/>
  <c r="DG22" i="10" s="1"/>
  <c r="DH22" i="10" s="1"/>
  <c r="DI22" i="10" s="1"/>
  <c r="DJ22" i="10" s="1"/>
  <c r="DK22" i="10" s="1"/>
  <c r="DL22" i="10" s="1"/>
  <c r="DM22" i="10" s="1"/>
  <c r="DN22" i="10" s="1"/>
  <c r="DO22" i="10" s="1"/>
  <c r="DP22" i="10" s="1"/>
  <c r="DQ22" i="10" s="1"/>
  <c r="DR22" i="10" s="1"/>
  <c r="DS22" i="10" s="1"/>
  <c r="DT22" i="10" s="1"/>
  <c r="DU22" i="10" s="1"/>
  <c r="DV22" i="10" s="1"/>
  <c r="DW22" i="10" s="1"/>
  <c r="DX22" i="10" s="1"/>
  <c r="DY22" i="10" s="1"/>
  <c r="DZ22" i="10" s="1"/>
  <c r="EA22" i="10" s="1"/>
  <c r="EB22" i="10" s="1"/>
  <c r="EC22" i="10" s="1"/>
  <c r="ED22" i="10" s="1"/>
  <c r="EE22" i="10" s="1"/>
  <c r="EF22" i="10" s="1"/>
  <c r="EG22" i="10" s="1"/>
  <c r="EH22" i="10" s="1"/>
  <c r="EI22" i="10" s="1"/>
  <c r="EJ22" i="10" s="1"/>
  <c r="EK22" i="10" s="1"/>
  <c r="EL22" i="10" s="1"/>
  <c r="EM22" i="10" s="1"/>
  <c r="EN22" i="10" s="1"/>
  <c r="EO22" i="10" s="1"/>
  <c r="EP22" i="10" s="1"/>
  <c r="EQ22" i="10" s="1"/>
  <c r="ER22" i="10" s="1"/>
  <c r="ES22" i="10" s="1"/>
  <c r="ET22" i="10" s="1"/>
  <c r="EU22" i="10" s="1"/>
  <c r="EV22" i="10" s="1"/>
  <c r="EW22" i="10" s="1"/>
  <c r="EX22" i="10" s="1"/>
  <c r="EY22" i="10" s="1"/>
  <c r="EZ22" i="10" s="1"/>
  <c r="FA22" i="10" s="1"/>
  <c r="FB22" i="10" s="1"/>
  <c r="FC22" i="10" s="1"/>
  <c r="FD22" i="10" s="1"/>
  <c r="FE22" i="10" s="1"/>
  <c r="FF22" i="10" s="1"/>
  <c r="FG22" i="10" s="1"/>
  <c r="FH22" i="10" s="1"/>
  <c r="FI22" i="10" s="1"/>
  <c r="FJ22" i="10" s="1"/>
  <c r="FK22" i="10" s="1"/>
  <c r="FL22" i="10" s="1"/>
  <c r="FM22" i="10" s="1"/>
  <c r="FN22" i="10" s="1"/>
  <c r="FO22" i="10" s="1"/>
  <c r="FP22" i="10" s="1"/>
  <c r="FQ22" i="10" s="1"/>
  <c r="FR22" i="10" s="1"/>
  <c r="FS22" i="10" s="1"/>
  <c r="FT22" i="10" s="1"/>
  <c r="FU22" i="10" s="1"/>
  <c r="FV22" i="10" s="1"/>
  <c r="FW22" i="10" s="1"/>
  <c r="FX22" i="10" s="1"/>
  <c r="FY22" i="10" s="1"/>
  <c r="FZ22" i="10" s="1"/>
  <c r="GA22" i="10" s="1"/>
  <c r="GB22" i="10" s="1"/>
  <c r="GC22" i="10" s="1"/>
  <c r="GD22" i="10" s="1"/>
  <c r="GE22" i="10" s="1"/>
  <c r="GF22" i="10" s="1"/>
  <c r="GG22" i="10" s="1"/>
  <c r="GH22" i="10" s="1"/>
  <c r="GI22" i="10" s="1"/>
  <c r="GJ22" i="10" s="1"/>
  <c r="GK22" i="10" s="1"/>
  <c r="GL22" i="10" s="1"/>
  <c r="GM22" i="10" s="1"/>
  <c r="GN22" i="10" s="1"/>
  <c r="GO22" i="10" s="1"/>
  <c r="DE23" i="29" l="1"/>
  <c r="DE17" i="29"/>
  <c r="DE18" i="29"/>
  <c r="DE12" i="29"/>
  <c r="DE21" i="28"/>
  <c r="DF11" i="28"/>
  <c r="DE21" i="27"/>
  <c r="DF11" i="27"/>
  <c r="DE23" i="26"/>
  <c r="DE17" i="26"/>
  <c r="DE18" i="26"/>
  <c r="DE12" i="26"/>
  <c r="DE21" i="25"/>
  <c r="DF11" i="25"/>
  <c r="DE21" i="24"/>
  <c r="DF11" i="24"/>
  <c r="DE21" i="23"/>
  <c r="DF11" i="23"/>
  <c r="F92" i="12"/>
  <c r="F77" i="12"/>
  <c r="F86" i="12"/>
  <c r="F56" i="12"/>
  <c r="F46" i="12"/>
  <c r="F40" i="12"/>
  <c r="F25" i="12"/>
  <c r="F31" i="12"/>
  <c r="F19" i="12"/>
  <c r="F9" i="12"/>
  <c r="F71" i="12"/>
  <c r="F62" i="12"/>
  <c r="DE21" i="29" l="1"/>
  <c r="DF11" i="29"/>
  <c r="DF23" i="28"/>
  <c r="DF18" i="28"/>
  <c r="DF17" i="28"/>
  <c r="DF12" i="28"/>
  <c r="DF23" i="27"/>
  <c r="DF18" i="27"/>
  <c r="DF17" i="27"/>
  <c r="DF12" i="27"/>
  <c r="DE21" i="26"/>
  <c r="DF11" i="26"/>
  <c r="DF23" i="25"/>
  <c r="DF17" i="25"/>
  <c r="DF18" i="25"/>
  <c r="DF12" i="25"/>
  <c r="DF23" i="24"/>
  <c r="DF18" i="24"/>
  <c r="DF17" i="24"/>
  <c r="DF12" i="24"/>
  <c r="DF23" i="23"/>
  <c r="DF18" i="23"/>
  <c r="DF17" i="23"/>
  <c r="DF12" i="23"/>
  <c r="G92" i="12"/>
  <c r="G77" i="12"/>
  <c r="G62" i="12"/>
  <c r="G46" i="12"/>
  <c r="G71" i="12"/>
  <c r="G31" i="12"/>
  <c r="G19" i="12"/>
  <c r="G9" i="12"/>
  <c r="G40" i="12"/>
  <c r="G56" i="12"/>
  <c r="G25" i="12"/>
  <c r="G86" i="12"/>
  <c r="DF23" i="29" l="1"/>
  <c r="DF18" i="29"/>
  <c r="DF17" i="29"/>
  <c r="DF12" i="29"/>
  <c r="DF21" i="28"/>
  <c r="DG11" i="28"/>
  <c r="DF21" i="27"/>
  <c r="DG11" i="27"/>
  <c r="DF23" i="26"/>
  <c r="DF18" i="26"/>
  <c r="DF17" i="26"/>
  <c r="DF12" i="26"/>
  <c r="DF21" i="25"/>
  <c r="DG11" i="25"/>
  <c r="DF21" i="24"/>
  <c r="DG11" i="24"/>
  <c r="DF21" i="23"/>
  <c r="DG11" i="23"/>
  <c r="H86" i="12"/>
  <c r="H31" i="12"/>
  <c r="H19" i="12"/>
  <c r="H9" i="12"/>
  <c r="H77" i="12"/>
  <c r="H62" i="12"/>
  <c r="H92" i="12"/>
  <c r="H71" i="12"/>
  <c r="H56" i="12"/>
  <c r="H40" i="12"/>
  <c r="H25" i="12"/>
  <c r="H46" i="12"/>
  <c r="DF21" i="29" l="1"/>
  <c r="DG11" i="29"/>
  <c r="DG23" i="28"/>
  <c r="DG17" i="28"/>
  <c r="DG18" i="28"/>
  <c r="DG12" i="28"/>
  <c r="DG23" i="27"/>
  <c r="DG18" i="27"/>
  <c r="DG17" i="27"/>
  <c r="DG12" i="27"/>
  <c r="DF21" i="26"/>
  <c r="DG11" i="26"/>
  <c r="DG23" i="25"/>
  <c r="DG18" i="25"/>
  <c r="DG17" i="25"/>
  <c r="DG12" i="25"/>
  <c r="DG23" i="24"/>
  <c r="DG17" i="24"/>
  <c r="DG18" i="24"/>
  <c r="DG12" i="24"/>
  <c r="DG23" i="23"/>
  <c r="DG17" i="23"/>
  <c r="DG18" i="23"/>
  <c r="DG12" i="23"/>
  <c r="I86" i="12"/>
  <c r="I71" i="12"/>
  <c r="I56" i="12"/>
  <c r="I92" i="12"/>
  <c r="I77" i="12"/>
  <c r="I62" i="12"/>
  <c r="I40" i="12"/>
  <c r="I25" i="12"/>
  <c r="I46" i="12"/>
  <c r="I31" i="12"/>
  <c r="I19" i="12"/>
  <c r="I9" i="12"/>
  <c r="DG23" i="29" l="1"/>
  <c r="DG17" i="29"/>
  <c r="DG18" i="29"/>
  <c r="DG12" i="29"/>
  <c r="DG21" i="28"/>
  <c r="DH11" i="28"/>
  <c r="DG21" i="27"/>
  <c r="DH11" i="27"/>
  <c r="DG23" i="26"/>
  <c r="DG17" i="26"/>
  <c r="DG18" i="26"/>
  <c r="DG12" i="26"/>
  <c r="DG21" i="25"/>
  <c r="DH11" i="25"/>
  <c r="DG21" i="24"/>
  <c r="DH11" i="24"/>
  <c r="DG21" i="23"/>
  <c r="DH11" i="23"/>
  <c r="J92" i="12"/>
  <c r="J77" i="12"/>
  <c r="J71" i="12"/>
  <c r="J62" i="12"/>
  <c r="J40" i="12"/>
  <c r="J25" i="12"/>
  <c r="J56" i="12"/>
  <c r="J46" i="12"/>
  <c r="J86" i="12"/>
  <c r="J31" i="12"/>
  <c r="J9" i="12"/>
  <c r="J19" i="12"/>
  <c r="DG21" i="29" l="1"/>
  <c r="DH11" i="29"/>
  <c r="DH23" i="28"/>
  <c r="DH18" i="28"/>
  <c r="DH17" i="28"/>
  <c r="DH12" i="28"/>
  <c r="DH23" i="27"/>
  <c r="DH18" i="27"/>
  <c r="DH17" i="27"/>
  <c r="DH12" i="27"/>
  <c r="DG21" i="26"/>
  <c r="DH11" i="26"/>
  <c r="DH23" i="25"/>
  <c r="DH17" i="25"/>
  <c r="DH18" i="25"/>
  <c r="DH12" i="25"/>
  <c r="DH23" i="24"/>
  <c r="DH18" i="24"/>
  <c r="DH17" i="24"/>
  <c r="DH12" i="24"/>
  <c r="DH23" i="23"/>
  <c r="DH18" i="23"/>
  <c r="DH17" i="23"/>
  <c r="DH12" i="23"/>
  <c r="K92" i="12"/>
  <c r="K77" i="12"/>
  <c r="K62" i="12"/>
  <c r="K46" i="12"/>
  <c r="K56" i="12"/>
  <c r="K86" i="12"/>
  <c r="K31" i="12"/>
  <c r="K19" i="12"/>
  <c r="K9" i="12"/>
  <c r="K25" i="12"/>
  <c r="K71" i="12"/>
  <c r="K40" i="12"/>
  <c r="DH23" i="29" l="1"/>
  <c r="DH18" i="29"/>
  <c r="DH17" i="29"/>
  <c r="DH12" i="29"/>
  <c r="DH21" i="28"/>
  <c r="DI11" i="28"/>
  <c r="DH21" i="27"/>
  <c r="DI11" i="27"/>
  <c r="DH23" i="26"/>
  <c r="DH18" i="26"/>
  <c r="DH17" i="26"/>
  <c r="DH12" i="26"/>
  <c r="DH21" i="25"/>
  <c r="DI11" i="25"/>
  <c r="DH21" i="24"/>
  <c r="DI11" i="24"/>
  <c r="DH21" i="23"/>
  <c r="DI11" i="23"/>
  <c r="L86" i="12"/>
  <c r="L77" i="12"/>
  <c r="L46" i="12"/>
  <c r="L31" i="12"/>
  <c r="L19" i="12"/>
  <c r="L9" i="12"/>
  <c r="L40" i="12"/>
  <c r="L71" i="12"/>
  <c r="L56" i="12"/>
  <c r="L62" i="12"/>
  <c r="L92" i="12"/>
  <c r="L25" i="12"/>
  <c r="A1" i="16"/>
  <c r="DH21" i="29" l="1"/>
  <c r="DI11" i="29"/>
  <c r="DI23" i="28"/>
  <c r="DI17" i="28"/>
  <c r="DI18" i="28"/>
  <c r="DI12" i="28"/>
  <c r="DI23" i="27"/>
  <c r="DI18" i="27"/>
  <c r="DI17" i="27"/>
  <c r="DI12" i="27"/>
  <c r="DH21" i="26"/>
  <c r="DI11" i="26"/>
  <c r="DI23" i="25"/>
  <c r="DI18" i="25"/>
  <c r="DI17" i="25"/>
  <c r="DI12" i="25"/>
  <c r="DI23" i="24"/>
  <c r="DI17" i="24"/>
  <c r="DI18" i="24"/>
  <c r="DI12" i="24"/>
  <c r="DI23" i="23"/>
  <c r="DI17" i="23"/>
  <c r="DI18" i="23"/>
  <c r="DI12" i="23"/>
  <c r="M86" i="12"/>
  <c r="M71" i="12"/>
  <c r="M56" i="12"/>
  <c r="M92" i="12"/>
  <c r="M40" i="12"/>
  <c r="M25" i="12"/>
  <c r="M62" i="12"/>
  <c r="M46" i="12"/>
  <c r="M31" i="12"/>
  <c r="M19" i="12"/>
  <c r="M9" i="12"/>
  <c r="M77" i="12"/>
  <c r="DI23" i="29" l="1"/>
  <c r="DI17" i="29"/>
  <c r="DI18" i="29"/>
  <c r="DI12" i="29"/>
  <c r="DI21" i="28"/>
  <c r="DJ11" i="28"/>
  <c r="DI21" i="27"/>
  <c r="DJ11" i="27"/>
  <c r="DI23" i="26"/>
  <c r="DI17" i="26"/>
  <c r="DI18" i="26"/>
  <c r="DI12" i="26"/>
  <c r="DI21" i="25"/>
  <c r="DJ11" i="25"/>
  <c r="DI21" i="24"/>
  <c r="DJ11" i="24"/>
  <c r="DI21" i="23"/>
  <c r="DJ11" i="23"/>
  <c r="N92" i="12"/>
  <c r="N77" i="12"/>
  <c r="N86" i="12"/>
  <c r="N40" i="12"/>
  <c r="N25" i="12"/>
  <c r="N56" i="12"/>
  <c r="N46" i="12"/>
  <c r="N31" i="12"/>
  <c r="N71" i="12"/>
  <c r="N62" i="12"/>
  <c r="N19" i="12"/>
  <c r="N9" i="12"/>
  <c r="DI21" i="29" l="1"/>
  <c r="DJ11" i="29"/>
  <c r="DJ23" i="28"/>
  <c r="DJ18" i="28"/>
  <c r="DJ17" i="28"/>
  <c r="DJ12" i="28"/>
  <c r="DJ23" i="27"/>
  <c r="DJ18" i="27"/>
  <c r="DJ17" i="27"/>
  <c r="DJ12" i="27"/>
  <c r="DI21" i="26"/>
  <c r="DJ11" i="26"/>
  <c r="DJ23" i="25"/>
  <c r="DJ17" i="25"/>
  <c r="DJ18" i="25"/>
  <c r="DJ12" i="25"/>
  <c r="DJ23" i="24"/>
  <c r="DJ18" i="24"/>
  <c r="DJ17" i="24"/>
  <c r="DJ12" i="24"/>
  <c r="DJ23" i="23"/>
  <c r="DJ18" i="23"/>
  <c r="DJ17" i="23"/>
  <c r="DJ12" i="23"/>
  <c r="O92" i="12"/>
  <c r="O77" i="12"/>
  <c r="O62" i="12"/>
  <c r="O46" i="12"/>
  <c r="O71" i="12"/>
  <c r="O56" i="12"/>
  <c r="O31" i="12"/>
  <c r="O19" i="12"/>
  <c r="O9" i="12"/>
  <c r="O25" i="12"/>
  <c r="O40" i="12"/>
  <c r="O86" i="12"/>
  <c r="DJ23" i="29" l="1"/>
  <c r="DJ18" i="29"/>
  <c r="DJ17" i="29"/>
  <c r="DJ12" i="29"/>
  <c r="DJ21" i="28"/>
  <c r="DK11" i="28"/>
  <c r="DJ21" i="27"/>
  <c r="DK11" i="27"/>
  <c r="DJ23" i="26"/>
  <c r="DJ18" i="26"/>
  <c r="DJ17" i="26"/>
  <c r="DJ12" i="26"/>
  <c r="DJ21" i="25"/>
  <c r="DK11" i="25"/>
  <c r="DJ21" i="24"/>
  <c r="DK11" i="24"/>
  <c r="DJ21" i="23"/>
  <c r="DK11" i="23"/>
  <c r="P86" i="12"/>
  <c r="P71" i="12"/>
  <c r="P62" i="12"/>
  <c r="P56" i="12"/>
  <c r="P31" i="12"/>
  <c r="P19" i="12"/>
  <c r="P9" i="12"/>
  <c r="P92" i="12"/>
  <c r="P46" i="12"/>
  <c r="P77" i="12"/>
  <c r="P40" i="12"/>
  <c r="P25" i="12"/>
  <c r="DJ21" i="29" l="1"/>
  <c r="DK11" i="29"/>
  <c r="DK23" i="28"/>
  <c r="DK17" i="28"/>
  <c r="DK18" i="28"/>
  <c r="DK12" i="28"/>
  <c r="DK23" i="27"/>
  <c r="DK18" i="27"/>
  <c r="DK17" i="27"/>
  <c r="DK12" i="27"/>
  <c r="DJ21" i="26"/>
  <c r="DK11" i="26"/>
  <c r="DK23" i="25"/>
  <c r="DK18" i="25"/>
  <c r="DK17" i="25"/>
  <c r="DK12" i="25"/>
  <c r="DK23" i="24"/>
  <c r="DK17" i="24"/>
  <c r="DK18" i="24"/>
  <c r="DK12" i="24"/>
  <c r="DK23" i="23"/>
  <c r="DK17" i="23"/>
  <c r="DK18" i="23"/>
  <c r="DK12" i="23"/>
  <c r="Q86" i="12"/>
  <c r="Q71" i="12"/>
  <c r="Q56" i="12"/>
  <c r="Q92" i="12"/>
  <c r="Q46" i="12"/>
  <c r="Q77" i="12"/>
  <c r="Q40" i="12"/>
  <c r="Q25" i="12"/>
  <c r="Q62" i="12"/>
  <c r="Q19" i="12"/>
  <c r="Q31" i="12"/>
  <c r="Q9" i="12"/>
  <c r="DK23" i="29" l="1"/>
  <c r="DK17" i="29"/>
  <c r="DK18" i="29"/>
  <c r="DK12" i="29"/>
  <c r="DK21" i="28"/>
  <c r="DL11" i="28"/>
  <c r="DK21" i="27"/>
  <c r="DL11" i="27"/>
  <c r="DK23" i="26"/>
  <c r="DK17" i="26"/>
  <c r="DK18" i="26"/>
  <c r="DK12" i="26"/>
  <c r="DK21" i="25"/>
  <c r="DL11" i="25"/>
  <c r="DK21" i="24"/>
  <c r="DL11" i="24"/>
  <c r="DK21" i="23"/>
  <c r="DL11" i="23"/>
  <c r="R92" i="12"/>
  <c r="R77" i="12"/>
  <c r="R40" i="12"/>
  <c r="R25" i="12"/>
  <c r="R62" i="12"/>
  <c r="R86" i="12"/>
  <c r="R31" i="12"/>
  <c r="R19" i="12"/>
  <c r="R71" i="12"/>
  <c r="R46" i="12"/>
  <c r="R9" i="12"/>
  <c r="R56" i="12"/>
  <c r="DK21" i="29" l="1"/>
  <c r="DL11" i="29"/>
  <c r="DL23" i="28"/>
  <c r="DL18" i="28"/>
  <c r="DL17" i="28"/>
  <c r="DL12" i="28"/>
  <c r="DL23" i="27"/>
  <c r="DL18" i="27"/>
  <c r="DL17" i="27"/>
  <c r="DL12" i="27"/>
  <c r="DK21" i="26"/>
  <c r="DL11" i="26"/>
  <c r="DL23" i="25"/>
  <c r="DL17" i="25"/>
  <c r="DL18" i="25"/>
  <c r="DL12" i="25"/>
  <c r="DL23" i="24"/>
  <c r="DL18" i="24"/>
  <c r="DL17" i="24"/>
  <c r="DL12" i="24"/>
  <c r="DL23" i="23"/>
  <c r="DL18" i="23"/>
  <c r="DL17" i="23"/>
  <c r="DL12" i="23"/>
  <c r="S92" i="12"/>
  <c r="S77" i="12"/>
  <c r="S62" i="12"/>
  <c r="S46" i="12"/>
  <c r="S71" i="12"/>
  <c r="S86" i="12"/>
  <c r="S31" i="12"/>
  <c r="S19" i="12"/>
  <c r="S9" i="12"/>
  <c r="S56" i="12"/>
  <c r="S40" i="12"/>
  <c r="S25" i="12"/>
  <c r="DL23" i="29" l="1"/>
  <c r="DL18" i="29"/>
  <c r="DL17" i="29"/>
  <c r="DL12" i="29"/>
  <c r="DL21" i="28"/>
  <c r="DM11" i="28"/>
  <c r="DL21" i="27"/>
  <c r="DM11" i="27"/>
  <c r="DL23" i="26"/>
  <c r="DL18" i="26"/>
  <c r="DL17" i="26"/>
  <c r="DL12" i="26"/>
  <c r="DL21" i="25"/>
  <c r="DM11" i="25"/>
  <c r="DL21" i="24"/>
  <c r="DM11" i="24"/>
  <c r="DL21" i="23"/>
  <c r="DM11" i="23"/>
  <c r="T86" i="12"/>
  <c r="T71" i="12"/>
  <c r="T77" i="12"/>
  <c r="T31" i="12"/>
  <c r="T19" i="12"/>
  <c r="T9" i="12"/>
  <c r="T40" i="12"/>
  <c r="T62" i="12"/>
  <c r="T56" i="12"/>
  <c r="T46" i="12"/>
  <c r="T25" i="12"/>
  <c r="T92" i="12"/>
  <c r="DL21" i="29" l="1"/>
  <c r="DM11" i="29"/>
  <c r="DM23" i="28"/>
  <c r="DM17" i="28"/>
  <c r="DM18" i="28"/>
  <c r="DM12" i="28"/>
  <c r="DM23" i="27"/>
  <c r="DM18" i="27"/>
  <c r="DM17" i="27"/>
  <c r="DM12" i="27"/>
  <c r="DL21" i="26"/>
  <c r="DM11" i="26"/>
  <c r="DM23" i="25"/>
  <c r="DM18" i="25"/>
  <c r="DM17" i="25"/>
  <c r="DM12" i="25"/>
  <c r="DM23" i="24"/>
  <c r="DM17" i="24"/>
  <c r="DM18" i="24"/>
  <c r="DM12" i="24"/>
  <c r="DM23" i="23"/>
  <c r="DM17" i="23"/>
  <c r="DM18" i="23"/>
  <c r="DM12" i="23"/>
  <c r="U86" i="12"/>
  <c r="U71" i="12"/>
  <c r="U56" i="12"/>
  <c r="U62" i="12"/>
  <c r="U46" i="12"/>
  <c r="U40" i="12"/>
  <c r="U25" i="12"/>
  <c r="U92" i="12"/>
  <c r="U31" i="12"/>
  <c r="U77" i="12"/>
  <c r="U19" i="12"/>
  <c r="U9" i="12"/>
  <c r="DM23" i="29" l="1"/>
  <c r="DM17" i="29"/>
  <c r="DM18" i="29"/>
  <c r="DM12" i="29"/>
  <c r="DM21" i="28"/>
  <c r="DN11" i="28"/>
  <c r="DM21" i="27"/>
  <c r="DN11" i="27"/>
  <c r="DM23" i="26"/>
  <c r="DM17" i="26"/>
  <c r="DM18" i="26"/>
  <c r="DM12" i="26"/>
  <c r="DM21" i="25"/>
  <c r="DN11" i="25"/>
  <c r="DM21" i="24"/>
  <c r="DN11" i="24"/>
  <c r="DM21" i="23"/>
  <c r="DN11" i="23"/>
  <c r="V92" i="12"/>
  <c r="V77" i="12"/>
  <c r="V86" i="12"/>
  <c r="V56" i="12"/>
  <c r="V46" i="12"/>
  <c r="V40" i="12"/>
  <c r="V25" i="12"/>
  <c r="V31" i="12"/>
  <c r="V71" i="12"/>
  <c r="V19" i="12"/>
  <c r="V9" i="12"/>
  <c r="V62" i="12"/>
  <c r="DM21" i="29" l="1"/>
  <c r="DN11" i="29"/>
  <c r="DN23" i="28"/>
  <c r="DN18" i="28"/>
  <c r="DN17" i="28"/>
  <c r="DN12" i="28"/>
  <c r="DN23" i="27"/>
  <c r="DN18" i="27"/>
  <c r="DN17" i="27"/>
  <c r="DN12" i="27"/>
  <c r="DM21" i="26"/>
  <c r="DN11" i="26"/>
  <c r="DN23" i="25"/>
  <c r="DN17" i="25"/>
  <c r="DN18" i="25"/>
  <c r="DN12" i="25"/>
  <c r="DN23" i="24"/>
  <c r="DN18" i="24"/>
  <c r="DN17" i="24"/>
  <c r="DN12" i="24"/>
  <c r="DN23" i="23"/>
  <c r="DN18" i="23"/>
  <c r="DN17" i="23"/>
  <c r="DN12" i="23"/>
  <c r="W92" i="12"/>
  <c r="W77" i="12"/>
  <c r="W62" i="12"/>
  <c r="W46" i="12"/>
  <c r="W71" i="12"/>
  <c r="W31" i="12"/>
  <c r="W19" i="12"/>
  <c r="W9" i="12"/>
  <c r="W56" i="12"/>
  <c r="W86" i="12"/>
  <c r="W25" i="12"/>
  <c r="W40" i="12"/>
  <c r="DN23" i="29" l="1"/>
  <c r="DN18" i="29"/>
  <c r="DN17" i="29"/>
  <c r="DN12" i="29"/>
  <c r="DN21" i="28"/>
  <c r="DO11" i="28"/>
  <c r="DN21" i="27"/>
  <c r="DO11" i="27"/>
  <c r="DN23" i="26"/>
  <c r="DN18" i="26"/>
  <c r="DN17" i="26"/>
  <c r="DN12" i="26"/>
  <c r="DN21" i="25"/>
  <c r="DO11" i="25"/>
  <c r="DN21" i="24"/>
  <c r="DO11" i="24"/>
  <c r="DN21" i="23"/>
  <c r="DO11" i="23"/>
  <c r="X86" i="12"/>
  <c r="X71" i="12"/>
  <c r="X31" i="12"/>
  <c r="X19" i="12"/>
  <c r="X9" i="12"/>
  <c r="X56" i="12"/>
  <c r="X92" i="12"/>
  <c r="X77" i="12"/>
  <c r="X62" i="12"/>
  <c r="X40" i="12"/>
  <c r="X46" i="12"/>
  <c r="X25" i="12"/>
  <c r="DN21" i="29" l="1"/>
  <c r="DO11" i="29"/>
  <c r="DO23" i="28"/>
  <c r="DO17" i="28"/>
  <c r="DO18" i="28"/>
  <c r="DO12" i="28"/>
  <c r="DO23" i="27"/>
  <c r="DO18" i="27"/>
  <c r="DO17" i="27"/>
  <c r="DO12" i="27"/>
  <c r="DN21" i="26"/>
  <c r="DO11" i="26"/>
  <c r="DO23" i="25"/>
  <c r="DO18" i="25"/>
  <c r="DO17" i="25"/>
  <c r="DO12" i="25"/>
  <c r="DO23" i="24"/>
  <c r="DO17" i="24"/>
  <c r="DO18" i="24"/>
  <c r="DO12" i="24"/>
  <c r="DO23" i="23"/>
  <c r="DO17" i="23"/>
  <c r="DO18" i="23"/>
  <c r="DO12" i="23"/>
  <c r="Y86" i="12"/>
  <c r="Y71" i="12"/>
  <c r="Y56" i="12"/>
  <c r="Y92" i="12"/>
  <c r="Y46" i="12"/>
  <c r="Y77" i="12"/>
  <c r="Y62" i="12"/>
  <c r="Y40" i="12"/>
  <c r="Y25" i="12"/>
  <c r="Y31" i="12"/>
  <c r="Y9" i="12"/>
  <c r="Y19" i="12"/>
  <c r="DO23" i="29" l="1"/>
  <c r="DO17" i="29"/>
  <c r="DO18" i="29"/>
  <c r="DO12" i="29"/>
  <c r="DO21" i="28"/>
  <c r="DP11" i="28"/>
  <c r="DO21" i="27"/>
  <c r="DP11" i="27"/>
  <c r="DO23" i="26"/>
  <c r="DO17" i="26"/>
  <c r="DO18" i="26"/>
  <c r="DO12" i="26"/>
  <c r="DO21" i="25"/>
  <c r="DP11" i="25"/>
  <c r="DO21" i="24"/>
  <c r="DP11" i="24"/>
  <c r="DO21" i="23"/>
  <c r="DP11" i="23"/>
  <c r="Z92" i="12"/>
  <c r="Z77" i="12"/>
  <c r="Z62" i="12"/>
  <c r="Z40" i="12"/>
  <c r="Z25" i="12"/>
  <c r="Z56" i="12"/>
  <c r="Z46" i="12"/>
  <c r="Z86" i="12"/>
  <c r="Z31" i="12"/>
  <c r="Z71" i="12"/>
  <c r="Z9" i="12"/>
  <c r="Z19" i="12"/>
  <c r="DO21" i="29" l="1"/>
  <c r="DP11" i="29"/>
  <c r="DP23" i="28"/>
  <c r="DP18" i="28"/>
  <c r="DP17" i="28"/>
  <c r="DP12" i="28"/>
  <c r="DP23" i="27"/>
  <c r="DP18" i="27"/>
  <c r="DP17" i="27"/>
  <c r="DP12" i="27"/>
  <c r="DO21" i="26"/>
  <c r="DP11" i="26"/>
  <c r="DP23" i="25"/>
  <c r="DP17" i="25"/>
  <c r="DP18" i="25"/>
  <c r="DP12" i="25"/>
  <c r="DP23" i="24"/>
  <c r="DP18" i="24"/>
  <c r="DP17" i="24"/>
  <c r="DP12" i="24"/>
  <c r="DP23" i="23"/>
  <c r="DP18" i="23"/>
  <c r="DP17" i="23"/>
  <c r="DP12" i="23"/>
  <c r="AA92" i="12"/>
  <c r="AA77" i="12"/>
  <c r="AA62" i="12"/>
  <c r="AA46" i="12"/>
  <c r="AA56" i="12"/>
  <c r="AA86" i="12"/>
  <c r="AA31" i="12"/>
  <c r="AA19" i="12"/>
  <c r="AA9" i="12"/>
  <c r="AA71" i="12"/>
  <c r="AA25" i="12"/>
  <c r="AA40" i="12"/>
  <c r="DP23" i="29" l="1"/>
  <c r="DP18" i="29"/>
  <c r="DP17" i="29"/>
  <c r="DP12" i="29"/>
  <c r="DP21" i="28"/>
  <c r="DQ11" i="28"/>
  <c r="DP21" i="27"/>
  <c r="DQ11" i="27"/>
  <c r="DP23" i="26"/>
  <c r="DP18" i="26"/>
  <c r="DP17" i="26"/>
  <c r="DP12" i="26"/>
  <c r="DP21" i="25"/>
  <c r="DQ11" i="25"/>
  <c r="DP21" i="24"/>
  <c r="DQ11" i="24"/>
  <c r="DP21" i="23"/>
  <c r="DQ11" i="23"/>
  <c r="AB86" i="12"/>
  <c r="AB71" i="12"/>
  <c r="AB77" i="12"/>
  <c r="AB46" i="12"/>
  <c r="AB31" i="12"/>
  <c r="AB19" i="12"/>
  <c r="AB9" i="12"/>
  <c r="AB40" i="12"/>
  <c r="AB92" i="12"/>
  <c r="AB56" i="12"/>
  <c r="AB62" i="12"/>
  <c r="AB25" i="12"/>
  <c r="DP21" i="29" l="1"/>
  <c r="DQ11" i="29"/>
  <c r="DQ23" i="28"/>
  <c r="DQ17" i="28"/>
  <c r="DQ18" i="28"/>
  <c r="DQ12" i="28"/>
  <c r="DQ23" i="27"/>
  <c r="DQ18" i="27"/>
  <c r="DQ17" i="27"/>
  <c r="DQ12" i="27"/>
  <c r="DP21" i="26"/>
  <c r="DQ11" i="26"/>
  <c r="DQ23" i="25"/>
  <c r="DQ18" i="25"/>
  <c r="DQ17" i="25"/>
  <c r="DQ12" i="25"/>
  <c r="DQ23" i="24"/>
  <c r="DQ17" i="24"/>
  <c r="DQ18" i="24"/>
  <c r="DQ12" i="24"/>
  <c r="DQ23" i="23"/>
  <c r="DQ17" i="23"/>
  <c r="DQ18" i="23"/>
  <c r="DQ12" i="23"/>
  <c r="AC86" i="12"/>
  <c r="AC71" i="12"/>
  <c r="AC56" i="12"/>
  <c r="AC40" i="12"/>
  <c r="AC25" i="12"/>
  <c r="AC92" i="12"/>
  <c r="AC62" i="12"/>
  <c r="AC77" i="12"/>
  <c r="AC46" i="12"/>
  <c r="AC19" i="12"/>
  <c r="AC9" i="12"/>
  <c r="AC31" i="12"/>
  <c r="DQ23" i="29" l="1"/>
  <c r="DQ17" i="29"/>
  <c r="DQ18" i="29"/>
  <c r="DQ12" i="29"/>
  <c r="DQ21" i="28"/>
  <c r="DR11" i="28"/>
  <c r="DQ21" i="27"/>
  <c r="DR11" i="27"/>
  <c r="DQ23" i="26"/>
  <c r="DQ17" i="26"/>
  <c r="DQ18" i="26"/>
  <c r="DQ12" i="26"/>
  <c r="DQ21" i="25"/>
  <c r="DR11" i="25"/>
  <c r="DQ21" i="24"/>
  <c r="DR11" i="24"/>
  <c r="DQ21" i="23"/>
  <c r="DR11" i="23"/>
  <c r="AD92" i="12"/>
  <c r="AD77" i="12"/>
  <c r="AD86" i="12"/>
  <c r="AD40" i="12"/>
  <c r="AD25" i="12"/>
  <c r="AD31" i="12"/>
  <c r="AD71" i="12"/>
  <c r="AD62" i="12"/>
  <c r="AD56" i="12"/>
  <c r="AD46" i="12"/>
  <c r="AD19" i="12"/>
  <c r="AD9" i="12"/>
  <c r="DQ21" i="29" l="1"/>
  <c r="DR11" i="29"/>
  <c r="DR23" i="28"/>
  <c r="DR18" i="28"/>
  <c r="DR17" i="28"/>
  <c r="DR12" i="28"/>
  <c r="DR23" i="27"/>
  <c r="DR18" i="27"/>
  <c r="DR17" i="27"/>
  <c r="DR12" i="27"/>
  <c r="DQ21" i="26"/>
  <c r="DR11" i="26"/>
  <c r="DR23" i="25"/>
  <c r="DR17" i="25"/>
  <c r="DR18" i="25"/>
  <c r="DR12" i="25"/>
  <c r="DR23" i="24"/>
  <c r="DR18" i="24"/>
  <c r="DR17" i="24"/>
  <c r="DR12" i="24"/>
  <c r="DR23" i="23"/>
  <c r="DR18" i="23"/>
  <c r="DR17" i="23"/>
  <c r="DR12" i="23"/>
  <c r="AE92" i="12"/>
  <c r="AE77" i="12"/>
  <c r="AE62" i="12"/>
  <c r="AE46" i="12"/>
  <c r="AE71" i="12"/>
  <c r="AE56" i="12"/>
  <c r="AE31" i="12"/>
  <c r="AE19" i="12"/>
  <c r="AE9" i="12"/>
  <c r="AE86" i="12"/>
  <c r="AE25" i="12"/>
  <c r="AE40" i="12"/>
  <c r="DR23" i="29" l="1"/>
  <c r="DR18" i="29"/>
  <c r="DR17" i="29"/>
  <c r="DR12" i="29"/>
  <c r="DR21" i="28"/>
  <c r="DS11" i="28"/>
  <c r="DR21" i="27"/>
  <c r="DS11" i="27"/>
  <c r="DR23" i="26"/>
  <c r="DR18" i="26"/>
  <c r="DR17" i="26"/>
  <c r="DR12" i="26"/>
  <c r="DR21" i="25"/>
  <c r="DS11" i="25"/>
  <c r="DR21" i="24"/>
  <c r="DS11" i="24"/>
  <c r="DR21" i="23"/>
  <c r="DS11" i="23"/>
  <c r="AF86" i="12"/>
  <c r="AF71" i="12"/>
  <c r="AF62" i="12"/>
  <c r="AF56" i="12"/>
  <c r="AF31" i="12"/>
  <c r="AF19" i="12"/>
  <c r="AF9" i="12"/>
  <c r="AF77" i="12"/>
  <c r="AF92" i="12"/>
  <c r="AF46" i="12"/>
  <c r="AF40" i="12"/>
  <c r="AF25" i="12"/>
  <c r="DR21" i="29" l="1"/>
  <c r="DS11" i="29"/>
  <c r="DS23" i="28"/>
  <c r="DS17" i="28"/>
  <c r="DS18" i="28"/>
  <c r="DS12" i="28"/>
  <c r="DS23" i="27"/>
  <c r="DS18" i="27"/>
  <c r="DS17" i="27"/>
  <c r="DS12" i="27"/>
  <c r="DR21" i="26"/>
  <c r="DS11" i="26"/>
  <c r="DS23" i="25"/>
  <c r="DS18" i="25"/>
  <c r="DS17" i="25"/>
  <c r="DS12" i="25"/>
  <c r="DS23" i="24"/>
  <c r="DS17" i="24"/>
  <c r="DS18" i="24"/>
  <c r="DS12" i="24"/>
  <c r="DS23" i="23"/>
  <c r="DS17" i="23"/>
  <c r="DS18" i="23"/>
  <c r="DS12" i="23"/>
  <c r="AG86" i="12"/>
  <c r="AG71" i="12"/>
  <c r="AG56" i="12"/>
  <c r="AG92" i="12"/>
  <c r="AG46" i="12"/>
  <c r="AG77" i="12"/>
  <c r="AG40" i="12"/>
  <c r="AG25" i="12"/>
  <c r="AG62" i="12"/>
  <c r="AG31" i="12"/>
  <c r="AG19" i="12"/>
  <c r="AG9" i="12"/>
  <c r="DS23" i="29" l="1"/>
  <c r="DS17" i="29"/>
  <c r="DS18" i="29"/>
  <c r="DS12" i="29"/>
  <c r="DS21" i="28"/>
  <c r="DT11" i="28"/>
  <c r="DS21" i="27"/>
  <c r="DT11" i="27"/>
  <c r="DS23" i="26"/>
  <c r="DS17" i="26"/>
  <c r="DS18" i="26"/>
  <c r="DS12" i="26"/>
  <c r="DS21" i="25"/>
  <c r="DT11" i="25"/>
  <c r="DS21" i="24"/>
  <c r="DT11" i="24"/>
  <c r="DS21" i="23"/>
  <c r="DT11" i="23"/>
  <c r="AH92" i="12"/>
  <c r="AH77" i="12"/>
  <c r="AH40" i="12"/>
  <c r="AH25" i="12"/>
  <c r="AH62" i="12"/>
  <c r="AH86" i="12"/>
  <c r="AH31" i="12"/>
  <c r="AH56" i="12"/>
  <c r="AH19" i="12"/>
  <c r="AH46" i="12"/>
  <c r="AH9" i="12"/>
  <c r="AH71" i="12"/>
  <c r="DS21" i="29" l="1"/>
  <c r="DT11" i="29"/>
  <c r="DT23" i="28"/>
  <c r="DT18" i="28"/>
  <c r="DT17" i="28"/>
  <c r="DT12" i="28"/>
  <c r="DT23" i="27"/>
  <c r="DT18" i="27"/>
  <c r="DT17" i="27"/>
  <c r="DT12" i="27"/>
  <c r="DS21" i="26"/>
  <c r="DT11" i="26"/>
  <c r="DT23" i="25"/>
  <c r="DT17" i="25"/>
  <c r="DT18" i="25"/>
  <c r="DT12" i="25"/>
  <c r="DT23" i="24"/>
  <c r="DT18" i="24"/>
  <c r="DT17" i="24"/>
  <c r="DT12" i="24"/>
  <c r="DT23" i="23"/>
  <c r="DT18" i="23"/>
  <c r="DT17" i="23"/>
  <c r="DT12" i="23"/>
  <c r="AI92" i="12"/>
  <c r="AI77" i="12"/>
  <c r="AI62" i="12"/>
  <c r="AI46" i="12"/>
  <c r="AI71" i="12"/>
  <c r="AI56" i="12"/>
  <c r="AI86" i="12"/>
  <c r="AI31" i="12"/>
  <c r="AI19" i="12"/>
  <c r="AI9" i="12"/>
  <c r="AI40" i="12"/>
  <c r="AI25" i="12"/>
  <c r="DT23" i="29" l="1"/>
  <c r="DT18" i="29"/>
  <c r="DT17" i="29"/>
  <c r="DT12" i="29"/>
  <c r="DT21" i="28"/>
  <c r="DU11" i="28"/>
  <c r="DT21" i="27"/>
  <c r="DU11" i="27"/>
  <c r="DT23" i="26"/>
  <c r="DT18" i="26"/>
  <c r="DT17" i="26"/>
  <c r="DT12" i="26"/>
  <c r="DT21" i="25"/>
  <c r="DU11" i="25"/>
  <c r="DT21" i="24"/>
  <c r="DU11" i="24"/>
  <c r="DT21" i="23"/>
  <c r="DU11" i="23"/>
  <c r="AJ86" i="12"/>
  <c r="AJ71" i="12"/>
  <c r="AJ77" i="12"/>
  <c r="AJ31" i="12"/>
  <c r="AJ19" i="12"/>
  <c r="AJ9" i="12"/>
  <c r="AJ46" i="12"/>
  <c r="AJ40" i="12"/>
  <c r="AJ62" i="12"/>
  <c r="AJ56" i="12"/>
  <c r="AJ92" i="12"/>
  <c r="AJ25" i="12"/>
  <c r="DT21" i="29" l="1"/>
  <c r="DU11" i="29"/>
  <c r="DU23" i="28"/>
  <c r="DU17" i="28"/>
  <c r="DU18" i="28"/>
  <c r="DU12" i="28"/>
  <c r="DU23" i="27"/>
  <c r="DU18" i="27"/>
  <c r="DU17" i="27"/>
  <c r="DU12" i="27"/>
  <c r="DT21" i="26"/>
  <c r="DU11" i="26"/>
  <c r="DU23" i="25"/>
  <c r="DU18" i="25"/>
  <c r="DU17" i="25"/>
  <c r="DU12" i="25"/>
  <c r="DU23" i="24"/>
  <c r="DU17" i="24"/>
  <c r="DU18" i="24"/>
  <c r="DU12" i="24"/>
  <c r="DU23" i="23"/>
  <c r="DU17" i="23"/>
  <c r="DU18" i="23"/>
  <c r="DU12" i="23"/>
  <c r="AK92" i="12"/>
  <c r="AK86" i="12"/>
  <c r="AK71" i="12"/>
  <c r="AK56" i="12"/>
  <c r="AK40" i="12"/>
  <c r="AK62" i="12"/>
  <c r="AK46" i="12"/>
  <c r="AK25" i="12"/>
  <c r="AK31" i="12"/>
  <c r="AK77" i="12"/>
  <c r="AK19" i="12"/>
  <c r="AK9" i="12"/>
  <c r="DU23" i="29" l="1"/>
  <c r="DU17" i="29"/>
  <c r="DU18" i="29"/>
  <c r="DU12" i="29"/>
  <c r="DU21" i="28"/>
  <c r="DV11" i="28"/>
  <c r="DU21" i="27"/>
  <c r="DV11" i="27"/>
  <c r="DU23" i="26"/>
  <c r="DU17" i="26"/>
  <c r="DU18" i="26"/>
  <c r="DU12" i="26"/>
  <c r="DU21" i="25"/>
  <c r="DV11" i="25"/>
  <c r="DU21" i="24"/>
  <c r="DV11" i="24"/>
  <c r="DU21" i="23"/>
  <c r="DV11" i="23"/>
  <c r="AL77" i="12"/>
  <c r="AL86" i="12"/>
  <c r="AL56" i="12"/>
  <c r="AL46" i="12"/>
  <c r="AL25" i="12"/>
  <c r="AL31" i="12"/>
  <c r="AL71" i="12"/>
  <c r="AL40" i="12"/>
  <c r="AL92" i="12"/>
  <c r="AL62" i="12"/>
  <c r="AL19" i="12"/>
  <c r="AL9" i="12"/>
  <c r="DU21" i="29" l="1"/>
  <c r="DV11" i="29"/>
  <c r="DV23" i="28"/>
  <c r="DV18" i="28"/>
  <c r="DV17" i="28"/>
  <c r="DV12" i="28"/>
  <c r="DV23" i="27"/>
  <c r="DV18" i="27"/>
  <c r="DV17" i="27"/>
  <c r="DV12" i="27"/>
  <c r="DU21" i="26"/>
  <c r="DV11" i="26"/>
  <c r="DV23" i="25"/>
  <c r="DV17" i="25"/>
  <c r="DV18" i="25"/>
  <c r="DV12" i="25"/>
  <c r="DV23" i="24"/>
  <c r="DV18" i="24"/>
  <c r="DV17" i="24"/>
  <c r="DV12" i="24"/>
  <c r="DV23" i="23"/>
  <c r="DV18" i="23"/>
  <c r="DV17" i="23"/>
  <c r="DV12" i="23"/>
  <c r="AM92" i="12"/>
  <c r="AM77" i="12"/>
  <c r="AM62" i="12"/>
  <c r="AM46" i="12"/>
  <c r="AM71" i="12"/>
  <c r="AM40" i="12"/>
  <c r="AM31" i="12"/>
  <c r="AM19" i="12"/>
  <c r="AM9" i="12"/>
  <c r="AM86" i="12"/>
  <c r="AM56" i="12"/>
  <c r="AM25" i="12"/>
  <c r="DV23" i="29" l="1"/>
  <c r="DV18" i="29"/>
  <c r="DV17" i="29"/>
  <c r="DV12" i="29"/>
  <c r="DV21" i="28"/>
  <c r="DW11" i="28"/>
  <c r="DV21" i="27"/>
  <c r="DW11" i="27"/>
  <c r="DV23" i="26"/>
  <c r="DV18" i="26"/>
  <c r="DV17" i="26"/>
  <c r="DV12" i="26"/>
  <c r="DV21" i="25"/>
  <c r="DW11" i="25"/>
  <c r="DV21" i="24"/>
  <c r="DW11" i="24"/>
  <c r="DV21" i="23"/>
  <c r="DW11" i="23"/>
  <c r="AN86" i="12"/>
  <c r="AN71" i="12"/>
  <c r="AN92" i="12"/>
  <c r="AN31" i="12"/>
  <c r="AN19" i="12"/>
  <c r="AN9" i="12"/>
  <c r="AN77" i="12"/>
  <c r="AN62" i="12"/>
  <c r="AN56" i="12"/>
  <c r="AN40" i="12"/>
  <c r="AN46" i="12"/>
  <c r="AN25" i="12"/>
  <c r="DV21" i="29" l="1"/>
  <c r="DW11" i="29"/>
  <c r="DW23" i="28"/>
  <c r="DW17" i="28"/>
  <c r="DW18" i="28"/>
  <c r="DW12" i="28"/>
  <c r="DW23" i="27"/>
  <c r="DW18" i="27"/>
  <c r="DW17" i="27"/>
  <c r="DW12" i="27"/>
  <c r="DV21" i="26"/>
  <c r="DW11" i="26"/>
  <c r="DW23" i="25"/>
  <c r="DW18" i="25"/>
  <c r="DW17" i="25"/>
  <c r="DW12" i="25"/>
  <c r="DW23" i="24"/>
  <c r="DW17" i="24"/>
  <c r="DW18" i="24"/>
  <c r="DW12" i="24"/>
  <c r="DW23" i="23"/>
  <c r="DW17" i="23"/>
  <c r="DW18" i="23"/>
  <c r="DW12" i="23"/>
  <c r="AO92" i="12"/>
  <c r="AO86" i="12"/>
  <c r="AO71" i="12"/>
  <c r="AO56" i="12"/>
  <c r="AO40" i="12"/>
  <c r="AO77" i="12"/>
  <c r="AO62" i="12"/>
  <c r="AO25" i="12"/>
  <c r="AO46" i="12"/>
  <c r="AO19" i="12"/>
  <c r="AO9" i="12"/>
  <c r="AO31" i="12"/>
  <c r="DW23" i="29" l="1"/>
  <c r="DW17" i="29"/>
  <c r="DW18" i="29"/>
  <c r="DW12" i="29"/>
  <c r="DW21" i="28"/>
  <c r="DX11" i="28"/>
  <c r="DW21" i="27"/>
  <c r="DX11" i="27"/>
  <c r="DW23" i="26"/>
  <c r="DW17" i="26"/>
  <c r="DW18" i="26"/>
  <c r="DW12" i="26"/>
  <c r="DW21" i="25"/>
  <c r="DX11" i="25"/>
  <c r="DW21" i="24"/>
  <c r="DX11" i="24"/>
  <c r="DW21" i="23"/>
  <c r="DX11" i="23"/>
  <c r="AP77" i="12"/>
  <c r="AP62" i="12"/>
  <c r="AP25" i="12"/>
  <c r="AP92" i="12"/>
  <c r="AP56" i="12"/>
  <c r="AP46" i="12"/>
  <c r="AP86" i="12"/>
  <c r="AP40" i="12"/>
  <c r="AP31" i="12"/>
  <c r="AP9" i="12"/>
  <c r="AP71" i="12"/>
  <c r="AP19" i="12"/>
  <c r="DW21" i="29" l="1"/>
  <c r="DX11" i="29"/>
  <c r="DX23" i="28"/>
  <c r="DX18" i="28"/>
  <c r="DX17" i="28"/>
  <c r="DX12" i="28"/>
  <c r="DX21" i="28" s="1"/>
  <c r="F22" i="28" s="1"/>
  <c r="G22" i="28" s="1"/>
  <c r="H22" i="28" s="1"/>
  <c r="I22" i="28" s="1"/>
  <c r="J22" i="28" s="1"/>
  <c r="K22" i="28" s="1"/>
  <c r="L22" i="28" s="1"/>
  <c r="M22" i="28" s="1"/>
  <c r="N22" i="28" s="1"/>
  <c r="O22" i="28" s="1"/>
  <c r="P22" i="28" s="1"/>
  <c r="Q22" i="28" s="1"/>
  <c r="R22" i="28" s="1"/>
  <c r="S22" i="28" s="1"/>
  <c r="T22" i="28" s="1"/>
  <c r="U22" i="28" s="1"/>
  <c r="V22" i="28" s="1"/>
  <c r="W22" i="28" s="1"/>
  <c r="X22" i="28" s="1"/>
  <c r="Y22" i="28" s="1"/>
  <c r="Z22" i="28" s="1"/>
  <c r="AA22" i="28" s="1"/>
  <c r="AB22" i="28" s="1"/>
  <c r="AC22" i="28" s="1"/>
  <c r="AD22" i="28" s="1"/>
  <c r="AE22" i="28" s="1"/>
  <c r="AF22" i="28" s="1"/>
  <c r="AG22" i="28" s="1"/>
  <c r="AH22" i="28" s="1"/>
  <c r="AI22" i="28" s="1"/>
  <c r="AJ22" i="28" s="1"/>
  <c r="AK22" i="28" s="1"/>
  <c r="AL22" i="28" s="1"/>
  <c r="AM22" i="28" s="1"/>
  <c r="AN22" i="28" s="1"/>
  <c r="AO22" i="28" s="1"/>
  <c r="AP22" i="28" s="1"/>
  <c r="AQ22" i="28" s="1"/>
  <c r="AR22" i="28" s="1"/>
  <c r="AS22" i="28" s="1"/>
  <c r="AT22" i="28" s="1"/>
  <c r="AU22" i="28" s="1"/>
  <c r="AV22" i="28" s="1"/>
  <c r="AW22" i="28" s="1"/>
  <c r="AX22" i="28" s="1"/>
  <c r="AY22" i="28" s="1"/>
  <c r="AZ22" i="28" s="1"/>
  <c r="BA22" i="28" s="1"/>
  <c r="BB22" i="28" s="1"/>
  <c r="BC22" i="28" s="1"/>
  <c r="BD22" i="28" s="1"/>
  <c r="BE22" i="28" s="1"/>
  <c r="BF22" i="28" s="1"/>
  <c r="BG22" i="28" s="1"/>
  <c r="BH22" i="28" s="1"/>
  <c r="BI22" i="28" s="1"/>
  <c r="BJ22" i="28" s="1"/>
  <c r="BK22" i="28" s="1"/>
  <c r="BL22" i="28" s="1"/>
  <c r="BM22" i="28" s="1"/>
  <c r="BN22" i="28" s="1"/>
  <c r="BO22" i="28" s="1"/>
  <c r="BP22" i="28" s="1"/>
  <c r="BQ22" i="28" s="1"/>
  <c r="BR22" i="28" s="1"/>
  <c r="BS22" i="28" s="1"/>
  <c r="BT22" i="28" s="1"/>
  <c r="BU22" i="28" s="1"/>
  <c r="BV22" i="28" s="1"/>
  <c r="BW22" i="28" s="1"/>
  <c r="BX22" i="28" s="1"/>
  <c r="BY22" i="28" s="1"/>
  <c r="BZ22" i="28" s="1"/>
  <c r="CA22" i="28" s="1"/>
  <c r="CB22" i="28" s="1"/>
  <c r="CC22" i="28" s="1"/>
  <c r="CD22" i="28" s="1"/>
  <c r="CE22" i="28" s="1"/>
  <c r="CF22" i="28" s="1"/>
  <c r="CG22" i="28" s="1"/>
  <c r="CH22" i="28" s="1"/>
  <c r="CI22" i="28" s="1"/>
  <c r="CJ22" i="28" s="1"/>
  <c r="CK22" i="28" s="1"/>
  <c r="CL22" i="28" s="1"/>
  <c r="CM22" i="28" s="1"/>
  <c r="CN22" i="28" s="1"/>
  <c r="CO22" i="28" s="1"/>
  <c r="CP22" i="28" s="1"/>
  <c r="CQ22" i="28" s="1"/>
  <c r="CR22" i="28" s="1"/>
  <c r="CS22" i="28" s="1"/>
  <c r="CT22" i="28" s="1"/>
  <c r="CU22" i="28" s="1"/>
  <c r="CV22" i="28" s="1"/>
  <c r="CW22" i="28" s="1"/>
  <c r="CX22" i="28" s="1"/>
  <c r="CY22" i="28" s="1"/>
  <c r="CZ22" i="28" s="1"/>
  <c r="DA22" i="28" s="1"/>
  <c r="DB22" i="28" s="1"/>
  <c r="DC22" i="28" s="1"/>
  <c r="DD22" i="28" s="1"/>
  <c r="DE22" i="28" s="1"/>
  <c r="DF22" i="28" s="1"/>
  <c r="DG22" i="28" s="1"/>
  <c r="DH22" i="28" s="1"/>
  <c r="DI22" i="28" s="1"/>
  <c r="DJ22" i="28" s="1"/>
  <c r="DK22" i="28" s="1"/>
  <c r="DL22" i="28" s="1"/>
  <c r="DM22" i="28" s="1"/>
  <c r="DN22" i="28" s="1"/>
  <c r="DO22" i="28" s="1"/>
  <c r="DP22" i="28" s="1"/>
  <c r="DQ22" i="28" s="1"/>
  <c r="DR22" i="28" s="1"/>
  <c r="DS22" i="28" s="1"/>
  <c r="DT22" i="28" s="1"/>
  <c r="DU22" i="28" s="1"/>
  <c r="DV22" i="28" s="1"/>
  <c r="DW22" i="28" s="1"/>
  <c r="DX22" i="28" s="1"/>
  <c r="DX23" i="27"/>
  <c r="DX18" i="27"/>
  <c r="DX17" i="27"/>
  <c r="DX12" i="27"/>
  <c r="DX21" i="27" s="1"/>
  <c r="F22" i="27" s="1"/>
  <c r="G22" i="27" s="1"/>
  <c r="H22" i="27" s="1"/>
  <c r="I22" i="27" s="1"/>
  <c r="J22" i="27" s="1"/>
  <c r="K22" i="27" s="1"/>
  <c r="L22" i="27" s="1"/>
  <c r="M22" i="27" s="1"/>
  <c r="N22" i="27" s="1"/>
  <c r="O22" i="27" s="1"/>
  <c r="P22" i="27" s="1"/>
  <c r="Q22" i="27" s="1"/>
  <c r="R22" i="27" s="1"/>
  <c r="S22" i="27" s="1"/>
  <c r="T22" i="27" s="1"/>
  <c r="U22" i="27" s="1"/>
  <c r="V22" i="27" s="1"/>
  <c r="W22" i="27" s="1"/>
  <c r="X22" i="27" s="1"/>
  <c r="Y22" i="27" s="1"/>
  <c r="Z22" i="27" s="1"/>
  <c r="AA22" i="27" s="1"/>
  <c r="AB22" i="27" s="1"/>
  <c r="AC22" i="27" s="1"/>
  <c r="AD22" i="27" s="1"/>
  <c r="AE22" i="27" s="1"/>
  <c r="AF22" i="27" s="1"/>
  <c r="AG22" i="27" s="1"/>
  <c r="AH22" i="27" s="1"/>
  <c r="AI22" i="27" s="1"/>
  <c r="AJ22" i="27" s="1"/>
  <c r="AK22" i="27" s="1"/>
  <c r="AL22" i="27" s="1"/>
  <c r="AM22" i="27" s="1"/>
  <c r="AN22" i="27" s="1"/>
  <c r="AO22" i="27" s="1"/>
  <c r="AP22" i="27" s="1"/>
  <c r="AQ22" i="27" s="1"/>
  <c r="AR22" i="27" s="1"/>
  <c r="AS22" i="27" s="1"/>
  <c r="AT22" i="27" s="1"/>
  <c r="AU22" i="27" s="1"/>
  <c r="AV22" i="27" s="1"/>
  <c r="AW22" i="27" s="1"/>
  <c r="AX22" i="27" s="1"/>
  <c r="AY22" i="27" s="1"/>
  <c r="AZ22" i="27" s="1"/>
  <c r="BA22" i="27" s="1"/>
  <c r="BB22" i="27" s="1"/>
  <c r="BC22" i="27" s="1"/>
  <c r="BD22" i="27" s="1"/>
  <c r="BE22" i="27" s="1"/>
  <c r="BF22" i="27" s="1"/>
  <c r="BG22" i="27" s="1"/>
  <c r="BH22" i="27" s="1"/>
  <c r="BI22" i="27" s="1"/>
  <c r="BJ22" i="27" s="1"/>
  <c r="BK22" i="27" s="1"/>
  <c r="BL22" i="27" s="1"/>
  <c r="BM22" i="27" s="1"/>
  <c r="BN22" i="27" s="1"/>
  <c r="BO22" i="27" s="1"/>
  <c r="BP22" i="27" s="1"/>
  <c r="BQ22" i="27" s="1"/>
  <c r="BR22" i="27" s="1"/>
  <c r="BS22" i="27" s="1"/>
  <c r="BT22" i="27" s="1"/>
  <c r="BU22" i="27" s="1"/>
  <c r="BV22" i="27" s="1"/>
  <c r="BW22" i="27" s="1"/>
  <c r="BX22" i="27" s="1"/>
  <c r="BY22" i="27" s="1"/>
  <c r="BZ22" i="27" s="1"/>
  <c r="CA22" i="27" s="1"/>
  <c r="CB22" i="27" s="1"/>
  <c r="CC22" i="27" s="1"/>
  <c r="CD22" i="27" s="1"/>
  <c r="CE22" i="27" s="1"/>
  <c r="CF22" i="27" s="1"/>
  <c r="CG22" i="27" s="1"/>
  <c r="CH22" i="27" s="1"/>
  <c r="CI22" i="27" s="1"/>
  <c r="CJ22" i="27" s="1"/>
  <c r="CK22" i="27" s="1"/>
  <c r="CL22" i="27" s="1"/>
  <c r="CM22" i="27" s="1"/>
  <c r="CN22" i="27" s="1"/>
  <c r="CO22" i="27" s="1"/>
  <c r="CP22" i="27" s="1"/>
  <c r="CQ22" i="27" s="1"/>
  <c r="CR22" i="27" s="1"/>
  <c r="CS22" i="27" s="1"/>
  <c r="CT22" i="27" s="1"/>
  <c r="CU22" i="27" s="1"/>
  <c r="CV22" i="27" s="1"/>
  <c r="CW22" i="27" s="1"/>
  <c r="CX22" i="27" s="1"/>
  <c r="CY22" i="27" s="1"/>
  <c r="CZ22" i="27" s="1"/>
  <c r="DA22" i="27" s="1"/>
  <c r="DB22" i="27" s="1"/>
  <c r="DC22" i="27" s="1"/>
  <c r="DD22" i="27" s="1"/>
  <c r="DE22" i="27" s="1"/>
  <c r="DF22" i="27" s="1"/>
  <c r="DG22" i="27" s="1"/>
  <c r="DH22" i="27" s="1"/>
  <c r="DI22" i="27" s="1"/>
  <c r="DJ22" i="27" s="1"/>
  <c r="DK22" i="27" s="1"/>
  <c r="DL22" i="27" s="1"/>
  <c r="DM22" i="27" s="1"/>
  <c r="DN22" i="27" s="1"/>
  <c r="DO22" i="27" s="1"/>
  <c r="DP22" i="27" s="1"/>
  <c r="DQ22" i="27" s="1"/>
  <c r="DR22" i="27" s="1"/>
  <c r="DS22" i="27" s="1"/>
  <c r="DT22" i="27" s="1"/>
  <c r="DU22" i="27" s="1"/>
  <c r="DV22" i="27" s="1"/>
  <c r="DW22" i="27" s="1"/>
  <c r="DX22" i="27" s="1"/>
  <c r="DW21" i="26"/>
  <c r="DX11" i="26"/>
  <c r="DX23" i="25"/>
  <c r="DX17" i="25"/>
  <c r="DX18" i="25"/>
  <c r="DX12" i="25"/>
  <c r="DX21" i="25" s="1"/>
  <c r="F22" i="25" s="1"/>
  <c r="G22" i="25" s="1"/>
  <c r="H22" i="25" s="1"/>
  <c r="I22" i="25" s="1"/>
  <c r="J22" i="25" s="1"/>
  <c r="K22" i="25" s="1"/>
  <c r="L22" i="25" s="1"/>
  <c r="M22" i="25" s="1"/>
  <c r="N22" i="25" s="1"/>
  <c r="O22" i="25" s="1"/>
  <c r="P22" i="25" s="1"/>
  <c r="Q22" i="25" s="1"/>
  <c r="R22" i="25" s="1"/>
  <c r="S22" i="25" s="1"/>
  <c r="T22" i="25" s="1"/>
  <c r="U22" i="25" s="1"/>
  <c r="V22" i="25" s="1"/>
  <c r="W22" i="25" s="1"/>
  <c r="X22" i="25" s="1"/>
  <c r="Y22" i="25" s="1"/>
  <c r="Z22" i="25" s="1"/>
  <c r="AA22" i="25" s="1"/>
  <c r="AB22" i="25" s="1"/>
  <c r="AC22" i="25" s="1"/>
  <c r="AD22" i="25" s="1"/>
  <c r="AE22" i="25" s="1"/>
  <c r="AF22" i="25" s="1"/>
  <c r="AG22" i="25" s="1"/>
  <c r="AH22" i="25" s="1"/>
  <c r="AI22" i="25" s="1"/>
  <c r="AJ22" i="25" s="1"/>
  <c r="AK22" i="25" s="1"/>
  <c r="AL22" i="25" s="1"/>
  <c r="AM22" i="25" s="1"/>
  <c r="AN22" i="25" s="1"/>
  <c r="AO22" i="25" s="1"/>
  <c r="AP22" i="25" s="1"/>
  <c r="AQ22" i="25" s="1"/>
  <c r="AR22" i="25" s="1"/>
  <c r="AS22" i="25" s="1"/>
  <c r="AT22" i="25" s="1"/>
  <c r="AU22" i="25" s="1"/>
  <c r="AV22" i="25" s="1"/>
  <c r="AW22" i="25" s="1"/>
  <c r="AX22" i="25" s="1"/>
  <c r="AY22" i="25" s="1"/>
  <c r="AZ22" i="25" s="1"/>
  <c r="BA22" i="25" s="1"/>
  <c r="BB22" i="25" s="1"/>
  <c r="BC22" i="25" s="1"/>
  <c r="BD22" i="25" s="1"/>
  <c r="BE22" i="25" s="1"/>
  <c r="BF22" i="25" s="1"/>
  <c r="BG22" i="25" s="1"/>
  <c r="BH22" i="25" s="1"/>
  <c r="BI22" i="25" s="1"/>
  <c r="BJ22" i="25" s="1"/>
  <c r="BK22" i="25" s="1"/>
  <c r="BL22" i="25" s="1"/>
  <c r="BM22" i="25" s="1"/>
  <c r="BN22" i="25" s="1"/>
  <c r="BO22" i="25" s="1"/>
  <c r="BP22" i="25" s="1"/>
  <c r="BQ22" i="25" s="1"/>
  <c r="BR22" i="25" s="1"/>
  <c r="BS22" i="25" s="1"/>
  <c r="BT22" i="25" s="1"/>
  <c r="BU22" i="25" s="1"/>
  <c r="BV22" i="25" s="1"/>
  <c r="BW22" i="25" s="1"/>
  <c r="BX22" i="25" s="1"/>
  <c r="BY22" i="25" s="1"/>
  <c r="BZ22" i="25" s="1"/>
  <c r="CA22" i="25" s="1"/>
  <c r="CB22" i="25" s="1"/>
  <c r="CC22" i="25" s="1"/>
  <c r="CD22" i="25" s="1"/>
  <c r="CE22" i="25" s="1"/>
  <c r="CF22" i="25" s="1"/>
  <c r="CG22" i="25" s="1"/>
  <c r="CH22" i="25" s="1"/>
  <c r="CI22" i="25" s="1"/>
  <c r="CJ22" i="25" s="1"/>
  <c r="CK22" i="25" s="1"/>
  <c r="CL22" i="25" s="1"/>
  <c r="CM22" i="25" s="1"/>
  <c r="CN22" i="25" s="1"/>
  <c r="CO22" i="25" s="1"/>
  <c r="CP22" i="25" s="1"/>
  <c r="CQ22" i="25" s="1"/>
  <c r="CR22" i="25" s="1"/>
  <c r="CS22" i="25" s="1"/>
  <c r="CT22" i="25" s="1"/>
  <c r="CU22" i="25" s="1"/>
  <c r="CV22" i="25" s="1"/>
  <c r="CW22" i="25" s="1"/>
  <c r="CX22" i="25" s="1"/>
  <c r="CY22" i="25" s="1"/>
  <c r="CZ22" i="25" s="1"/>
  <c r="DA22" i="25" s="1"/>
  <c r="DB22" i="25" s="1"/>
  <c r="DC22" i="25" s="1"/>
  <c r="DD22" i="25" s="1"/>
  <c r="DE22" i="25" s="1"/>
  <c r="DF22" i="25" s="1"/>
  <c r="DG22" i="25" s="1"/>
  <c r="DH22" i="25" s="1"/>
  <c r="DI22" i="25" s="1"/>
  <c r="DJ22" i="25" s="1"/>
  <c r="DK22" i="25" s="1"/>
  <c r="DL22" i="25" s="1"/>
  <c r="DM22" i="25" s="1"/>
  <c r="DN22" i="25" s="1"/>
  <c r="DO22" i="25" s="1"/>
  <c r="DP22" i="25" s="1"/>
  <c r="DQ22" i="25" s="1"/>
  <c r="DR22" i="25" s="1"/>
  <c r="DS22" i="25" s="1"/>
  <c r="DT22" i="25" s="1"/>
  <c r="DU22" i="25" s="1"/>
  <c r="DV22" i="25" s="1"/>
  <c r="DW22" i="25" s="1"/>
  <c r="DX22" i="25" s="1"/>
  <c r="DX23" i="24"/>
  <c r="DX18" i="24"/>
  <c r="DX17" i="24"/>
  <c r="DX12" i="24"/>
  <c r="DX21" i="24" s="1"/>
  <c r="F22" i="24" s="1"/>
  <c r="G22" i="24" s="1"/>
  <c r="H22" i="24" s="1"/>
  <c r="I22" i="24" s="1"/>
  <c r="J22" i="24" s="1"/>
  <c r="K22" i="24" s="1"/>
  <c r="L22" i="24" s="1"/>
  <c r="M22" i="24" s="1"/>
  <c r="N22" i="24" s="1"/>
  <c r="O22" i="24" s="1"/>
  <c r="P22" i="24" s="1"/>
  <c r="Q22" i="24" s="1"/>
  <c r="R22" i="24" s="1"/>
  <c r="S22" i="24" s="1"/>
  <c r="T22" i="24" s="1"/>
  <c r="U22" i="24" s="1"/>
  <c r="V22" i="24" s="1"/>
  <c r="W22" i="24" s="1"/>
  <c r="X22" i="24" s="1"/>
  <c r="Y22" i="24" s="1"/>
  <c r="Z22" i="24" s="1"/>
  <c r="AA22" i="24" s="1"/>
  <c r="AB22" i="24" s="1"/>
  <c r="AC22" i="24" s="1"/>
  <c r="AD22" i="24" s="1"/>
  <c r="AE22" i="24" s="1"/>
  <c r="AF22" i="24" s="1"/>
  <c r="AG22" i="24" s="1"/>
  <c r="AH22" i="24" s="1"/>
  <c r="AI22" i="24" s="1"/>
  <c r="AJ22" i="24" s="1"/>
  <c r="AK22" i="24" s="1"/>
  <c r="AL22" i="24" s="1"/>
  <c r="AM22" i="24" s="1"/>
  <c r="AN22" i="24" s="1"/>
  <c r="AO22" i="24" s="1"/>
  <c r="AP22" i="24" s="1"/>
  <c r="AQ22" i="24" s="1"/>
  <c r="AR22" i="24" s="1"/>
  <c r="AS22" i="24" s="1"/>
  <c r="AT22" i="24" s="1"/>
  <c r="AU22" i="24" s="1"/>
  <c r="AV22" i="24" s="1"/>
  <c r="AW22" i="24" s="1"/>
  <c r="AX22" i="24" s="1"/>
  <c r="AY22" i="24" s="1"/>
  <c r="AZ22" i="24" s="1"/>
  <c r="BA22" i="24" s="1"/>
  <c r="BB22" i="24" s="1"/>
  <c r="BC22" i="24" s="1"/>
  <c r="BD22" i="24" s="1"/>
  <c r="BE22" i="24" s="1"/>
  <c r="BF22" i="24" s="1"/>
  <c r="BG22" i="24" s="1"/>
  <c r="BH22" i="24" s="1"/>
  <c r="BI22" i="24" s="1"/>
  <c r="BJ22" i="24" s="1"/>
  <c r="BK22" i="24" s="1"/>
  <c r="BL22" i="24" s="1"/>
  <c r="BM22" i="24" s="1"/>
  <c r="BN22" i="24" s="1"/>
  <c r="BO22" i="24" s="1"/>
  <c r="BP22" i="24" s="1"/>
  <c r="BQ22" i="24" s="1"/>
  <c r="BR22" i="24" s="1"/>
  <c r="BS22" i="24" s="1"/>
  <c r="BT22" i="24" s="1"/>
  <c r="BU22" i="24" s="1"/>
  <c r="BV22" i="24" s="1"/>
  <c r="BW22" i="24" s="1"/>
  <c r="BX22" i="24" s="1"/>
  <c r="BY22" i="24" s="1"/>
  <c r="BZ22" i="24" s="1"/>
  <c r="CA22" i="24" s="1"/>
  <c r="CB22" i="24" s="1"/>
  <c r="CC22" i="24" s="1"/>
  <c r="CD22" i="24" s="1"/>
  <c r="CE22" i="24" s="1"/>
  <c r="CF22" i="24" s="1"/>
  <c r="CG22" i="24" s="1"/>
  <c r="CH22" i="24" s="1"/>
  <c r="CI22" i="24" s="1"/>
  <c r="CJ22" i="24" s="1"/>
  <c r="CK22" i="24" s="1"/>
  <c r="CL22" i="24" s="1"/>
  <c r="CM22" i="24" s="1"/>
  <c r="CN22" i="24" s="1"/>
  <c r="CO22" i="24" s="1"/>
  <c r="CP22" i="24" s="1"/>
  <c r="CQ22" i="24" s="1"/>
  <c r="CR22" i="24" s="1"/>
  <c r="CS22" i="24" s="1"/>
  <c r="CT22" i="24" s="1"/>
  <c r="CU22" i="24" s="1"/>
  <c r="CV22" i="24" s="1"/>
  <c r="CW22" i="24" s="1"/>
  <c r="CX22" i="24" s="1"/>
  <c r="CY22" i="24" s="1"/>
  <c r="CZ22" i="24" s="1"/>
  <c r="DA22" i="24" s="1"/>
  <c r="DB22" i="24" s="1"/>
  <c r="DC22" i="24" s="1"/>
  <c r="DD22" i="24" s="1"/>
  <c r="DE22" i="24" s="1"/>
  <c r="DF22" i="24" s="1"/>
  <c r="DG22" i="24" s="1"/>
  <c r="DH22" i="24" s="1"/>
  <c r="DI22" i="24" s="1"/>
  <c r="DJ22" i="24" s="1"/>
  <c r="DK22" i="24" s="1"/>
  <c r="DL22" i="24" s="1"/>
  <c r="DM22" i="24" s="1"/>
  <c r="DN22" i="24" s="1"/>
  <c r="DO22" i="24" s="1"/>
  <c r="DP22" i="24" s="1"/>
  <c r="DQ22" i="24" s="1"/>
  <c r="DR22" i="24" s="1"/>
  <c r="DS22" i="24" s="1"/>
  <c r="DT22" i="24" s="1"/>
  <c r="DU22" i="24" s="1"/>
  <c r="DV22" i="24" s="1"/>
  <c r="DW22" i="24" s="1"/>
  <c r="DX22" i="24" s="1"/>
  <c r="DX23" i="23"/>
  <c r="DX18" i="23"/>
  <c r="DX17" i="23"/>
  <c r="DX12" i="23"/>
  <c r="DX21" i="23" s="1"/>
  <c r="F22" i="23" s="1"/>
  <c r="G22" i="23" s="1"/>
  <c r="H22" i="23" s="1"/>
  <c r="I22" i="23" s="1"/>
  <c r="J22" i="23" s="1"/>
  <c r="K22" i="23" s="1"/>
  <c r="L22" i="23" s="1"/>
  <c r="M22" i="23" s="1"/>
  <c r="N22" i="23" s="1"/>
  <c r="O22" i="23" s="1"/>
  <c r="P22" i="23" s="1"/>
  <c r="Q22" i="23" s="1"/>
  <c r="R22" i="23" s="1"/>
  <c r="S22" i="23" s="1"/>
  <c r="T22" i="23" s="1"/>
  <c r="U22" i="23" s="1"/>
  <c r="V22" i="23" s="1"/>
  <c r="W22" i="23" s="1"/>
  <c r="X22" i="23" s="1"/>
  <c r="Y22" i="23" s="1"/>
  <c r="Z22" i="23" s="1"/>
  <c r="AA22" i="23" s="1"/>
  <c r="AB22" i="23" s="1"/>
  <c r="AC22" i="23" s="1"/>
  <c r="AD22" i="23" s="1"/>
  <c r="AE22" i="23" s="1"/>
  <c r="AF22" i="23" s="1"/>
  <c r="AG22" i="23" s="1"/>
  <c r="AH22" i="23" s="1"/>
  <c r="AI22" i="23" s="1"/>
  <c r="AJ22" i="23" s="1"/>
  <c r="AK22" i="23" s="1"/>
  <c r="AL22" i="23" s="1"/>
  <c r="AM22" i="23" s="1"/>
  <c r="AN22" i="23" s="1"/>
  <c r="AO22" i="23" s="1"/>
  <c r="AP22" i="23" s="1"/>
  <c r="AQ22" i="23" s="1"/>
  <c r="AR22" i="23" s="1"/>
  <c r="AS22" i="23" s="1"/>
  <c r="AT22" i="23" s="1"/>
  <c r="AU22" i="23" s="1"/>
  <c r="AV22" i="23" s="1"/>
  <c r="AW22" i="23" s="1"/>
  <c r="AX22" i="23" s="1"/>
  <c r="AY22" i="23" s="1"/>
  <c r="AZ22" i="23" s="1"/>
  <c r="BA22" i="23" s="1"/>
  <c r="BB22" i="23" s="1"/>
  <c r="BC22" i="23" s="1"/>
  <c r="BD22" i="23" s="1"/>
  <c r="BE22" i="23" s="1"/>
  <c r="BF22" i="23" s="1"/>
  <c r="BG22" i="23" s="1"/>
  <c r="BH22" i="23" s="1"/>
  <c r="BI22" i="23" s="1"/>
  <c r="BJ22" i="23" s="1"/>
  <c r="BK22" i="23" s="1"/>
  <c r="BL22" i="23" s="1"/>
  <c r="BM22" i="23" s="1"/>
  <c r="BN22" i="23" s="1"/>
  <c r="BO22" i="23" s="1"/>
  <c r="BP22" i="23" s="1"/>
  <c r="BQ22" i="23" s="1"/>
  <c r="BR22" i="23" s="1"/>
  <c r="BS22" i="23" s="1"/>
  <c r="BT22" i="23" s="1"/>
  <c r="BU22" i="23" s="1"/>
  <c r="BV22" i="23" s="1"/>
  <c r="BW22" i="23" s="1"/>
  <c r="BX22" i="23" s="1"/>
  <c r="BY22" i="23" s="1"/>
  <c r="BZ22" i="23" s="1"/>
  <c r="CA22" i="23" s="1"/>
  <c r="CB22" i="23" s="1"/>
  <c r="CC22" i="23" s="1"/>
  <c r="CD22" i="23" s="1"/>
  <c r="CE22" i="23" s="1"/>
  <c r="CF22" i="23" s="1"/>
  <c r="CG22" i="23" s="1"/>
  <c r="CH22" i="23" s="1"/>
  <c r="CI22" i="23" s="1"/>
  <c r="CJ22" i="23" s="1"/>
  <c r="CK22" i="23" s="1"/>
  <c r="CL22" i="23" s="1"/>
  <c r="CM22" i="23" s="1"/>
  <c r="CN22" i="23" s="1"/>
  <c r="CO22" i="23" s="1"/>
  <c r="CP22" i="23" s="1"/>
  <c r="CQ22" i="23" s="1"/>
  <c r="CR22" i="23" s="1"/>
  <c r="CS22" i="23" s="1"/>
  <c r="CT22" i="23" s="1"/>
  <c r="CU22" i="23" s="1"/>
  <c r="CV22" i="23" s="1"/>
  <c r="CW22" i="23" s="1"/>
  <c r="CX22" i="23" s="1"/>
  <c r="CY22" i="23" s="1"/>
  <c r="CZ22" i="23" s="1"/>
  <c r="DA22" i="23" s="1"/>
  <c r="DB22" i="23" s="1"/>
  <c r="DC22" i="23" s="1"/>
  <c r="DD22" i="23" s="1"/>
  <c r="DE22" i="23" s="1"/>
  <c r="DF22" i="23" s="1"/>
  <c r="DG22" i="23" s="1"/>
  <c r="DH22" i="23" s="1"/>
  <c r="DI22" i="23" s="1"/>
  <c r="DJ22" i="23" s="1"/>
  <c r="DK22" i="23" s="1"/>
  <c r="DL22" i="23" s="1"/>
  <c r="DM22" i="23" s="1"/>
  <c r="DN22" i="23" s="1"/>
  <c r="DO22" i="23" s="1"/>
  <c r="DP22" i="23" s="1"/>
  <c r="DQ22" i="23" s="1"/>
  <c r="DR22" i="23" s="1"/>
  <c r="DS22" i="23" s="1"/>
  <c r="DT22" i="23" s="1"/>
  <c r="DU22" i="23" s="1"/>
  <c r="DV22" i="23" s="1"/>
  <c r="DW22" i="23" s="1"/>
  <c r="DX22" i="23" s="1"/>
  <c r="AQ77" i="12"/>
  <c r="AQ62" i="12"/>
  <c r="AQ46" i="12"/>
  <c r="AQ92" i="12"/>
  <c r="AQ56" i="12"/>
  <c r="AQ86" i="12"/>
  <c r="AQ40" i="12"/>
  <c r="AQ31" i="12"/>
  <c r="AQ19" i="12"/>
  <c r="AQ9" i="12"/>
  <c r="AQ71" i="12"/>
  <c r="AQ25" i="12"/>
  <c r="DX23" i="29" l="1"/>
  <c r="DX18" i="29"/>
  <c r="DX17" i="29"/>
  <c r="DX12" i="29"/>
  <c r="DX21" i="29" s="1"/>
  <c r="F22" i="29" s="1"/>
  <c r="G22" i="29" s="1"/>
  <c r="H22" i="29" s="1"/>
  <c r="I22" i="29" s="1"/>
  <c r="J22" i="29" s="1"/>
  <c r="K22" i="29" s="1"/>
  <c r="L22" i="29" s="1"/>
  <c r="M22" i="29" s="1"/>
  <c r="N22" i="29" s="1"/>
  <c r="O22" i="29" s="1"/>
  <c r="P22" i="29" s="1"/>
  <c r="Q22" i="29" s="1"/>
  <c r="R22" i="29" s="1"/>
  <c r="S22" i="29" s="1"/>
  <c r="T22" i="29" s="1"/>
  <c r="U22" i="29" s="1"/>
  <c r="V22" i="29" s="1"/>
  <c r="W22" i="29" s="1"/>
  <c r="X22" i="29" s="1"/>
  <c r="Y22" i="29" s="1"/>
  <c r="Z22" i="29" s="1"/>
  <c r="AA22" i="29" s="1"/>
  <c r="AB22" i="29" s="1"/>
  <c r="AC22" i="29" s="1"/>
  <c r="AD22" i="29" s="1"/>
  <c r="AE22" i="29" s="1"/>
  <c r="AF22" i="29" s="1"/>
  <c r="AG22" i="29" s="1"/>
  <c r="AH22" i="29" s="1"/>
  <c r="AI22" i="29" s="1"/>
  <c r="AJ22" i="29" s="1"/>
  <c r="AK22" i="29" s="1"/>
  <c r="AL22" i="29" s="1"/>
  <c r="AM22" i="29" s="1"/>
  <c r="AN22" i="29" s="1"/>
  <c r="AO22" i="29" s="1"/>
  <c r="AP22" i="29" s="1"/>
  <c r="AQ22" i="29" s="1"/>
  <c r="AR22" i="29" s="1"/>
  <c r="AS22" i="29" s="1"/>
  <c r="AT22" i="29" s="1"/>
  <c r="AU22" i="29" s="1"/>
  <c r="AV22" i="29" s="1"/>
  <c r="AW22" i="29" s="1"/>
  <c r="AX22" i="29" s="1"/>
  <c r="AY22" i="29" s="1"/>
  <c r="AZ22" i="29" s="1"/>
  <c r="BA22" i="29" s="1"/>
  <c r="BB22" i="29" s="1"/>
  <c r="BC22" i="29" s="1"/>
  <c r="BD22" i="29" s="1"/>
  <c r="BE22" i="29" s="1"/>
  <c r="BF22" i="29" s="1"/>
  <c r="BG22" i="29" s="1"/>
  <c r="BH22" i="29" s="1"/>
  <c r="BI22" i="29" s="1"/>
  <c r="BJ22" i="29" s="1"/>
  <c r="BK22" i="29" s="1"/>
  <c r="BL22" i="29" s="1"/>
  <c r="BM22" i="29" s="1"/>
  <c r="BN22" i="29" s="1"/>
  <c r="BO22" i="29" s="1"/>
  <c r="BP22" i="29" s="1"/>
  <c r="BQ22" i="29" s="1"/>
  <c r="BR22" i="29" s="1"/>
  <c r="BS22" i="29" s="1"/>
  <c r="BT22" i="29" s="1"/>
  <c r="BU22" i="29" s="1"/>
  <c r="BV22" i="29" s="1"/>
  <c r="BW22" i="29" s="1"/>
  <c r="BX22" i="29" s="1"/>
  <c r="BY22" i="29" s="1"/>
  <c r="BZ22" i="29" s="1"/>
  <c r="CA22" i="29" s="1"/>
  <c r="CB22" i="29" s="1"/>
  <c r="CC22" i="29" s="1"/>
  <c r="CD22" i="29" s="1"/>
  <c r="CE22" i="29" s="1"/>
  <c r="CF22" i="29" s="1"/>
  <c r="CG22" i="29" s="1"/>
  <c r="CH22" i="29" s="1"/>
  <c r="CI22" i="29" s="1"/>
  <c r="CJ22" i="29" s="1"/>
  <c r="CK22" i="29" s="1"/>
  <c r="CL22" i="29" s="1"/>
  <c r="CM22" i="29" s="1"/>
  <c r="CN22" i="29" s="1"/>
  <c r="CO22" i="29" s="1"/>
  <c r="CP22" i="29" s="1"/>
  <c r="CQ22" i="29" s="1"/>
  <c r="CR22" i="29" s="1"/>
  <c r="CS22" i="29" s="1"/>
  <c r="CT22" i="29" s="1"/>
  <c r="CU22" i="29" s="1"/>
  <c r="CV22" i="29" s="1"/>
  <c r="CW22" i="29" s="1"/>
  <c r="CX22" i="29" s="1"/>
  <c r="CY22" i="29" s="1"/>
  <c r="CZ22" i="29" s="1"/>
  <c r="DA22" i="29" s="1"/>
  <c r="DB22" i="29" s="1"/>
  <c r="DC22" i="29" s="1"/>
  <c r="DD22" i="29" s="1"/>
  <c r="DE22" i="29" s="1"/>
  <c r="DF22" i="29" s="1"/>
  <c r="DG22" i="29" s="1"/>
  <c r="DH22" i="29" s="1"/>
  <c r="DI22" i="29" s="1"/>
  <c r="DJ22" i="29" s="1"/>
  <c r="DK22" i="29" s="1"/>
  <c r="DL22" i="29" s="1"/>
  <c r="DM22" i="29" s="1"/>
  <c r="DN22" i="29" s="1"/>
  <c r="DO22" i="29" s="1"/>
  <c r="DP22" i="29" s="1"/>
  <c r="DQ22" i="29" s="1"/>
  <c r="DR22" i="29" s="1"/>
  <c r="DS22" i="29" s="1"/>
  <c r="DT22" i="29" s="1"/>
  <c r="DU22" i="29" s="1"/>
  <c r="DV22" i="29" s="1"/>
  <c r="DW22" i="29" s="1"/>
  <c r="DX22" i="29" s="1"/>
  <c r="DX23" i="26"/>
  <c r="DX18" i="26"/>
  <c r="DX17" i="26"/>
  <c r="DX12" i="26"/>
  <c r="DX21" i="26" s="1"/>
  <c r="F22" i="26" s="1"/>
  <c r="G22" i="26" s="1"/>
  <c r="H22" i="26" s="1"/>
  <c r="I22" i="26" s="1"/>
  <c r="J22" i="26" s="1"/>
  <c r="K22" i="26" s="1"/>
  <c r="L22" i="26" s="1"/>
  <c r="M22" i="26" s="1"/>
  <c r="N22" i="26" s="1"/>
  <c r="O22" i="26" s="1"/>
  <c r="P22" i="26" s="1"/>
  <c r="Q22" i="26" s="1"/>
  <c r="R22" i="26" s="1"/>
  <c r="S22" i="26" s="1"/>
  <c r="T22" i="26" s="1"/>
  <c r="U22" i="26" s="1"/>
  <c r="V22" i="26" s="1"/>
  <c r="W22" i="26" s="1"/>
  <c r="X22" i="26" s="1"/>
  <c r="Y22" i="26" s="1"/>
  <c r="Z22" i="26" s="1"/>
  <c r="AA22" i="26" s="1"/>
  <c r="AB22" i="26" s="1"/>
  <c r="AC22" i="26" s="1"/>
  <c r="AD22" i="26" s="1"/>
  <c r="AE22" i="26" s="1"/>
  <c r="AF22" i="26" s="1"/>
  <c r="AG22" i="26" s="1"/>
  <c r="AH22" i="26" s="1"/>
  <c r="AI22" i="26" s="1"/>
  <c r="AJ22" i="26" s="1"/>
  <c r="AK22" i="26" s="1"/>
  <c r="AL22" i="26" s="1"/>
  <c r="AM22" i="26" s="1"/>
  <c r="AN22" i="26" s="1"/>
  <c r="AO22" i="26" s="1"/>
  <c r="AP22" i="26" s="1"/>
  <c r="AQ22" i="26" s="1"/>
  <c r="AR22" i="26" s="1"/>
  <c r="AS22" i="26" s="1"/>
  <c r="AT22" i="26" s="1"/>
  <c r="AU22" i="26" s="1"/>
  <c r="AV22" i="26" s="1"/>
  <c r="AW22" i="26" s="1"/>
  <c r="AX22" i="26" s="1"/>
  <c r="AY22" i="26" s="1"/>
  <c r="AZ22" i="26" s="1"/>
  <c r="BA22" i="26" s="1"/>
  <c r="BB22" i="26" s="1"/>
  <c r="BC22" i="26" s="1"/>
  <c r="BD22" i="26" s="1"/>
  <c r="BE22" i="26" s="1"/>
  <c r="BF22" i="26" s="1"/>
  <c r="BG22" i="26" s="1"/>
  <c r="BH22" i="26" s="1"/>
  <c r="BI22" i="26" s="1"/>
  <c r="BJ22" i="26" s="1"/>
  <c r="BK22" i="26" s="1"/>
  <c r="BL22" i="26" s="1"/>
  <c r="BM22" i="26" s="1"/>
  <c r="BN22" i="26" s="1"/>
  <c r="BO22" i="26" s="1"/>
  <c r="BP22" i="26" s="1"/>
  <c r="BQ22" i="26" s="1"/>
  <c r="BR22" i="26" s="1"/>
  <c r="BS22" i="26" s="1"/>
  <c r="BT22" i="26" s="1"/>
  <c r="BU22" i="26" s="1"/>
  <c r="BV22" i="26" s="1"/>
  <c r="BW22" i="26" s="1"/>
  <c r="BX22" i="26" s="1"/>
  <c r="BY22" i="26" s="1"/>
  <c r="BZ22" i="26" s="1"/>
  <c r="CA22" i="26" s="1"/>
  <c r="CB22" i="26" s="1"/>
  <c r="CC22" i="26" s="1"/>
  <c r="CD22" i="26" s="1"/>
  <c r="CE22" i="26" s="1"/>
  <c r="CF22" i="26" s="1"/>
  <c r="CG22" i="26" s="1"/>
  <c r="CH22" i="26" s="1"/>
  <c r="CI22" i="26" s="1"/>
  <c r="CJ22" i="26" s="1"/>
  <c r="CK22" i="26" s="1"/>
  <c r="CL22" i="26" s="1"/>
  <c r="CM22" i="26" s="1"/>
  <c r="CN22" i="26" s="1"/>
  <c r="CO22" i="26" s="1"/>
  <c r="CP22" i="26" s="1"/>
  <c r="CQ22" i="26" s="1"/>
  <c r="CR22" i="26" s="1"/>
  <c r="CS22" i="26" s="1"/>
  <c r="CT22" i="26" s="1"/>
  <c r="CU22" i="26" s="1"/>
  <c r="CV22" i="26" s="1"/>
  <c r="CW22" i="26" s="1"/>
  <c r="CX22" i="26" s="1"/>
  <c r="CY22" i="26" s="1"/>
  <c r="CZ22" i="26" s="1"/>
  <c r="DA22" i="26" s="1"/>
  <c r="DB22" i="26" s="1"/>
  <c r="DC22" i="26" s="1"/>
  <c r="DD22" i="26" s="1"/>
  <c r="DE22" i="26" s="1"/>
  <c r="DF22" i="26" s="1"/>
  <c r="DG22" i="26" s="1"/>
  <c r="DH22" i="26" s="1"/>
  <c r="DI22" i="26" s="1"/>
  <c r="DJ22" i="26" s="1"/>
  <c r="DK22" i="26" s="1"/>
  <c r="DL22" i="26" s="1"/>
  <c r="DM22" i="26" s="1"/>
  <c r="DN22" i="26" s="1"/>
  <c r="DO22" i="26" s="1"/>
  <c r="DP22" i="26" s="1"/>
  <c r="DQ22" i="26" s="1"/>
  <c r="DR22" i="26" s="1"/>
  <c r="DS22" i="26" s="1"/>
  <c r="DT22" i="26" s="1"/>
  <c r="DU22" i="26" s="1"/>
  <c r="DV22" i="26" s="1"/>
  <c r="DW22" i="26" s="1"/>
  <c r="DX22" i="26" s="1"/>
  <c r="AR92" i="12"/>
  <c r="AR86" i="12"/>
  <c r="AR71" i="12"/>
  <c r="AR77" i="12"/>
  <c r="AR46" i="12"/>
  <c r="AR40" i="12"/>
  <c r="AR31" i="12"/>
  <c r="AR19" i="12"/>
  <c r="AR9" i="12"/>
  <c r="AR56" i="12"/>
  <c r="AR62" i="12"/>
  <c r="AR25" i="12"/>
  <c r="E1" i="23" l="1"/>
</calcChain>
</file>

<file path=xl/sharedStrings.xml><?xml version="1.0" encoding="utf-8"?>
<sst xmlns="http://schemas.openxmlformats.org/spreadsheetml/2006/main" count="2295" uniqueCount="414">
  <si>
    <t>Scope Document</t>
  </si>
  <si>
    <t>Model pricing tool (MPT)</t>
  </si>
  <si>
    <t>1) To provide a means by which pricing of services can be achieved.</t>
  </si>
  <si>
    <t>2) To provide a transparent view of the cost underlying the price.</t>
  </si>
  <si>
    <t>4) To provide a tool that can perform on existing hardware (workstations and laptops) and user applications (Microsoft Office)</t>
  </si>
  <si>
    <t>1.   Business Requirements</t>
  </si>
  <si>
    <t>1.1. Background</t>
  </si>
  <si>
    <t>1.2. Business Objectives and Success Criteria</t>
  </si>
  <si>
    <t>1.3. Customer Needs</t>
  </si>
  <si>
    <t>1.4. Business Risks</t>
  </si>
  <si>
    <t>2.   Scope and Limitations</t>
  </si>
  <si>
    <t>1.0 Introduction</t>
  </si>
  <si>
    <t>3.0 Description of the MPT</t>
  </si>
  <si>
    <t>What will the MPT be?</t>
  </si>
  <si>
    <t>Key user requirements</t>
  </si>
  <si>
    <t>Key features</t>
  </si>
  <si>
    <t>Feature</t>
  </si>
  <si>
    <t>Ref</t>
  </si>
  <si>
    <t>MPTReq001</t>
  </si>
  <si>
    <t>MPTReq002</t>
  </si>
  <si>
    <t>MPTReq003</t>
  </si>
  <si>
    <t>MPTReq004</t>
  </si>
  <si>
    <t>MPTReq005</t>
  </si>
  <si>
    <t>MPTReq006</t>
  </si>
  <si>
    <t>MPTReq007</t>
  </si>
  <si>
    <t>MPTReq008</t>
  </si>
  <si>
    <t>MPTReq009</t>
  </si>
  <si>
    <t>MPTReq010</t>
  </si>
  <si>
    <t>Brief Description</t>
  </si>
  <si>
    <t>The model should simple to use with little or no training required</t>
  </si>
  <si>
    <t>The model should cater for users with a basic knowledge of using excel</t>
  </si>
  <si>
    <t>There should be no external file links in the model.</t>
  </si>
  <si>
    <t>The Model pricing tool will shortly be under development as an excel model to be rolled out to the business development and commercial team for in late December 2013 to assist with pricing on your bid programme, as part of the team we would request that you provide not more than ten key features to this model that you expect to be present within the model.</t>
  </si>
  <si>
    <t>The reports should include a cash flow statement and Income statement for a total of 5 years with the first two years in detail.</t>
  </si>
  <si>
    <t>The model response times must not be restrictive.</t>
  </si>
  <si>
    <t>The model should light and portable and able to be moved and sent through  the email system.</t>
  </si>
  <si>
    <t>There should be requirement for any user to know or understand how to code with VBA.</t>
  </si>
  <si>
    <t>Usability</t>
  </si>
  <si>
    <t>Size</t>
  </si>
  <si>
    <t>Programming</t>
  </si>
  <si>
    <t>Documentation</t>
  </si>
  <si>
    <t>User Access &amp; Security</t>
  </si>
  <si>
    <t>Structure</t>
  </si>
  <si>
    <t>Any VBA code within the model should not be related to the calculations or the working of the model.</t>
  </si>
  <si>
    <t>How progress will be measured</t>
  </si>
  <si>
    <t>Income Statement</t>
  </si>
  <si>
    <t>Currency</t>
  </si>
  <si>
    <t>Year 1</t>
  </si>
  <si>
    <t>Year 2</t>
  </si>
  <si>
    <t>Year 3</t>
  </si>
  <si>
    <t>Year 4</t>
  </si>
  <si>
    <t>Year 5</t>
  </si>
  <si>
    <t>Revenue</t>
  </si>
  <si>
    <t>Fixed Payment</t>
  </si>
  <si>
    <t>Service 1</t>
  </si>
  <si>
    <t>Service 2</t>
  </si>
  <si>
    <t>Service 3</t>
  </si>
  <si>
    <t>Variable Payment</t>
  </si>
  <si>
    <t>Risk</t>
  </si>
  <si>
    <t>Total Revenue</t>
  </si>
  <si>
    <t>Direct Costs</t>
  </si>
  <si>
    <t>Operational Services</t>
  </si>
  <si>
    <t>Operational Services  Staff Costs</t>
  </si>
  <si>
    <t>Operational Services Administration</t>
  </si>
  <si>
    <t>Facilities costs</t>
  </si>
  <si>
    <t>IT costs</t>
  </si>
  <si>
    <t>Supplies &amp; Services</t>
  </si>
  <si>
    <t>Utilities</t>
  </si>
  <si>
    <t>Insurance</t>
  </si>
  <si>
    <t>Other costs</t>
  </si>
  <si>
    <t>Transition costs</t>
  </si>
  <si>
    <t>Risks</t>
  </si>
  <si>
    <t>Total Operating Costs</t>
  </si>
  <si>
    <t>Gross profit</t>
  </si>
  <si>
    <t>Gross Profit %</t>
  </si>
  <si>
    <t>Overheads</t>
  </si>
  <si>
    <t>EBIT</t>
  </si>
  <si>
    <t>EBIT %</t>
  </si>
  <si>
    <t>Interest - Paid/(Received)</t>
  </si>
  <si>
    <t>Profit before Taxation</t>
  </si>
  <si>
    <t>Profit before Taxation %</t>
  </si>
  <si>
    <t>Corporation Tax</t>
  </si>
  <si>
    <t>Profit after Taxation</t>
  </si>
  <si>
    <t>Profit after Taxation %</t>
  </si>
  <si>
    <t>Profit &amp; loss (Monthly)</t>
  </si>
  <si>
    <t>Total revenue</t>
  </si>
  <si>
    <t>M1</t>
  </si>
  <si>
    <t>M2</t>
  </si>
  <si>
    <t>M3</t>
  </si>
  <si>
    <t>M4</t>
  </si>
  <si>
    <t>M5</t>
  </si>
  <si>
    <t>M6</t>
  </si>
  <si>
    <t>M7</t>
  </si>
  <si>
    <t>M8</t>
  </si>
  <si>
    <t>M9</t>
  </si>
  <si>
    <t>M10</t>
  </si>
  <si>
    <t>M11</t>
  </si>
  <si>
    <t>M12</t>
  </si>
  <si>
    <t>Cash Flow</t>
  </si>
  <si>
    <t>CF</t>
  </si>
  <si>
    <t>Annual</t>
  </si>
  <si>
    <t>Cash balance b/f</t>
  </si>
  <si>
    <t>Cash inflows</t>
  </si>
  <si>
    <t>Core Receipts</t>
  </si>
  <si>
    <t>Other receipts</t>
  </si>
  <si>
    <t>Total cash inflows</t>
  </si>
  <si>
    <t>Cash outflows</t>
  </si>
  <si>
    <t>Cash movement in period before Int. &amp; Tax</t>
  </si>
  <si>
    <t>VAT</t>
  </si>
  <si>
    <t>Cash balance c/f</t>
  </si>
  <si>
    <t>Monthly</t>
  </si>
  <si>
    <t>Workings</t>
  </si>
  <si>
    <t>Invoice Receipts</t>
  </si>
  <si>
    <t>Invoice value</t>
  </si>
  <si>
    <t>Gross invoice value</t>
  </si>
  <si>
    <t>Current period receipts</t>
  </si>
  <si>
    <t>Period -1 receipts</t>
  </si>
  <si>
    <t>Older receipts</t>
  </si>
  <si>
    <t>Total receipts in period</t>
  </si>
  <si>
    <t>Debtor b/f</t>
  </si>
  <si>
    <t>Debtor c/f</t>
  </si>
  <si>
    <t>3rd party payments</t>
  </si>
  <si>
    <t>Current period payments</t>
  </si>
  <si>
    <t>Period -1 payments</t>
  </si>
  <si>
    <t>Older payments</t>
  </si>
  <si>
    <t>Total payments in period</t>
  </si>
  <si>
    <t>Creditor b/f</t>
  </si>
  <si>
    <t>Creditor c/f</t>
  </si>
  <si>
    <t>Received on receipts</t>
  </si>
  <si>
    <t>Paid on payments</t>
  </si>
  <si>
    <t>Net due</t>
  </si>
  <si>
    <t>Monthly payment in arrears</t>
  </si>
  <si>
    <t>CT payment</t>
  </si>
  <si>
    <t>User Inputs</t>
  </si>
  <si>
    <t>Scenario Inputs</t>
  </si>
  <si>
    <t>Choose your Scenario</t>
  </si>
  <si>
    <t>Scenario</t>
  </si>
  <si>
    <t>Revenue/Income</t>
  </si>
  <si>
    <t>Scenario_Income Statement</t>
  </si>
  <si>
    <t>General</t>
  </si>
  <si>
    <t>Check A</t>
  </si>
  <si>
    <t>Check B</t>
  </si>
  <si>
    <t>January</t>
  </si>
  <si>
    <t>February</t>
  </si>
  <si>
    <t>March</t>
  </si>
  <si>
    <t>April</t>
  </si>
  <si>
    <t>May</t>
  </si>
  <si>
    <t>June</t>
  </si>
  <si>
    <t>July</t>
  </si>
  <si>
    <t>August</t>
  </si>
  <si>
    <t>September</t>
  </si>
  <si>
    <t>October</t>
  </si>
  <si>
    <t>November</t>
  </si>
  <si>
    <t>December</t>
  </si>
  <si>
    <t>Periods</t>
  </si>
  <si>
    <t>From</t>
  </si>
  <si>
    <t>To</t>
  </si>
  <si>
    <t>Period</t>
  </si>
  <si>
    <t>Period Number</t>
  </si>
  <si>
    <t>Year</t>
  </si>
  <si>
    <t>Month in Year</t>
  </si>
  <si>
    <t>Calendar Month Number</t>
  </si>
  <si>
    <t>Month Name</t>
  </si>
  <si>
    <t>Quarter</t>
  </si>
  <si>
    <t>Active Month Flag</t>
  </si>
  <si>
    <t>Active Month Countdown</t>
  </si>
  <si>
    <t>Company Year</t>
  </si>
  <si>
    <t>Company Month</t>
  </si>
  <si>
    <t>End</t>
  </si>
  <si>
    <t>2013/14</t>
  </si>
  <si>
    <t>2015/16</t>
  </si>
  <si>
    <t>2016/17</t>
  </si>
  <si>
    <t>2017/18</t>
  </si>
  <si>
    <t>2018/19</t>
  </si>
  <si>
    <t>2019/20</t>
  </si>
  <si>
    <t>2020/21</t>
  </si>
  <si>
    <t>2021/22</t>
  </si>
  <si>
    <t>2022/23</t>
  </si>
  <si>
    <t>2023/24</t>
  </si>
  <si>
    <t>2024/25</t>
  </si>
  <si>
    <t>2025/26</t>
  </si>
  <si>
    <t>2026/27</t>
  </si>
  <si>
    <t>2027/28</t>
  </si>
  <si>
    <t>2028/29</t>
  </si>
  <si>
    <t>2029/30</t>
  </si>
  <si>
    <t>2030/31</t>
  </si>
  <si>
    <t>Navigation</t>
  </si>
  <si>
    <t>Revenue Baseline (Units)</t>
  </si>
  <si>
    <t>Volume</t>
  </si>
  <si>
    <t>Service</t>
  </si>
  <si>
    <t>Revenue Baseline (Scenario)</t>
  </si>
  <si>
    <t>Activate Scenario</t>
  </si>
  <si>
    <t>Scenario 1</t>
  </si>
  <si>
    <t>Scenario 2</t>
  </si>
  <si>
    <t>Scenario 3</t>
  </si>
  <si>
    <t>Revenue Baseline (Fixed &amp; Variable Price)</t>
  </si>
  <si>
    <t>Fixed price</t>
  </si>
  <si>
    <t>Value</t>
  </si>
  <si>
    <t>Variable Price</t>
  </si>
  <si>
    <t>Revenue Scenario (Fixed &amp; Variable Price)</t>
  </si>
  <si>
    <t>Scenario 1 (Fixed)</t>
  </si>
  <si>
    <t>Scenario 1 (Variable)</t>
  </si>
  <si>
    <t>Scenario 2 (Fixed)</t>
  </si>
  <si>
    <t>Scenario 2 (Variable)</t>
  </si>
  <si>
    <t>Scenario 3 (Fixed)</t>
  </si>
  <si>
    <t>Scenario 3 (Variable)</t>
  </si>
  <si>
    <t>IsysC_CostModel_v1 2.xlsm</t>
  </si>
  <si>
    <t>Calculations</t>
  </si>
  <si>
    <t>Revenue Baseline Calculations</t>
  </si>
  <si>
    <t>Inputs</t>
  </si>
  <si>
    <t>Volumes Inputs</t>
  </si>
  <si>
    <t>Calculation</t>
  </si>
  <si>
    <t>Fixed Revenue</t>
  </si>
  <si>
    <t>Variable Revenue</t>
  </si>
  <si>
    <t>Styles</t>
  </si>
  <si>
    <t>Styles Legend</t>
  </si>
  <si>
    <t>Input Cells</t>
  </si>
  <si>
    <t>(All these cells are used for some form of input)</t>
  </si>
  <si>
    <t>Input</t>
  </si>
  <si>
    <t>Input value</t>
  </si>
  <si>
    <t>Optional</t>
  </si>
  <si>
    <t>Mandatory</t>
  </si>
  <si>
    <t>List</t>
  </si>
  <si>
    <t>Formula Cells</t>
  </si>
  <si>
    <t>(All these cells contain a formula)</t>
  </si>
  <si>
    <t>Prime</t>
  </si>
  <si>
    <t>Formula</t>
  </si>
  <si>
    <t>External</t>
  </si>
  <si>
    <t>Other</t>
  </si>
  <si>
    <t>Highlighted</t>
  </si>
  <si>
    <t>Removed</t>
  </si>
  <si>
    <t>The cost row has been switched off.</t>
  </si>
  <si>
    <t>Notes &amp; Instructions</t>
  </si>
  <si>
    <t>Objectives &amp; Overview</t>
  </si>
  <si>
    <t>Sheet Functions</t>
  </si>
  <si>
    <t>Sheet:</t>
  </si>
  <si>
    <t>Input:</t>
  </si>
  <si>
    <t>Constants</t>
  </si>
  <si>
    <t>Lookup tables and key variables</t>
  </si>
  <si>
    <t>Inp_Main</t>
  </si>
  <si>
    <t>Detailed Data Rows. Raw data in units. Unit costs in local currency. Tags and Labels.</t>
  </si>
  <si>
    <t>Control</t>
  </si>
  <si>
    <t>Model Ownership and Contacts, version numbers</t>
  </si>
  <si>
    <t>Calculation sheets:</t>
  </si>
  <si>
    <t>Calc_Main</t>
  </si>
  <si>
    <t>Units and Unit Costs multiplied out. Currency conversion. Indexation. Switches applied.</t>
  </si>
  <si>
    <t>Calc_Timelines</t>
  </si>
  <si>
    <t>Output sheets:</t>
  </si>
  <si>
    <t>IncomeStmt</t>
  </si>
  <si>
    <t>Summaries table of total costs by categories</t>
  </si>
  <si>
    <t>Cash flow</t>
  </si>
  <si>
    <t>BalanceSheet</t>
  </si>
  <si>
    <t>Various financial metrics</t>
  </si>
  <si>
    <t>Others:</t>
  </si>
  <si>
    <t>Error</t>
  </si>
  <si>
    <t>Error checking panel.</t>
  </si>
  <si>
    <t>Audit</t>
  </si>
  <si>
    <t>Tracks changes in terms of Total Costs and Cost inscope</t>
  </si>
  <si>
    <t>Issueform</t>
  </si>
  <si>
    <t>Sends the details of the issue to the model maintainer</t>
  </si>
  <si>
    <t>General:</t>
  </si>
  <si>
    <t>Some code lists provide lookup tables of additional information.</t>
  </si>
  <si>
    <t>Account Coding Lists</t>
  </si>
  <si>
    <t>Essential code list for the categorising of the, these should not be deleted or changed as they are intrinsic to the running of the model</t>
  </si>
  <si>
    <t>Provides drop-down menu and cell validation on the Inp_Main sheet. Provides cost links in the Output sheets.</t>
  </si>
  <si>
    <t>Includes Y/N switches through which Users can exclude from the model costs related to any combination of codes.</t>
  </si>
  <si>
    <t>Dates</t>
  </si>
  <si>
    <t>Key inputs which affect the Calc_Timelines.</t>
  </si>
  <si>
    <t>Capability Units</t>
  </si>
  <si>
    <t xml:space="preserve">A Model naming for departmental naming </t>
  </si>
  <si>
    <t>Provides drop-down menu and cell validation on the Inp_Main</t>
  </si>
  <si>
    <t>Cost type</t>
  </si>
  <si>
    <t>Signifies the source of a cost i.e. third party supplier</t>
  </si>
  <si>
    <t>Works</t>
  </si>
  <si>
    <t>Signifies and area of control within a department</t>
  </si>
  <si>
    <t>Descriptor</t>
  </si>
  <si>
    <t>Signifies a task of a process within works</t>
  </si>
  <si>
    <t>Cost Centre</t>
  </si>
  <si>
    <t>An area that has a budget and cost code thin a Directorate</t>
  </si>
  <si>
    <t>Contractor who have contracts with Tfl</t>
  </si>
  <si>
    <t>Status Messages</t>
  </si>
  <si>
    <t xml:space="preserve">Various outcomes to switches that provide messages on the model status in the reporting &amp; outputs </t>
  </si>
  <si>
    <t>Timelines</t>
  </si>
  <si>
    <t>Model currently cover 13 period only and is based on years 2011/12</t>
  </si>
  <si>
    <t>No provision is made for automatically increasing the maximum model timespan.</t>
  </si>
  <si>
    <t>The user is not prevented from altering the calculated timeline.</t>
  </si>
  <si>
    <t>The Main Input sheet is intended to be used with data from external sources namely SAP and other workbooks.</t>
  </si>
  <si>
    <t>Data should be taken, as volumes into this worksheet</t>
  </si>
  <si>
    <t>Units are multiplied by Unit Costs on the Cost worksheet</t>
  </si>
  <si>
    <t>A new cost row should be used whenever a code changes.</t>
  </si>
  <si>
    <t>Main Input entries</t>
  </si>
  <si>
    <t xml:space="preserve">Left hand input block:  </t>
  </si>
  <si>
    <r>
      <t>Sub Headings (</t>
    </r>
    <r>
      <rPr>
        <i/>
        <sz val="10"/>
        <color indexed="8"/>
        <rFont val="Cambria"/>
        <family val="1"/>
        <scheme val="major"/>
      </rPr>
      <t>These headings are for where a cost may be spread between more than one category</t>
    </r>
    <r>
      <rPr>
        <sz val="10"/>
        <color indexed="8"/>
        <rFont val="Cambria"/>
        <family val="1"/>
        <scheme val="major"/>
      </rPr>
      <t>)</t>
    </r>
  </si>
  <si>
    <t xml:space="preserve">Right hand Check Block </t>
  </si>
  <si>
    <r>
      <t>Cost Centre Short Code (</t>
    </r>
    <r>
      <rPr>
        <i/>
        <sz val="10"/>
        <color indexed="8"/>
        <rFont val="Cambria"/>
        <family val="1"/>
        <scheme val="major"/>
      </rPr>
      <t>Check to make sure that Cost centre is not left blank</t>
    </r>
    <r>
      <rPr>
        <sz val="10"/>
        <color indexed="8"/>
        <rFont val="Cambria"/>
        <family val="1"/>
        <scheme val="major"/>
      </rPr>
      <t>)</t>
    </r>
  </si>
  <si>
    <r>
      <t>Capability Unit Short code (</t>
    </r>
    <r>
      <rPr>
        <i/>
        <sz val="10"/>
        <color indexed="8"/>
        <rFont val="Cambria"/>
        <family val="1"/>
        <scheme val="major"/>
      </rPr>
      <t>Check to make sure CU has not been left blank</t>
    </r>
    <r>
      <rPr>
        <sz val="10"/>
        <color indexed="8"/>
        <rFont val="Cambria"/>
        <family val="1"/>
        <scheme val="major"/>
      </rPr>
      <t>)</t>
    </r>
  </si>
  <si>
    <r>
      <t>Works Short Code (</t>
    </r>
    <r>
      <rPr>
        <i/>
        <sz val="10"/>
        <color indexed="8"/>
        <rFont val="Cambria"/>
        <family val="1"/>
        <scheme val="major"/>
      </rPr>
      <t>Check to make sure this is not left blank</t>
    </r>
    <r>
      <rPr>
        <sz val="10"/>
        <color indexed="8"/>
        <rFont val="Cambria"/>
        <family val="1"/>
        <scheme val="major"/>
      </rPr>
      <t>)</t>
    </r>
  </si>
  <si>
    <r>
      <t>Descriptor Short (</t>
    </r>
    <r>
      <rPr>
        <i/>
        <sz val="10"/>
        <color indexed="8"/>
        <rFont val="Cambria"/>
        <family val="1"/>
        <scheme val="major"/>
      </rPr>
      <t>Check to make sure this is not left blank</t>
    </r>
    <r>
      <rPr>
        <sz val="10"/>
        <color indexed="8"/>
        <rFont val="Cambria"/>
        <family val="1"/>
        <scheme val="major"/>
      </rPr>
      <t>)</t>
    </r>
  </si>
  <si>
    <t>CostType Short code</t>
  </si>
  <si>
    <t>Contractor Contract Short Code</t>
  </si>
  <si>
    <r>
      <t>Main Check (</t>
    </r>
    <r>
      <rPr>
        <i/>
        <sz val="10"/>
        <color indexed="8"/>
        <rFont val="Cambria"/>
        <family val="1"/>
        <scheme val="major"/>
      </rPr>
      <t>Verify all checks)</t>
    </r>
  </si>
  <si>
    <r>
      <t>CC Switches (</t>
    </r>
    <r>
      <rPr>
        <i/>
        <sz val="10"/>
        <color indexed="8"/>
        <rFont val="Cambria"/>
        <family val="1"/>
        <scheme val="major"/>
      </rPr>
      <t>Check Switch status</t>
    </r>
    <r>
      <rPr>
        <sz val="10"/>
        <color indexed="8"/>
        <rFont val="Cambria"/>
        <family val="1"/>
        <scheme val="major"/>
      </rPr>
      <t>)</t>
    </r>
  </si>
  <si>
    <r>
      <t>CU Switches (</t>
    </r>
    <r>
      <rPr>
        <i/>
        <sz val="10"/>
        <color indexed="8"/>
        <rFont val="Cambria"/>
        <family val="1"/>
        <scheme val="major"/>
      </rPr>
      <t>Check switch Status</t>
    </r>
    <r>
      <rPr>
        <sz val="10"/>
        <color indexed="8"/>
        <rFont val="Cambria"/>
        <family val="1"/>
        <scheme val="major"/>
      </rPr>
      <t>)</t>
    </r>
  </si>
  <si>
    <r>
      <t>Works Switches (</t>
    </r>
    <r>
      <rPr>
        <i/>
        <sz val="10"/>
        <color indexed="8"/>
        <rFont val="Cambria"/>
        <family val="1"/>
        <scheme val="major"/>
      </rPr>
      <t>Check Switches Status</t>
    </r>
    <r>
      <rPr>
        <sz val="10"/>
        <color indexed="8"/>
        <rFont val="Cambria"/>
        <family val="1"/>
        <scheme val="major"/>
      </rPr>
      <t>)</t>
    </r>
  </si>
  <si>
    <r>
      <t>Descriptor Switches (</t>
    </r>
    <r>
      <rPr>
        <i/>
        <sz val="10"/>
        <color indexed="8"/>
        <rFont val="Cambria"/>
        <family val="1"/>
        <scheme val="major"/>
      </rPr>
      <t>Check Switches Status</t>
    </r>
    <r>
      <rPr>
        <sz val="10"/>
        <color indexed="8"/>
        <rFont val="Cambria"/>
        <family val="1"/>
        <scheme val="major"/>
      </rPr>
      <t>)</t>
    </r>
  </si>
  <si>
    <r>
      <t>Cost Type Switches (</t>
    </r>
    <r>
      <rPr>
        <i/>
        <sz val="10"/>
        <color indexed="8"/>
        <rFont val="Cambria"/>
        <family val="1"/>
        <scheme val="major"/>
      </rPr>
      <t>Check Switches status</t>
    </r>
    <r>
      <rPr>
        <sz val="10"/>
        <color indexed="8"/>
        <rFont val="Cambria"/>
        <family val="1"/>
        <scheme val="major"/>
      </rPr>
      <t>)</t>
    </r>
  </si>
  <si>
    <r>
      <t>Contractor Contract Switches (</t>
    </r>
    <r>
      <rPr>
        <i/>
        <sz val="10"/>
        <color indexed="8"/>
        <rFont val="Cambria"/>
        <family val="1"/>
        <scheme val="major"/>
      </rPr>
      <t>Check Switch status</t>
    </r>
    <r>
      <rPr>
        <sz val="10"/>
        <color indexed="8"/>
        <rFont val="Cambria"/>
        <family val="1"/>
        <scheme val="major"/>
      </rPr>
      <t>)</t>
    </r>
  </si>
  <si>
    <r>
      <t>Switch Total (</t>
    </r>
    <r>
      <rPr>
        <i/>
        <sz val="10"/>
        <color indexed="8"/>
        <rFont val="Cambria"/>
        <family val="1"/>
        <scheme val="major"/>
      </rPr>
      <t>Check status of all switches</t>
    </r>
    <r>
      <rPr>
        <sz val="10"/>
        <color indexed="8"/>
        <rFont val="Cambria"/>
        <family val="1"/>
        <scheme val="major"/>
      </rPr>
      <t>)</t>
    </r>
  </si>
  <si>
    <t>Issues &amp; Functions</t>
  </si>
  <si>
    <t>Error Checks</t>
  </si>
  <si>
    <t>Conditional Formatting is used to label a zero as "TRUE", a positive integer as "FALSE" and a negative integer as "WARNING".</t>
  </si>
  <si>
    <t>Most error flags are recorder in columns to the far right of the worksheets, and page Master Checks summarise these columns.</t>
  </si>
  <si>
    <t>Errors are formally Booknamelaid out on the 'Error Checks' sheet.</t>
  </si>
  <si>
    <t>Model Pricing Tool (MPT)</t>
  </si>
  <si>
    <t>The MPT will ensure potential revenues have a realistic chance of coming to fruition. The success criteria will be based on the model being able to provide the functionality that will allow the commercial and business development team to make informed decisions.</t>
  </si>
  <si>
    <t>The customers make up the commercial and business development team. The needs can be broken down into the following:</t>
  </si>
  <si>
    <t>3) To provide a simple and easily learned method of extracting revenues.</t>
  </si>
  <si>
    <t>Specification and Strategy</t>
  </si>
  <si>
    <t>How will the MPT be built?</t>
  </si>
  <si>
    <t>Response Times</t>
  </si>
  <si>
    <t>The average waiting time for calculations should be less than one second from a key press or mouse  click.</t>
  </si>
  <si>
    <t>Outputs Range</t>
  </si>
  <si>
    <t>Facilities Costs</t>
  </si>
  <si>
    <t>IT Costs</t>
  </si>
  <si>
    <t>Gross Profit</t>
  </si>
  <si>
    <t>Profit Before Taxation %</t>
  </si>
  <si>
    <t>Profit After Taxation %</t>
  </si>
  <si>
    <t>Other Costs</t>
  </si>
  <si>
    <t>Transition Costs</t>
  </si>
  <si>
    <t>Overhead Recovery</t>
  </si>
  <si>
    <t>Cash Inflows</t>
  </si>
  <si>
    <t>Cash Balance b/f</t>
  </si>
  <si>
    <t>Other Receipts</t>
  </si>
  <si>
    <t>Cash Outflows</t>
  </si>
  <si>
    <t>Total Operational Cash Outflows</t>
  </si>
  <si>
    <t>Total Cash Inflows</t>
  </si>
  <si>
    <t>Balance Sheet</t>
  </si>
  <si>
    <t>Tangible Fixed Assets</t>
  </si>
  <si>
    <t>Business Services</t>
  </si>
  <si>
    <t>Management</t>
  </si>
  <si>
    <t>Others</t>
  </si>
  <si>
    <t>Current Assets</t>
  </si>
  <si>
    <t>Cash/(Overdraft)</t>
  </si>
  <si>
    <t>Accounts Payable</t>
  </si>
  <si>
    <t>Other Current Assets</t>
  </si>
  <si>
    <t>Total Assets</t>
  </si>
  <si>
    <t>Current Liabilities</t>
  </si>
  <si>
    <t>Accounts Receivable</t>
  </si>
  <si>
    <t>Provision for Corporate Tax</t>
  </si>
  <si>
    <t>Other Current Liabilities</t>
  </si>
  <si>
    <t>Net Current Liabilities</t>
  </si>
  <si>
    <t>Non-Current Liabilities</t>
  </si>
  <si>
    <t>Long-term Debt</t>
  </si>
  <si>
    <t>Other Noncurrent Liabilities</t>
  </si>
  <si>
    <t>Total Liabilities</t>
  </si>
  <si>
    <t>Time Line</t>
  </si>
  <si>
    <t>Fixed Price Inputs</t>
  </si>
  <si>
    <t>Variable Price Inputs</t>
  </si>
  <si>
    <t>Profit &amp; Loss (Annual)</t>
  </si>
  <si>
    <t>Drop-down</t>
  </si>
  <si>
    <t>Choose from drop-down menu.</t>
  </si>
  <si>
    <t>Error Check</t>
  </si>
  <si>
    <t>Something from the drop-down menu must be entered in this cell or "completeness" error will be flagged.</t>
  </si>
  <si>
    <t>Formula which may be typed over.</t>
  </si>
  <si>
    <t>This cell contains a prime formula.</t>
  </si>
  <si>
    <t>This cell contains a formula that has been copied from a prime formula.</t>
  </si>
  <si>
    <t>This cell contains a reference to an external file.</t>
  </si>
  <si>
    <t>This cell contains a Warning check.</t>
  </si>
  <si>
    <t>This cell contains a False check.</t>
  </si>
  <si>
    <t>Input or formula cell that is highlighted (using conditional formatting) by a time line marker.</t>
  </si>
  <si>
    <t>The objective of the MPT is to receive data from an external source and use this to derive the optimum price for a series of services.</t>
  </si>
  <si>
    <t>The model pricing tool (MPT) will provide a means by which Isys Corporation can derive the optimum price for their services using their cost base and applying margins. The model is required to provide pricing for a bid for a single customer on a one-time basis only and is being built for the commercial and business development team.</t>
  </si>
  <si>
    <t xml:space="preserve">There is significant opportunity for Isys Corporation to gain substantial revenues and benefits by providing the customer with a fixed price that is both competitive and also ensures that the cost base is covered. Isys has deemed that the best way this can be achieved is by having a working tool (MPT) that can be exploited to derive the price. There is a lack of resources internally to develop the model and therefore an outside specialist has been commissioned. </t>
  </si>
  <si>
    <t>The business risks are based around the timing issues, user acceptance and technical issues (where the model will be hosted and maintenance). Risk is also involved as to whether the model is auditable and can be suitably tested.</t>
  </si>
  <si>
    <t>The MPT scope is to deliver a tool that will provide pricing analysis and information. The model will include scenarios, and outputs that can assist with the decision-making and will also include mapping exercises. The model will take into account the types of services that Isys offers, and will also incorporate the ability to model on several currencies. The model will be built using Microsoft Excel, will have no reliance on any systems of third-party tools and will be portable. There will be a number of outputs that will be produced by the modeler that are deemed suitable for a pricing model of this kind.</t>
  </si>
  <si>
    <t>This is a specification and strategy document for the MPT as part of the model plan. The MPT will provide a tool that will allow the commercial and business development team to effectively price the company's services for an upcoming bid.</t>
  </si>
  <si>
    <t>2.0 Strategic Vision and Values</t>
  </si>
  <si>
    <t>The MPT will utilize spreadsheets. Isys Corporation is already a major user of Microsoft Office products such as Excel, Word and Access. Therefore, the MTP will not be introducing any new applications or systems.</t>
  </si>
  <si>
    <t>The MTP will be a workbook built in Excel with a number of modules (worksheets) each performing a specific task or operation. A number of filters and switches will be placed in between the modules and will interact with the data and information to produce user defined outputs. The workbook will be located on a central server or SharePoint location.</t>
  </si>
  <si>
    <t>4.0 Technical Requirements</t>
  </si>
  <si>
    <t>MPT is a single-user environment based on worksheets, and uses internal links (hyperlinks) and switches to provide a more friendly user environment.</t>
  </si>
  <si>
    <t>The MTP should be less than two MB (megabytes) in total size to allow for portability.</t>
  </si>
  <si>
    <t>All documentation, user manuals and instructions must be included within the model.</t>
  </si>
  <si>
    <t>The outputs will be primarily a cashflow, an income statement and any dashboard that the modeler chooses to include.</t>
  </si>
  <si>
    <t>The MPT will employ best practice model structure.</t>
  </si>
  <si>
    <t>5.0 Evaluation, Learning, and Review</t>
  </si>
  <si>
    <t>Noncurrent Assets</t>
  </si>
  <si>
    <t>Time Period</t>
  </si>
  <si>
    <t>Set-up Period Duration</t>
  </si>
  <si>
    <t>Months</t>
  </si>
  <si>
    <t>MonthListIn</t>
  </si>
  <si>
    <t>DateFromMth</t>
  </si>
  <si>
    <t>DateToMth</t>
  </si>
  <si>
    <t>PeriodNoMth</t>
  </si>
  <si>
    <t>PeriodCounter</t>
  </si>
  <si>
    <t>YearCounter</t>
  </si>
  <si>
    <t>MonthInYear</t>
  </si>
  <si>
    <t>CalendarMonth</t>
  </si>
  <si>
    <t>MonthName</t>
  </si>
  <si>
    <t>TimelineIn</t>
  </si>
  <si>
    <t>QuarterNumber</t>
  </si>
  <si>
    <t>ActivePeriodFlag</t>
  </si>
  <si>
    <t>ActiveMonthCountdown</t>
  </si>
  <si>
    <t>CompanyYear</t>
  </si>
  <si>
    <t>CompanyMonth</t>
  </si>
  <si>
    <t>END</t>
  </si>
  <si>
    <t>Profit &amp; Loss (Monthly)</t>
  </si>
  <si>
    <t>Profit Before Taxation</t>
  </si>
  <si>
    <t>Profit After Taxation</t>
  </si>
  <si>
    <t>Direct Delivery:</t>
  </si>
  <si>
    <t>This cell contains a True check.</t>
  </si>
  <si>
    <t>The purpose of the MPTs is to give a more usable, auditable and methodical approach to forming a pricing for services. Some of the values attached to the MPT are more simplicity, accuracy, portability and flexibility.</t>
  </si>
  <si>
    <t>The MTP is an Excel file and is inherently insecure. The users will be responsible for file security.</t>
  </si>
  <si>
    <t>There is no plan for a stakeholder on-going evaluation or review of the MPT. However, both the sponsor and the users will be given regular reviews, and it is possible on occasion that selected members could be asked to perform a review of the MPT in its current stage.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</si>
</sst>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4" formatCode="_-&quot;£&quot;* #,##0.00_-;\-&quot;£&quot;* #,##0.00_-;_-&quot;£&quot;* &quot;-&quot;??_-;_-@_-"/>
    <numFmt numFmtId="43" formatCode="_-* #,##0.00_-;\-* #,##0.00_-;_-* &quot;-&quot;??_-;_-@_-"/>
    <numFmt numFmtId="164" formatCode="#,##0;[Red]\(#,##0\);&quot;  -  &quot;"/>
    <numFmt numFmtId="165" formatCode="0.0%;[Red]\(0.0%\);&quot; - &quot;"/>
    <numFmt numFmtId="166" formatCode="_(&quot;$&quot;* #,##0.00_);_(&quot;$&quot;* \(#,##0.00\);_(&quot;$&quot;* &quot;-&quot;??_);_(@_)"/>
    <numFmt numFmtId="167" formatCode="_-* #,##0_-;[Red]\-\ #,##0_-;_-* &quot;-&quot;??_-;_-@_-"/>
    <numFmt numFmtId="168" formatCode="&quot;£&quot;#,##0;[Red]\(&quot;£&quot;#,##0\);&quot;  -  &quot;"/>
    <numFmt numFmtId="169" formatCode="&quot;FALSE&quot;;&quot;WARNING&quot;;&quot;TRUE&quot;"/>
    <numFmt numFmtId="170" formatCode="#,##0_ ;[Red]\-#,##0\ "/>
    <numFmt numFmtId="171" formatCode="d\-mmm\-yy"/>
    <numFmt numFmtId="172" formatCode="dd\-mmm\-yyyy"/>
    <numFmt numFmtId="173" formatCode="0_ ;[Red]\-0\ "/>
    <numFmt numFmtId="174" formatCode="#,##0.00_ ;[Red]\-#,##0.00\ "/>
    <numFmt numFmtId="175" formatCode="#,##0.0_ ;[Red]\-#,##0.0\ "/>
    <numFmt numFmtId="176" formatCode="d/m/yy;@"/>
  </numFmts>
  <fonts count="76">
    <font>
      <sz val="11"/>
      <color theme="1"/>
      <name val="Calibri"/>
      <family val="2"/>
      <scheme val="minor"/>
    </font>
    <font>
      <b/>
      <sz val="11"/>
      <color theme="1"/>
      <name val="Calibri"/>
      <family val="2"/>
      <scheme val="minor"/>
    </font>
    <font>
      <sz val="10"/>
      <color theme="1"/>
      <name val="Tahoma"/>
      <family val="2"/>
    </font>
    <font>
      <i/>
      <sz val="11"/>
      <color theme="1"/>
      <name val="Tahoma"/>
      <family val="2"/>
    </font>
    <font>
      <b/>
      <sz val="20"/>
      <color theme="1"/>
      <name val="Calibri"/>
      <family val="2"/>
      <scheme val="minor"/>
    </font>
    <font>
      <sz val="14"/>
      <color theme="1"/>
      <name val="Calibri"/>
      <family val="2"/>
      <scheme val="minor"/>
    </font>
    <font>
      <sz val="10"/>
      <color theme="1"/>
      <name val="Calibri"/>
      <family val="2"/>
      <scheme val="minor"/>
    </font>
    <font>
      <b/>
      <sz val="14"/>
      <color theme="1"/>
      <name val="Calibri"/>
      <family val="2"/>
      <scheme val="minor"/>
    </font>
    <font>
      <b/>
      <sz val="12"/>
      <color theme="1"/>
      <name val="Calibri"/>
      <family val="2"/>
      <scheme val="minor"/>
    </font>
    <font>
      <b/>
      <sz val="10"/>
      <color theme="1"/>
      <name val="Calibri"/>
      <family val="2"/>
      <scheme val="minor"/>
    </font>
    <font>
      <i/>
      <sz val="11"/>
      <color theme="1"/>
      <name val="Calibri"/>
      <family val="2"/>
      <scheme val="minor"/>
    </font>
    <font>
      <sz val="12"/>
      <color theme="1"/>
      <name val="Calibri"/>
      <family val="2"/>
      <scheme val="minor"/>
    </font>
    <font>
      <b/>
      <u/>
      <sz val="11"/>
      <color theme="1"/>
      <name val="Calibri"/>
      <family val="2"/>
      <scheme val="minor"/>
    </font>
    <font>
      <sz val="11"/>
      <color theme="1"/>
      <name val="Calibri"/>
      <family val="2"/>
      <scheme val="minor"/>
    </font>
    <font>
      <sz val="10"/>
      <color indexed="8"/>
      <name val="Arial"/>
      <family val="2"/>
    </font>
    <font>
      <b/>
      <sz val="11"/>
      <color indexed="9"/>
      <name val="Cambria"/>
      <family val="1"/>
      <scheme val="major"/>
    </font>
    <font>
      <b/>
      <sz val="10"/>
      <color indexed="9"/>
      <name val="Cambria"/>
      <family val="1"/>
      <scheme val="major"/>
    </font>
    <font>
      <sz val="10"/>
      <name val="Arial"/>
      <family val="2"/>
    </font>
    <font>
      <b/>
      <sz val="11"/>
      <name val="Calibri"/>
      <family val="2"/>
    </font>
    <font>
      <sz val="11"/>
      <name val="Calibri"/>
      <family val="2"/>
    </font>
    <font>
      <sz val="11"/>
      <color indexed="18"/>
      <name val="Calibri"/>
      <family val="2"/>
      <scheme val="minor"/>
    </font>
    <font>
      <b/>
      <sz val="9"/>
      <color indexed="9"/>
      <name val="Cambria"/>
      <family val="1"/>
      <scheme val="major"/>
    </font>
    <font>
      <sz val="11"/>
      <name val="Arial"/>
      <family val="2"/>
    </font>
    <font>
      <sz val="9"/>
      <name val="Calibri"/>
      <family val="2"/>
      <scheme val="minor"/>
    </font>
    <font>
      <b/>
      <sz val="9"/>
      <name val="Calibri"/>
      <family val="2"/>
      <scheme val="minor"/>
    </font>
    <font>
      <sz val="9"/>
      <color theme="3" tint="-0.249977111117893"/>
      <name val="Calibri"/>
      <family val="2"/>
      <scheme val="minor"/>
    </font>
    <font>
      <b/>
      <sz val="11"/>
      <color indexed="18"/>
      <name val="Calibri"/>
      <family val="2"/>
      <scheme val="minor"/>
    </font>
    <font>
      <b/>
      <sz val="10"/>
      <name val="Arial"/>
      <family val="2"/>
    </font>
    <font>
      <b/>
      <sz val="9"/>
      <color theme="3" tint="-0.249977111117893"/>
      <name val="Calibri"/>
      <family val="2"/>
      <scheme val="minor"/>
    </font>
    <font>
      <sz val="12"/>
      <color theme="1"/>
      <name val="Arial"/>
      <family val="2"/>
    </font>
    <font>
      <sz val="10"/>
      <color indexed="8"/>
      <name val="MS Sans Serif"/>
      <family val="2"/>
    </font>
    <font>
      <sz val="11"/>
      <color indexed="8"/>
      <name val="Calibri"/>
      <family val="2"/>
    </font>
    <font>
      <i/>
      <sz val="10"/>
      <name val="Arial"/>
      <family val="2"/>
    </font>
    <font>
      <sz val="12"/>
      <color indexed="45"/>
      <name val="Arial"/>
      <family val="2"/>
    </font>
    <font>
      <sz val="12"/>
      <name val="Century Gothic"/>
      <family val="2"/>
    </font>
    <font>
      <b/>
      <sz val="10"/>
      <name val="Calibri"/>
      <family val="2"/>
    </font>
    <font>
      <sz val="10"/>
      <name val="Calibri"/>
      <family val="2"/>
    </font>
    <font>
      <sz val="10"/>
      <color theme="0"/>
      <name val="Calibri"/>
      <family val="2"/>
    </font>
    <font>
      <sz val="10"/>
      <color indexed="18"/>
      <name val="Calibri"/>
      <family val="2"/>
      <scheme val="minor"/>
    </font>
    <font>
      <sz val="12"/>
      <color indexed="18"/>
      <name val="Century Gothic"/>
      <family val="2"/>
    </font>
    <font>
      <sz val="9"/>
      <name val="Calibri"/>
      <family val="2"/>
    </font>
    <font>
      <b/>
      <u/>
      <sz val="11"/>
      <color indexed="18"/>
      <name val="Calibri"/>
      <family val="2"/>
      <scheme val="minor"/>
    </font>
    <font>
      <b/>
      <sz val="9"/>
      <name val="Calibri"/>
      <family val="2"/>
    </font>
    <font>
      <sz val="10"/>
      <name val="Calibri"/>
      <family val="2"/>
      <scheme val="minor"/>
    </font>
    <font>
      <sz val="11"/>
      <color rgb="FF00B050"/>
      <name val="Cambria"/>
      <family val="1"/>
      <scheme val="major"/>
    </font>
    <font>
      <b/>
      <sz val="8"/>
      <color indexed="9"/>
      <name val="Arial"/>
      <family val="2"/>
    </font>
    <font>
      <sz val="11"/>
      <name val="Mahsuri Sans MT"/>
    </font>
    <font>
      <b/>
      <sz val="8"/>
      <color indexed="8"/>
      <name val="Cambria"/>
      <family val="1"/>
      <scheme val="major"/>
    </font>
    <font>
      <sz val="9"/>
      <name val="Cambria"/>
      <family val="1"/>
      <scheme val="major"/>
    </font>
    <font>
      <b/>
      <sz val="11"/>
      <color rgb="FF3F3F3F"/>
      <name val="Calibri"/>
      <family val="2"/>
      <scheme val="minor"/>
    </font>
    <font>
      <b/>
      <sz val="10"/>
      <color indexed="9"/>
      <name val="Calibri"/>
      <family val="2"/>
      <scheme val="minor"/>
    </font>
    <font>
      <b/>
      <sz val="10"/>
      <name val="Calibri"/>
      <family val="2"/>
      <scheme val="minor"/>
    </font>
    <font>
      <b/>
      <sz val="10"/>
      <color rgb="FFFFFFFF"/>
      <name val="Calibri"/>
      <family val="2"/>
      <scheme val="minor"/>
    </font>
    <font>
      <sz val="10"/>
      <color rgb="FF00B050"/>
      <name val="Calibri"/>
      <family val="2"/>
      <scheme val="minor"/>
    </font>
    <font>
      <b/>
      <i/>
      <sz val="14"/>
      <color theme="1"/>
      <name val="Calibri"/>
      <family val="2"/>
      <scheme val="minor"/>
    </font>
    <font>
      <sz val="16"/>
      <color theme="1"/>
      <name val="Calibri"/>
      <family val="2"/>
      <scheme val="minor"/>
    </font>
    <font>
      <sz val="11"/>
      <name val="Cambria"/>
      <family val="1"/>
      <scheme val="major"/>
    </font>
    <font>
      <b/>
      <sz val="11"/>
      <name val="Cambria"/>
      <family val="1"/>
      <scheme val="major"/>
    </font>
    <font>
      <sz val="11"/>
      <color indexed="8"/>
      <name val="Cambria"/>
      <family val="1"/>
      <scheme val="major"/>
    </font>
    <font>
      <sz val="11"/>
      <color theme="1"/>
      <name val="Cambria"/>
      <family val="1"/>
      <scheme val="major"/>
    </font>
    <font>
      <sz val="11"/>
      <color theme="5" tint="-0.24994659260841701"/>
      <name val="Cambria"/>
      <family val="1"/>
      <scheme val="major"/>
    </font>
    <font>
      <sz val="12"/>
      <color rgb="FF3F3F76"/>
      <name val="Arial"/>
      <family val="2"/>
    </font>
    <font>
      <b/>
      <sz val="10"/>
      <color indexed="8"/>
      <name val="Cambria"/>
      <family val="1"/>
      <scheme val="major"/>
    </font>
    <font>
      <b/>
      <sz val="12"/>
      <color theme="1"/>
      <name val="Cambria"/>
      <family val="1"/>
      <scheme val="major"/>
    </font>
    <font>
      <b/>
      <sz val="10"/>
      <color indexed="8"/>
      <name val="Arial"/>
      <family val="2"/>
    </font>
    <font>
      <sz val="10"/>
      <color indexed="8"/>
      <name val="Cambria"/>
      <family val="1"/>
      <scheme val="major"/>
    </font>
    <font>
      <b/>
      <u/>
      <sz val="10"/>
      <color indexed="8"/>
      <name val="Cambria"/>
      <family val="1"/>
      <scheme val="major"/>
    </font>
    <font>
      <sz val="10"/>
      <color theme="1"/>
      <name val="Cambria"/>
      <family val="1"/>
      <scheme val="major"/>
    </font>
    <font>
      <sz val="12"/>
      <color theme="1"/>
      <name val="Cambria"/>
      <family val="1"/>
      <scheme val="major"/>
    </font>
    <font>
      <i/>
      <sz val="10"/>
      <color indexed="8"/>
      <name val="Cambria"/>
      <family val="1"/>
      <scheme val="major"/>
    </font>
    <font>
      <b/>
      <sz val="11"/>
      <color indexed="9"/>
      <name val="Arial"/>
      <family val="2"/>
    </font>
    <font>
      <b/>
      <sz val="10"/>
      <color indexed="9"/>
      <name val="Arial"/>
      <family val="2"/>
    </font>
    <font>
      <sz val="10"/>
      <name val="Helv"/>
      <charset val="204"/>
    </font>
    <font>
      <sz val="9"/>
      <color indexed="23"/>
      <name val="Arial"/>
      <family val="2"/>
    </font>
    <font>
      <sz val="10"/>
      <color indexed="17"/>
      <name val="Arial"/>
      <family val="2"/>
    </font>
    <font>
      <sz val="10"/>
      <color theme="1"/>
      <name val="Arial"/>
      <family val="2"/>
    </font>
  </fonts>
  <fills count="28">
    <fill>
      <patternFill patternType="none"/>
    </fill>
    <fill>
      <patternFill patternType="gray125"/>
    </fill>
    <fill>
      <patternFill patternType="solid">
        <fgColor theme="0" tint="-4.9989318521683403E-2"/>
        <bgColor indexed="64"/>
      </patternFill>
    </fill>
    <fill>
      <patternFill patternType="solid">
        <fgColor rgb="FFFFFF99"/>
        <bgColor indexed="64"/>
      </patternFill>
    </fill>
    <fill>
      <patternFill patternType="solid">
        <fgColor rgb="FF33335D"/>
        <bgColor indexed="64"/>
      </patternFill>
    </fill>
    <fill>
      <patternFill patternType="solid">
        <fgColor theme="0" tint="-0.14996795556505021"/>
        <bgColor indexed="64"/>
      </patternFill>
    </fill>
    <fill>
      <patternFill patternType="solid">
        <fgColor rgb="FF000EC6"/>
        <bgColor indexed="64"/>
      </patternFill>
    </fill>
    <fill>
      <patternFill patternType="mediumGray"/>
    </fill>
    <fill>
      <patternFill patternType="solid">
        <fgColor indexed="41"/>
        <bgColor indexed="64"/>
      </patternFill>
    </fill>
    <fill>
      <patternFill patternType="solid">
        <fgColor indexed="22"/>
        <bgColor indexed="64"/>
      </patternFill>
    </fill>
    <fill>
      <patternFill patternType="solid">
        <fgColor indexed="9"/>
        <bgColor indexed="64"/>
      </patternFill>
    </fill>
    <fill>
      <patternFill patternType="solid">
        <fgColor indexed="26"/>
        <bgColor indexed="64"/>
      </patternFill>
    </fill>
    <fill>
      <patternFill patternType="solid">
        <fgColor indexed="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indexed="17"/>
        <bgColor indexed="64"/>
      </patternFill>
    </fill>
    <fill>
      <patternFill patternType="lightUp"/>
    </fill>
    <fill>
      <patternFill patternType="solid">
        <fgColor theme="1"/>
        <bgColor indexed="64"/>
      </patternFill>
    </fill>
    <fill>
      <patternFill patternType="solid">
        <fgColor rgb="FFF2F2F2"/>
      </patternFill>
    </fill>
    <fill>
      <patternFill patternType="solid">
        <fgColor theme="5" tint="-0.499984740745262"/>
        <bgColor indexed="64"/>
      </patternFill>
    </fill>
    <fill>
      <patternFill patternType="solid">
        <fgColor theme="4" tint="0.79998168889431442"/>
        <bgColor indexed="64"/>
      </patternFill>
    </fill>
    <fill>
      <patternFill patternType="solid">
        <fgColor rgb="FFFFCC99"/>
      </patternFill>
    </fill>
    <fill>
      <patternFill patternType="solid">
        <fgColor rgb="FFFDD5A5"/>
        <bgColor indexed="64"/>
      </patternFill>
    </fill>
    <fill>
      <patternFill patternType="solid">
        <fgColor indexed="13"/>
        <bgColor indexed="64"/>
      </patternFill>
    </fill>
    <fill>
      <patternFill patternType="solid">
        <fgColor indexed="55"/>
        <bgColor indexed="64"/>
      </patternFill>
    </fill>
    <fill>
      <patternFill patternType="solid">
        <fgColor rgb="FFFFFF00"/>
        <bgColor indexed="64"/>
      </patternFill>
    </fill>
    <fill>
      <patternFill patternType="solid">
        <fgColor indexed="62"/>
        <bgColor indexed="64"/>
      </patternFill>
    </fill>
    <fill>
      <patternFill patternType="solid">
        <fgColor indexed="57"/>
        <bgColor indexed="64"/>
      </patternFill>
    </fill>
  </fills>
  <borders count="4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auto="1"/>
      </bottom>
      <diagonal/>
    </border>
    <border>
      <left/>
      <right/>
      <top/>
      <bottom style="thin">
        <color theme="0" tint="-0.499984740745262"/>
      </bottom>
      <diagonal/>
    </border>
    <border>
      <left/>
      <right/>
      <top/>
      <bottom style="thin">
        <color theme="1" tint="0.499984740745262"/>
      </bottom>
      <diagonal/>
    </border>
    <border>
      <left style="thin">
        <color indexed="55"/>
      </left>
      <right style="thin">
        <color indexed="55"/>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right/>
      <top style="thin">
        <color theme="1" tint="0.499984740745262"/>
      </top>
      <bottom style="thin">
        <color theme="1" tint="0.499984740745262"/>
      </bottom>
      <diagonal/>
    </border>
    <border>
      <left style="thin">
        <color rgb="FF00B050"/>
      </left>
      <right style="thin">
        <color rgb="FF00B050"/>
      </right>
      <top style="thin">
        <color rgb="FF00B050"/>
      </top>
      <bottom style="thin">
        <color rgb="FF00B050"/>
      </bottom>
      <diagonal/>
    </border>
    <border>
      <left style="thin">
        <color indexed="64"/>
      </left>
      <right style="thin">
        <color indexed="64"/>
      </right>
      <top/>
      <bottom/>
      <diagonal/>
    </border>
    <border>
      <left style="thin">
        <color rgb="FF3F3F3F"/>
      </left>
      <right style="thin">
        <color rgb="FF3F3F3F"/>
      </right>
      <top style="thin">
        <color rgb="FF3F3F3F"/>
      </top>
      <bottom style="thin">
        <color rgb="FF3F3F3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rgb="FF00B050"/>
      </right>
      <top style="thin">
        <color rgb="FF00B050"/>
      </top>
      <bottom style="thin">
        <color rgb="FF00B050"/>
      </bottom>
      <diagonal/>
    </border>
    <border>
      <left style="thin">
        <color theme="0" tint="-0.24994659260841701"/>
      </left>
      <right/>
      <top style="thin">
        <color theme="0" tint="-0.24994659260841701"/>
      </top>
      <bottom style="thin">
        <color theme="0" tint="-0.24994659260841701"/>
      </bottom>
      <diagonal/>
    </border>
    <border>
      <left/>
      <right style="thin">
        <color indexed="55"/>
      </right>
      <top style="thin">
        <color indexed="55"/>
      </top>
      <bottom style="thin">
        <color indexed="55"/>
      </bottom>
      <diagonal/>
    </border>
    <border>
      <left/>
      <right/>
      <top style="thin">
        <color theme="0" tint="-0.499984740745262"/>
      </top>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rgb="FF7F7F7F"/>
      </left>
      <right style="thin">
        <color rgb="FF7F7F7F"/>
      </right>
      <top style="thin">
        <color rgb="FF7F7F7F"/>
      </top>
      <bottom style="thin">
        <color rgb="FF7F7F7F"/>
      </bottom>
      <diagonal/>
    </border>
    <border>
      <left style="thin">
        <color theme="5" tint="-0.24994659260841701"/>
      </left>
      <right style="thin">
        <color theme="5" tint="-0.24994659260841701"/>
      </right>
      <top style="thin">
        <color theme="5" tint="-0.24994659260841701"/>
      </top>
      <bottom style="thin">
        <color theme="5" tint="-0.24994659260841701"/>
      </bottom>
      <diagonal/>
    </border>
    <border>
      <left style="thin">
        <color indexed="64"/>
      </left>
      <right style="thin">
        <color indexed="64"/>
      </right>
      <top/>
      <bottom style="thin">
        <color indexed="64"/>
      </bottom>
      <diagonal/>
    </border>
    <border>
      <left/>
      <right/>
      <top style="thin">
        <color indexed="18"/>
      </top>
      <bottom style="thin">
        <color indexed="18"/>
      </bottom>
      <diagonal/>
    </border>
    <border>
      <left style="thin">
        <color indexed="64"/>
      </left>
      <right style="thin">
        <color indexed="64"/>
      </right>
      <top style="thin">
        <color indexed="64"/>
      </top>
      <bottom/>
      <diagonal/>
    </border>
    <border>
      <left style="thin">
        <color indexed="17"/>
      </left>
      <right style="thin">
        <color indexed="17"/>
      </right>
      <top style="thin">
        <color indexed="17"/>
      </top>
      <bottom style="thin">
        <color indexed="17"/>
      </bottom>
      <diagonal/>
    </border>
  </borders>
  <cellStyleXfs count="37">
    <xf numFmtId="0" fontId="0" fillId="0" borderId="0"/>
    <xf numFmtId="0" fontId="14" fillId="0" borderId="0"/>
    <xf numFmtId="0" fontId="17" fillId="0" borderId="0"/>
    <xf numFmtId="0" fontId="29" fillId="0" borderId="0"/>
    <xf numFmtId="0" fontId="30" fillId="0" borderId="0"/>
    <xf numFmtId="0" fontId="17" fillId="0" borderId="0"/>
    <xf numFmtId="0" fontId="31" fillId="0" borderId="0"/>
    <xf numFmtId="0" fontId="31" fillId="0" borderId="0"/>
    <xf numFmtId="0" fontId="31" fillId="0" borderId="0"/>
    <xf numFmtId="0" fontId="31" fillId="0" borderId="0"/>
    <xf numFmtId="0" fontId="17" fillId="0" borderId="0"/>
    <xf numFmtId="0" fontId="17" fillId="0" borderId="0"/>
    <xf numFmtId="43" fontId="31" fillId="0" borderId="0" applyFont="0" applyFill="0" applyBorder="0" applyAlignment="0" applyProtection="0"/>
    <xf numFmtId="166" fontId="17" fillId="0" borderId="0" applyFont="0" applyFill="0" applyBorder="0" applyAlignment="0" applyProtection="0"/>
    <xf numFmtId="44" fontId="31" fillId="0" borderId="0" applyFont="0" applyFill="0" applyBorder="0" applyAlignment="0" applyProtection="0"/>
    <xf numFmtId="0" fontId="32" fillId="0" borderId="0"/>
    <xf numFmtId="167" fontId="17" fillId="8" borderId="25"/>
    <xf numFmtId="167" fontId="17" fillId="9" borderId="25"/>
    <xf numFmtId="0" fontId="33" fillId="10" borderId="26" applyNumberFormat="0" applyBorder="0">
      <alignment horizontal="center" vertical="center"/>
    </xf>
    <xf numFmtId="167" fontId="17" fillId="11" borderId="25">
      <protection locked="0"/>
    </xf>
    <xf numFmtId="0" fontId="17" fillId="0" borderId="0"/>
    <xf numFmtId="0" fontId="34" fillId="0" borderId="0"/>
    <xf numFmtId="9" fontId="13" fillId="0" borderId="0" applyFont="0" applyFill="0" applyBorder="0" applyAlignment="0" applyProtection="0"/>
    <xf numFmtId="9" fontId="34" fillId="0" borderId="0" applyFont="0" applyFill="0" applyBorder="0" applyAlignment="0" applyProtection="0"/>
    <xf numFmtId="167" fontId="17" fillId="12" borderId="25"/>
    <xf numFmtId="0" fontId="46" fillId="0" borderId="0"/>
    <xf numFmtId="9" fontId="29" fillId="0" borderId="0" applyFont="0" applyFill="0" applyBorder="0" applyAlignment="0" applyProtection="0"/>
    <xf numFmtId="0" fontId="49" fillId="18" borderId="30" applyNumberFormat="0" applyAlignment="0" applyProtection="0"/>
    <xf numFmtId="0" fontId="61" fillId="21" borderId="39" applyNumberFormat="0" applyAlignment="0" applyProtection="0"/>
    <xf numFmtId="167" fontId="17" fillId="11" borderId="25"/>
    <xf numFmtId="15" fontId="17" fillId="12" borderId="25"/>
    <xf numFmtId="43" fontId="17" fillId="0" borderId="0" applyFont="0" applyFill="0" applyBorder="0" applyAlignment="0" applyProtection="0"/>
    <xf numFmtId="0" fontId="72" fillId="0" borderId="0"/>
    <xf numFmtId="167" fontId="73" fillId="9" borderId="25"/>
    <xf numFmtId="167" fontId="71" fillId="27" borderId="25"/>
    <xf numFmtId="0" fontId="74" fillId="11" borderId="44">
      <alignment horizontal="center"/>
    </xf>
    <xf numFmtId="0" fontId="14" fillId="0" borderId="0"/>
  </cellStyleXfs>
  <cellXfs count="244">
    <xf numFmtId="0" fontId="0" fillId="0" borderId="0" xfId="0"/>
    <xf numFmtId="0" fontId="6" fillId="0" borderId="0" xfId="0" applyFont="1"/>
    <xf numFmtId="0" fontId="0" fillId="0" borderId="1" xfId="0" applyBorder="1"/>
    <xf numFmtId="0" fontId="4" fillId="0" borderId="2" xfId="0" applyFont="1" applyBorder="1" applyAlignment="1">
      <alignment horizontal="left" vertical="center"/>
    </xf>
    <xf numFmtId="0" fontId="0" fillId="0" borderId="2" xfId="0" applyBorder="1"/>
    <xf numFmtId="0" fontId="0" fillId="0" borderId="3" xfId="0" applyBorder="1"/>
    <xf numFmtId="0" fontId="0" fillId="0" borderId="4" xfId="0" applyBorder="1"/>
    <xf numFmtId="0" fontId="5" fillId="0" borderId="0" xfId="0" applyFont="1" applyBorder="1" applyAlignment="1">
      <alignment horizontal="left" vertical="center"/>
    </xf>
    <xf numFmtId="0" fontId="0" fillId="0" borderId="0" xfId="0" applyBorder="1"/>
    <xf numFmtId="0" fontId="0" fillId="0" borderId="5" xfId="0" applyBorder="1"/>
    <xf numFmtId="0" fontId="0" fillId="0" borderId="0" xfId="0" applyFont="1" applyBorder="1"/>
    <xf numFmtId="0" fontId="6" fillId="0" borderId="0" xfId="0" applyFont="1" applyBorder="1"/>
    <xf numFmtId="0" fontId="1" fillId="0" borderId="0" xfId="0" applyFont="1"/>
    <xf numFmtId="0" fontId="0" fillId="0" borderId="0" xfId="0" applyAlignment="1">
      <alignment horizontal="left" vertical="top"/>
    </xf>
    <xf numFmtId="0" fontId="10" fillId="0" borderId="0" xfId="0" applyFont="1"/>
    <xf numFmtId="0" fontId="4" fillId="0" borderId="0" xfId="0" applyFont="1" applyBorder="1" applyAlignment="1">
      <alignment horizontal="left" vertical="center"/>
    </xf>
    <xf numFmtId="0" fontId="7" fillId="0" borderId="0" xfId="0" applyFont="1" applyBorder="1" applyAlignment="1">
      <alignment horizontal="left" vertical="center"/>
    </xf>
    <xf numFmtId="0" fontId="11" fillId="0" borderId="0" xfId="0" applyFont="1" applyBorder="1" applyAlignment="1">
      <alignment horizontal="left" vertical="center"/>
    </xf>
    <xf numFmtId="0" fontId="9" fillId="2" borderId="9" xfId="0" applyFont="1" applyFill="1" applyBorder="1"/>
    <xf numFmtId="0" fontId="1" fillId="2" borderId="18" xfId="0" applyFont="1" applyFill="1" applyBorder="1" applyAlignment="1">
      <alignment horizontal="center"/>
    </xf>
    <xf numFmtId="0" fontId="12" fillId="0" borderId="0" xfId="0" applyFont="1"/>
    <xf numFmtId="0" fontId="6" fillId="0" borderId="0" xfId="0" applyFont="1" applyAlignment="1">
      <alignment horizontal="left" vertical="top"/>
    </xf>
    <xf numFmtId="0" fontId="15" fillId="4" borderId="0" xfId="1" applyFont="1" applyFill="1" applyProtection="1"/>
    <xf numFmtId="0" fontId="16" fillId="4" borderId="0" xfId="1" applyFont="1" applyFill="1" applyProtection="1"/>
    <xf numFmtId="0" fontId="17" fillId="0" borderId="0" xfId="2"/>
    <xf numFmtId="0" fontId="18" fillId="0" borderId="0" xfId="2" applyFont="1"/>
    <xf numFmtId="0" fontId="19" fillId="0" borderId="0" xfId="2" applyFont="1"/>
    <xf numFmtId="0" fontId="20" fillId="0" borderId="0" xfId="2" applyFont="1" applyAlignment="1">
      <alignment horizontal="left" indent="2"/>
    </xf>
    <xf numFmtId="0" fontId="17" fillId="5" borderId="21" xfId="2" applyFill="1" applyBorder="1"/>
    <xf numFmtId="0" fontId="15" fillId="6" borderId="0" xfId="1" applyFont="1" applyFill="1" applyProtection="1"/>
    <xf numFmtId="0" fontId="21" fillId="6" borderId="0" xfId="1" applyFont="1" applyFill="1" applyProtection="1"/>
    <xf numFmtId="0" fontId="22" fillId="0" borderId="0" xfId="2" applyFont="1"/>
    <xf numFmtId="0" fontId="23" fillId="0" borderId="0" xfId="2" applyFont="1" applyAlignment="1">
      <alignment horizontal="center"/>
    </xf>
    <xf numFmtId="0" fontId="24" fillId="0" borderId="0" xfId="2" applyFont="1" applyAlignment="1">
      <alignment horizontal="center"/>
    </xf>
    <xf numFmtId="0" fontId="20" fillId="0" borderId="0" xfId="2" applyFont="1"/>
    <xf numFmtId="164" fontId="25" fillId="7" borderId="0" xfId="2" applyNumberFormat="1" applyFont="1" applyFill="1"/>
    <xf numFmtId="164" fontId="25" fillId="0" borderId="0" xfId="2" applyNumberFormat="1" applyFont="1"/>
    <xf numFmtId="0" fontId="20" fillId="0" borderId="0" xfId="2" applyFont="1" applyAlignment="1">
      <alignment horizontal="left" indent="4"/>
    </xf>
    <xf numFmtId="0" fontId="20" fillId="0" borderId="22" xfId="2" applyFont="1" applyFill="1" applyBorder="1" applyAlignment="1">
      <alignment horizontal="left" indent="2"/>
    </xf>
    <xf numFmtId="0" fontId="17" fillId="0" borderId="22" xfId="2" applyBorder="1"/>
    <xf numFmtId="164" fontId="25" fillId="7" borderId="22" xfId="2" applyNumberFormat="1" applyFont="1" applyFill="1" applyBorder="1"/>
    <xf numFmtId="164" fontId="25" fillId="0" borderId="22" xfId="2" applyNumberFormat="1" applyFont="1" applyBorder="1"/>
    <xf numFmtId="164" fontId="17" fillId="7" borderId="0" xfId="2" applyNumberFormat="1" applyFill="1"/>
    <xf numFmtId="164" fontId="17" fillId="0" borderId="0" xfId="2" applyNumberFormat="1"/>
    <xf numFmtId="0" fontId="20" fillId="0" borderId="23" xfId="2" applyFont="1" applyBorder="1" applyAlignment="1">
      <alignment horizontal="left" indent="2"/>
    </xf>
    <xf numFmtId="0" fontId="17" fillId="0" borderId="23" xfId="2" applyBorder="1"/>
    <xf numFmtId="164" fontId="25" fillId="7" borderId="24" xfId="2" applyNumberFormat="1" applyFont="1" applyFill="1" applyBorder="1"/>
    <xf numFmtId="164" fontId="25" fillId="0" borderId="24" xfId="2" applyNumberFormat="1" applyFont="1" applyBorder="1"/>
    <xf numFmtId="0" fontId="26" fillId="0" borderId="0" xfId="2" applyFont="1"/>
    <xf numFmtId="164" fontId="27" fillId="7" borderId="0" xfId="2" applyNumberFormat="1" applyFont="1" applyFill="1"/>
    <xf numFmtId="164" fontId="28" fillId="0" borderId="0" xfId="2" applyNumberFormat="1" applyFont="1"/>
    <xf numFmtId="0" fontId="20" fillId="0" borderId="0" xfId="2" applyFont="1" applyAlignment="1">
      <alignment horizontal="left"/>
    </xf>
    <xf numFmtId="165" fontId="25" fillId="7" borderId="0" xfId="3" applyNumberFormat="1" applyFont="1" applyFill="1"/>
    <xf numFmtId="165" fontId="25" fillId="0" borderId="0" xfId="3" applyNumberFormat="1" applyFont="1"/>
    <xf numFmtId="164" fontId="21" fillId="6" borderId="0" xfId="1" applyNumberFormat="1" applyFont="1" applyFill="1" applyProtection="1"/>
    <xf numFmtId="0" fontId="20" fillId="0" borderId="24" xfId="2" applyFont="1" applyFill="1" applyBorder="1" applyAlignment="1">
      <alignment horizontal="left" indent="2"/>
    </xf>
    <xf numFmtId="0" fontId="17" fillId="0" borderId="24" xfId="2" applyBorder="1"/>
    <xf numFmtId="0" fontId="20" fillId="0" borderId="24" xfId="2" applyFont="1" applyBorder="1" applyAlignment="1">
      <alignment horizontal="left" indent="2"/>
    </xf>
    <xf numFmtId="0" fontId="23" fillId="0" borderId="0" xfId="2" applyFont="1"/>
    <xf numFmtId="0" fontId="23" fillId="0" borderId="0" xfId="0" applyFont="1" applyAlignment="1">
      <alignment horizontal="center"/>
    </xf>
    <xf numFmtId="0" fontId="35" fillId="0" borderId="0" xfId="2" applyFont="1"/>
    <xf numFmtId="0" fontId="36" fillId="0" borderId="0" xfId="2" applyFont="1"/>
    <xf numFmtId="0" fontId="37" fillId="0" borderId="0" xfId="2" applyFont="1"/>
    <xf numFmtId="0" fontId="38" fillId="0" borderId="0" xfId="2" applyFont="1" applyAlignment="1">
      <alignment horizontal="left" indent="2"/>
    </xf>
    <xf numFmtId="0" fontId="20" fillId="0" borderId="0" xfId="2" applyFont="1" applyBorder="1"/>
    <xf numFmtId="0" fontId="17" fillId="7" borderId="0" xfId="2" applyFill="1"/>
    <xf numFmtId="0" fontId="20" fillId="0" borderId="19" xfId="2" applyFont="1" applyBorder="1"/>
    <xf numFmtId="164" fontId="25" fillId="0" borderId="27" xfId="2" applyNumberFormat="1" applyFont="1" applyBorder="1"/>
    <xf numFmtId="0" fontId="39" fillId="0" borderId="0" xfId="2" applyFont="1"/>
    <xf numFmtId="0" fontId="38" fillId="0" borderId="0" xfId="2" applyFont="1" applyAlignment="1">
      <alignment horizontal="left" indent="4"/>
    </xf>
    <xf numFmtId="168" fontId="40" fillId="0" borderId="0" xfId="18" applyNumberFormat="1" applyFont="1" applyFill="1" applyBorder="1" applyAlignment="1" applyProtection="1">
      <alignment horizontal="center" vertical="center"/>
    </xf>
    <xf numFmtId="0" fontId="41" fillId="0" borderId="0" xfId="2" applyFont="1"/>
    <xf numFmtId="168" fontId="40" fillId="12" borderId="25" xfId="18" applyNumberFormat="1" applyFont="1" applyFill="1" applyBorder="1" applyAlignment="1" applyProtection="1">
      <alignment horizontal="center" vertical="center"/>
    </xf>
    <xf numFmtId="168" fontId="40" fillId="13" borderId="25" xfId="18" applyNumberFormat="1" applyFont="1" applyFill="1" applyBorder="1" applyAlignment="1" applyProtection="1">
      <alignment horizontal="center" vertical="center"/>
    </xf>
    <xf numFmtId="0" fontId="26" fillId="0" borderId="19" xfId="2" applyFont="1" applyBorder="1"/>
    <xf numFmtId="0" fontId="17" fillId="0" borderId="19" xfId="2" applyBorder="1"/>
    <xf numFmtId="168" fontId="42" fillId="12" borderId="25" xfId="18" applyNumberFormat="1" applyFont="1" applyFill="1" applyBorder="1" applyAlignment="1" applyProtection="1">
      <alignment horizontal="center" vertical="center"/>
    </xf>
    <xf numFmtId="168" fontId="42" fillId="13" borderId="25" xfId="18" applyNumberFormat="1" applyFont="1" applyFill="1" applyBorder="1" applyAlignment="1" applyProtection="1">
      <alignment horizontal="center" vertical="center"/>
    </xf>
    <xf numFmtId="0" fontId="43" fillId="0" borderId="0" xfId="2" applyFont="1"/>
    <xf numFmtId="0" fontId="17" fillId="14" borderId="9" xfId="2" applyFill="1" applyBorder="1"/>
    <xf numFmtId="0" fontId="43" fillId="14" borderId="9" xfId="2" applyFont="1" applyFill="1" applyBorder="1"/>
    <xf numFmtId="167" fontId="44" fillId="11" borderId="28" xfId="18" applyNumberFormat="1" applyFont="1" applyFill="1" applyBorder="1" applyAlignment="1" applyProtection="1">
      <alignment horizontal="center" vertical="center"/>
    </xf>
    <xf numFmtId="0" fontId="23" fillId="0" borderId="0" xfId="3" applyFont="1" applyAlignment="1">
      <alignment horizontal="center"/>
    </xf>
    <xf numFmtId="0" fontId="21" fillId="4" borderId="0" xfId="1" applyFont="1" applyFill="1" applyProtection="1"/>
    <xf numFmtId="169" fontId="45" fillId="15" borderId="26" xfId="1" applyNumberFormat="1" applyFont="1" applyFill="1" applyBorder="1" applyAlignment="1" applyProtection="1">
      <alignment horizontal="center" vertical="center" shrinkToFit="1"/>
      <protection hidden="1"/>
    </xf>
    <xf numFmtId="0" fontId="29" fillId="0" borderId="0" xfId="3"/>
    <xf numFmtId="9" fontId="21" fillId="6" borderId="0" xfId="26" applyFont="1" applyFill="1" applyProtection="1"/>
    <xf numFmtId="9" fontId="0" fillId="0" borderId="0" xfId="26" applyFont="1"/>
    <xf numFmtId="0" fontId="14" fillId="16" borderId="29" xfId="1" applyFill="1" applyBorder="1"/>
    <xf numFmtId="0" fontId="47" fillId="0" borderId="0" xfId="1" applyFont="1" applyAlignment="1" applyProtection="1">
      <alignment horizontal="center" vertical="center" shrinkToFit="1"/>
      <protection hidden="1"/>
    </xf>
    <xf numFmtId="170" fontId="48" fillId="11" borderId="25" xfId="18" applyNumberFormat="1" applyFont="1" applyFill="1" applyBorder="1" applyAlignment="1" applyProtection="1">
      <alignment horizontal="center" vertical="center"/>
    </xf>
    <xf numFmtId="171" fontId="43" fillId="0" borderId="0" xfId="1" applyNumberFormat="1" applyFont="1" applyFill="1" applyAlignment="1" applyProtection="1"/>
    <xf numFmtId="172" fontId="48" fillId="12" borderId="25" xfId="18" applyNumberFormat="1" applyFont="1" applyFill="1" applyBorder="1" applyAlignment="1" applyProtection="1">
      <alignment horizontal="left" vertical="center"/>
    </xf>
    <xf numFmtId="172" fontId="48" fillId="13" borderId="25" xfId="18" applyNumberFormat="1" applyFont="1" applyFill="1" applyBorder="1" applyAlignment="1" applyProtection="1">
      <alignment horizontal="left" vertical="center"/>
    </xf>
    <xf numFmtId="0" fontId="14" fillId="0" borderId="0" xfId="1"/>
    <xf numFmtId="0" fontId="43" fillId="0" borderId="0" xfId="1" applyFont="1" applyFill="1" applyAlignment="1" applyProtection="1"/>
    <xf numFmtId="3" fontId="48" fillId="12" borderId="25" xfId="18" applyNumberFormat="1" applyFont="1" applyFill="1" applyBorder="1" applyAlignment="1" applyProtection="1">
      <alignment horizontal="center" vertical="center"/>
    </xf>
    <xf numFmtId="3" fontId="48" fillId="13" borderId="25" xfId="18" applyNumberFormat="1" applyFont="1" applyFill="1" applyBorder="1" applyAlignment="1" applyProtection="1">
      <alignment horizontal="center" vertical="center"/>
    </xf>
    <xf numFmtId="38" fontId="48" fillId="12" borderId="25" xfId="18" applyNumberFormat="1" applyFont="1" applyFill="1" applyBorder="1" applyAlignment="1" applyProtection="1">
      <alignment horizontal="center" vertical="center"/>
    </xf>
    <xf numFmtId="38" fontId="48" fillId="13" borderId="25" xfId="18" applyNumberFormat="1" applyFont="1" applyFill="1" applyBorder="1" applyAlignment="1" applyProtection="1">
      <alignment horizontal="center" vertical="center"/>
    </xf>
    <xf numFmtId="173" fontId="23" fillId="12" borderId="25" xfId="24" applyNumberFormat="1" applyFont="1" applyAlignment="1" applyProtection="1">
      <alignment horizontal="center"/>
    </xf>
    <xf numFmtId="0" fontId="6" fillId="0" borderId="0" xfId="3" applyFont="1"/>
    <xf numFmtId="0" fontId="14" fillId="16" borderId="0" xfId="1" applyFill="1" applyBorder="1"/>
    <xf numFmtId="0" fontId="21" fillId="17" borderId="0" xfId="1" applyFont="1" applyFill="1" applyProtection="1"/>
    <xf numFmtId="0" fontId="16" fillId="17" borderId="0" xfId="1" applyFont="1" applyFill="1" applyProtection="1"/>
    <xf numFmtId="0" fontId="50" fillId="4" borderId="0" xfId="1" applyFont="1" applyFill="1" applyProtection="1"/>
    <xf numFmtId="169" fontId="50" fillId="15" borderId="26" xfId="1" applyNumberFormat="1" applyFont="1" applyFill="1" applyBorder="1" applyAlignment="1" applyProtection="1">
      <alignment horizontal="center" vertical="center" shrinkToFit="1"/>
      <protection hidden="1"/>
    </xf>
    <xf numFmtId="0" fontId="51" fillId="0" borderId="0" xfId="2" applyFont="1"/>
    <xf numFmtId="0" fontId="52" fillId="0" borderId="0" xfId="3" applyFont="1" applyAlignment="1">
      <alignment horizontal="center"/>
    </xf>
    <xf numFmtId="0" fontId="50" fillId="6" borderId="0" xfId="1" applyFont="1" applyFill="1" applyProtection="1"/>
    <xf numFmtId="0" fontId="6" fillId="0" borderId="0" xfId="3" applyFont="1" applyAlignment="1">
      <alignment horizontal="center"/>
    </xf>
    <xf numFmtId="0" fontId="9" fillId="0" borderId="0" xfId="3" applyFont="1" applyAlignment="1">
      <alignment horizontal="center"/>
    </xf>
    <xf numFmtId="173" fontId="43" fillId="0" borderId="25" xfId="24" applyNumberFormat="1" applyFont="1" applyFill="1" applyAlignment="1" applyProtection="1">
      <alignment horizontal="center"/>
    </xf>
    <xf numFmtId="0" fontId="49" fillId="2" borderId="31" xfId="27" applyFill="1" applyBorder="1"/>
    <xf numFmtId="167" fontId="53" fillId="11" borderId="32" xfId="18" applyNumberFormat="1" applyFont="1" applyFill="1" applyBorder="1" applyAlignment="1" applyProtection="1">
      <alignment horizontal="center" vertical="center"/>
    </xf>
    <xf numFmtId="167" fontId="17" fillId="11" borderId="25" xfId="19">
      <protection locked="0"/>
    </xf>
    <xf numFmtId="0" fontId="50" fillId="19" borderId="0" xfId="1" applyFont="1" applyFill="1" applyProtection="1"/>
    <xf numFmtId="0" fontId="9" fillId="0" borderId="0" xfId="3" applyFont="1"/>
    <xf numFmtId="0" fontId="54" fillId="14" borderId="18" xfId="3" applyFont="1" applyFill="1" applyBorder="1"/>
    <xf numFmtId="0" fontId="6" fillId="14" borderId="19" xfId="3" applyFont="1" applyFill="1" applyBorder="1"/>
    <xf numFmtId="0" fontId="6" fillId="14" borderId="20" xfId="3" applyFont="1" applyFill="1" applyBorder="1"/>
    <xf numFmtId="0" fontId="8" fillId="0" borderId="0" xfId="3" applyFont="1" applyAlignment="1">
      <alignment horizontal="center"/>
    </xf>
    <xf numFmtId="0" fontId="49" fillId="2" borderId="33" xfId="27" applyFill="1" applyBorder="1"/>
    <xf numFmtId="167" fontId="53" fillId="14" borderId="9" xfId="18" applyNumberFormat="1" applyFont="1" applyFill="1" applyBorder="1" applyAlignment="1" applyProtection="1">
      <alignment horizontal="center" vertical="center"/>
    </xf>
    <xf numFmtId="167" fontId="43" fillId="14" borderId="34" xfId="19" applyFont="1" applyFill="1" applyBorder="1" applyAlignment="1">
      <alignment horizontal="center" vertical="center"/>
      <protection locked="0"/>
    </xf>
    <xf numFmtId="167" fontId="43" fillId="14" borderId="25" xfId="19" applyFont="1" applyFill="1" applyAlignment="1">
      <alignment horizontal="center" vertical="center"/>
      <protection locked="0"/>
    </xf>
    <xf numFmtId="0" fontId="6" fillId="20" borderId="0" xfId="3" applyFont="1" applyFill="1"/>
    <xf numFmtId="0" fontId="6" fillId="0" borderId="35" xfId="3" applyFont="1" applyBorder="1"/>
    <xf numFmtId="0" fontId="6" fillId="0" borderId="36" xfId="3" applyFont="1" applyBorder="1"/>
    <xf numFmtId="0" fontId="6" fillId="0" borderId="37" xfId="3" applyFont="1" applyBorder="1"/>
    <xf numFmtId="0" fontId="6" fillId="0" borderId="23" xfId="3" applyFont="1" applyBorder="1"/>
    <xf numFmtId="0" fontId="6" fillId="0" borderId="38" xfId="3" applyFont="1" applyBorder="1"/>
    <xf numFmtId="167" fontId="51" fillId="11" borderId="28" xfId="18" applyNumberFormat="1" applyFont="1" applyFill="1" applyBorder="1" applyAlignment="1" applyProtection="1">
      <alignment horizontal="center" vertical="center"/>
    </xf>
    <xf numFmtId="0" fontId="55" fillId="0" borderId="0" xfId="3" applyFont="1" applyAlignment="1">
      <alignment horizontal="center"/>
    </xf>
    <xf numFmtId="0" fontId="1" fillId="0" borderId="0" xfId="3" applyFont="1" applyAlignment="1">
      <alignment horizontal="center"/>
    </xf>
    <xf numFmtId="174" fontId="56" fillId="14" borderId="25" xfId="17" applyNumberFormat="1" applyFont="1" applyFill="1" applyAlignment="1" applyProtection="1">
      <alignment horizontal="center"/>
    </xf>
    <xf numFmtId="167" fontId="17" fillId="14" borderId="25" xfId="19" applyFill="1" applyAlignment="1">
      <alignment horizontal="center"/>
      <protection locked="0"/>
    </xf>
    <xf numFmtId="0" fontId="1" fillId="0" borderId="0" xfId="3" applyFont="1"/>
    <xf numFmtId="0" fontId="16" fillId="6" borderId="0" xfId="1" applyFont="1" applyFill="1" applyProtection="1"/>
    <xf numFmtId="0" fontId="57" fillId="0" borderId="0" xfId="1" applyFont="1" applyProtection="1"/>
    <xf numFmtId="0" fontId="58" fillId="0" borderId="0" xfId="1" applyFont="1" applyProtection="1"/>
    <xf numFmtId="0" fontId="59" fillId="0" borderId="0" xfId="3" applyFont="1"/>
    <xf numFmtId="167" fontId="56" fillId="11" borderId="25" xfId="18" applyNumberFormat="1" applyFont="1" applyFill="1" applyBorder="1" applyAlignment="1" applyProtection="1">
      <alignment horizontal="center" vertical="center"/>
    </xf>
    <xf numFmtId="0" fontId="56" fillId="22" borderId="25" xfId="19" applyNumberFormat="1" applyFont="1" applyFill="1" applyAlignment="1" applyProtection="1">
      <alignment horizontal="center"/>
    </xf>
    <xf numFmtId="167" fontId="60" fillId="11" borderId="40" xfId="18" applyNumberFormat="1" applyFont="1" applyFill="1" applyBorder="1" applyAlignment="1" applyProtection="1">
      <alignment horizontal="center" vertical="center"/>
    </xf>
    <xf numFmtId="170" fontId="56" fillId="12" borderId="25" xfId="24" applyNumberFormat="1" applyFont="1" applyAlignment="1" applyProtection="1">
      <alignment horizontal="center"/>
    </xf>
    <xf numFmtId="174" fontId="56" fillId="9" borderId="25" xfId="17" applyNumberFormat="1" applyFont="1" applyAlignment="1" applyProtection="1">
      <alignment horizontal="center"/>
    </xf>
    <xf numFmtId="175" fontId="56" fillId="8" borderId="25" xfId="16" applyNumberFormat="1" applyFont="1" applyAlignment="1" applyProtection="1">
      <alignment horizontal="center"/>
    </xf>
    <xf numFmtId="169" fontId="15" fillId="15" borderId="26" xfId="1" applyNumberFormat="1" applyFont="1" applyFill="1" applyBorder="1" applyAlignment="1" applyProtection="1">
      <alignment horizontal="center" vertical="center" shrinkToFit="1"/>
      <protection hidden="1"/>
    </xf>
    <xf numFmtId="170" fontId="56" fillId="23" borderId="25" xfId="28" applyNumberFormat="1" applyFont="1" applyFill="1" applyBorder="1" applyAlignment="1" applyProtection="1">
      <alignment horizontal="center"/>
    </xf>
    <xf numFmtId="170" fontId="56" fillId="24" borderId="25" xfId="28" applyNumberFormat="1" applyFont="1" applyFill="1" applyBorder="1" applyAlignment="1" applyProtection="1">
      <alignment horizontal="center"/>
    </xf>
    <xf numFmtId="0" fontId="64" fillId="0" borderId="0" xfId="1" applyFont="1" applyAlignment="1" applyProtection="1">
      <alignment vertical="center"/>
    </xf>
    <xf numFmtId="0" fontId="14" fillId="0" borderId="0" xfId="1" applyFont="1" applyAlignment="1" applyProtection="1">
      <alignment vertical="top" wrapText="1"/>
    </xf>
    <xf numFmtId="0" fontId="29" fillId="0" borderId="0" xfId="3" applyAlignment="1">
      <alignment vertical="top" wrapText="1"/>
    </xf>
    <xf numFmtId="0" fontId="14" fillId="0" borderId="0" xfId="1" applyAlignment="1" applyProtection="1">
      <alignment vertical="center"/>
    </xf>
    <xf numFmtId="0" fontId="65" fillId="0" borderId="0" xfId="1" applyFont="1" applyAlignment="1">
      <alignment vertical="center"/>
    </xf>
    <xf numFmtId="0" fontId="66" fillId="0" borderId="0" xfId="1" applyFont="1" applyAlignment="1" applyProtection="1">
      <alignment vertical="center"/>
    </xf>
    <xf numFmtId="0" fontId="65" fillId="0" borderId="0" xfId="1" applyFont="1" applyAlignment="1" applyProtection="1">
      <alignment vertical="center"/>
    </xf>
    <xf numFmtId="0" fontId="65" fillId="0" borderId="0" xfId="1" applyFont="1" applyAlignment="1" applyProtection="1">
      <alignment vertical="top"/>
    </xf>
    <xf numFmtId="0" fontId="62" fillId="0" borderId="0" xfId="1" applyFont="1" applyAlignment="1" applyProtection="1">
      <alignment vertical="center"/>
    </xf>
    <xf numFmtId="0" fontId="65" fillId="0" borderId="0" xfId="1" applyFont="1" applyAlignment="1">
      <alignment vertical="top"/>
    </xf>
    <xf numFmtId="0" fontId="65" fillId="0" borderId="0" xfId="1" applyFont="1" applyAlignment="1" applyProtection="1">
      <alignment vertical="top" wrapText="1"/>
    </xf>
    <xf numFmtId="0" fontId="65" fillId="0" borderId="0" xfId="1" applyFont="1" applyAlignment="1" applyProtection="1">
      <alignment horizontal="right" vertical="center"/>
    </xf>
    <xf numFmtId="0" fontId="69" fillId="0" borderId="0" xfId="1" applyFont="1" applyAlignment="1">
      <alignment horizontal="right" vertical="center"/>
    </xf>
    <xf numFmtId="0" fontId="68" fillId="0" borderId="0" xfId="3" applyFont="1" applyAlignment="1">
      <alignment vertical="top" wrapText="1"/>
    </xf>
    <xf numFmtId="0" fontId="67" fillId="0" borderId="0" xfId="3" applyFont="1"/>
    <xf numFmtId="0" fontId="26" fillId="0" borderId="0" xfId="2" applyFont="1" applyBorder="1"/>
    <xf numFmtId="14" fontId="29" fillId="0" borderId="0" xfId="3" applyNumberFormat="1"/>
    <xf numFmtId="167" fontId="17" fillId="14" borderId="25" xfId="19" applyFill="1" applyProtection="1"/>
    <xf numFmtId="0" fontId="17" fillId="25" borderId="0" xfId="2" applyFill="1"/>
    <xf numFmtId="0" fontId="0" fillId="0" borderId="8" xfId="0" applyBorder="1"/>
    <xf numFmtId="0" fontId="8" fillId="0" borderId="0" xfId="0" applyFont="1" applyBorder="1" applyAlignment="1">
      <alignment horizontal="left" vertical="center" indent="3"/>
    </xf>
    <xf numFmtId="0" fontId="6" fillId="0" borderId="0" xfId="0" applyFont="1" applyBorder="1" applyAlignment="1">
      <alignment vertical="center"/>
    </xf>
    <xf numFmtId="0" fontId="8" fillId="0" borderId="0" xfId="0" applyFont="1" applyBorder="1" applyAlignment="1">
      <alignment horizontal="left" vertical="center" indent="4"/>
    </xf>
    <xf numFmtId="0" fontId="3" fillId="0" borderId="0" xfId="0" applyFont="1" applyBorder="1" applyAlignment="1">
      <alignment vertical="center"/>
    </xf>
    <xf numFmtId="0" fontId="2" fillId="0" borderId="0" xfId="0" applyFont="1" applyBorder="1" applyAlignment="1">
      <alignment vertical="center"/>
    </xf>
    <xf numFmtId="0" fontId="7" fillId="0" borderId="0" xfId="0" applyFont="1" applyBorder="1" applyAlignment="1">
      <alignment horizontal="left" vertical="center" indent="3"/>
    </xf>
    <xf numFmtId="0" fontId="0" fillId="0" borderId="6" xfId="0" applyBorder="1"/>
    <xf numFmtId="169" fontId="71" fillId="15" borderId="26" xfId="1" applyNumberFormat="1" applyFont="1" applyFill="1" applyBorder="1" applyAlignment="1" applyProtection="1">
      <alignment horizontal="center" vertical="center" shrinkToFit="1"/>
      <protection hidden="1"/>
    </xf>
    <xf numFmtId="0" fontId="14" fillId="0" borderId="0" xfId="1" applyFill="1"/>
    <xf numFmtId="0" fontId="17" fillId="0" borderId="0" xfId="1" applyFont="1" applyProtection="1"/>
    <xf numFmtId="0" fontId="17" fillId="0" borderId="0" xfId="1" applyFont="1" applyAlignment="1" applyProtection="1">
      <alignment vertical="center"/>
    </xf>
    <xf numFmtId="0" fontId="14" fillId="16" borderId="41" xfId="1" applyFill="1" applyBorder="1"/>
    <xf numFmtId="0" fontId="70" fillId="26" borderId="0" xfId="1" applyFont="1" applyFill="1" applyAlignment="1" applyProtection="1">
      <alignment vertical="center"/>
    </xf>
    <xf numFmtId="0" fontId="14" fillId="26" borderId="42" xfId="1" applyFill="1" applyBorder="1" applyProtection="1"/>
    <xf numFmtId="0" fontId="14" fillId="0" borderId="0" xfId="1" applyFont="1" applyProtection="1"/>
    <xf numFmtId="0" fontId="14" fillId="16" borderId="43" xfId="1" applyFill="1" applyBorder="1"/>
    <xf numFmtId="167" fontId="17" fillId="12" borderId="25" xfId="24" applyFont="1" applyProtection="1"/>
    <xf numFmtId="0" fontId="32" fillId="0" borderId="0" xfId="1" applyFont="1" applyProtection="1"/>
    <xf numFmtId="0" fontId="17" fillId="0" borderId="0" xfId="1" applyFont="1"/>
    <xf numFmtId="167" fontId="17" fillId="11" borderId="25" xfId="29" applyFont="1" applyAlignment="1" applyProtection="1">
      <alignment horizontal="center"/>
    </xf>
    <xf numFmtId="0" fontId="32" fillId="0" borderId="0" xfId="1" applyFont="1" applyAlignment="1" applyProtection="1">
      <alignment horizontal="center"/>
    </xf>
    <xf numFmtId="0" fontId="17" fillId="0" borderId="0" xfId="1" applyFont="1" applyAlignment="1" applyProtection="1">
      <alignment horizontal="center"/>
    </xf>
    <xf numFmtId="15" fontId="32" fillId="0" borderId="0" xfId="1" applyNumberFormat="1" applyFont="1" applyProtection="1"/>
    <xf numFmtId="173" fontId="14" fillId="0" borderId="0" xfId="1" applyNumberFormat="1" applyFont="1" applyProtection="1"/>
    <xf numFmtId="176" fontId="14" fillId="0" borderId="0" xfId="1" applyNumberFormat="1" applyFont="1" applyAlignment="1" applyProtection="1">
      <alignment horizontal="center"/>
    </xf>
    <xf numFmtId="15" fontId="48" fillId="12" borderId="25" xfId="30" applyFont="1" applyAlignment="1" applyProtection="1">
      <alignment horizontal="center" vertical="center" shrinkToFit="1"/>
    </xf>
    <xf numFmtId="15" fontId="48" fillId="9" borderId="34" xfId="17" applyNumberFormat="1" applyFont="1" applyBorder="1" applyAlignment="1" applyProtection="1">
      <alignment horizontal="center" vertical="center" shrinkToFit="1"/>
    </xf>
    <xf numFmtId="15" fontId="48" fillId="9" borderId="25" xfId="17" applyNumberFormat="1" applyFont="1" applyAlignment="1" applyProtection="1">
      <alignment horizontal="center" vertical="center" shrinkToFit="1"/>
    </xf>
    <xf numFmtId="15" fontId="48" fillId="12" borderId="25" xfId="30" applyFont="1" applyAlignment="1" applyProtection="1">
      <alignment horizontal="center"/>
    </xf>
    <xf numFmtId="15" fontId="48" fillId="9" borderId="25" xfId="17" applyNumberFormat="1" applyFont="1" applyAlignment="1" applyProtection="1">
      <alignment horizontal="center"/>
    </xf>
    <xf numFmtId="173" fontId="48" fillId="11" borderId="25" xfId="29" applyNumberFormat="1" applyFont="1" applyAlignment="1" applyProtection="1">
      <alignment horizontal="center"/>
    </xf>
    <xf numFmtId="173" fontId="48" fillId="12" borderId="25" xfId="24" applyNumberFormat="1" applyFont="1" applyAlignment="1" applyProtection="1">
      <alignment horizontal="center"/>
    </xf>
    <xf numFmtId="173" fontId="48" fillId="9" borderId="25" xfId="17" applyNumberFormat="1" applyFont="1" applyAlignment="1" applyProtection="1">
      <alignment horizontal="center"/>
    </xf>
    <xf numFmtId="173" fontId="48" fillId="9" borderId="25" xfId="17" applyNumberFormat="1" applyFont="1" applyAlignment="1">
      <alignment horizontal="center"/>
    </xf>
    <xf numFmtId="43" fontId="48" fillId="9" borderId="25" xfId="31" applyFont="1" applyFill="1" applyBorder="1" applyAlignment="1">
      <alignment horizontal="center"/>
    </xf>
    <xf numFmtId="167" fontId="48" fillId="12" borderId="25" xfId="24" applyFont="1" applyAlignment="1" applyProtection="1">
      <alignment horizontal="center"/>
    </xf>
    <xf numFmtId="167" fontId="48" fillId="9" borderId="25" xfId="17" applyFont="1" applyAlignment="1" applyProtection="1">
      <alignment horizontal="center"/>
    </xf>
    <xf numFmtId="0" fontId="71" fillId="17" borderId="0" xfId="1" applyFont="1" applyFill="1" applyAlignment="1" applyProtection="1">
      <alignment horizontal="left" vertical="center"/>
    </xf>
    <xf numFmtId="0" fontId="71" fillId="17" borderId="0" xfId="1" applyFont="1" applyFill="1" applyAlignment="1" applyProtection="1">
      <alignment vertical="center"/>
    </xf>
    <xf numFmtId="14" fontId="75" fillId="0" borderId="0" xfId="3" applyNumberFormat="1" applyFont="1"/>
    <xf numFmtId="0" fontId="6" fillId="0" borderId="0" xfId="0" applyFont="1" applyBorder="1" applyAlignment="1">
      <alignment vertical="center" wrapText="1"/>
    </xf>
    <xf numFmtId="0" fontId="6" fillId="0" borderId="0" xfId="0" applyFont="1" applyBorder="1" applyAlignment="1">
      <alignment wrapText="1"/>
    </xf>
    <xf numFmtId="0" fontId="0" fillId="0" borderId="0" xfId="0" applyFont="1" applyBorder="1" applyAlignment="1">
      <alignment vertical="center" wrapText="1"/>
    </xf>
    <xf numFmtId="0" fontId="0" fillId="0" borderId="0" xfId="0" applyFont="1" applyBorder="1" applyAlignment="1">
      <alignment wrapText="1"/>
    </xf>
    <xf numFmtId="0" fontId="6" fillId="0" borderId="7" xfId="0" applyFont="1"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0" xfId="0" applyBorder="1" applyAlignment="1">
      <alignment wrapText="1"/>
    </xf>
    <xf numFmtId="0" fontId="1" fillId="2" borderId="19" xfId="0" applyFont="1" applyFill="1" applyBorder="1" applyAlignment="1">
      <alignment horizontal="center" wrapText="1"/>
    </xf>
    <xf numFmtId="0" fontId="1" fillId="2" borderId="20" xfId="0" applyFont="1" applyFill="1" applyBorder="1" applyAlignment="1">
      <alignment horizontal="center" wrapText="1"/>
    </xf>
    <xf numFmtId="0" fontId="6" fillId="3" borderId="18" xfId="0" applyFont="1" applyFill="1" applyBorder="1" applyAlignment="1">
      <alignment wrapText="1"/>
    </xf>
    <xf numFmtId="0" fontId="6" fillId="3" borderId="19" xfId="0" applyFont="1" applyFill="1" applyBorder="1" applyAlignment="1">
      <alignment wrapText="1"/>
    </xf>
    <xf numFmtId="0" fontId="6" fillId="3" borderId="20" xfId="0" applyFont="1" applyFill="1" applyBorder="1" applyAlignment="1">
      <alignment wrapText="1"/>
    </xf>
    <xf numFmtId="0" fontId="9" fillId="0" borderId="10" xfId="0" applyFont="1" applyBorder="1" applyAlignment="1">
      <alignment horizontal="left" vertical="top" wrapText="1"/>
    </xf>
    <xf numFmtId="0" fontId="9" fillId="0" borderId="11" xfId="0" applyFont="1" applyBorder="1" applyAlignment="1">
      <alignment horizontal="left" vertical="top" wrapText="1"/>
    </xf>
    <xf numFmtId="0" fontId="9" fillId="0" borderId="12" xfId="0" applyFont="1" applyBorder="1" applyAlignment="1">
      <alignment horizontal="left" vertical="top" wrapText="1"/>
    </xf>
    <xf numFmtId="0" fontId="9" fillId="0" borderId="13" xfId="0" applyFont="1" applyBorder="1" applyAlignment="1">
      <alignment horizontal="left" vertical="top" wrapText="1"/>
    </xf>
    <xf numFmtId="0" fontId="9" fillId="0" borderId="0" xfId="0" applyFont="1" applyBorder="1" applyAlignment="1">
      <alignment horizontal="left" vertical="top" wrapText="1"/>
    </xf>
    <xf numFmtId="0" fontId="9" fillId="0" borderId="14" xfId="0" applyFont="1" applyBorder="1" applyAlignment="1">
      <alignment horizontal="left" vertical="top" wrapText="1"/>
    </xf>
    <xf numFmtId="0" fontId="9" fillId="0" borderId="15" xfId="0" applyFont="1" applyBorder="1" applyAlignment="1">
      <alignment horizontal="left" vertical="top" wrapText="1"/>
    </xf>
    <xf numFmtId="0" fontId="9" fillId="0" borderId="16" xfId="0" applyFont="1" applyBorder="1" applyAlignment="1">
      <alignment horizontal="left" vertical="top" wrapText="1"/>
    </xf>
    <xf numFmtId="0" fontId="9" fillId="0" borderId="17" xfId="0" applyFont="1" applyBorder="1" applyAlignment="1">
      <alignment horizontal="left" vertical="top" wrapText="1"/>
    </xf>
    <xf numFmtId="0" fontId="6" fillId="0" borderId="0" xfId="0" applyFont="1" applyAlignment="1">
      <alignment wrapText="1"/>
    </xf>
    <xf numFmtId="0" fontId="6" fillId="0" borderId="0" xfId="0" applyFont="1" applyAlignment="1">
      <alignment horizontal="left" vertical="top" wrapText="1"/>
    </xf>
    <xf numFmtId="0" fontId="0" fillId="0" borderId="0" xfId="0" applyAlignment="1">
      <alignment wrapText="1"/>
    </xf>
    <xf numFmtId="0" fontId="65" fillId="0" borderId="0" xfId="1" applyFont="1" applyAlignment="1" applyProtection="1">
      <alignment vertical="top" wrapText="1"/>
    </xf>
    <xf numFmtId="0" fontId="68" fillId="0" borderId="0" xfId="3" applyFont="1" applyAlignment="1">
      <alignment vertical="top" wrapText="1"/>
    </xf>
    <xf numFmtId="0" fontId="67" fillId="0" borderId="0" xfId="3" applyFont="1" applyAlignment="1">
      <alignment vertical="top" wrapText="1"/>
    </xf>
    <xf numFmtId="0" fontId="14" fillId="0" borderId="0" xfId="1" applyFont="1" applyAlignment="1" applyProtection="1">
      <alignment vertical="top" wrapText="1"/>
    </xf>
    <xf numFmtId="0" fontId="29" fillId="0" borderId="0" xfId="3" applyAlignment="1">
      <alignment vertical="top" wrapText="1"/>
    </xf>
    <xf numFmtId="0" fontId="62" fillId="0" borderId="0" xfId="1" applyFont="1" applyAlignment="1" applyProtection="1">
      <alignment vertical="top" wrapText="1"/>
    </xf>
    <xf numFmtId="0" fontId="63" fillId="0" borderId="0" xfId="3" applyFont="1" applyAlignment="1">
      <alignment vertical="top" wrapText="1"/>
    </xf>
    <xf numFmtId="0" fontId="63" fillId="0" borderId="0" xfId="3" applyFont="1" applyAlignment="1">
      <alignment wrapText="1"/>
    </xf>
  </cellXfs>
  <cellStyles count="37">
    <cellStyle name="_x000d__x000a_JournalTemplate=C:\COMFO\CTALK\JOURSTD.TPL_x000d__x000a_LbStateAddress=3 3 0 251 1 89 2 311_x000d__x000a_LbStateJou" xfId="4"/>
    <cellStyle name="%" xfId="5"/>
    <cellStyle name="% 2" xfId="6"/>
    <cellStyle name="%_ITPD Stage 1 Financial Response Templates_v2" xfId="7"/>
    <cellStyle name="%_ITPD Stage 1 Financial Response Templates_v2_PCP2 ITN Financial Proformas (Draft) - Generic v4 (with PBR)" xfId="8"/>
    <cellStyle name="%_PCP2 ITN Financial Proformas (Draft) - Generic v4 (with PBR)" xfId="9"/>
    <cellStyle name="]_x000d__x000a_Zoomed=1_x000d__x000a_Row=0_x000d__x000a_Column=0_x000d__x000a_Height=0_x000d__x000a_Width=0_x000d__x000a_FontName=FoxFont_x000d__x000a_FontStyle=0_x000d__x000a_FontSize=9_x000d__x000a_PrtFontName=FoxPrin" xfId="10"/>
    <cellStyle name="_exec summary v1 4" xfId="32"/>
    <cellStyle name="0,0_x000d__x000a_NA_x000d__x000a_" xfId="11"/>
    <cellStyle name="Check" xfId="33"/>
    <cellStyle name="CheckSimple" xfId="34"/>
    <cellStyle name="Comma 2" xfId="12"/>
    <cellStyle name="Comma 3" xfId="31"/>
    <cellStyle name="Currency 2" xfId="13"/>
    <cellStyle name="Currency 3" xfId="14"/>
    <cellStyle name="DefinedName" xfId="15"/>
    <cellStyle name="DropDown" xfId="35"/>
    <cellStyle name="External" xfId="16"/>
    <cellStyle name="Formula" xfId="17"/>
    <cellStyle name="Input 2" xfId="18"/>
    <cellStyle name="Input 3" xfId="28"/>
    <cellStyle name="Input 4" xfId="29"/>
    <cellStyle name="InputOptional" xfId="19"/>
    <cellStyle name="Normal" xfId="0" builtinId="0"/>
    <cellStyle name="Normal 2" xfId="3"/>
    <cellStyle name="Normal 2 2" xfId="2"/>
    <cellStyle name="Normal 2 3" xfId="25"/>
    <cellStyle name="Normal 3" xfId="20"/>
    <cellStyle name="Normal 4" xfId="21"/>
    <cellStyle name="Normal_TNPM DRAFT Standard Template v0.1c" xfId="1"/>
    <cellStyle name="Output" xfId="27" builtinId="21"/>
    <cellStyle name="Percent 2" xfId="22"/>
    <cellStyle name="Percent 3" xfId="23"/>
    <cellStyle name="Percent 4" xfId="26"/>
    <cellStyle name="Prime" xfId="24"/>
    <cellStyle name="Primedate" xfId="30"/>
    <cellStyle name="Style 1" xfId="36"/>
  </cellStyles>
  <dxfs count="300">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47"/>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ont>
        <b/>
        <i val="0"/>
        <color theme="0"/>
      </font>
      <fill>
        <patternFill>
          <bgColor rgb="FF008000"/>
        </patternFill>
      </fill>
      <border>
        <left style="thin">
          <color theme="1"/>
        </left>
        <right style="thin">
          <color theme="1"/>
        </right>
        <top style="thin">
          <color theme="1"/>
        </top>
        <bottom style="thin">
          <color theme="1"/>
        </bottom>
        <vertical/>
        <horizontal/>
      </border>
    </dxf>
    <dxf>
      <font>
        <b/>
        <i val="0"/>
        <color theme="0"/>
      </font>
      <fill>
        <patternFill>
          <bgColor rgb="FFFF0000"/>
        </patternFill>
      </fill>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ont>
        <b/>
        <i val="0"/>
        <color theme="0"/>
      </font>
      <fill>
        <patternFill>
          <bgColor rgb="FF008000"/>
        </patternFill>
      </fill>
      <border>
        <left style="thin">
          <color theme="1"/>
        </left>
        <right style="thin">
          <color theme="1"/>
        </right>
        <top style="thin">
          <color theme="1"/>
        </top>
        <bottom style="thin">
          <color theme="1"/>
        </bottom>
        <vertical/>
        <horizontal/>
      </border>
    </dxf>
    <dxf>
      <font>
        <b/>
        <i val="0"/>
        <color theme="0"/>
      </font>
      <fill>
        <patternFill>
          <bgColor rgb="FFFF0000"/>
        </patternFill>
      </fill>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theme="0" tint="-0.1499679555650502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3"/>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3"/>
        </patternFill>
      </fill>
    </dxf>
    <dxf>
      <fill>
        <patternFill>
          <bgColor indexed="13"/>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ont>
        <b/>
        <i val="0"/>
        <color theme="0"/>
      </font>
      <fill>
        <patternFill>
          <bgColor rgb="FF008000"/>
        </patternFill>
      </fill>
      <border>
        <left style="thin">
          <color theme="1"/>
        </left>
        <right style="thin">
          <color theme="1"/>
        </right>
        <top style="thin">
          <color theme="1"/>
        </top>
        <bottom style="thin">
          <color theme="1"/>
        </bottom>
        <vertical/>
        <horizontal/>
      </border>
    </dxf>
    <dxf>
      <font>
        <b/>
        <i val="0"/>
        <color theme="0"/>
      </font>
      <fill>
        <patternFill>
          <bgColor rgb="FFFF0000"/>
        </patternFill>
      </fill>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24"/>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24"/>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24"/>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24"/>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24"/>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24"/>
        </patternFill>
      </fill>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condense val="0"/>
        <extend val="0"/>
        <color indexed="9"/>
      </font>
      <fill>
        <patternFill>
          <bgColor indexed="52"/>
        </patternFill>
      </fill>
    </dxf>
    <dxf>
      <font>
        <b/>
        <i val="0"/>
        <condense val="0"/>
        <extend val="0"/>
        <color indexed="9"/>
      </font>
      <fill>
        <patternFill>
          <bgColor indexed="10"/>
        </patternFill>
      </fill>
    </dxf>
    <dxf>
      <fill>
        <patternFill>
          <bgColor indexed="24"/>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ont>
        <b/>
        <i val="0"/>
        <color theme="0"/>
      </font>
      <fill>
        <patternFill>
          <bgColor rgb="FF008000"/>
        </patternFill>
      </fill>
      <border>
        <left style="thin">
          <color theme="1"/>
        </left>
        <right style="thin">
          <color theme="1"/>
        </right>
        <top style="thin">
          <color theme="1"/>
        </top>
        <bottom style="thin">
          <color theme="1"/>
        </bottom>
        <vertical/>
        <horizontal/>
      </border>
    </dxf>
    <dxf>
      <font>
        <condense val="0"/>
        <extend val="0"/>
        <color indexed="9"/>
      </font>
      <fill>
        <patternFill>
          <bgColor indexed="52"/>
        </patternFill>
      </fill>
    </dxf>
    <dxf>
      <font>
        <b/>
        <i val="0"/>
        <condense val="0"/>
        <extend val="0"/>
        <color indexed="9"/>
      </font>
      <fill>
        <patternFill>
          <bgColor indexed="10"/>
        </patternFill>
      </fill>
    </dxf>
    <dxf>
      <font>
        <b/>
        <i val="0"/>
        <color theme="0"/>
      </font>
      <fill>
        <patternFill>
          <bgColor rgb="FF008000"/>
        </patternFill>
      </fill>
      <border>
        <left style="thin">
          <color theme="1"/>
        </left>
        <right style="thin">
          <color theme="1"/>
        </right>
        <top style="thin">
          <color theme="1"/>
        </top>
        <bottom style="thin">
          <color theme="1"/>
        </bottom>
        <vertical/>
        <horizontal/>
      </border>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ont>
        <b/>
        <i val="0"/>
        <color theme="0"/>
      </font>
      <fill>
        <patternFill>
          <bgColor rgb="FF008000"/>
        </patternFill>
      </fill>
      <border>
        <left style="thin">
          <color theme="1"/>
        </left>
        <right style="thin">
          <color theme="1"/>
        </right>
        <top style="thin">
          <color theme="1"/>
        </top>
        <bottom style="thin">
          <color theme="1"/>
        </bottom>
        <vertical/>
        <horizontal/>
      </border>
    </dxf>
    <dxf>
      <font>
        <condense val="0"/>
        <extend val="0"/>
        <color indexed="9"/>
      </font>
      <fill>
        <patternFill>
          <bgColor indexed="52"/>
        </patternFill>
      </fill>
    </dxf>
    <dxf>
      <font>
        <b/>
        <i val="0"/>
        <condense val="0"/>
        <extend val="0"/>
        <color indexed="9"/>
      </font>
      <fill>
        <patternFill>
          <bgColor indexed="10"/>
        </patternFill>
      </fill>
    </dxf>
    <dxf>
      <font>
        <b/>
        <i val="0"/>
        <color theme="0"/>
      </font>
      <fill>
        <patternFill>
          <bgColor rgb="FF008000"/>
        </patternFill>
      </fill>
      <border>
        <left style="thin">
          <color theme="1"/>
        </left>
        <right style="thin">
          <color theme="1"/>
        </right>
        <top style="thin">
          <color theme="1"/>
        </top>
        <bottom style="thin">
          <color theme="1"/>
        </bottom>
        <vertical/>
        <horizontal/>
      </border>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fill>
        <patternFill>
          <bgColor indexed="52"/>
        </patternFill>
      </fill>
    </dxf>
    <dxf>
      <font>
        <b/>
        <i val="0"/>
        <condense val="0"/>
        <extend val="0"/>
        <color indexed="9"/>
      </font>
      <fill>
        <patternFill>
          <bgColor indexed="10"/>
        </patternFill>
      </fill>
    </dxf>
    <dxf>
      <font>
        <b/>
        <i val="0"/>
        <color theme="0"/>
      </font>
      <fill>
        <patternFill>
          <bgColor rgb="FF008000"/>
        </patternFill>
      </fill>
      <border>
        <left style="thin">
          <color theme="1"/>
        </left>
        <right style="thin">
          <color theme="1"/>
        </right>
        <top style="thin">
          <color theme="1"/>
        </top>
        <bottom style="thin">
          <color theme="1"/>
        </bottom>
        <vertical/>
        <horizontal/>
      </border>
    </dxf>
    <dxf>
      <font>
        <condense val="0"/>
        <extend val="0"/>
        <color indexed="9"/>
      </font>
      <fill>
        <patternFill>
          <bgColor indexed="52"/>
        </patternFill>
      </fill>
    </dxf>
    <dxf>
      <font>
        <b/>
        <i val="0"/>
        <condense val="0"/>
        <extend val="0"/>
        <color indexed="9"/>
      </font>
      <fill>
        <patternFill>
          <bgColor indexed="10"/>
        </patternFill>
      </fill>
    </dxf>
    <dxf>
      <font>
        <b/>
        <i val="0"/>
        <color theme="0"/>
      </font>
      <fill>
        <patternFill>
          <bgColor rgb="FF008000"/>
        </patternFill>
      </fill>
      <border>
        <left style="thin">
          <color theme="1"/>
        </left>
        <right style="thin">
          <color theme="1"/>
        </right>
        <top style="thin">
          <color theme="1"/>
        </top>
        <bottom style="thin">
          <color theme="1"/>
        </bottom>
        <vertical/>
        <horizontal/>
      </border>
    </dxf>
    <dxf>
      <fill>
        <patternFill>
          <bgColor indexed="13"/>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ont>
        <b/>
        <i val="0"/>
        <color theme="0"/>
      </font>
      <fill>
        <patternFill>
          <bgColor rgb="FFFF0000"/>
        </patternFill>
      </fill>
    </dxf>
    <dxf>
      <font>
        <b/>
        <i val="0"/>
        <color theme="0"/>
      </font>
      <fill>
        <patternFill>
          <bgColor rgb="FFFF9900"/>
        </patternFill>
      </fill>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
      <fill>
        <patternFill>
          <bgColor indexed="52"/>
        </patternFill>
      </fill>
      <border>
        <top style="thin">
          <color indexed="52"/>
        </top>
        <bottom style="thin">
          <color indexed="52"/>
        </bottom>
      </border>
    </dxf>
    <dxf>
      <font>
        <condense val="0"/>
        <extend val="0"/>
        <color indexed="9"/>
      </font>
      <fill>
        <patternFill>
          <bgColor indexed="10"/>
        </patternFill>
      </fill>
      <border>
        <top style="thin">
          <color indexed="10"/>
        </top>
        <bottom style="thin">
          <color indexed="10"/>
        </bottom>
      </border>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7.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6.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externalLink" Target="externalLinks/externalLink4.xml"/><Relationship Id="rId35"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D7"/></Relationships>
</file>

<file path=xl/drawings/_rels/drawing3.xml.rels><?xml version="1.0" encoding="UTF-8" standalone="yes"?>
<Relationships xmlns="http://schemas.openxmlformats.org/package/2006/relationships"><Relationship Id="rId1" Type="http://schemas.openxmlformats.org/officeDocument/2006/relationships/hyperlink" Target="#Navigation!D7"/></Relationships>
</file>

<file path=xl/drawings/drawing1.xml><?xml version="1.0" encoding="utf-8"?>
<xdr:wsDr xmlns:xdr="http://schemas.openxmlformats.org/drawingml/2006/spreadsheetDrawing" xmlns:a="http://schemas.openxmlformats.org/drawingml/2006/main">
  <xdr:twoCellAnchor>
    <xdr:from>
      <xdr:col>5</xdr:col>
      <xdr:colOff>257175</xdr:colOff>
      <xdr:row>10</xdr:row>
      <xdr:rowOff>47625</xdr:rowOff>
    </xdr:from>
    <xdr:to>
      <xdr:col>7</xdr:col>
      <xdr:colOff>314325</xdr:colOff>
      <xdr:row>13</xdr:row>
      <xdr:rowOff>66675</xdr:rowOff>
    </xdr:to>
    <xdr:sp macro="" textlink="">
      <xdr:nvSpPr>
        <xdr:cNvPr id="3" name="Rectangle 2"/>
        <xdr:cNvSpPr/>
      </xdr:nvSpPr>
      <xdr:spPr>
        <a:xfrm>
          <a:off x="3305175" y="1190625"/>
          <a:ext cx="1276350" cy="590550"/>
        </a:xfrm>
        <a:prstGeom prst="rect">
          <a:avLst/>
        </a:prstGeom>
        <a:solidFill>
          <a:schemeClr val="bg1">
            <a:lumMod val="85000"/>
          </a:schemeClr>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ysClr val="windowText" lastClr="000000"/>
              </a:solidFill>
            </a:rPr>
            <a:t>Input</a:t>
          </a:r>
          <a:r>
            <a:rPr lang="en-GB" sz="1000" b="1" baseline="0">
              <a:solidFill>
                <a:sysClr val="windowText" lastClr="000000"/>
              </a:solidFill>
            </a:rPr>
            <a:t> Calculations</a:t>
          </a:r>
          <a:endParaRPr lang="en-GB" sz="1000" b="1">
            <a:solidFill>
              <a:sysClr val="windowText" lastClr="000000"/>
            </a:solidFill>
          </a:endParaRPr>
        </a:p>
      </xdr:txBody>
    </xdr:sp>
    <xdr:clientData/>
  </xdr:twoCellAnchor>
  <xdr:twoCellAnchor>
    <xdr:from>
      <xdr:col>2</xdr:col>
      <xdr:colOff>304800</xdr:colOff>
      <xdr:row>10</xdr:row>
      <xdr:rowOff>47625</xdr:rowOff>
    </xdr:from>
    <xdr:to>
      <xdr:col>4</xdr:col>
      <xdr:colOff>285750</xdr:colOff>
      <xdr:row>13</xdr:row>
      <xdr:rowOff>66675</xdr:rowOff>
    </xdr:to>
    <xdr:sp macro="" textlink="">
      <xdr:nvSpPr>
        <xdr:cNvPr id="6" name="Rectangle 5"/>
        <xdr:cNvSpPr/>
      </xdr:nvSpPr>
      <xdr:spPr>
        <a:xfrm>
          <a:off x="1524000" y="1190625"/>
          <a:ext cx="1200150" cy="590550"/>
        </a:xfrm>
        <a:prstGeom prst="rect">
          <a:avLst/>
        </a:prstGeom>
        <a:solidFill>
          <a:srgbClr val="FFFF99"/>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ysClr val="windowText" lastClr="000000"/>
              </a:solidFill>
            </a:rPr>
            <a:t>Data</a:t>
          </a:r>
          <a:r>
            <a:rPr lang="en-GB" sz="1000" b="1" baseline="0">
              <a:solidFill>
                <a:sysClr val="windowText" lastClr="000000"/>
              </a:solidFill>
            </a:rPr>
            <a:t> Inflow</a:t>
          </a:r>
          <a:endParaRPr lang="en-GB" sz="1000"/>
        </a:p>
      </xdr:txBody>
    </xdr:sp>
    <xdr:clientData/>
  </xdr:twoCellAnchor>
  <xdr:twoCellAnchor>
    <xdr:from>
      <xdr:col>4</xdr:col>
      <xdr:colOff>285750</xdr:colOff>
      <xdr:row>10</xdr:row>
      <xdr:rowOff>133350</xdr:rowOff>
    </xdr:from>
    <xdr:to>
      <xdr:col>5</xdr:col>
      <xdr:colOff>314325</xdr:colOff>
      <xdr:row>12</xdr:row>
      <xdr:rowOff>161925</xdr:rowOff>
    </xdr:to>
    <xdr:sp macro="" textlink="">
      <xdr:nvSpPr>
        <xdr:cNvPr id="7" name="Right Arrow 6"/>
        <xdr:cNvSpPr/>
      </xdr:nvSpPr>
      <xdr:spPr>
        <a:xfrm>
          <a:off x="2724150" y="1276350"/>
          <a:ext cx="638175" cy="409575"/>
        </a:xfrm>
        <a:prstGeom prst="rightArrow">
          <a:avLst/>
        </a:prstGeom>
        <a:solidFill>
          <a:schemeClr val="bg1">
            <a:lumMod val="85000"/>
            <a:alpha val="94000"/>
          </a:schemeClr>
        </a:solidFill>
        <a:ln w="12700">
          <a:solidFill>
            <a:schemeClr val="tx1">
              <a:lumMod val="95000"/>
              <a:lumOff val="5000"/>
            </a:schemeClr>
          </a:solidFill>
        </a:ln>
        <a:effectLst>
          <a:outerShdw blurRad="50800" dist="50800" dir="60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342900</xdr:colOff>
      <xdr:row>3</xdr:row>
      <xdr:rowOff>66675</xdr:rowOff>
    </xdr:from>
    <xdr:to>
      <xdr:col>8</xdr:col>
      <xdr:colOff>400050</xdr:colOff>
      <xdr:row>6</xdr:row>
      <xdr:rowOff>85725</xdr:rowOff>
    </xdr:to>
    <xdr:sp macro="" textlink="">
      <xdr:nvSpPr>
        <xdr:cNvPr id="8" name="Rectangle 7"/>
        <xdr:cNvSpPr/>
      </xdr:nvSpPr>
      <xdr:spPr>
        <a:xfrm>
          <a:off x="4000500" y="638175"/>
          <a:ext cx="1276350" cy="590550"/>
        </a:xfrm>
        <a:prstGeom prst="rect">
          <a:avLst/>
        </a:prstGeom>
        <a:solidFill>
          <a:srgbClr val="FFFF99"/>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ysClr val="windowText" lastClr="000000"/>
              </a:solidFill>
            </a:rPr>
            <a:t>User Inputs</a:t>
          </a:r>
        </a:p>
      </xdr:txBody>
    </xdr:sp>
    <xdr:clientData/>
  </xdr:twoCellAnchor>
  <xdr:twoCellAnchor>
    <xdr:from>
      <xdr:col>6</xdr:col>
      <xdr:colOff>114298</xdr:colOff>
      <xdr:row>6</xdr:row>
      <xdr:rowOff>85726</xdr:rowOff>
    </xdr:from>
    <xdr:to>
      <xdr:col>6</xdr:col>
      <xdr:colOff>523873</xdr:colOff>
      <xdr:row>10</xdr:row>
      <xdr:rowOff>104776</xdr:rowOff>
    </xdr:to>
    <xdr:sp macro="" textlink="">
      <xdr:nvSpPr>
        <xdr:cNvPr id="9" name="Right Arrow 8"/>
        <xdr:cNvSpPr/>
      </xdr:nvSpPr>
      <xdr:spPr>
        <a:xfrm rot="5400000">
          <a:off x="3586161" y="1414463"/>
          <a:ext cx="781050" cy="409575"/>
        </a:xfrm>
        <a:prstGeom prst="rightArrow">
          <a:avLst/>
        </a:prstGeom>
        <a:solidFill>
          <a:schemeClr val="bg1">
            <a:lumMod val="85000"/>
            <a:alpha val="94000"/>
          </a:schemeClr>
        </a:solidFill>
        <a:ln w="12700">
          <a:solidFill>
            <a:schemeClr val="tx1">
              <a:lumMod val="95000"/>
              <a:lumOff val="5000"/>
            </a:schemeClr>
          </a:solidFill>
        </a:ln>
        <a:effectLst>
          <a:outerShdw blurRad="50800" dist="50800" dir="60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266700</xdr:colOff>
      <xdr:row>16</xdr:row>
      <xdr:rowOff>95250</xdr:rowOff>
    </xdr:from>
    <xdr:to>
      <xdr:col>7</xdr:col>
      <xdr:colOff>323850</xdr:colOff>
      <xdr:row>19</xdr:row>
      <xdr:rowOff>114300</xdr:rowOff>
    </xdr:to>
    <xdr:sp macro="" textlink="">
      <xdr:nvSpPr>
        <xdr:cNvPr id="10" name="Rectangle 9"/>
        <xdr:cNvSpPr/>
      </xdr:nvSpPr>
      <xdr:spPr>
        <a:xfrm>
          <a:off x="3314700" y="3143250"/>
          <a:ext cx="1276350" cy="590550"/>
        </a:xfrm>
        <a:prstGeom prst="rect">
          <a:avLst/>
        </a:prstGeom>
        <a:solidFill>
          <a:schemeClr val="bg1">
            <a:lumMod val="85000"/>
          </a:schemeClr>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ysClr val="windowText" lastClr="000000"/>
              </a:solidFill>
            </a:rPr>
            <a:t>Time Lines</a:t>
          </a:r>
        </a:p>
      </xdr:txBody>
    </xdr:sp>
    <xdr:clientData/>
  </xdr:twoCellAnchor>
  <xdr:twoCellAnchor>
    <xdr:from>
      <xdr:col>6</xdr:col>
      <xdr:colOff>85725</xdr:colOff>
      <xdr:row>13</xdr:row>
      <xdr:rowOff>19050</xdr:rowOff>
    </xdr:from>
    <xdr:to>
      <xdr:col>6</xdr:col>
      <xdr:colOff>495300</xdr:colOff>
      <xdr:row>16</xdr:row>
      <xdr:rowOff>85725</xdr:rowOff>
    </xdr:to>
    <xdr:sp macro="" textlink="">
      <xdr:nvSpPr>
        <xdr:cNvPr id="11" name="Right Arrow 10"/>
        <xdr:cNvSpPr/>
      </xdr:nvSpPr>
      <xdr:spPr>
        <a:xfrm rot="16200000">
          <a:off x="3629025" y="2609850"/>
          <a:ext cx="638175" cy="409575"/>
        </a:xfrm>
        <a:prstGeom prst="rightArrow">
          <a:avLst/>
        </a:prstGeom>
        <a:solidFill>
          <a:schemeClr val="bg1">
            <a:lumMod val="85000"/>
            <a:alpha val="94000"/>
          </a:schemeClr>
        </a:solidFill>
        <a:ln w="12700">
          <a:solidFill>
            <a:schemeClr val="tx1">
              <a:lumMod val="95000"/>
              <a:lumOff val="5000"/>
            </a:schemeClr>
          </a:solidFill>
        </a:ln>
        <a:effectLst>
          <a:outerShdw blurRad="50800" dist="50800" dir="60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352425</xdr:colOff>
      <xdr:row>9</xdr:row>
      <xdr:rowOff>0</xdr:rowOff>
    </xdr:from>
    <xdr:to>
      <xdr:col>11</xdr:col>
      <xdr:colOff>409575</xdr:colOff>
      <xdr:row>12</xdr:row>
      <xdr:rowOff>19050</xdr:rowOff>
    </xdr:to>
    <xdr:sp macro="" textlink="">
      <xdr:nvSpPr>
        <xdr:cNvPr id="12" name="Rectangle 11"/>
        <xdr:cNvSpPr/>
      </xdr:nvSpPr>
      <xdr:spPr>
        <a:xfrm>
          <a:off x="5838825" y="1714500"/>
          <a:ext cx="1276350" cy="590550"/>
        </a:xfrm>
        <a:prstGeom prst="rect">
          <a:avLst/>
        </a:prstGeom>
        <a:solidFill>
          <a:schemeClr val="tx1"/>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Baseline Outputs</a:t>
          </a:r>
        </a:p>
      </xdr:txBody>
    </xdr:sp>
    <xdr:clientData/>
  </xdr:twoCellAnchor>
  <xdr:twoCellAnchor>
    <xdr:from>
      <xdr:col>9</xdr:col>
      <xdr:colOff>352425</xdr:colOff>
      <xdr:row>12</xdr:row>
      <xdr:rowOff>47625</xdr:rowOff>
    </xdr:from>
    <xdr:to>
      <xdr:col>11</xdr:col>
      <xdr:colOff>409575</xdr:colOff>
      <xdr:row>15</xdr:row>
      <xdr:rowOff>66675</xdr:rowOff>
    </xdr:to>
    <xdr:sp macro="" textlink="">
      <xdr:nvSpPr>
        <xdr:cNvPr id="13" name="Rectangle 12"/>
        <xdr:cNvSpPr/>
      </xdr:nvSpPr>
      <xdr:spPr>
        <a:xfrm>
          <a:off x="5838825" y="2333625"/>
          <a:ext cx="1276350" cy="590550"/>
        </a:xfrm>
        <a:prstGeom prst="rect">
          <a:avLst/>
        </a:prstGeom>
        <a:solidFill>
          <a:schemeClr val="tx1"/>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Scenario</a:t>
          </a:r>
          <a:r>
            <a:rPr lang="en-GB" sz="1000" b="1" baseline="0">
              <a:solidFill>
                <a:schemeClr val="bg1"/>
              </a:solidFill>
            </a:rPr>
            <a:t> </a:t>
          </a:r>
          <a:r>
            <a:rPr lang="en-GB" sz="1000" b="1">
              <a:solidFill>
                <a:schemeClr val="bg1"/>
              </a:solidFill>
            </a:rPr>
            <a:t>Outputs</a:t>
          </a:r>
        </a:p>
      </xdr:txBody>
    </xdr:sp>
    <xdr:clientData/>
  </xdr:twoCellAnchor>
  <xdr:twoCellAnchor>
    <xdr:from>
      <xdr:col>7</xdr:col>
      <xdr:colOff>323850</xdr:colOff>
      <xdr:row>11</xdr:row>
      <xdr:rowOff>0</xdr:rowOff>
    </xdr:from>
    <xdr:to>
      <xdr:col>9</xdr:col>
      <xdr:colOff>419100</xdr:colOff>
      <xdr:row>13</xdr:row>
      <xdr:rowOff>28575</xdr:rowOff>
    </xdr:to>
    <xdr:sp macro="" textlink="">
      <xdr:nvSpPr>
        <xdr:cNvPr id="15" name="Right Arrow 14"/>
        <xdr:cNvSpPr/>
      </xdr:nvSpPr>
      <xdr:spPr>
        <a:xfrm>
          <a:off x="4591050" y="2095500"/>
          <a:ext cx="1314450" cy="409575"/>
        </a:xfrm>
        <a:prstGeom prst="rightArrow">
          <a:avLst/>
        </a:prstGeom>
        <a:solidFill>
          <a:schemeClr val="tx1">
            <a:alpha val="94000"/>
          </a:schemeClr>
        </a:solidFill>
        <a:ln w="12700">
          <a:solidFill>
            <a:schemeClr val="bg1"/>
          </a:solidFill>
        </a:ln>
        <a:effectLst>
          <a:outerShdw blurRad="50800" dist="50800" dir="60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409575</xdr:colOff>
      <xdr:row>22</xdr:row>
      <xdr:rowOff>19050</xdr:rowOff>
    </xdr:from>
    <xdr:to>
      <xdr:col>3</xdr:col>
      <xdr:colOff>57150</xdr:colOff>
      <xdr:row>25</xdr:row>
      <xdr:rowOff>38100</xdr:rowOff>
    </xdr:to>
    <xdr:sp macro="" textlink="">
      <xdr:nvSpPr>
        <xdr:cNvPr id="16" name="Rectangle 15"/>
        <xdr:cNvSpPr/>
      </xdr:nvSpPr>
      <xdr:spPr>
        <a:xfrm>
          <a:off x="1019175" y="4210050"/>
          <a:ext cx="866775" cy="590550"/>
        </a:xfrm>
        <a:prstGeom prst="rect">
          <a:avLst/>
        </a:prstGeom>
        <a:solidFill>
          <a:schemeClr val="tx2">
            <a:lumMod val="50000"/>
          </a:schemeClr>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Model</a:t>
          </a:r>
          <a:r>
            <a:rPr lang="en-GB" sz="1000" b="1" baseline="0">
              <a:solidFill>
                <a:schemeClr val="bg1"/>
              </a:solidFill>
            </a:rPr>
            <a:t> Cover</a:t>
          </a:r>
          <a:endParaRPr lang="en-GB" sz="1000">
            <a:solidFill>
              <a:schemeClr val="bg1"/>
            </a:solidFill>
          </a:endParaRPr>
        </a:p>
      </xdr:txBody>
    </xdr:sp>
    <xdr:clientData/>
  </xdr:twoCellAnchor>
  <xdr:twoCellAnchor>
    <xdr:from>
      <xdr:col>3</xdr:col>
      <xdr:colOff>85725</xdr:colOff>
      <xdr:row>22</xdr:row>
      <xdr:rowOff>19050</xdr:rowOff>
    </xdr:from>
    <xdr:to>
      <xdr:col>4</xdr:col>
      <xdr:colOff>342900</xdr:colOff>
      <xdr:row>25</xdr:row>
      <xdr:rowOff>38100</xdr:rowOff>
    </xdr:to>
    <xdr:sp macro="" textlink="">
      <xdr:nvSpPr>
        <xdr:cNvPr id="18" name="Rectangle 17"/>
        <xdr:cNvSpPr/>
      </xdr:nvSpPr>
      <xdr:spPr>
        <a:xfrm>
          <a:off x="1914525" y="4210050"/>
          <a:ext cx="866775" cy="590550"/>
        </a:xfrm>
        <a:prstGeom prst="rect">
          <a:avLst/>
        </a:prstGeom>
        <a:solidFill>
          <a:schemeClr val="tx2">
            <a:lumMod val="50000"/>
          </a:schemeClr>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Styles</a:t>
          </a:r>
          <a:endParaRPr lang="en-GB" sz="1000">
            <a:solidFill>
              <a:schemeClr val="bg1"/>
            </a:solidFill>
          </a:endParaRPr>
        </a:p>
      </xdr:txBody>
    </xdr:sp>
    <xdr:clientData/>
  </xdr:twoCellAnchor>
  <xdr:twoCellAnchor>
    <xdr:from>
      <xdr:col>4</xdr:col>
      <xdr:colOff>381000</xdr:colOff>
      <xdr:row>22</xdr:row>
      <xdr:rowOff>19050</xdr:rowOff>
    </xdr:from>
    <xdr:to>
      <xdr:col>6</xdr:col>
      <xdr:colOff>28575</xdr:colOff>
      <xdr:row>25</xdr:row>
      <xdr:rowOff>38100</xdr:rowOff>
    </xdr:to>
    <xdr:sp macro="" textlink="">
      <xdr:nvSpPr>
        <xdr:cNvPr id="19" name="Rectangle 18"/>
        <xdr:cNvSpPr/>
      </xdr:nvSpPr>
      <xdr:spPr>
        <a:xfrm>
          <a:off x="2819400" y="4210050"/>
          <a:ext cx="866775" cy="590550"/>
        </a:xfrm>
        <a:prstGeom prst="rect">
          <a:avLst/>
        </a:prstGeom>
        <a:solidFill>
          <a:schemeClr val="tx2">
            <a:lumMod val="50000"/>
          </a:schemeClr>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Instructions</a:t>
          </a:r>
          <a:r>
            <a:rPr lang="en-GB" sz="1000" b="1" baseline="0">
              <a:solidFill>
                <a:schemeClr val="bg1"/>
              </a:solidFill>
            </a:rPr>
            <a:t> &amp; Notes</a:t>
          </a:r>
          <a:endParaRPr lang="en-GB" sz="1000">
            <a:solidFill>
              <a:schemeClr val="bg1"/>
            </a:solidFill>
          </a:endParaRPr>
        </a:p>
      </xdr:txBody>
    </xdr:sp>
    <xdr:clientData/>
  </xdr:twoCellAnchor>
  <xdr:twoCellAnchor>
    <xdr:from>
      <xdr:col>6</xdr:col>
      <xdr:colOff>57150</xdr:colOff>
      <xdr:row>22</xdr:row>
      <xdr:rowOff>19050</xdr:rowOff>
    </xdr:from>
    <xdr:to>
      <xdr:col>7</xdr:col>
      <xdr:colOff>314325</xdr:colOff>
      <xdr:row>25</xdr:row>
      <xdr:rowOff>38100</xdr:rowOff>
    </xdr:to>
    <xdr:sp macro="" textlink="">
      <xdr:nvSpPr>
        <xdr:cNvPr id="20" name="Rectangle 19"/>
        <xdr:cNvSpPr/>
      </xdr:nvSpPr>
      <xdr:spPr>
        <a:xfrm>
          <a:off x="3714750" y="4210050"/>
          <a:ext cx="866775" cy="590550"/>
        </a:xfrm>
        <a:prstGeom prst="rect">
          <a:avLst/>
        </a:prstGeom>
        <a:solidFill>
          <a:schemeClr val="tx2">
            <a:lumMod val="50000"/>
          </a:schemeClr>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Model Logic</a:t>
          </a:r>
          <a:endParaRPr lang="en-GB" sz="1000">
            <a:solidFill>
              <a:schemeClr val="bg1"/>
            </a:solidFill>
          </a:endParaRPr>
        </a:p>
      </xdr:txBody>
    </xdr:sp>
    <xdr:clientData/>
  </xdr:twoCellAnchor>
  <xdr:twoCellAnchor>
    <xdr:from>
      <xdr:col>7</xdr:col>
      <xdr:colOff>342900</xdr:colOff>
      <xdr:row>22</xdr:row>
      <xdr:rowOff>28575</xdr:rowOff>
    </xdr:from>
    <xdr:to>
      <xdr:col>8</xdr:col>
      <xdr:colOff>600075</xdr:colOff>
      <xdr:row>25</xdr:row>
      <xdr:rowOff>47625</xdr:rowOff>
    </xdr:to>
    <xdr:sp macro="" textlink="">
      <xdr:nvSpPr>
        <xdr:cNvPr id="21" name="Rectangle 20"/>
        <xdr:cNvSpPr/>
      </xdr:nvSpPr>
      <xdr:spPr>
        <a:xfrm>
          <a:off x="4610100" y="4219575"/>
          <a:ext cx="866775" cy="590550"/>
        </a:xfrm>
        <a:prstGeom prst="rect">
          <a:avLst/>
        </a:prstGeom>
        <a:solidFill>
          <a:schemeClr val="tx2">
            <a:lumMod val="50000"/>
          </a:schemeClr>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Navigation</a:t>
          </a:r>
          <a:endParaRPr lang="en-GB" sz="1000">
            <a:solidFill>
              <a:schemeClr val="bg1"/>
            </a:solidFill>
          </a:endParaRPr>
        </a:p>
      </xdr:txBody>
    </xdr:sp>
    <xdr:clientData/>
  </xdr:twoCellAnchor>
  <xdr:twoCellAnchor>
    <xdr:from>
      <xdr:col>9</xdr:col>
      <xdr:colOff>19050</xdr:colOff>
      <xdr:row>22</xdr:row>
      <xdr:rowOff>28575</xdr:rowOff>
    </xdr:from>
    <xdr:to>
      <xdr:col>10</xdr:col>
      <xdr:colOff>276225</xdr:colOff>
      <xdr:row>25</xdr:row>
      <xdr:rowOff>47625</xdr:rowOff>
    </xdr:to>
    <xdr:sp macro="" textlink="">
      <xdr:nvSpPr>
        <xdr:cNvPr id="22" name="Rectangle 21"/>
        <xdr:cNvSpPr/>
      </xdr:nvSpPr>
      <xdr:spPr>
        <a:xfrm>
          <a:off x="5505450" y="4219575"/>
          <a:ext cx="866775" cy="590550"/>
        </a:xfrm>
        <a:prstGeom prst="rect">
          <a:avLst/>
        </a:prstGeom>
        <a:solidFill>
          <a:srgbClr val="FF0000"/>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Error Check</a:t>
          </a:r>
          <a:endParaRPr lang="en-GB" sz="1000">
            <a:solidFill>
              <a:schemeClr val="bg1"/>
            </a:solidFill>
          </a:endParaRPr>
        </a:p>
      </xdr:txBody>
    </xdr:sp>
    <xdr:clientData/>
  </xdr:twoCellAnchor>
  <xdr:twoCellAnchor>
    <xdr:from>
      <xdr:col>10</xdr:col>
      <xdr:colOff>304800</xdr:colOff>
      <xdr:row>22</xdr:row>
      <xdr:rowOff>28575</xdr:rowOff>
    </xdr:from>
    <xdr:to>
      <xdr:col>11</xdr:col>
      <xdr:colOff>561975</xdr:colOff>
      <xdr:row>25</xdr:row>
      <xdr:rowOff>47625</xdr:rowOff>
    </xdr:to>
    <xdr:sp macro="" textlink="">
      <xdr:nvSpPr>
        <xdr:cNvPr id="23" name="Rectangle 22"/>
        <xdr:cNvSpPr/>
      </xdr:nvSpPr>
      <xdr:spPr>
        <a:xfrm>
          <a:off x="6400800" y="4219575"/>
          <a:ext cx="866775" cy="590550"/>
        </a:xfrm>
        <a:prstGeom prst="rect">
          <a:avLst/>
        </a:prstGeom>
        <a:solidFill>
          <a:schemeClr val="tx2">
            <a:lumMod val="50000"/>
          </a:schemeClr>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Model Status</a:t>
          </a:r>
          <a:endParaRPr lang="en-GB" sz="1000">
            <a:solidFill>
              <a:schemeClr val="bg1"/>
            </a:solidFill>
          </a:endParaRPr>
        </a:p>
      </xdr:txBody>
    </xdr:sp>
    <xdr:clientData/>
  </xdr:twoCellAnchor>
  <xdr:twoCellAnchor>
    <xdr:from>
      <xdr:col>11</xdr:col>
      <xdr:colOff>590550</xdr:colOff>
      <xdr:row>22</xdr:row>
      <xdr:rowOff>28575</xdr:rowOff>
    </xdr:from>
    <xdr:to>
      <xdr:col>13</xdr:col>
      <xdr:colOff>238125</xdr:colOff>
      <xdr:row>25</xdr:row>
      <xdr:rowOff>47625</xdr:rowOff>
    </xdr:to>
    <xdr:sp macro="" textlink="">
      <xdr:nvSpPr>
        <xdr:cNvPr id="24" name="Rectangle 23"/>
        <xdr:cNvSpPr/>
      </xdr:nvSpPr>
      <xdr:spPr>
        <a:xfrm>
          <a:off x="7296150" y="4219575"/>
          <a:ext cx="866775" cy="590550"/>
        </a:xfrm>
        <a:prstGeom prst="rect">
          <a:avLst/>
        </a:prstGeom>
        <a:solidFill>
          <a:schemeClr val="tx2">
            <a:lumMod val="50000"/>
          </a:schemeClr>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chemeClr val="bg1"/>
              </a:solidFill>
            </a:rPr>
            <a:t>Issue Log</a:t>
          </a:r>
          <a:endParaRPr lang="en-GB" sz="1000">
            <a:solidFill>
              <a:schemeClr val="bg1"/>
            </a:solidFill>
          </a:endParaRPr>
        </a:p>
      </xdr:txBody>
    </xdr:sp>
    <xdr:clientData/>
  </xdr:twoCellAnchor>
  <xdr:twoCellAnchor>
    <xdr:from>
      <xdr:col>1</xdr:col>
      <xdr:colOff>266700</xdr:colOff>
      <xdr:row>1</xdr:row>
      <xdr:rowOff>85725</xdr:rowOff>
    </xdr:from>
    <xdr:to>
      <xdr:col>13</xdr:col>
      <xdr:colOff>447675</xdr:colOff>
      <xdr:row>20</xdr:row>
      <xdr:rowOff>123825</xdr:rowOff>
    </xdr:to>
    <xdr:sp macro="" textlink="">
      <xdr:nvSpPr>
        <xdr:cNvPr id="25" name="Rectangle 24"/>
        <xdr:cNvSpPr/>
      </xdr:nvSpPr>
      <xdr:spPr>
        <a:xfrm>
          <a:off x="876300" y="276225"/>
          <a:ext cx="7496175" cy="3657600"/>
        </a:xfrm>
        <a:prstGeom prst="rect">
          <a:avLst/>
        </a:prstGeom>
        <a:solidFill>
          <a:schemeClr val="accent1">
            <a:alpha val="0"/>
          </a:schemeClr>
        </a:solidFill>
        <a:ln w="3175">
          <a:solidFill>
            <a:schemeClr val="tx1">
              <a:lumMod val="95000"/>
              <a:lumOff val="5000"/>
            </a:schemeClr>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a:solidFill>
                <a:sysClr val="windowText" lastClr="000000"/>
              </a:solidFill>
            </a:rPr>
            <a:t>Intermediate Model</a:t>
          </a:r>
        </a:p>
      </xdr:txBody>
    </xdr:sp>
    <xdr:clientData/>
  </xdr:twoCellAnchor>
  <xdr:twoCellAnchor>
    <xdr:from>
      <xdr:col>1</xdr:col>
      <xdr:colOff>266700</xdr:colOff>
      <xdr:row>20</xdr:row>
      <xdr:rowOff>171450</xdr:rowOff>
    </xdr:from>
    <xdr:to>
      <xdr:col>13</xdr:col>
      <xdr:colOff>447675</xdr:colOff>
      <xdr:row>26</xdr:row>
      <xdr:rowOff>114300</xdr:rowOff>
    </xdr:to>
    <xdr:sp macro="" textlink="">
      <xdr:nvSpPr>
        <xdr:cNvPr id="26" name="Rectangle 25"/>
        <xdr:cNvSpPr/>
      </xdr:nvSpPr>
      <xdr:spPr>
        <a:xfrm>
          <a:off x="876300" y="3981450"/>
          <a:ext cx="7496175" cy="1085850"/>
        </a:xfrm>
        <a:prstGeom prst="rect">
          <a:avLst/>
        </a:prstGeom>
        <a:solidFill>
          <a:schemeClr val="accent1">
            <a:alpha val="0"/>
          </a:schemeClr>
        </a:solidFill>
        <a:ln w="3175">
          <a:solidFill>
            <a:schemeClr val="tx1">
              <a:lumMod val="95000"/>
              <a:lumOff val="5000"/>
            </a:schemeClr>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a:solidFill>
                <a:sysClr val="windowText" lastClr="000000"/>
              </a:solidFill>
            </a:rPr>
            <a:t>Admin, Documentation &amp; Maintenance</a:t>
          </a:r>
          <a:r>
            <a:rPr lang="en-GB" sz="1200" baseline="0">
              <a:solidFill>
                <a:sysClr val="windowText" lastClr="000000"/>
              </a:solidFill>
            </a:rPr>
            <a:t> Model</a:t>
          </a:r>
          <a:endParaRPr lang="en-GB" sz="1200">
            <a:solidFill>
              <a:sysClr val="windowText" lastClr="000000"/>
            </a:solidFill>
          </a:endParaRPr>
        </a:p>
      </xdr:txBody>
    </xdr:sp>
    <xdr:clientData/>
  </xdr:twoCellAnchor>
  <xdr:twoCellAnchor>
    <xdr:from>
      <xdr:col>4</xdr:col>
      <xdr:colOff>256116</xdr:colOff>
      <xdr:row>3</xdr:row>
      <xdr:rowOff>67733</xdr:rowOff>
    </xdr:from>
    <xdr:to>
      <xdr:col>6</xdr:col>
      <xdr:colOff>313266</xdr:colOff>
      <xdr:row>6</xdr:row>
      <xdr:rowOff>86783</xdr:rowOff>
    </xdr:to>
    <xdr:sp macro="" textlink="">
      <xdr:nvSpPr>
        <xdr:cNvPr id="27" name="Rectangle 26"/>
        <xdr:cNvSpPr/>
      </xdr:nvSpPr>
      <xdr:spPr>
        <a:xfrm>
          <a:off x="2711449" y="639233"/>
          <a:ext cx="1284817" cy="590550"/>
        </a:xfrm>
        <a:prstGeom prst="rect">
          <a:avLst/>
        </a:prstGeom>
        <a:solidFill>
          <a:srgbClr val="FFFF99"/>
        </a:solidFill>
        <a:ln w="6350">
          <a:solidFill>
            <a:schemeClr val="tx1">
              <a:lumMod val="75000"/>
              <a:lumOff val="25000"/>
            </a:schemeClr>
          </a:solidFill>
        </a:ln>
        <a:effectLst>
          <a:outerShdw blurRad="50800" dist="63500" dir="24000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000" b="1">
              <a:solidFill>
                <a:sysClr val="windowText" lastClr="000000"/>
              </a:solidFill>
            </a:rPr>
            <a:t>Constants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10</xdr:col>
      <xdr:colOff>702445</xdr:colOff>
      <xdr:row>3</xdr:row>
      <xdr:rowOff>35714</xdr:rowOff>
    </xdr:from>
    <xdr:to>
      <xdr:col>10</xdr:col>
      <xdr:colOff>1902595</xdr:colOff>
      <xdr:row>4</xdr:row>
      <xdr:rowOff>99771</xdr:rowOff>
    </xdr:to>
    <xdr:sp macro="" textlink="">
      <xdr:nvSpPr>
        <xdr:cNvPr id="2" name="TextBox 1">
          <a:hlinkClick xmlns:r="http://schemas.openxmlformats.org/officeDocument/2006/relationships" r:id="rId1"/>
        </xdr:cNvPr>
        <xdr:cNvSpPr txBox="1">
          <a:spLocks noChangeAspect="1"/>
        </xdr:cNvSpPr>
      </xdr:nvSpPr>
      <xdr:spPr>
        <a:xfrm>
          <a:off x="9046345" y="616739"/>
          <a:ext cx="1200150" cy="254557"/>
        </a:xfrm>
        <a:prstGeom prst="rect">
          <a:avLst/>
        </a:prstGeom>
        <a:solidFill>
          <a:schemeClr val="accent1">
            <a:lumMod val="75000"/>
          </a:schemeClr>
        </a:solidFill>
        <a:ln w="28575" cmpd="sng">
          <a:solidFill>
            <a:schemeClr val="bg1"/>
          </a:solidFill>
        </a:ln>
        <a:effectLst>
          <a:outerShdw blurRad="50800" dist="38100" algn="l" rotWithShape="0">
            <a:prstClr val="black">
              <a:alpha val="40000"/>
            </a:prstClr>
          </a:outerShdw>
          <a:softEdge rad="12700"/>
        </a:effectLst>
        <a:scene3d>
          <a:camera prst="orthographicFront"/>
          <a:lightRig rig="threePt" dir="t"/>
        </a:scene3d>
        <a:sp3d extrusionH="6350" prstMaterial="plastic">
          <a:bevelT w="101600" h="38100" prst="coolSlant"/>
          <a:bevelB w="0"/>
        </a:sp3d>
      </xdr:spPr>
      <xdr:style>
        <a:lnRef idx="0">
          <a:scrgbClr r="0" g="0" b="0"/>
        </a:lnRef>
        <a:fillRef idx="0">
          <a:scrgbClr r="0" g="0" b="0"/>
        </a:fillRef>
        <a:effectRef idx="0">
          <a:scrgbClr r="0" g="0" b="0"/>
        </a:effectRef>
        <a:fontRef idx="minor">
          <a:schemeClr val="dk1"/>
        </a:fontRef>
      </xdr:style>
      <xdr:txBody>
        <a:bodyPr wrap="square" rtlCol="0" anchor="t">
          <a:spAutoFit/>
        </a:bodyPr>
        <a:lstStyle/>
        <a:p>
          <a:pPr algn="ctr"/>
          <a:r>
            <a:rPr lang="en-GB" sz="1100" b="1">
              <a:solidFill>
                <a:schemeClr val="bg1"/>
              </a:solidFill>
              <a:latin typeface="Arial" pitchFamily="34" charset="0"/>
              <a:cs typeface="Arial" pitchFamily="34" charset="0"/>
            </a:rPr>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781050</xdr:colOff>
      <xdr:row>12</xdr:row>
      <xdr:rowOff>57150</xdr:rowOff>
    </xdr:from>
    <xdr:to>
      <xdr:col>11</xdr:col>
      <xdr:colOff>47625</xdr:colOff>
      <xdr:row>19</xdr:row>
      <xdr:rowOff>104775</xdr:rowOff>
    </xdr:to>
    <xdr:sp macro="" textlink="">
      <xdr:nvSpPr>
        <xdr:cNvPr id="2" name="Text Box 35"/>
        <xdr:cNvSpPr txBox="1">
          <a:spLocks noChangeArrowheads="1"/>
        </xdr:cNvSpPr>
      </xdr:nvSpPr>
      <xdr:spPr bwMode="auto">
        <a:xfrm>
          <a:off x="5153025" y="2314575"/>
          <a:ext cx="4619625" cy="1381125"/>
        </a:xfrm>
        <a:prstGeom prst="rect">
          <a:avLst/>
        </a:prstGeom>
        <a:noFill/>
        <a:ln w="9525" algn="ctr">
          <a:solidFill>
            <a:srgbClr val="000000"/>
          </a:solidFill>
          <a:prstDash val="dash"/>
          <a:miter lim="800000"/>
          <a:headEnd/>
          <a:tailEnd/>
        </a:ln>
        <a:effectLst/>
      </xdr:spPr>
      <xdr:txBody>
        <a:bodyPr vertOverflow="clip" wrap="square" lIns="0" tIns="0" rIns="27432" bIns="22860" anchor="b" upright="1"/>
        <a:lstStyle/>
        <a:p>
          <a:pPr algn="r" rtl="0">
            <a:defRPr sz="1000"/>
          </a:pPr>
          <a:r>
            <a:rPr lang="en-GB" sz="1000" b="0" i="0" strike="noStrike">
              <a:solidFill>
                <a:srgbClr val="000000"/>
              </a:solidFill>
              <a:latin typeface="Arial"/>
              <a:cs typeface="Arial"/>
            </a:rPr>
            <a:t>INTERMEDIATE </a:t>
          </a:r>
          <a:r>
            <a:rPr lang="en-GB" sz="1000" b="0" i="0" strike="noStrike" baseline="0">
              <a:solidFill>
                <a:srgbClr val="000000"/>
              </a:solidFill>
              <a:latin typeface="Arial"/>
              <a:cs typeface="Arial"/>
            </a:rPr>
            <a:t>COST</a:t>
          </a:r>
          <a:r>
            <a:rPr lang="en-GB" sz="1000" b="0" i="0" strike="noStrike">
              <a:solidFill>
                <a:srgbClr val="000000"/>
              </a:solidFill>
              <a:latin typeface="Arial"/>
              <a:cs typeface="Arial"/>
            </a:rPr>
            <a:t> MODEL</a:t>
          </a:r>
        </a:p>
      </xdr:txBody>
    </xdr:sp>
    <xdr:clientData/>
  </xdr:twoCellAnchor>
  <xdr:twoCellAnchor>
    <xdr:from>
      <xdr:col>2</xdr:col>
      <xdr:colOff>85725</xdr:colOff>
      <xdr:row>12</xdr:row>
      <xdr:rowOff>161925</xdr:rowOff>
    </xdr:from>
    <xdr:to>
      <xdr:col>3</xdr:col>
      <xdr:colOff>547725</xdr:colOff>
      <xdr:row>15</xdr:row>
      <xdr:rowOff>22425</xdr:rowOff>
    </xdr:to>
    <xdr:sp macro="" textlink="">
      <xdr:nvSpPr>
        <xdr:cNvPr id="3" name="Text Box 15"/>
        <xdr:cNvSpPr txBox="1">
          <a:spLocks noChangeArrowheads="1"/>
        </xdr:cNvSpPr>
      </xdr:nvSpPr>
      <xdr:spPr bwMode="auto">
        <a:xfrm>
          <a:off x="2952750" y="2419350"/>
          <a:ext cx="1224000" cy="432000"/>
        </a:xfrm>
        <a:prstGeom prst="rect">
          <a:avLst/>
        </a:prstGeom>
        <a:solidFill>
          <a:srgbClr val="FFFFFF"/>
        </a:solidFill>
        <a:ln w="9525" algn="ctr">
          <a:solidFill>
            <a:srgbClr val="000000"/>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strike="noStrike">
              <a:solidFill>
                <a:srgbClr val="000000"/>
              </a:solidFill>
              <a:latin typeface="+mj-lt"/>
              <a:cs typeface="Arial"/>
            </a:rPr>
            <a:t>Financial Data</a:t>
          </a:r>
        </a:p>
      </xdr:txBody>
    </xdr:sp>
    <xdr:clientData/>
  </xdr:twoCellAnchor>
  <xdr:twoCellAnchor>
    <xdr:from>
      <xdr:col>2</xdr:col>
      <xdr:colOff>85725</xdr:colOff>
      <xdr:row>15</xdr:row>
      <xdr:rowOff>123825</xdr:rowOff>
    </xdr:from>
    <xdr:to>
      <xdr:col>3</xdr:col>
      <xdr:colOff>547725</xdr:colOff>
      <xdr:row>17</xdr:row>
      <xdr:rowOff>174825</xdr:rowOff>
    </xdr:to>
    <xdr:sp macro="" textlink="">
      <xdr:nvSpPr>
        <xdr:cNvPr id="4" name="Text Box 16"/>
        <xdr:cNvSpPr txBox="1">
          <a:spLocks noChangeArrowheads="1"/>
        </xdr:cNvSpPr>
      </xdr:nvSpPr>
      <xdr:spPr bwMode="auto">
        <a:xfrm>
          <a:off x="2952750" y="2952750"/>
          <a:ext cx="1224000" cy="432000"/>
        </a:xfrm>
        <a:prstGeom prst="rect">
          <a:avLst/>
        </a:prstGeom>
        <a:solidFill>
          <a:srgbClr val="FFFFFF"/>
        </a:solidFill>
        <a:ln w="9525" algn="ctr">
          <a:solidFill>
            <a:srgbClr val="000000"/>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strike="noStrike" baseline="0">
              <a:solidFill>
                <a:srgbClr val="000000"/>
              </a:solidFill>
              <a:latin typeface="+mj-lt"/>
              <a:cs typeface="Arial"/>
            </a:rPr>
            <a:t>Baseline Costs</a:t>
          </a:r>
          <a:endParaRPr lang="en-GB" sz="1000" b="1" i="0" strike="noStrike">
            <a:solidFill>
              <a:srgbClr val="000000"/>
            </a:solidFill>
            <a:latin typeface="+mj-lt"/>
            <a:cs typeface="Arial"/>
          </a:endParaRPr>
        </a:p>
      </xdr:txBody>
    </xdr:sp>
    <xdr:clientData/>
  </xdr:twoCellAnchor>
  <xdr:twoCellAnchor>
    <xdr:from>
      <xdr:col>3</xdr:col>
      <xdr:colOff>547725</xdr:colOff>
      <xdr:row>13</xdr:row>
      <xdr:rowOff>185959</xdr:rowOff>
    </xdr:from>
    <xdr:to>
      <xdr:col>5</xdr:col>
      <xdr:colOff>428625</xdr:colOff>
      <xdr:row>13</xdr:row>
      <xdr:rowOff>187425</xdr:rowOff>
    </xdr:to>
    <xdr:cxnSp macro="">
      <xdr:nvCxnSpPr>
        <xdr:cNvPr id="5" name="AutoShape 17"/>
        <xdr:cNvCxnSpPr>
          <a:cxnSpLocks noChangeShapeType="1"/>
          <a:stCxn id="3" idx="3"/>
          <a:endCxn id="18" idx="1"/>
        </xdr:cNvCxnSpPr>
      </xdr:nvCxnSpPr>
      <xdr:spPr bwMode="auto">
        <a:xfrm flipV="1">
          <a:off x="4176750" y="2633884"/>
          <a:ext cx="1404900" cy="1466"/>
        </a:xfrm>
        <a:prstGeom prst="straightConnector1">
          <a:avLst/>
        </a:prstGeom>
        <a:noFill/>
        <a:ln w="25400">
          <a:solidFill>
            <a:srgbClr val="000000"/>
          </a:solidFill>
          <a:round/>
          <a:headEnd/>
          <a:tailEnd type="triangle" w="med" len="med"/>
        </a:ln>
        <a:effectLst>
          <a:outerShdw dist="107763" dir="2700000" algn="ctr" rotWithShape="0">
            <a:srgbClr val="808080">
              <a:alpha val="50000"/>
            </a:srgbClr>
          </a:outerShdw>
        </a:effectLst>
      </xdr:spPr>
    </xdr:cxnSp>
    <xdr:clientData/>
  </xdr:twoCellAnchor>
  <xdr:twoCellAnchor>
    <xdr:from>
      <xdr:col>3</xdr:col>
      <xdr:colOff>547725</xdr:colOff>
      <xdr:row>14</xdr:row>
      <xdr:rowOff>122127</xdr:rowOff>
    </xdr:from>
    <xdr:to>
      <xdr:col>5</xdr:col>
      <xdr:colOff>428625</xdr:colOff>
      <xdr:row>16</xdr:row>
      <xdr:rowOff>149325</xdr:rowOff>
    </xdr:to>
    <xdr:cxnSp macro="">
      <xdr:nvCxnSpPr>
        <xdr:cNvPr id="6" name="AutoShape 18"/>
        <xdr:cNvCxnSpPr>
          <a:cxnSpLocks noChangeShapeType="1"/>
          <a:stCxn id="4" idx="3"/>
          <a:endCxn id="17" idx="1"/>
        </xdr:cNvCxnSpPr>
      </xdr:nvCxnSpPr>
      <xdr:spPr bwMode="auto">
        <a:xfrm flipV="1">
          <a:off x="4176750" y="2760552"/>
          <a:ext cx="1404900" cy="408198"/>
        </a:xfrm>
        <a:prstGeom prst="bentConnector3">
          <a:avLst>
            <a:gd name="adj1" fmla="val 50000"/>
          </a:avLst>
        </a:prstGeom>
        <a:noFill/>
        <a:ln w="25400">
          <a:solidFill>
            <a:srgbClr val="000000"/>
          </a:solidFill>
          <a:miter lim="800000"/>
          <a:headEnd/>
          <a:tailEnd type="triangle" w="med" len="med"/>
        </a:ln>
        <a:effectLst>
          <a:outerShdw dist="107763" dir="2700000" algn="ctr" rotWithShape="0">
            <a:srgbClr val="808080">
              <a:alpha val="50000"/>
            </a:srgbClr>
          </a:outerShdw>
        </a:effectLst>
      </xdr:spPr>
    </xdr:cxnSp>
    <xdr:clientData/>
  </xdr:twoCellAnchor>
  <xdr:twoCellAnchor>
    <xdr:from>
      <xdr:col>9</xdr:col>
      <xdr:colOff>9525</xdr:colOff>
      <xdr:row>12</xdr:row>
      <xdr:rowOff>266700</xdr:rowOff>
    </xdr:from>
    <xdr:to>
      <xdr:col>10</xdr:col>
      <xdr:colOff>390525</xdr:colOff>
      <xdr:row>14</xdr:row>
      <xdr:rowOff>238125</xdr:rowOff>
    </xdr:to>
    <xdr:sp macro="" textlink="">
      <xdr:nvSpPr>
        <xdr:cNvPr id="7" name="Text Box 19"/>
        <xdr:cNvSpPr txBox="1">
          <a:spLocks noChangeArrowheads="1"/>
        </xdr:cNvSpPr>
      </xdr:nvSpPr>
      <xdr:spPr bwMode="auto">
        <a:xfrm>
          <a:off x="8210550" y="2447925"/>
          <a:ext cx="1143000" cy="381000"/>
        </a:xfrm>
        <a:prstGeom prst="rect">
          <a:avLst/>
        </a:prstGeom>
        <a:solidFill>
          <a:schemeClr val="tx2">
            <a:lumMod val="75000"/>
          </a:schemeClr>
        </a:solidFill>
        <a:ln w="9525" algn="ctr">
          <a:solidFill>
            <a:srgbClr val="000000"/>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strike="noStrike">
              <a:solidFill>
                <a:schemeClr val="bg1"/>
              </a:solidFill>
              <a:latin typeface="+mj-lt"/>
              <a:cs typeface="Arial"/>
            </a:rPr>
            <a:t>Outputs</a:t>
          </a:r>
        </a:p>
      </xdr:txBody>
    </xdr:sp>
    <xdr:clientData/>
  </xdr:twoCellAnchor>
  <xdr:twoCellAnchor>
    <xdr:from>
      <xdr:col>5</xdr:col>
      <xdr:colOff>428625</xdr:colOff>
      <xdr:row>16</xdr:row>
      <xdr:rowOff>76200</xdr:rowOff>
    </xdr:from>
    <xdr:to>
      <xdr:col>7</xdr:col>
      <xdr:colOff>200025</xdr:colOff>
      <xdr:row>18</xdr:row>
      <xdr:rowOff>47625</xdr:rowOff>
    </xdr:to>
    <xdr:sp macro="" textlink="">
      <xdr:nvSpPr>
        <xdr:cNvPr id="8" name="Text Box 20"/>
        <xdr:cNvSpPr txBox="1">
          <a:spLocks noChangeArrowheads="1"/>
        </xdr:cNvSpPr>
      </xdr:nvSpPr>
      <xdr:spPr bwMode="auto">
        <a:xfrm>
          <a:off x="5581650" y="3095625"/>
          <a:ext cx="1295400" cy="352425"/>
        </a:xfrm>
        <a:prstGeom prst="rect">
          <a:avLst/>
        </a:prstGeom>
        <a:solidFill>
          <a:schemeClr val="bg1">
            <a:lumMod val="65000"/>
          </a:schemeClr>
        </a:solidFill>
        <a:ln w="9525" algn="ctr">
          <a:solidFill>
            <a:srgbClr val="000000"/>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strike="noStrike">
              <a:solidFill>
                <a:schemeClr val="bg1"/>
              </a:solidFill>
              <a:latin typeface="+mj-lt"/>
              <a:cs typeface="Arial"/>
            </a:rPr>
            <a:t>Cost</a:t>
          </a:r>
          <a:r>
            <a:rPr lang="en-GB" sz="1000" b="1" i="0" strike="noStrike" baseline="0">
              <a:solidFill>
                <a:schemeClr val="bg1"/>
              </a:solidFill>
              <a:latin typeface="+mj-lt"/>
              <a:cs typeface="Arial"/>
            </a:rPr>
            <a:t> Calculations</a:t>
          </a:r>
          <a:endParaRPr lang="en-GB" sz="1000" b="1" i="0" strike="noStrike">
            <a:solidFill>
              <a:schemeClr val="bg1"/>
            </a:solidFill>
            <a:latin typeface="+mj-lt"/>
            <a:cs typeface="Arial"/>
          </a:endParaRPr>
        </a:p>
      </xdr:txBody>
    </xdr:sp>
    <xdr:clientData/>
  </xdr:twoCellAnchor>
  <xdr:twoCellAnchor>
    <xdr:from>
      <xdr:col>5</xdr:col>
      <xdr:colOff>504825</xdr:colOff>
      <xdr:row>10</xdr:row>
      <xdr:rowOff>323850</xdr:rowOff>
    </xdr:from>
    <xdr:to>
      <xdr:col>7</xdr:col>
      <xdr:colOff>114300</xdr:colOff>
      <xdr:row>11</xdr:row>
      <xdr:rowOff>285750</xdr:rowOff>
    </xdr:to>
    <xdr:sp macro="" textlink="">
      <xdr:nvSpPr>
        <xdr:cNvPr id="9" name="Text Box 29"/>
        <xdr:cNvSpPr txBox="1">
          <a:spLocks noChangeArrowheads="1"/>
        </xdr:cNvSpPr>
      </xdr:nvSpPr>
      <xdr:spPr bwMode="auto">
        <a:xfrm>
          <a:off x="5657850" y="2066925"/>
          <a:ext cx="1133475" cy="190500"/>
        </a:xfrm>
        <a:prstGeom prst="rect">
          <a:avLst/>
        </a:prstGeom>
        <a:noFill/>
        <a:ln w="9525" algn="ctr">
          <a:noFill/>
          <a:miter lim="800000"/>
          <a:headEnd/>
          <a:tailEnd/>
        </a:ln>
        <a:effectLst/>
      </xdr:spPr>
      <xdr:txBody>
        <a:bodyPr vertOverflow="clip" wrap="square" lIns="27432" tIns="22860" rIns="27432" bIns="22860" anchor="ctr" upright="1"/>
        <a:lstStyle/>
        <a:p>
          <a:pPr algn="ctr" rtl="0">
            <a:defRPr sz="1000"/>
          </a:pPr>
          <a:r>
            <a:rPr lang="en-GB" sz="1000" b="0" i="0" strike="noStrike">
              <a:solidFill>
                <a:srgbClr val="000000"/>
              </a:solidFill>
              <a:latin typeface="Arial"/>
              <a:cs typeface="Arial"/>
            </a:rPr>
            <a:t>Customer Price Book</a:t>
          </a:r>
        </a:p>
      </xdr:txBody>
    </xdr:sp>
    <xdr:clientData/>
  </xdr:twoCellAnchor>
  <xdr:twoCellAnchor>
    <xdr:from>
      <xdr:col>5</xdr:col>
      <xdr:colOff>504825</xdr:colOff>
      <xdr:row>20</xdr:row>
      <xdr:rowOff>95250</xdr:rowOff>
    </xdr:from>
    <xdr:to>
      <xdr:col>7</xdr:col>
      <xdr:colOff>114300</xdr:colOff>
      <xdr:row>22</xdr:row>
      <xdr:rowOff>114300</xdr:rowOff>
    </xdr:to>
    <xdr:sp macro="" textlink="">
      <xdr:nvSpPr>
        <xdr:cNvPr id="10" name="Text Box 31"/>
        <xdr:cNvSpPr txBox="1">
          <a:spLocks noChangeArrowheads="1"/>
        </xdr:cNvSpPr>
      </xdr:nvSpPr>
      <xdr:spPr bwMode="auto">
        <a:xfrm>
          <a:off x="5657850" y="3876675"/>
          <a:ext cx="1133475" cy="400050"/>
        </a:xfrm>
        <a:prstGeom prst="rect">
          <a:avLst/>
        </a:prstGeom>
        <a:noFill/>
        <a:ln w="9525" algn="ctr">
          <a:noFill/>
          <a:miter lim="800000"/>
          <a:headEnd/>
          <a:tailEnd/>
        </a:ln>
        <a:effectLst/>
      </xdr:spPr>
      <xdr:txBody>
        <a:bodyPr vertOverflow="clip" wrap="square" lIns="27432" tIns="22860" rIns="27432" bIns="22860" anchor="ctr" upright="1"/>
        <a:lstStyle/>
        <a:p>
          <a:pPr algn="ctr" rtl="0">
            <a:defRPr sz="1000"/>
          </a:pPr>
          <a:r>
            <a:rPr lang="en-GB" sz="1000" b="0" i="0" strike="noStrike">
              <a:solidFill>
                <a:srgbClr val="000000"/>
              </a:solidFill>
              <a:latin typeface="Arial"/>
              <a:cs typeface="Arial"/>
            </a:rPr>
            <a:t>Project Analysis</a:t>
          </a:r>
        </a:p>
      </xdr:txBody>
    </xdr:sp>
    <xdr:clientData/>
  </xdr:twoCellAnchor>
  <xdr:twoCellAnchor>
    <xdr:from>
      <xdr:col>6</xdr:col>
      <xdr:colOff>314325</xdr:colOff>
      <xdr:row>11</xdr:row>
      <xdr:rowOff>285750</xdr:rowOff>
    </xdr:from>
    <xdr:to>
      <xdr:col>6</xdr:col>
      <xdr:colOff>314325</xdr:colOff>
      <xdr:row>12</xdr:row>
      <xdr:rowOff>266700</xdr:rowOff>
    </xdr:to>
    <xdr:cxnSp macro="">
      <xdr:nvCxnSpPr>
        <xdr:cNvPr id="11" name="AutoShape 32"/>
        <xdr:cNvCxnSpPr>
          <a:cxnSpLocks noChangeShapeType="1"/>
          <a:stCxn id="18" idx="0"/>
          <a:endCxn id="9" idx="2"/>
        </xdr:cNvCxnSpPr>
      </xdr:nvCxnSpPr>
      <xdr:spPr bwMode="auto">
        <a:xfrm rot="16200000">
          <a:off x="6134100" y="2352675"/>
          <a:ext cx="190500" cy="0"/>
        </a:xfrm>
        <a:prstGeom prst="straightConnector1">
          <a:avLst/>
        </a:prstGeom>
        <a:noFill/>
        <a:ln w="12700">
          <a:solidFill>
            <a:srgbClr val="000000"/>
          </a:solidFill>
          <a:round/>
          <a:headEnd/>
          <a:tailEnd type="triangle" w="med" len="med"/>
        </a:ln>
        <a:effectLst>
          <a:outerShdw dist="107763" dir="2700000" algn="ctr" rotWithShape="0">
            <a:srgbClr val="808080">
              <a:alpha val="50000"/>
            </a:srgbClr>
          </a:outerShdw>
        </a:effectLst>
      </xdr:spPr>
    </xdr:cxnSp>
    <xdr:clientData/>
  </xdr:twoCellAnchor>
  <xdr:twoCellAnchor>
    <xdr:from>
      <xdr:col>6</xdr:col>
      <xdr:colOff>314325</xdr:colOff>
      <xdr:row>18</xdr:row>
      <xdr:rowOff>47625</xdr:rowOff>
    </xdr:from>
    <xdr:to>
      <xdr:col>6</xdr:col>
      <xdr:colOff>314325</xdr:colOff>
      <xdr:row>20</xdr:row>
      <xdr:rowOff>95250</xdr:rowOff>
    </xdr:to>
    <xdr:cxnSp macro="">
      <xdr:nvCxnSpPr>
        <xdr:cNvPr id="12" name="AutoShape 33"/>
        <xdr:cNvCxnSpPr>
          <a:cxnSpLocks noChangeShapeType="1"/>
          <a:stCxn id="8" idx="2"/>
          <a:endCxn id="10" idx="0"/>
        </xdr:cNvCxnSpPr>
      </xdr:nvCxnSpPr>
      <xdr:spPr bwMode="auto">
        <a:xfrm rot="5400000">
          <a:off x="6015037" y="3662363"/>
          <a:ext cx="428625" cy="0"/>
        </a:xfrm>
        <a:prstGeom prst="straightConnector1">
          <a:avLst/>
        </a:prstGeom>
        <a:noFill/>
        <a:ln w="12700">
          <a:solidFill>
            <a:srgbClr val="000000"/>
          </a:solidFill>
          <a:round/>
          <a:headEnd/>
          <a:tailEnd type="triangle" w="med" len="med"/>
        </a:ln>
        <a:effectLst>
          <a:outerShdw dist="107763" dir="2700000" algn="ctr" rotWithShape="0">
            <a:srgbClr val="808080">
              <a:alpha val="50000"/>
            </a:srgbClr>
          </a:outerShdw>
        </a:effectLst>
      </xdr:spPr>
    </xdr:cxnSp>
    <xdr:clientData/>
  </xdr:twoCellAnchor>
  <xdr:twoCellAnchor>
    <xdr:from>
      <xdr:col>10</xdr:col>
      <xdr:colOff>390525</xdr:colOff>
      <xdr:row>13</xdr:row>
      <xdr:rowOff>247650</xdr:rowOff>
    </xdr:from>
    <xdr:to>
      <xdr:col>11</xdr:col>
      <xdr:colOff>200025</xdr:colOff>
      <xdr:row>13</xdr:row>
      <xdr:rowOff>257175</xdr:rowOff>
    </xdr:to>
    <xdr:cxnSp macro="">
      <xdr:nvCxnSpPr>
        <xdr:cNvPr id="13" name="AutoShape 34"/>
        <xdr:cNvCxnSpPr>
          <a:cxnSpLocks noChangeShapeType="1"/>
          <a:stCxn id="7" idx="3"/>
        </xdr:cNvCxnSpPr>
      </xdr:nvCxnSpPr>
      <xdr:spPr bwMode="auto">
        <a:xfrm flipV="1">
          <a:off x="9353550" y="2638425"/>
          <a:ext cx="571500" cy="0"/>
        </a:xfrm>
        <a:prstGeom prst="bentConnector3">
          <a:avLst>
            <a:gd name="adj1" fmla="val 50000"/>
          </a:avLst>
        </a:prstGeom>
        <a:noFill/>
        <a:ln w="12700">
          <a:solidFill>
            <a:srgbClr val="000000"/>
          </a:solidFill>
          <a:miter lim="800000"/>
          <a:headEnd/>
          <a:tailEnd type="triangle" w="med" len="med"/>
        </a:ln>
        <a:effectLst>
          <a:outerShdw dist="107763" dir="2700000" algn="ctr" rotWithShape="0">
            <a:srgbClr val="808080">
              <a:alpha val="50000"/>
            </a:srgbClr>
          </a:outerShdw>
        </a:effectLst>
      </xdr:spPr>
    </xdr:cxnSp>
    <xdr:clientData/>
  </xdr:twoCellAnchor>
  <xdr:twoCellAnchor>
    <xdr:from>
      <xdr:col>5</xdr:col>
      <xdr:colOff>428625</xdr:colOff>
      <xdr:row>13</xdr:row>
      <xdr:rowOff>0</xdr:rowOff>
    </xdr:from>
    <xdr:to>
      <xdr:col>9</xdr:col>
      <xdr:colOff>66675</xdr:colOff>
      <xdr:row>16</xdr:row>
      <xdr:rowOff>123825</xdr:rowOff>
    </xdr:to>
    <xdr:grpSp>
      <xdr:nvGrpSpPr>
        <xdr:cNvPr id="14" name="Group 28"/>
        <xdr:cNvGrpSpPr>
          <a:grpSpLocks/>
        </xdr:cNvGrpSpPr>
      </xdr:nvGrpSpPr>
      <xdr:grpSpPr bwMode="auto">
        <a:xfrm>
          <a:off x="5582708" y="2444750"/>
          <a:ext cx="2686050" cy="695325"/>
          <a:chOff x="550" y="318"/>
          <a:chExt cx="218" cy="129"/>
        </a:xfrm>
      </xdr:grpSpPr>
      <xdr:grpSp>
        <xdr:nvGrpSpPr>
          <xdr:cNvPr id="15" name="Group 25"/>
          <xdr:cNvGrpSpPr>
            <a:grpSpLocks/>
          </xdr:cNvGrpSpPr>
        </xdr:nvGrpSpPr>
        <xdr:grpSpPr bwMode="auto">
          <a:xfrm>
            <a:off x="550" y="318"/>
            <a:ext cx="218" cy="129"/>
            <a:chOff x="550" y="318"/>
            <a:chExt cx="218" cy="129"/>
          </a:xfrm>
        </xdr:grpSpPr>
        <xdr:sp macro="" textlink="">
          <xdr:nvSpPr>
            <xdr:cNvPr id="18" name="Text Box 14"/>
            <xdr:cNvSpPr txBox="1">
              <a:spLocks noChangeArrowheads="1"/>
            </xdr:cNvSpPr>
          </xdr:nvSpPr>
          <xdr:spPr bwMode="auto">
            <a:xfrm>
              <a:off x="550" y="318"/>
              <a:ext cx="104" cy="69"/>
            </a:xfrm>
            <a:prstGeom prst="rect">
              <a:avLst/>
            </a:prstGeom>
            <a:solidFill>
              <a:srgbClr val="FFFF99"/>
            </a:solidFill>
            <a:ln w="9525" algn="ctr">
              <a:solidFill>
                <a:srgbClr val="000000"/>
              </a:solidFill>
              <a:miter lim="800000"/>
              <a:headEnd/>
              <a:tailEnd/>
            </a:ln>
            <a:effectLst>
              <a:outerShdw dist="107763" dir="2700000" algn="ctr" rotWithShape="0">
                <a:srgbClr val="808080">
                  <a:alpha val="50000"/>
                </a:srgbClr>
              </a:outerShdw>
            </a:effectLst>
          </xdr:spPr>
          <xdr:txBody>
            <a:bodyPr vertOverflow="clip" wrap="square" lIns="27432" tIns="22860" rIns="27432" bIns="22860" anchor="ctr" upright="1"/>
            <a:lstStyle/>
            <a:p>
              <a:pPr algn="ctr" rtl="0">
                <a:defRPr sz="1000"/>
              </a:pPr>
              <a:r>
                <a:rPr lang="en-GB" sz="1000" b="1" i="0" strike="noStrike">
                  <a:solidFill>
                    <a:srgbClr val="000000"/>
                  </a:solidFill>
                  <a:latin typeface="+mj-lt"/>
                  <a:cs typeface="Arial"/>
                </a:rPr>
                <a:t>Main Input</a:t>
              </a:r>
            </a:p>
          </xdr:txBody>
        </xdr:sp>
        <xdr:sp macro="" textlink="">
          <xdr:nvSpPr>
            <xdr:cNvPr id="19" name="AutoShape 21"/>
            <xdr:cNvSpPr>
              <a:spLocks noChangeArrowheads="1"/>
            </xdr:cNvSpPr>
          </xdr:nvSpPr>
          <xdr:spPr bwMode="auto">
            <a:xfrm>
              <a:off x="577" y="386"/>
              <a:ext cx="53" cy="61"/>
            </a:xfrm>
            <a:prstGeom prst="downArrow">
              <a:avLst>
                <a:gd name="adj1" fmla="val 50000"/>
                <a:gd name="adj2" fmla="val 28774"/>
              </a:avLst>
            </a:prstGeom>
            <a:gradFill flip="none" rotWithShape="1">
              <a:gsLst>
                <a:gs pos="69000">
                  <a:schemeClr val="bg1">
                    <a:lumMod val="65000"/>
                  </a:schemeClr>
                </a:gs>
                <a:gs pos="0">
                  <a:srgbClr val="E6E6E6"/>
                </a:gs>
                <a:gs pos="78000">
                  <a:srgbClr val="7D8496"/>
                </a:gs>
                <a:gs pos="47000">
                  <a:srgbClr val="E6E6E6"/>
                </a:gs>
                <a:gs pos="85001">
                  <a:srgbClr val="7D8496"/>
                </a:gs>
                <a:gs pos="100000">
                  <a:srgbClr val="E6E6E6"/>
                </a:gs>
              </a:gsLst>
              <a:path path="circle">
                <a:fillToRect l="100000" t="100000"/>
              </a:path>
              <a:tileRect r="-100000" b="-100000"/>
            </a:gradFill>
            <a:ln w="9525" algn="ctr">
              <a:solidFill>
                <a:srgbClr val="000000"/>
              </a:solidFill>
              <a:miter lim="800000"/>
              <a:headEnd/>
              <a:tailEnd/>
            </a:ln>
            <a:effectLst>
              <a:outerShdw dist="107763" dir="2700000" algn="ctr" rotWithShape="0">
                <a:srgbClr val="808080">
                  <a:alpha val="50000"/>
                </a:srgbClr>
              </a:outerShdw>
            </a:effectLst>
          </xdr:spPr>
        </xdr:sp>
        <xdr:sp macro="" textlink="">
          <xdr:nvSpPr>
            <xdr:cNvPr id="20" name="AutoShape 22"/>
            <xdr:cNvSpPr>
              <a:spLocks noChangeArrowheads="1"/>
            </xdr:cNvSpPr>
          </xdr:nvSpPr>
          <xdr:spPr bwMode="auto">
            <a:xfrm>
              <a:off x="654" y="326"/>
              <a:ext cx="114" cy="53"/>
            </a:xfrm>
            <a:prstGeom prst="rightArrow">
              <a:avLst>
                <a:gd name="adj1" fmla="val 50000"/>
                <a:gd name="adj2" fmla="val 53774"/>
              </a:avLst>
            </a:prstGeom>
            <a:gradFill flip="none" rotWithShape="1">
              <a:gsLst>
                <a:gs pos="100000">
                  <a:schemeClr val="tx2">
                    <a:lumMod val="75000"/>
                  </a:schemeClr>
                </a:gs>
                <a:gs pos="100000">
                  <a:srgbClr val="99CCFF"/>
                </a:gs>
              </a:gsLst>
              <a:path path="circle">
                <a:fillToRect l="100000" t="100000"/>
              </a:path>
              <a:tileRect r="-100000" b="-100000"/>
            </a:gradFill>
            <a:ln w="9525" algn="ctr">
              <a:solidFill>
                <a:srgbClr val="000000"/>
              </a:solidFill>
              <a:miter lim="800000"/>
              <a:headEnd/>
              <a:tailEnd/>
            </a:ln>
            <a:effectLst>
              <a:outerShdw dist="107763" dir="2700000" algn="ctr" rotWithShape="0">
                <a:srgbClr val="808080">
                  <a:alpha val="50000"/>
                </a:srgbClr>
              </a:outerShdw>
            </a:effectLst>
          </xdr:spPr>
        </xdr:sp>
        <xdr:sp macro="" textlink="">
          <xdr:nvSpPr>
            <xdr:cNvPr id="21" name="Rectangle 23"/>
            <xdr:cNvSpPr>
              <a:spLocks noChangeArrowheads="1"/>
            </xdr:cNvSpPr>
          </xdr:nvSpPr>
          <xdr:spPr bwMode="auto">
            <a:xfrm>
              <a:off x="591" y="381"/>
              <a:ext cx="25" cy="17"/>
            </a:xfrm>
            <a:prstGeom prst="rect">
              <a:avLst/>
            </a:prstGeom>
            <a:solidFill>
              <a:srgbClr val="FFFF99"/>
            </a:solidFill>
            <a:ln w="9525" algn="ctr">
              <a:noFill/>
              <a:miter lim="800000"/>
              <a:headEnd/>
              <a:tailEnd/>
            </a:ln>
            <a:effectLst/>
          </xdr:spPr>
        </xdr:sp>
        <xdr:sp macro="" textlink="">
          <xdr:nvSpPr>
            <xdr:cNvPr id="22" name="Rectangle 24"/>
            <xdr:cNvSpPr>
              <a:spLocks noChangeArrowheads="1"/>
            </xdr:cNvSpPr>
          </xdr:nvSpPr>
          <xdr:spPr bwMode="auto">
            <a:xfrm>
              <a:off x="651" y="340"/>
              <a:ext cx="15" cy="25"/>
            </a:xfrm>
            <a:prstGeom prst="rect">
              <a:avLst/>
            </a:prstGeom>
            <a:solidFill>
              <a:srgbClr val="FFFF99"/>
            </a:solidFill>
            <a:ln w="9525" algn="ctr">
              <a:noFill/>
              <a:miter lim="800000"/>
              <a:headEnd/>
              <a:tailEnd/>
            </a:ln>
            <a:effectLst/>
          </xdr:spPr>
        </xdr:sp>
      </xdr:grpSp>
      <xdr:sp macro="" textlink="">
        <xdr:nvSpPr>
          <xdr:cNvPr id="16" name="Rectangle 26"/>
          <xdr:cNvSpPr>
            <a:spLocks noChangeArrowheads="1"/>
          </xdr:cNvSpPr>
        </xdr:nvSpPr>
        <xdr:spPr bwMode="auto">
          <a:xfrm>
            <a:off x="550" y="318"/>
            <a:ext cx="12" cy="22"/>
          </a:xfrm>
          <a:prstGeom prst="rect">
            <a:avLst/>
          </a:prstGeom>
          <a:noFill/>
          <a:ln w="9525" algn="ctr">
            <a:noFill/>
            <a:miter lim="800000"/>
            <a:headEnd/>
            <a:tailEnd/>
          </a:ln>
          <a:effectLst/>
        </xdr:spPr>
      </xdr:sp>
      <xdr:sp macro="" textlink="">
        <xdr:nvSpPr>
          <xdr:cNvPr id="17" name="Rectangle 27"/>
          <xdr:cNvSpPr>
            <a:spLocks noChangeArrowheads="1"/>
          </xdr:cNvSpPr>
        </xdr:nvSpPr>
        <xdr:spPr bwMode="auto">
          <a:xfrm>
            <a:off x="550" y="365"/>
            <a:ext cx="12" cy="22"/>
          </a:xfrm>
          <a:prstGeom prst="rect">
            <a:avLst/>
          </a:prstGeom>
          <a:noFill/>
          <a:ln w="9525" algn="ctr">
            <a:noFill/>
            <a:miter lim="800000"/>
            <a:headEnd/>
            <a:tailEnd/>
          </a:ln>
          <a:effectLst/>
        </xdr:spPr>
      </xdr:sp>
    </xdr:grpSp>
    <xdr:clientData/>
  </xdr:twoCellAnchor>
  <xdr:twoCellAnchor editAs="absolute">
    <xdr:from>
      <xdr:col>11</xdr:col>
      <xdr:colOff>264561</xdr:colOff>
      <xdr:row>3</xdr:row>
      <xdr:rowOff>52916</xdr:rowOff>
    </xdr:from>
    <xdr:to>
      <xdr:col>12</xdr:col>
      <xdr:colOff>702711</xdr:colOff>
      <xdr:row>4</xdr:row>
      <xdr:rowOff>116973</xdr:rowOff>
    </xdr:to>
    <xdr:sp macro="" textlink="">
      <xdr:nvSpPr>
        <xdr:cNvPr id="23" name="TextBox 22">
          <a:hlinkClick xmlns:r="http://schemas.openxmlformats.org/officeDocument/2006/relationships" r:id="rId1"/>
        </xdr:cNvPr>
        <xdr:cNvSpPr txBox="1">
          <a:spLocks noChangeAspect="1"/>
        </xdr:cNvSpPr>
      </xdr:nvSpPr>
      <xdr:spPr>
        <a:xfrm>
          <a:off x="9989586" y="633941"/>
          <a:ext cx="1200150" cy="254557"/>
        </a:xfrm>
        <a:prstGeom prst="rect">
          <a:avLst/>
        </a:prstGeom>
        <a:solidFill>
          <a:schemeClr val="accent1">
            <a:lumMod val="75000"/>
          </a:schemeClr>
        </a:solidFill>
        <a:ln w="28575" cmpd="sng">
          <a:solidFill>
            <a:schemeClr val="bg1"/>
          </a:solidFill>
        </a:ln>
        <a:effectLst>
          <a:outerShdw blurRad="50800" dist="38100" algn="l" rotWithShape="0">
            <a:prstClr val="black">
              <a:alpha val="40000"/>
            </a:prstClr>
          </a:outerShdw>
          <a:softEdge rad="12700"/>
        </a:effectLst>
        <a:scene3d>
          <a:camera prst="orthographicFront"/>
          <a:lightRig rig="threePt" dir="t"/>
        </a:scene3d>
        <a:sp3d extrusionH="6350" prstMaterial="plastic">
          <a:bevelT w="101600" h="38100" prst="coolSlant"/>
          <a:bevelB w="0"/>
        </a:sp3d>
      </xdr:spPr>
      <xdr:style>
        <a:lnRef idx="0">
          <a:scrgbClr r="0" g="0" b="0"/>
        </a:lnRef>
        <a:fillRef idx="0">
          <a:scrgbClr r="0" g="0" b="0"/>
        </a:fillRef>
        <a:effectRef idx="0">
          <a:scrgbClr r="0" g="0" b="0"/>
        </a:effectRef>
        <a:fontRef idx="minor">
          <a:schemeClr val="dk1"/>
        </a:fontRef>
      </xdr:style>
      <xdr:txBody>
        <a:bodyPr wrap="square" rtlCol="0" anchor="t">
          <a:spAutoFit/>
        </a:bodyPr>
        <a:lstStyle/>
        <a:p>
          <a:pPr algn="ctr"/>
          <a:r>
            <a:rPr lang="en-GB" sz="1100" b="1">
              <a:solidFill>
                <a:schemeClr val="bg1"/>
              </a:solidFill>
              <a:latin typeface="Arial" pitchFamily="34" charset="0"/>
              <a:cs typeface="Arial" pitchFamily="34" charset="0"/>
            </a:rPr>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Documents%20and%20Settings\Jack%20Avon\Desktop\April%202012\Cost%20Inputs\Pest%20Control\MITIE\MPC%20HMP%20Onley%20Pricin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acl/Dropbox/Models/IPM_Pricing_v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Documents%20and%20Settings\Jack%20Avon\Desktop\April%202012\Cost%20Inputs\Pest%20Control\MITIE\MPC%20HMP%20Wolds%20Pricing.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Jack/Desktop/Modelling%20book_ja/Book1/IsysC_CostModel_v1%20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Mitie\April%202012\Financial%20Model%20Folder\MITIE%20Models\PCP2%20ITN%20Financial%20Prof_Coldingley_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Jack/Desktop/Modelling%20book_ja/Book1/IPM_Pricing_v1.2.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Jack/AppData/Local/Microsoft/Windows/Temporary%20Internet%20Files/Content.Outlook/S3Q4ZTVA/IPM_Pricing_v1.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Documents%20and%20Settings\Jack%20Avon\Desktop\PCP2%20Financial%20Model%20-%20HMPS+MITIE%20-%20Coldingle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act"/>
      <sheetName val="Rates"/>
    </sheetNames>
    <sheetDataSet>
      <sheetData sheetId="0" refreshError="1"/>
      <sheetData sheetId="1">
        <row r="150">
          <cell r="B150">
            <v>1</v>
          </cell>
          <cell r="C150">
            <v>34</v>
          </cell>
          <cell r="D150">
            <v>14</v>
          </cell>
        </row>
        <row r="151">
          <cell r="B151">
            <v>2</v>
          </cell>
          <cell r="C151">
            <v>44</v>
          </cell>
          <cell r="D151">
            <v>14</v>
          </cell>
        </row>
        <row r="152">
          <cell r="B152">
            <v>3</v>
          </cell>
          <cell r="C152">
            <v>54</v>
          </cell>
          <cell r="D152">
            <v>14</v>
          </cell>
        </row>
        <row r="153">
          <cell r="B153">
            <v>4</v>
          </cell>
          <cell r="C153">
            <v>64</v>
          </cell>
          <cell r="D153">
            <v>14</v>
          </cell>
        </row>
        <row r="154">
          <cell r="B154">
            <v>5</v>
          </cell>
          <cell r="C154">
            <v>38</v>
          </cell>
          <cell r="D154">
            <v>14</v>
          </cell>
        </row>
        <row r="155">
          <cell r="B155">
            <v>6</v>
          </cell>
          <cell r="C155">
            <v>50</v>
          </cell>
          <cell r="D155">
            <v>14</v>
          </cell>
        </row>
        <row r="156">
          <cell r="B156">
            <v>7</v>
          </cell>
          <cell r="C156">
            <v>62</v>
          </cell>
          <cell r="D156">
            <v>14</v>
          </cell>
        </row>
        <row r="157">
          <cell r="B157">
            <v>8</v>
          </cell>
          <cell r="C157">
            <v>74</v>
          </cell>
          <cell r="D157">
            <v>14</v>
          </cell>
        </row>
        <row r="159">
          <cell r="B159">
            <v>1</v>
          </cell>
          <cell r="C159">
            <v>34</v>
          </cell>
          <cell r="D159">
            <v>14</v>
          </cell>
        </row>
        <row r="160">
          <cell r="B160">
            <v>2</v>
          </cell>
          <cell r="C160">
            <v>44</v>
          </cell>
          <cell r="D160">
            <v>14</v>
          </cell>
        </row>
        <row r="161">
          <cell r="B161">
            <v>3</v>
          </cell>
          <cell r="C161">
            <v>54</v>
          </cell>
          <cell r="D161">
            <v>14</v>
          </cell>
        </row>
        <row r="162">
          <cell r="B162">
            <v>4</v>
          </cell>
          <cell r="C162">
            <v>64</v>
          </cell>
          <cell r="D162">
            <v>14</v>
          </cell>
        </row>
        <row r="163">
          <cell r="B163">
            <v>5</v>
          </cell>
          <cell r="C163">
            <v>38</v>
          </cell>
          <cell r="D163">
            <v>14</v>
          </cell>
        </row>
        <row r="164">
          <cell r="B164">
            <v>6</v>
          </cell>
          <cell r="C164">
            <v>50</v>
          </cell>
          <cell r="D164">
            <v>14</v>
          </cell>
        </row>
        <row r="165">
          <cell r="B165">
            <v>7</v>
          </cell>
          <cell r="C165">
            <v>62</v>
          </cell>
          <cell r="D165">
            <v>14</v>
          </cell>
        </row>
        <row r="166">
          <cell r="B166">
            <v>8</v>
          </cell>
          <cell r="C166">
            <v>74</v>
          </cell>
          <cell r="D166">
            <v>14</v>
          </cell>
        </row>
        <row r="168">
          <cell r="B168">
            <v>1</v>
          </cell>
          <cell r="C168">
            <v>34</v>
          </cell>
          <cell r="D168">
            <v>14</v>
          </cell>
        </row>
        <row r="169">
          <cell r="B169">
            <v>2</v>
          </cell>
          <cell r="C169">
            <v>44</v>
          </cell>
          <cell r="D169">
            <v>14</v>
          </cell>
        </row>
        <row r="170">
          <cell r="B170">
            <v>3</v>
          </cell>
          <cell r="C170">
            <v>54</v>
          </cell>
          <cell r="D170">
            <v>14</v>
          </cell>
        </row>
        <row r="171">
          <cell r="B171">
            <v>4</v>
          </cell>
          <cell r="C171">
            <v>64</v>
          </cell>
          <cell r="D171">
            <v>14</v>
          </cell>
        </row>
        <row r="172">
          <cell r="B172">
            <v>5</v>
          </cell>
          <cell r="C172">
            <v>38</v>
          </cell>
          <cell r="D172">
            <v>14</v>
          </cell>
        </row>
        <row r="173">
          <cell r="B173">
            <v>6</v>
          </cell>
          <cell r="C173">
            <v>50</v>
          </cell>
          <cell r="D173">
            <v>14</v>
          </cell>
        </row>
        <row r="174">
          <cell r="B174">
            <v>7</v>
          </cell>
          <cell r="C174">
            <v>62</v>
          </cell>
          <cell r="D174">
            <v>14</v>
          </cell>
        </row>
        <row r="175">
          <cell r="B175">
            <v>8</v>
          </cell>
          <cell r="C175">
            <v>74</v>
          </cell>
          <cell r="D175">
            <v>14</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structions &amp; Notes"/>
      <sheetName val="Styles"/>
      <sheetName val="Contents"/>
      <sheetName val="Model Logic"/>
      <sheetName val="Error Checks"/>
      <sheetName val="Constants"/>
      <sheetName val="Timelines"/>
      <sheetName val="Main Input"/>
      <sheetName val="Conversion"/>
      <sheetName val="Capital"/>
      <sheetName val="Cost Plus"/>
      <sheetName val="Customer Charges"/>
      <sheetName val="Profile before CoM"/>
      <sheetName val="CoM"/>
      <sheetName val="Profile with CoM"/>
      <sheetName val="Final Price"/>
      <sheetName val="Service Prices"/>
      <sheetName val="Financial Dashboard"/>
      <sheetName val="Interface"/>
      <sheetName val="Audit"/>
      <sheetName val="Change Control"/>
      <sheetName val="End"/>
    </sheetNames>
    <sheetDataSet>
      <sheetData sheetId="0" refreshError="1"/>
      <sheetData sheetId="1">
        <row r="1">
          <cell r="A1" t="str">
            <v>IPM_Pricing_v1.2.xls</v>
          </cell>
        </row>
        <row r="4">
          <cell r="A4" t="str">
            <v>Instructions &amp; Notes</v>
          </cell>
        </row>
      </sheetData>
      <sheetData sheetId="2">
        <row r="4">
          <cell r="A4" t="str">
            <v>Styles</v>
          </cell>
        </row>
      </sheetData>
      <sheetData sheetId="3">
        <row r="4">
          <cell r="A4" t="str">
            <v>Contents</v>
          </cell>
        </row>
      </sheetData>
      <sheetData sheetId="4">
        <row r="4">
          <cell r="A4" t="str">
            <v>Model Logic</v>
          </cell>
        </row>
      </sheetData>
      <sheetData sheetId="5">
        <row r="1">
          <cell r="E1">
            <v>0</v>
          </cell>
        </row>
        <row r="4">
          <cell r="A4" t="str">
            <v>Error Checks</v>
          </cell>
        </row>
      </sheetData>
      <sheetData sheetId="6">
        <row r="1">
          <cell r="D1">
            <v>0</v>
          </cell>
        </row>
        <row r="4">
          <cell r="A4" t="str">
            <v>Constants</v>
          </cell>
          <cell r="AF4" t="str">
            <v>Year 0</v>
          </cell>
          <cell r="AG4" t="str">
            <v>Year 0</v>
          </cell>
          <cell r="AH4" t="str">
            <v>Year 0</v>
          </cell>
          <cell r="AI4" t="str">
            <v>Q1</v>
          </cell>
          <cell r="AJ4" t="str">
            <v>Q1</v>
          </cell>
          <cell r="AK4" t="str">
            <v>Q1</v>
          </cell>
          <cell r="AL4" t="str">
            <v>Q2</v>
          </cell>
          <cell r="AM4" t="str">
            <v>Q2</v>
          </cell>
          <cell r="AN4" t="str">
            <v>Q2</v>
          </cell>
          <cell r="AO4" t="str">
            <v>Q3</v>
          </cell>
          <cell r="AP4" t="str">
            <v>Q3</v>
          </cell>
          <cell r="AQ4" t="str">
            <v>Q3</v>
          </cell>
          <cell r="AR4" t="str">
            <v>Q4</v>
          </cell>
          <cell r="AS4" t="str">
            <v>Q4</v>
          </cell>
          <cell r="AT4" t="str">
            <v>Q4</v>
          </cell>
          <cell r="AU4" t="str">
            <v>Year 2</v>
          </cell>
          <cell r="AV4" t="str">
            <v>Year 2</v>
          </cell>
          <cell r="AW4" t="str">
            <v>Year 2</v>
          </cell>
          <cell r="AX4" t="str">
            <v>Year 2</v>
          </cell>
          <cell r="AY4" t="str">
            <v>Year 2</v>
          </cell>
          <cell r="AZ4" t="str">
            <v>Year 2</v>
          </cell>
          <cell r="BA4" t="str">
            <v>Year 2</v>
          </cell>
          <cell r="BB4" t="str">
            <v>Year 2</v>
          </cell>
          <cell r="BC4" t="str">
            <v>Year 2</v>
          </cell>
          <cell r="BD4" t="str">
            <v>Year 2</v>
          </cell>
          <cell r="BE4" t="str">
            <v>Year 2</v>
          </cell>
          <cell r="BF4" t="str">
            <v>Year 2</v>
          </cell>
          <cell r="BG4" t="str">
            <v>Year 3</v>
          </cell>
          <cell r="BH4" t="str">
            <v>Year 3</v>
          </cell>
          <cell r="BI4" t="str">
            <v>Year 3</v>
          </cell>
          <cell r="BJ4" t="str">
            <v>Year 3</v>
          </cell>
          <cell r="BK4" t="str">
            <v>Year 3</v>
          </cell>
          <cell r="BL4" t="str">
            <v>Year 3</v>
          </cell>
          <cell r="BM4" t="str">
            <v>Year 3</v>
          </cell>
          <cell r="BN4" t="str">
            <v>Year 3</v>
          </cell>
          <cell r="BO4" t="str">
            <v>Year 3</v>
          </cell>
          <cell r="BP4" t="str">
            <v>Year 3</v>
          </cell>
          <cell r="BQ4" t="str">
            <v>Year 3</v>
          </cell>
          <cell r="BR4" t="str">
            <v>Year 3</v>
          </cell>
          <cell r="BS4" t="str">
            <v>Year 4</v>
          </cell>
          <cell r="BT4" t="str">
            <v>Year 4</v>
          </cell>
          <cell r="BU4" t="str">
            <v>Year 4</v>
          </cell>
          <cell r="BV4" t="str">
            <v>Year 4</v>
          </cell>
          <cell r="BW4" t="str">
            <v>Year 4</v>
          </cell>
          <cell r="BX4" t="str">
            <v>Year 4</v>
          </cell>
          <cell r="BY4" t="str">
            <v>Year 4</v>
          </cell>
          <cell r="BZ4" t="str">
            <v>Year 4</v>
          </cell>
          <cell r="CA4" t="str">
            <v>Year 4</v>
          </cell>
          <cell r="CB4" t="str">
            <v>Year 4</v>
          </cell>
          <cell r="CC4" t="str">
            <v>Year 4</v>
          </cell>
          <cell r="CD4" t="str">
            <v>Year 4</v>
          </cell>
          <cell r="CE4" t="str">
            <v>Year 5</v>
          </cell>
          <cell r="CF4" t="str">
            <v>Year 5</v>
          </cell>
          <cell r="CG4" t="str">
            <v>Year 5</v>
          </cell>
          <cell r="CH4" t="str">
            <v>Year 5</v>
          </cell>
          <cell r="CI4" t="str">
            <v>Year 5</v>
          </cell>
          <cell r="CJ4" t="str">
            <v>Year 5</v>
          </cell>
          <cell r="CK4" t="str">
            <v>Year 5</v>
          </cell>
          <cell r="CL4" t="str">
            <v>Year 5</v>
          </cell>
          <cell r="CM4" t="str">
            <v>Year 5</v>
          </cell>
          <cell r="CN4" t="str">
            <v>Year 5</v>
          </cell>
          <cell r="CO4" t="str">
            <v>Year 5</v>
          </cell>
          <cell r="CP4" t="str">
            <v>Year 5</v>
          </cell>
          <cell r="CQ4" t="str">
            <v>Year 6</v>
          </cell>
          <cell r="CR4" t="str">
            <v>Year 6</v>
          </cell>
          <cell r="CS4" t="str">
            <v>Year 6</v>
          </cell>
          <cell r="CT4" t="str">
            <v>Year 6</v>
          </cell>
          <cell r="CU4" t="str">
            <v>Year 6</v>
          </cell>
          <cell r="CV4" t="str">
            <v>Year 6</v>
          </cell>
          <cell r="CW4" t="str">
            <v>Year 6</v>
          </cell>
          <cell r="CX4" t="str">
            <v>Year 6</v>
          </cell>
          <cell r="CY4" t="str">
            <v>Year 6</v>
          </cell>
          <cell r="CZ4" t="str">
            <v>Year 6</v>
          </cell>
          <cell r="DA4" t="str">
            <v>Year 6</v>
          </cell>
          <cell r="DB4" t="str">
            <v>Year 6</v>
          </cell>
          <cell r="DC4" t="str">
            <v>Year 7</v>
          </cell>
          <cell r="DD4" t="str">
            <v>Year 7</v>
          </cell>
          <cell r="DE4" t="str">
            <v>Year 7</v>
          </cell>
          <cell r="DF4" t="str">
            <v>Year 7</v>
          </cell>
          <cell r="DG4" t="str">
            <v>Year 7</v>
          </cell>
          <cell r="DH4" t="str">
            <v>Year 7</v>
          </cell>
          <cell r="DI4" t="str">
            <v>Year 7</v>
          </cell>
          <cell r="DJ4" t="str">
            <v>Year 7</v>
          </cell>
          <cell r="DK4" t="str">
            <v>Year 7</v>
          </cell>
          <cell r="DL4" t="str">
            <v>Year 7</v>
          </cell>
          <cell r="DM4" t="str">
            <v>Year 7</v>
          </cell>
          <cell r="DN4" t="str">
            <v>Year 7</v>
          </cell>
          <cell r="DO4" t="str">
            <v>Year 8</v>
          </cell>
          <cell r="DP4" t="str">
            <v>Year 8</v>
          </cell>
          <cell r="DQ4" t="str">
            <v>Year 8</v>
          </cell>
          <cell r="DR4" t="str">
            <v>Year 8</v>
          </cell>
          <cell r="DS4" t="str">
            <v>Year 8</v>
          </cell>
          <cell r="DT4" t="str">
            <v>Year 8</v>
          </cell>
          <cell r="DU4" t="str">
            <v>Year 8</v>
          </cell>
          <cell r="DV4" t="str">
            <v>Year 8</v>
          </cell>
          <cell r="DW4" t="str">
            <v>Year 8</v>
          </cell>
          <cell r="DX4" t="str">
            <v>Year 8</v>
          </cell>
          <cell r="DY4" t="str">
            <v>Year 8</v>
          </cell>
          <cell r="DZ4" t="str">
            <v>Year 8</v>
          </cell>
          <cell r="EA4" t="str">
            <v>Year 9</v>
          </cell>
          <cell r="EB4" t="str">
            <v>Year 9</v>
          </cell>
          <cell r="EC4" t="str">
            <v>Year 9</v>
          </cell>
          <cell r="ED4" t="str">
            <v>Year 9</v>
          </cell>
          <cell r="EE4" t="str">
            <v>Year 9</v>
          </cell>
          <cell r="EF4" t="str">
            <v>Year 9</v>
          </cell>
          <cell r="EG4" t="str">
            <v>Year 9</v>
          </cell>
          <cell r="EH4" t="str">
            <v>Year 9</v>
          </cell>
          <cell r="EI4" t="str">
            <v>Year 9</v>
          </cell>
          <cell r="EJ4" t="str">
            <v>Year 9</v>
          </cell>
          <cell r="EK4" t="str">
            <v>Year 9</v>
          </cell>
          <cell r="EL4" t="str">
            <v>Year 9</v>
          </cell>
          <cell r="EM4" t="str">
            <v>Year 10</v>
          </cell>
          <cell r="EN4" t="str">
            <v>Year 10</v>
          </cell>
          <cell r="EO4" t="str">
            <v>Year 10</v>
          </cell>
          <cell r="EP4" t="str">
            <v>Year 10</v>
          </cell>
          <cell r="EQ4" t="str">
            <v>Year 10</v>
          </cell>
          <cell r="ER4" t="str">
            <v>Year 10</v>
          </cell>
          <cell r="ES4" t="str">
            <v>Year 10</v>
          </cell>
          <cell r="ET4" t="str">
            <v>Year 10</v>
          </cell>
          <cell r="EU4" t="str">
            <v>Year 10</v>
          </cell>
          <cell r="EV4" t="str">
            <v>Year 10</v>
          </cell>
          <cell r="EW4" t="str">
            <v>Year 10</v>
          </cell>
          <cell r="EX4" t="str">
            <v>Year 10</v>
          </cell>
        </row>
        <row r="12">
          <cell r="A12" t="str">
            <v>Accounting Treatment</v>
          </cell>
        </row>
        <row r="16">
          <cell r="E16" t="str">
            <v>Expense</v>
          </cell>
        </row>
        <row r="17">
          <cell r="E17" t="str">
            <v>ASS-1</v>
          </cell>
        </row>
        <row r="18">
          <cell r="E18" t="str">
            <v>ASS-2</v>
          </cell>
        </row>
        <row r="19">
          <cell r="E19" t="str">
            <v>ASS-3</v>
          </cell>
        </row>
        <row r="20">
          <cell r="E20" t="str">
            <v>ASS-4</v>
          </cell>
        </row>
        <row r="21">
          <cell r="E21" t="str">
            <v>ASS-5</v>
          </cell>
        </row>
        <row r="22">
          <cell r="E22" t="str">
            <v>ASS-6</v>
          </cell>
        </row>
        <row r="23">
          <cell r="E23" t="str">
            <v>ASS-7</v>
          </cell>
        </row>
        <row r="24">
          <cell r="E24" t="str">
            <v>ASS-8</v>
          </cell>
        </row>
        <row r="25">
          <cell r="E25" t="str">
            <v>ASS-9</v>
          </cell>
        </row>
        <row r="26">
          <cell r="E26" t="str">
            <v>ASS-10</v>
          </cell>
        </row>
        <row r="27">
          <cell r="E27" t="str">
            <v>ASS-11</v>
          </cell>
        </row>
        <row r="28">
          <cell r="E28" t="str">
            <v>ASS-12</v>
          </cell>
        </row>
        <row r="29">
          <cell r="E29" t="str">
            <v>ASS-13</v>
          </cell>
        </row>
        <row r="30">
          <cell r="E30" t="str">
            <v>ASS-14</v>
          </cell>
        </row>
        <row r="31">
          <cell r="E31" t="str">
            <v>ASS-15</v>
          </cell>
        </row>
        <row r="32">
          <cell r="E32" t="str">
            <v>TRF-1</v>
          </cell>
        </row>
        <row r="33">
          <cell r="E33" t="str">
            <v>TRF-2</v>
          </cell>
        </row>
        <row r="34">
          <cell r="E34" t="str">
            <v>TRF-3</v>
          </cell>
        </row>
        <row r="35">
          <cell r="E35" t="str">
            <v>TRF-4</v>
          </cell>
        </row>
        <row r="36">
          <cell r="E36" t="str">
            <v>TRF-5</v>
          </cell>
        </row>
        <row r="37">
          <cell r="E37" t="str">
            <v>TRF-6</v>
          </cell>
        </row>
        <row r="38">
          <cell r="E38" t="str">
            <v>TRF-7</v>
          </cell>
        </row>
        <row r="39">
          <cell r="E39" t="str">
            <v>PAY-A</v>
          </cell>
        </row>
        <row r="40">
          <cell r="E40" t="str">
            <v>PAY-B</v>
          </cell>
        </row>
        <row r="41">
          <cell r="E41" t="str">
            <v>PAY-C</v>
          </cell>
        </row>
        <row r="43">
          <cell r="A43">
            <v>26</v>
          </cell>
        </row>
        <row r="45">
          <cell r="A45" t="str">
            <v>BAR Cost Code</v>
          </cell>
        </row>
        <row r="49">
          <cell r="E49" t="str">
            <v>pTran</v>
          </cell>
          <cell r="G49" t="str">
            <v>Y</v>
          </cell>
        </row>
        <row r="50">
          <cell r="E50" t="str">
            <v>pRiskT</v>
          </cell>
          <cell r="G50" t="str">
            <v>Y</v>
          </cell>
        </row>
        <row r="51">
          <cell r="E51" t="str">
            <v>pTrfrm</v>
          </cell>
          <cell r="G51" t="str">
            <v>Y</v>
          </cell>
        </row>
        <row r="52">
          <cell r="E52" t="str">
            <v>pRiskTrfrm</v>
          </cell>
          <cell r="G52" t="str">
            <v>Y</v>
          </cell>
        </row>
        <row r="53">
          <cell r="E53" t="str">
            <v>pAD</v>
          </cell>
          <cell r="G53" t="str">
            <v>Y</v>
          </cell>
        </row>
        <row r="54">
          <cell r="E54" t="str">
            <v>pRiskAD</v>
          </cell>
          <cell r="G54" t="str">
            <v>Y</v>
          </cell>
        </row>
        <row r="55">
          <cell r="E55" t="str">
            <v>pPPM</v>
          </cell>
          <cell r="G55" t="str">
            <v>Y</v>
          </cell>
        </row>
        <row r="56">
          <cell r="E56" t="str">
            <v>pZ</v>
          </cell>
          <cell r="G56" t="str">
            <v>Y</v>
          </cell>
        </row>
        <row r="57">
          <cell r="E57" t="str">
            <v>pHW</v>
          </cell>
          <cell r="G57" t="str">
            <v>Y</v>
          </cell>
        </row>
        <row r="58">
          <cell r="E58" t="str">
            <v>pSW</v>
          </cell>
          <cell r="G58" t="str">
            <v>Y</v>
          </cell>
        </row>
        <row r="59">
          <cell r="E59" t="str">
            <v>oS&amp;AM</v>
          </cell>
          <cell r="G59" t="str">
            <v>Y</v>
          </cell>
        </row>
        <row r="60">
          <cell r="E60" t="str">
            <v>oRisk</v>
          </cell>
          <cell r="G60" t="str">
            <v>Y</v>
          </cell>
        </row>
        <row r="61">
          <cell r="E61" t="str">
            <v>oAS</v>
          </cell>
          <cell r="G61" t="str">
            <v>Y</v>
          </cell>
        </row>
        <row r="62">
          <cell r="E62" t="str">
            <v>oCSSD</v>
          </cell>
          <cell r="G62" t="str">
            <v>Y</v>
          </cell>
        </row>
        <row r="63">
          <cell r="E63" t="str">
            <v>oCSDS</v>
          </cell>
          <cell r="G63" t="str">
            <v>Y</v>
          </cell>
        </row>
        <row r="64">
          <cell r="E64" t="str">
            <v>oCSFM</v>
          </cell>
          <cell r="G64" t="str">
            <v>Y</v>
          </cell>
        </row>
        <row r="65">
          <cell r="E65" t="str">
            <v>oISDC</v>
          </cell>
          <cell r="G65" t="str">
            <v>Y</v>
          </cell>
        </row>
        <row r="66">
          <cell r="E66" t="str">
            <v>oISN</v>
          </cell>
          <cell r="G66" t="str">
            <v>Y</v>
          </cell>
        </row>
        <row r="67">
          <cell r="E67" t="str">
            <v>oISMR</v>
          </cell>
          <cell r="G67" t="str">
            <v>Y</v>
          </cell>
        </row>
        <row r="68">
          <cell r="E68" t="str">
            <v>oISz</v>
          </cell>
          <cell r="G68" t="str">
            <v>Y</v>
          </cell>
        </row>
        <row r="69">
          <cell r="E69" t="str">
            <v>oSG</v>
          </cell>
          <cell r="G69" t="str">
            <v>Y</v>
          </cell>
        </row>
        <row r="70">
          <cell r="E70" t="str">
            <v>oSS</v>
          </cell>
          <cell r="G70" t="str">
            <v>Y</v>
          </cell>
        </row>
        <row r="71">
          <cell r="E71" t="str">
            <v>oHW</v>
          </cell>
          <cell r="G71" t="str">
            <v>Y</v>
          </cell>
        </row>
        <row r="72">
          <cell r="E72" t="str">
            <v>oSW</v>
          </cell>
          <cell r="G72" t="str">
            <v>Y</v>
          </cell>
        </row>
        <row r="73">
          <cell r="E73" t="str">
            <v>oCasis</v>
          </cell>
          <cell r="G73" t="str">
            <v>Y</v>
          </cell>
        </row>
        <row r="74">
          <cell r="E74" t="str">
            <v>oSub</v>
          </cell>
          <cell r="G74" t="str">
            <v>Y</v>
          </cell>
        </row>
        <row r="75">
          <cell r="E75" t="str">
            <v>oZ</v>
          </cell>
          <cell r="G75" t="str">
            <v>Y</v>
          </cell>
        </row>
        <row r="76">
          <cell r="E76" t="str">
            <v>oZos</v>
          </cell>
          <cell r="G76" t="str">
            <v>Y</v>
          </cell>
        </row>
        <row r="78">
          <cell r="A78">
            <v>28</v>
          </cell>
        </row>
        <row r="80">
          <cell r="A80" t="str">
            <v>BAR Revenue Code</v>
          </cell>
        </row>
        <row r="84">
          <cell r="B84" t="str">
            <v>Managed Services</v>
          </cell>
        </row>
        <row r="85">
          <cell r="B85" t="str">
            <v>Consultancy</v>
          </cell>
        </row>
        <row r="86">
          <cell r="B86" t="str">
            <v>IT Solutions</v>
          </cell>
        </row>
        <row r="87">
          <cell r="B87" t="str">
            <v>Hardware (standalone)</v>
          </cell>
        </row>
        <row r="88">
          <cell r="B88" t="str">
            <v>Software (standalone)</v>
          </cell>
        </row>
        <row r="89">
          <cell r="B89" t="str">
            <v>Passthrough</v>
          </cell>
        </row>
        <row r="91">
          <cell r="A91">
            <v>6</v>
          </cell>
        </row>
        <row r="93">
          <cell r="A93" t="str">
            <v>Benchmarks</v>
          </cell>
        </row>
        <row r="98">
          <cell r="A98" t="str">
            <v>Bid &amp; Contract Dates</v>
          </cell>
        </row>
        <row r="100">
          <cell r="E100">
            <v>3</v>
          </cell>
        </row>
        <row r="101">
          <cell r="E101">
            <v>63</v>
          </cell>
        </row>
        <row r="103">
          <cell r="E103">
            <v>39814</v>
          </cell>
        </row>
        <row r="104">
          <cell r="E104">
            <v>41729</v>
          </cell>
        </row>
        <row r="106">
          <cell r="E106">
            <v>39539</v>
          </cell>
        </row>
        <row r="107">
          <cell r="E107">
            <v>41730</v>
          </cell>
        </row>
        <row r="109">
          <cell r="E109">
            <v>39722</v>
          </cell>
        </row>
        <row r="112">
          <cell r="A112" t="str">
            <v>Bid Details</v>
          </cell>
        </row>
        <row r="114">
          <cell r="E114" t="str">
            <v>Client Name</v>
          </cell>
        </row>
        <row r="115">
          <cell r="E115" t="str">
            <v>Bid Name</v>
          </cell>
        </row>
        <row r="116">
          <cell r="E116" t="str">
            <v>BU Name</v>
          </cell>
        </row>
        <row r="124">
          <cell r="A124" t="str">
            <v>Capability Units</v>
          </cell>
        </row>
        <row r="128">
          <cell r="F128" t="str">
            <v>Applications Development</v>
          </cell>
        </row>
        <row r="129">
          <cell r="F129" t="str">
            <v>Applications Support</v>
          </cell>
        </row>
        <row r="130">
          <cell r="F130" t="str">
            <v>Business Unit</v>
          </cell>
        </row>
        <row r="131">
          <cell r="F131" t="str">
            <v>Datacentre Operations</v>
          </cell>
        </row>
        <row r="132">
          <cell r="F132" t="str">
            <v>Deskside Services</v>
          </cell>
        </row>
        <row r="133">
          <cell r="F133" t="str">
            <v>EDRM</v>
          </cell>
        </row>
        <row r="134">
          <cell r="F134" t="str">
            <v>Enterprise Management</v>
          </cell>
        </row>
        <row r="135">
          <cell r="F135" t="str">
            <v>Field Maintenance Service</v>
          </cell>
        </row>
        <row r="136">
          <cell r="F136" t="str">
            <v>Firewall team</v>
          </cell>
        </row>
        <row r="137">
          <cell r="F137" t="str">
            <v>Information Assurance Practice</v>
          </cell>
        </row>
        <row r="138">
          <cell r="F138" t="str">
            <v>IS - Mainframe IBM</v>
          </cell>
        </row>
        <row r="139">
          <cell r="F139" t="str">
            <v>IS - IMS</v>
          </cell>
        </row>
        <row r="140">
          <cell r="F140" t="str">
            <v>IS - Mid Range</v>
          </cell>
        </row>
        <row r="141">
          <cell r="F141" t="str">
            <v>Network Services</v>
          </cell>
        </row>
        <row r="142">
          <cell r="F142" t="str">
            <v>Oracle Practice</v>
          </cell>
        </row>
        <row r="143">
          <cell r="F143" t="str">
            <v>Project Management</v>
          </cell>
        </row>
        <row r="144">
          <cell r="F144" t="str">
            <v>SAP Practice</v>
          </cell>
        </row>
        <row r="145">
          <cell r="F145" t="str">
            <v>Supply Chain Services</v>
          </cell>
        </row>
        <row r="146">
          <cell r="F146" t="str">
            <v>Service Desk</v>
          </cell>
        </row>
        <row r="147">
          <cell r="F147" t="str">
            <v>Solution Group</v>
          </cell>
        </row>
        <row r="148">
          <cell r="F148" t="str">
            <v>Service Management</v>
          </cell>
        </row>
        <row r="149">
          <cell r="F149" t="str">
            <v>Sourcing &amp; Supply</v>
          </cell>
        </row>
        <row r="150">
          <cell r="F150" t="str">
            <v>Storage Consultancy</v>
          </cell>
        </row>
        <row r="151">
          <cell r="F151" t="str">
            <v>Test &amp; Validation</v>
          </cell>
        </row>
        <row r="152">
          <cell r="F152" t="str">
            <v>TRIOLE</v>
          </cell>
        </row>
        <row r="153">
          <cell r="F153" t="str">
            <v>BT</v>
          </cell>
        </row>
        <row r="154">
          <cell r="F154" t="str">
            <v>3rd Party Contracts</v>
          </cell>
        </row>
        <row r="155">
          <cell r="F155" t="str">
            <v>spare3</v>
          </cell>
        </row>
        <row r="156">
          <cell r="F156" t="str">
            <v>spare4</v>
          </cell>
        </row>
        <row r="157">
          <cell r="F157" t="str">
            <v>spare5</v>
          </cell>
        </row>
        <row r="158">
          <cell r="F158" t="str">
            <v>spare6</v>
          </cell>
        </row>
        <row r="159">
          <cell r="F159" t="str">
            <v>Other</v>
          </cell>
        </row>
        <row r="161">
          <cell r="A161">
            <v>32</v>
          </cell>
        </row>
        <row r="163">
          <cell r="A163" t="str">
            <v>Capex / Opex</v>
          </cell>
        </row>
        <row r="167">
          <cell r="E167" t="str">
            <v>Capex</v>
          </cell>
        </row>
        <row r="168">
          <cell r="E168" t="str">
            <v>Opex</v>
          </cell>
        </row>
        <row r="170">
          <cell r="A170">
            <v>2</v>
          </cell>
        </row>
        <row r="172">
          <cell r="A172" t="str">
            <v>Capital Life Of Assets</v>
          </cell>
        </row>
        <row r="178">
          <cell r="E178" t="str">
            <v>3 years</v>
          </cell>
        </row>
        <row r="179">
          <cell r="E179" t="str">
            <v>5 years</v>
          </cell>
        </row>
        <row r="180">
          <cell r="E180" t="str">
            <v>7 years</v>
          </cell>
        </row>
        <row r="183">
          <cell r="A183">
            <v>3</v>
          </cell>
        </row>
        <row r="185">
          <cell r="A185" t="str">
            <v>Cost Classification</v>
          </cell>
        </row>
        <row r="189">
          <cell r="E189" t="str">
            <v>App</v>
          </cell>
        </row>
        <row r="190">
          <cell r="E190" t="str">
            <v>CPU</v>
          </cell>
        </row>
        <row r="191">
          <cell r="E191" t="str">
            <v>DB</v>
          </cell>
        </row>
        <row r="192">
          <cell r="E192" t="str">
            <v>Desktop</v>
          </cell>
        </row>
        <row r="193">
          <cell r="E193" t="str">
            <v>Discs</v>
          </cell>
        </row>
        <row r="194">
          <cell r="E194" t="str">
            <v>EM</v>
          </cell>
        </row>
        <row r="195">
          <cell r="E195" t="str">
            <v>Firewall</v>
          </cell>
        </row>
        <row r="196">
          <cell r="E196" t="str">
            <v>LAN</v>
          </cell>
        </row>
        <row r="197">
          <cell r="E197" t="str">
            <v>Mid</v>
          </cell>
        </row>
        <row r="198">
          <cell r="E198" t="str">
            <v>Network</v>
          </cell>
        </row>
        <row r="199">
          <cell r="E199" t="str">
            <v>OS</v>
          </cell>
        </row>
        <row r="200">
          <cell r="E200" t="str">
            <v>PCI</v>
          </cell>
        </row>
        <row r="201">
          <cell r="E201" t="str">
            <v>PDA</v>
          </cell>
        </row>
        <row r="202">
          <cell r="E202" t="str">
            <v>Person</v>
          </cell>
        </row>
        <row r="203">
          <cell r="E203" t="str">
            <v>Printer</v>
          </cell>
        </row>
        <row r="204">
          <cell r="E204" t="str">
            <v>Rack</v>
          </cell>
        </row>
        <row r="205">
          <cell r="E205" t="str">
            <v>Risk</v>
          </cell>
        </row>
        <row r="206">
          <cell r="E206" t="str">
            <v>Safe</v>
          </cell>
        </row>
        <row r="207">
          <cell r="E207" t="str">
            <v>SAN</v>
          </cell>
        </row>
        <row r="208">
          <cell r="E208" t="str">
            <v>Screen</v>
          </cell>
        </row>
        <row r="209">
          <cell r="E209" t="str">
            <v>Security</v>
          </cell>
        </row>
        <row r="210">
          <cell r="E210" t="str">
            <v>Server</v>
          </cell>
        </row>
        <row r="211">
          <cell r="E211" t="str">
            <v>Storage</v>
          </cell>
        </row>
        <row r="212">
          <cell r="E212" t="str">
            <v>Tapes</v>
          </cell>
        </row>
        <row r="213">
          <cell r="E213" t="str">
            <v>WAN</v>
          </cell>
        </row>
        <row r="215">
          <cell r="A215">
            <v>25</v>
          </cell>
        </row>
        <row r="217">
          <cell r="A217" t="str">
            <v>Cost of Money</v>
          </cell>
        </row>
        <row r="220">
          <cell r="E220">
            <v>0.129</v>
          </cell>
        </row>
        <row r="226">
          <cell r="A226" t="str">
            <v>Cost Phase</v>
          </cell>
        </row>
        <row r="230">
          <cell r="E230" t="str">
            <v>TRA</v>
          </cell>
        </row>
        <row r="231">
          <cell r="E231" t="str">
            <v>TRF</v>
          </cell>
        </row>
        <row r="232">
          <cell r="E232" t="str">
            <v>TFR</v>
          </cell>
        </row>
        <row r="233">
          <cell r="E233" t="str">
            <v>ASIS</v>
          </cell>
        </row>
        <row r="234">
          <cell r="E234" t="str">
            <v>TOBE</v>
          </cell>
        </row>
        <row r="235">
          <cell r="E235" t="str">
            <v>EXT</v>
          </cell>
        </row>
        <row r="237">
          <cell r="A237">
            <v>6</v>
          </cell>
        </row>
        <row r="239">
          <cell r="A239" t="str">
            <v>Cost Types</v>
          </cell>
        </row>
        <row r="243">
          <cell r="F243" t="str">
            <v>Contingency</v>
          </cell>
          <cell r="G243" t="str">
            <v>Y</v>
          </cell>
        </row>
        <row r="244">
          <cell r="F244" t="str">
            <v>Hardware</v>
          </cell>
          <cell r="G244" t="str">
            <v>Y</v>
          </cell>
        </row>
        <row r="245">
          <cell r="F245" t="str">
            <v>Hardware Maint</v>
          </cell>
          <cell r="G245" t="str">
            <v>Y</v>
          </cell>
        </row>
        <row r="246">
          <cell r="F246" t="str">
            <v>Infrastructure</v>
          </cell>
          <cell r="G246" t="str">
            <v>Y</v>
          </cell>
        </row>
        <row r="247">
          <cell r="F247" t="str">
            <v>Labour</v>
          </cell>
          <cell r="G247" t="str">
            <v>Y</v>
          </cell>
        </row>
        <row r="248">
          <cell r="F248" t="str">
            <v>Data Network</v>
          </cell>
          <cell r="G248" t="str">
            <v>Y</v>
          </cell>
        </row>
        <row r="249">
          <cell r="F249" t="str">
            <v>Other</v>
          </cell>
          <cell r="G249" t="str">
            <v>Y</v>
          </cell>
        </row>
        <row r="250">
          <cell r="F250" t="str">
            <v>Pass through</v>
          </cell>
          <cell r="G250" t="str">
            <v>Y</v>
          </cell>
        </row>
        <row r="251">
          <cell r="F251" t="str">
            <v>Software</v>
          </cell>
          <cell r="G251" t="str">
            <v>Y</v>
          </cell>
        </row>
        <row r="252">
          <cell r="F252" t="str">
            <v>Software Maint</v>
          </cell>
          <cell r="G252" t="str">
            <v>Y</v>
          </cell>
        </row>
        <row r="253">
          <cell r="F253" t="str">
            <v>Third Party</v>
          </cell>
          <cell r="G253" t="str">
            <v>Y</v>
          </cell>
        </row>
        <row r="255">
          <cell r="A255">
            <v>11</v>
          </cell>
        </row>
        <row r="257">
          <cell r="A257" t="str">
            <v>Currency Preferences</v>
          </cell>
        </row>
        <row r="259">
          <cell r="EZ259">
            <v>0</v>
          </cell>
        </row>
        <row r="266">
          <cell r="A266" t="str">
            <v>Currency Rates</v>
          </cell>
          <cell r="D266">
            <v>0</v>
          </cell>
        </row>
        <row r="268">
          <cell r="E268" t="str">
            <v>EUR</v>
          </cell>
        </row>
        <row r="271">
          <cell r="E271" t="str">
            <v>GBP</v>
          </cell>
        </row>
        <row r="272">
          <cell r="E272" t="str">
            <v>EUR</v>
          </cell>
        </row>
        <row r="273">
          <cell r="E273" t="str">
            <v>USD</v>
          </cell>
        </row>
        <row r="274">
          <cell r="E274" t="str">
            <v>AED</v>
          </cell>
        </row>
        <row r="275">
          <cell r="E275" t="str">
            <v>CHF</v>
          </cell>
        </row>
        <row r="276">
          <cell r="E276" t="str">
            <v>AUD</v>
          </cell>
        </row>
        <row r="277">
          <cell r="E277" t="str">
            <v>INR</v>
          </cell>
        </row>
        <row r="278">
          <cell r="E278" t="str">
            <v>ZZZ</v>
          </cell>
        </row>
        <row r="279">
          <cell r="E279" t="str">
            <v>YYY</v>
          </cell>
        </row>
        <row r="281">
          <cell r="A281">
            <v>9</v>
          </cell>
        </row>
        <row r="286">
          <cell r="A286" t="str">
            <v>Customer's Service Codes</v>
          </cell>
        </row>
        <row r="288">
          <cell r="A288" t="str">
            <v>Custmer Service Code</v>
          </cell>
        </row>
        <row r="290">
          <cell r="E290" t="str">
            <v>ZZZ</v>
          </cell>
          <cell r="G290" t="str">
            <v>Y</v>
          </cell>
        </row>
        <row r="291">
          <cell r="E291" t="str">
            <v>1_ATP</v>
          </cell>
          <cell r="G291" t="str">
            <v>Y</v>
          </cell>
        </row>
        <row r="292">
          <cell r="E292" t="str">
            <v>2_ATP</v>
          </cell>
          <cell r="G292" t="str">
            <v>Y</v>
          </cell>
        </row>
        <row r="293">
          <cell r="E293" t="str">
            <v>3_ATP</v>
          </cell>
          <cell r="G293" t="str">
            <v>Y</v>
          </cell>
        </row>
        <row r="294">
          <cell r="E294" t="str">
            <v>4_ATP</v>
          </cell>
          <cell r="G294" t="str">
            <v>Y</v>
          </cell>
        </row>
        <row r="295">
          <cell r="E295" t="str">
            <v>5_ATP</v>
          </cell>
          <cell r="G295" t="str">
            <v>Y</v>
          </cell>
        </row>
        <row r="296">
          <cell r="E296" t="str">
            <v>6_ATP</v>
          </cell>
          <cell r="G296" t="str">
            <v>Y</v>
          </cell>
        </row>
        <row r="297">
          <cell r="E297" t="str">
            <v>7_ATP</v>
          </cell>
          <cell r="G297" t="str">
            <v>Y</v>
          </cell>
        </row>
        <row r="298">
          <cell r="E298" t="str">
            <v>8_ATP</v>
          </cell>
          <cell r="G298" t="str">
            <v>Y</v>
          </cell>
        </row>
        <row r="299">
          <cell r="E299" t="str">
            <v>9_ATP</v>
          </cell>
          <cell r="G299" t="str">
            <v>Y</v>
          </cell>
        </row>
        <row r="300">
          <cell r="E300" t="str">
            <v>Sp_1</v>
          </cell>
          <cell r="G300" t="str">
            <v>Y</v>
          </cell>
        </row>
        <row r="301">
          <cell r="E301" t="str">
            <v>Sp_2</v>
          </cell>
          <cell r="G301" t="str">
            <v>Y</v>
          </cell>
        </row>
        <row r="302">
          <cell r="E302" t="str">
            <v>Sp_3</v>
          </cell>
          <cell r="G302" t="str">
            <v>Y</v>
          </cell>
        </row>
        <row r="303">
          <cell r="E303" t="str">
            <v>Sp_4</v>
          </cell>
          <cell r="G303" t="str">
            <v>Y</v>
          </cell>
        </row>
        <row r="304">
          <cell r="E304" t="str">
            <v>Sp_5</v>
          </cell>
          <cell r="G304" t="str">
            <v>Y</v>
          </cell>
        </row>
        <row r="305">
          <cell r="E305" t="str">
            <v>N/A</v>
          </cell>
          <cell r="G305" t="str">
            <v>Y</v>
          </cell>
        </row>
        <row r="307">
          <cell r="A307">
            <v>16</v>
          </cell>
        </row>
        <row r="309">
          <cell r="A309" t="str">
            <v>Sub-Country</v>
          </cell>
        </row>
        <row r="311">
          <cell r="E311" t="str">
            <v>CustomerCodeB1</v>
          </cell>
        </row>
        <row r="312">
          <cell r="E312" t="str">
            <v>CustomerCodeB2</v>
          </cell>
        </row>
        <row r="313">
          <cell r="E313" t="str">
            <v>CustomerCodeB3</v>
          </cell>
        </row>
        <row r="314">
          <cell r="E314" t="str">
            <v>CustomerCodeB4</v>
          </cell>
        </row>
        <row r="315">
          <cell r="E315" t="str">
            <v>CustomerCodeB5</v>
          </cell>
        </row>
        <row r="316">
          <cell r="E316" t="str">
            <v>CustomerCodeB6</v>
          </cell>
        </row>
        <row r="318">
          <cell r="A318">
            <v>6</v>
          </cell>
        </row>
        <row r="320">
          <cell r="A320" t="str">
            <v>Operating Entity</v>
          </cell>
        </row>
        <row r="322">
          <cell r="E322" t="str">
            <v>CustomerCodeC1</v>
          </cell>
        </row>
        <row r="323">
          <cell r="E323" t="str">
            <v>CustomerCodeC2</v>
          </cell>
        </row>
        <row r="324">
          <cell r="E324" t="str">
            <v>CustomerCodeC3</v>
          </cell>
        </row>
        <row r="325">
          <cell r="E325" t="str">
            <v>CustomerCodeC4</v>
          </cell>
        </row>
        <row r="326">
          <cell r="E326" t="str">
            <v>CustomerCodeC5</v>
          </cell>
        </row>
        <row r="327">
          <cell r="E327" t="str">
            <v>CustomerCodeC6</v>
          </cell>
        </row>
        <row r="329">
          <cell r="A329">
            <v>6</v>
          </cell>
        </row>
        <row r="331">
          <cell r="A331" t="str">
            <v>Tower</v>
          </cell>
        </row>
        <row r="333">
          <cell r="E333" t="str">
            <v>CustomerCodeD1</v>
          </cell>
        </row>
        <row r="334">
          <cell r="E334" t="str">
            <v>CustomerCodeD2</v>
          </cell>
        </row>
        <row r="335">
          <cell r="E335" t="str">
            <v>CustomerCodeD3</v>
          </cell>
        </row>
        <row r="336">
          <cell r="E336" t="str">
            <v>CustomerCodeD4</v>
          </cell>
        </row>
        <row r="337">
          <cell r="E337" t="str">
            <v>CustomerCodeD5</v>
          </cell>
        </row>
        <row r="338">
          <cell r="E338" t="str">
            <v>CustomerCodeD6</v>
          </cell>
        </row>
        <row r="340">
          <cell r="A340">
            <v>6</v>
          </cell>
        </row>
        <row r="342">
          <cell r="A342" t="str">
            <v>Category</v>
          </cell>
        </row>
        <row r="344">
          <cell r="E344" t="str">
            <v>CustomerCodeE1</v>
          </cell>
        </row>
        <row r="345">
          <cell r="E345" t="str">
            <v>CustomerCodeE2</v>
          </cell>
        </row>
        <row r="346">
          <cell r="E346" t="str">
            <v>CustomerCodeE3</v>
          </cell>
        </row>
        <row r="347">
          <cell r="E347" t="str">
            <v>CustomerCodeE4</v>
          </cell>
        </row>
        <row r="348">
          <cell r="E348" t="str">
            <v>CustomerCodeE5</v>
          </cell>
        </row>
        <row r="349">
          <cell r="E349" t="str">
            <v>CustomerCodeE6</v>
          </cell>
        </row>
        <row r="351">
          <cell r="A351">
            <v>6</v>
          </cell>
        </row>
        <row r="353">
          <cell r="A353" t="str">
            <v>Customer Code F</v>
          </cell>
        </row>
        <row r="355">
          <cell r="E355" t="str">
            <v>CustomerCodeF1</v>
          </cell>
        </row>
        <row r="356">
          <cell r="E356" t="str">
            <v>CustomerCodeF2</v>
          </cell>
        </row>
        <row r="357">
          <cell r="E357" t="str">
            <v>CustomerCodeF3</v>
          </cell>
        </row>
        <row r="358">
          <cell r="E358" t="str">
            <v>CustomerCodeF4</v>
          </cell>
        </row>
        <row r="359">
          <cell r="E359" t="str">
            <v>CustomerCodeF5</v>
          </cell>
        </row>
        <row r="360">
          <cell r="E360" t="str">
            <v>CustomerCodeF6</v>
          </cell>
        </row>
        <row r="362">
          <cell r="A362">
            <v>6</v>
          </cell>
        </row>
        <row r="365">
          <cell r="A365" t="str">
            <v>Delivery Country</v>
          </cell>
        </row>
        <row r="369">
          <cell r="E369" t="str">
            <v>ARG</v>
          </cell>
        </row>
        <row r="370">
          <cell r="E370" t="str">
            <v>ALB</v>
          </cell>
        </row>
        <row r="371">
          <cell r="E371" t="str">
            <v>ALG</v>
          </cell>
        </row>
        <row r="372">
          <cell r="E372" t="str">
            <v>AND</v>
          </cell>
        </row>
        <row r="373">
          <cell r="E373" t="str">
            <v>ARM</v>
          </cell>
        </row>
        <row r="374">
          <cell r="E374" t="str">
            <v>ARU</v>
          </cell>
        </row>
        <row r="375">
          <cell r="E375" t="str">
            <v>AUS</v>
          </cell>
        </row>
        <row r="376">
          <cell r="E376" t="str">
            <v>AUT</v>
          </cell>
        </row>
        <row r="377">
          <cell r="E377" t="str">
            <v>AZE</v>
          </cell>
        </row>
        <row r="378">
          <cell r="E378" t="str">
            <v>BAM</v>
          </cell>
        </row>
        <row r="379">
          <cell r="E379" t="str">
            <v>BAH</v>
          </cell>
        </row>
        <row r="380">
          <cell r="E380" t="str">
            <v>BAN</v>
          </cell>
        </row>
        <row r="381">
          <cell r="E381" t="str">
            <v>BAR</v>
          </cell>
        </row>
        <row r="382">
          <cell r="E382" t="str">
            <v>BEA</v>
          </cell>
        </row>
        <row r="383">
          <cell r="E383" t="str">
            <v>BEL</v>
          </cell>
        </row>
        <row r="384">
          <cell r="E384" t="str">
            <v>BOS</v>
          </cell>
        </row>
        <row r="385">
          <cell r="E385" t="str">
            <v>BOT</v>
          </cell>
        </row>
        <row r="386">
          <cell r="E386" t="str">
            <v>BRA</v>
          </cell>
        </row>
        <row r="387">
          <cell r="E387" t="str">
            <v>BRU</v>
          </cell>
        </row>
        <row r="388">
          <cell r="E388" t="str">
            <v>BUL</v>
          </cell>
        </row>
        <row r="389">
          <cell r="E389" t="str">
            <v>CAM</v>
          </cell>
        </row>
        <row r="390">
          <cell r="E390" t="str">
            <v>CMO</v>
          </cell>
        </row>
        <row r="391">
          <cell r="E391" t="str">
            <v>CAN</v>
          </cell>
        </row>
        <row r="392">
          <cell r="E392" t="str">
            <v>CHI</v>
          </cell>
        </row>
        <row r="393">
          <cell r="E393" t="str">
            <v>CHN</v>
          </cell>
        </row>
        <row r="394">
          <cell r="E394" t="str">
            <v>COL</v>
          </cell>
        </row>
        <row r="395">
          <cell r="E395" t="str">
            <v>CON</v>
          </cell>
        </row>
        <row r="396">
          <cell r="E396" t="str">
            <v>COS</v>
          </cell>
        </row>
        <row r="397">
          <cell r="E397" t="str">
            <v>CRO</v>
          </cell>
        </row>
        <row r="398">
          <cell r="E398" t="str">
            <v>CYP</v>
          </cell>
        </row>
        <row r="399">
          <cell r="E399" t="str">
            <v>CZE</v>
          </cell>
        </row>
        <row r="400">
          <cell r="E400" t="str">
            <v>DEN</v>
          </cell>
        </row>
        <row r="401">
          <cell r="E401" t="str">
            <v>ECU</v>
          </cell>
        </row>
        <row r="402">
          <cell r="E402" t="str">
            <v>EGY</v>
          </cell>
        </row>
        <row r="403">
          <cell r="E403" t="str">
            <v>ELS</v>
          </cell>
        </row>
        <row r="404">
          <cell r="E404" t="str">
            <v>EST</v>
          </cell>
        </row>
        <row r="405">
          <cell r="E405" t="str">
            <v>ETH</v>
          </cell>
        </row>
        <row r="406">
          <cell r="E406" t="str">
            <v>FIN</v>
          </cell>
        </row>
        <row r="407">
          <cell r="E407" t="str">
            <v>FRA</v>
          </cell>
        </row>
        <row r="408">
          <cell r="E408" t="str">
            <v>GEO</v>
          </cell>
        </row>
        <row r="409">
          <cell r="E409" t="str">
            <v>GER</v>
          </cell>
        </row>
        <row r="410">
          <cell r="E410" t="str">
            <v>GHA</v>
          </cell>
        </row>
        <row r="411">
          <cell r="E411" t="str">
            <v>GIB</v>
          </cell>
        </row>
        <row r="412">
          <cell r="E412" t="str">
            <v>GRE</v>
          </cell>
        </row>
        <row r="413">
          <cell r="E413" t="str">
            <v>GUM</v>
          </cell>
        </row>
        <row r="414">
          <cell r="E414" t="str">
            <v>GUA</v>
          </cell>
        </row>
        <row r="415">
          <cell r="E415" t="str">
            <v>HON</v>
          </cell>
        </row>
        <row r="416">
          <cell r="E416" t="str">
            <v>HUN</v>
          </cell>
        </row>
        <row r="417">
          <cell r="E417" t="str">
            <v>ICE</v>
          </cell>
        </row>
        <row r="418">
          <cell r="E418" t="str">
            <v>IND</v>
          </cell>
        </row>
        <row r="419">
          <cell r="E419" t="str">
            <v>INO</v>
          </cell>
        </row>
        <row r="420">
          <cell r="E420" t="str">
            <v>IRA</v>
          </cell>
        </row>
        <row r="421">
          <cell r="E421" t="str">
            <v>IRE</v>
          </cell>
        </row>
        <row r="422">
          <cell r="E422" t="str">
            <v>ISR</v>
          </cell>
        </row>
        <row r="423">
          <cell r="E423" t="str">
            <v>ITA</v>
          </cell>
        </row>
        <row r="424">
          <cell r="E424" t="str">
            <v>IVO</v>
          </cell>
        </row>
        <row r="425">
          <cell r="E425" t="str">
            <v>JAM</v>
          </cell>
        </row>
        <row r="426">
          <cell r="E426" t="str">
            <v>JAP</v>
          </cell>
        </row>
        <row r="427">
          <cell r="E427" t="str">
            <v>JOR</v>
          </cell>
        </row>
        <row r="428">
          <cell r="E428" t="str">
            <v>KAZ</v>
          </cell>
        </row>
        <row r="429">
          <cell r="E429" t="str">
            <v>KEN</v>
          </cell>
        </row>
        <row r="430">
          <cell r="E430" t="str">
            <v>KOR</v>
          </cell>
        </row>
        <row r="431">
          <cell r="E431" t="str">
            <v>KUW</v>
          </cell>
        </row>
        <row r="432">
          <cell r="E432" t="str">
            <v>KYR</v>
          </cell>
        </row>
        <row r="433">
          <cell r="E433" t="str">
            <v>LAT</v>
          </cell>
        </row>
        <row r="434">
          <cell r="E434" t="str">
            <v>LEB</v>
          </cell>
        </row>
        <row r="435">
          <cell r="E435" t="str">
            <v>LIB</v>
          </cell>
        </row>
        <row r="436">
          <cell r="E436" t="str">
            <v>LIT</v>
          </cell>
        </row>
        <row r="437">
          <cell r="E437" t="str">
            <v>LUX</v>
          </cell>
        </row>
        <row r="438">
          <cell r="E438" t="str">
            <v>MAC</v>
          </cell>
        </row>
        <row r="439">
          <cell r="E439" t="str">
            <v>MAL</v>
          </cell>
        </row>
        <row r="440">
          <cell r="E440" t="str">
            <v>MAD</v>
          </cell>
        </row>
        <row r="441">
          <cell r="E441" t="str">
            <v>MAT</v>
          </cell>
        </row>
        <row r="442">
          <cell r="E442" t="str">
            <v>MAU</v>
          </cell>
        </row>
        <row r="443">
          <cell r="E443" t="str">
            <v>MEX</v>
          </cell>
        </row>
        <row r="444">
          <cell r="E444" t="str">
            <v>MOL</v>
          </cell>
        </row>
        <row r="445">
          <cell r="E445" t="str">
            <v>MON</v>
          </cell>
        </row>
        <row r="446">
          <cell r="E446" t="str">
            <v>MOR</v>
          </cell>
        </row>
        <row r="447">
          <cell r="E447" t="str">
            <v>MYA</v>
          </cell>
        </row>
        <row r="448">
          <cell r="E448" t="str">
            <v>NAM</v>
          </cell>
        </row>
        <row r="449">
          <cell r="E449" t="str">
            <v>NEP</v>
          </cell>
        </row>
        <row r="450">
          <cell r="E450" t="str">
            <v>NET</v>
          </cell>
        </row>
        <row r="451">
          <cell r="E451" t="str">
            <v>NEW</v>
          </cell>
        </row>
        <row r="452">
          <cell r="E452" t="str">
            <v>NIC</v>
          </cell>
        </row>
        <row r="453">
          <cell r="E453" t="str">
            <v>NIG</v>
          </cell>
        </row>
        <row r="454">
          <cell r="E454" t="str">
            <v>NOR</v>
          </cell>
        </row>
        <row r="455">
          <cell r="E455" t="str">
            <v>OMA</v>
          </cell>
        </row>
        <row r="456">
          <cell r="E456" t="str">
            <v>PAK</v>
          </cell>
        </row>
        <row r="457">
          <cell r="E457" t="str">
            <v>PAN</v>
          </cell>
        </row>
        <row r="458">
          <cell r="E458" t="str">
            <v>PAR</v>
          </cell>
        </row>
        <row r="459">
          <cell r="E459" t="str">
            <v>PER</v>
          </cell>
        </row>
        <row r="460">
          <cell r="E460" t="str">
            <v>PHI</v>
          </cell>
        </row>
        <row r="461">
          <cell r="E461" t="str">
            <v>POL</v>
          </cell>
        </row>
        <row r="462">
          <cell r="E462" t="str">
            <v>POR</v>
          </cell>
        </row>
        <row r="463">
          <cell r="E463" t="str">
            <v>PUE</v>
          </cell>
        </row>
        <row r="464">
          <cell r="E464" t="str">
            <v>QAT</v>
          </cell>
        </row>
        <row r="465">
          <cell r="E465" t="str">
            <v>ROM</v>
          </cell>
        </row>
        <row r="466">
          <cell r="E466" t="str">
            <v>RUS</v>
          </cell>
        </row>
        <row r="467">
          <cell r="E467" t="str">
            <v>SAN</v>
          </cell>
        </row>
        <row r="468">
          <cell r="E468" t="str">
            <v>SAU</v>
          </cell>
        </row>
        <row r="469">
          <cell r="E469" t="str">
            <v>SER</v>
          </cell>
        </row>
        <row r="470">
          <cell r="E470" t="str">
            <v>SIN</v>
          </cell>
        </row>
        <row r="471">
          <cell r="E471" t="str">
            <v>SLO</v>
          </cell>
        </row>
        <row r="472">
          <cell r="E472" t="str">
            <v>SLV</v>
          </cell>
        </row>
        <row r="473">
          <cell r="E473" t="str">
            <v>SAF</v>
          </cell>
        </row>
        <row r="474">
          <cell r="E474" t="str">
            <v>SOU</v>
          </cell>
        </row>
        <row r="475">
          <cell r="E475" t="str">
            <v>SPA</v>
          </cell>
        </row>
        <row r="476">
          <cell r="E476" t="str">
            <v>SRI</v>
          </cell>
        </row>
        <row r="477">
          <cell r="E477" t="str">
            <v>SWE</v>
          </cell>
        </row>
        <row r="478">
          <cell r="E478" t="str">
            <v>SWI</v>
          </cell>
        </row>
        <row r="479">
          <cell r="E479" t="str">
            <v>SYR</v>
          </cell>
        </row>
        <row r="480">
          <cell r="E480" t="str">
            <v>TAI</v>
          </cell>
        </row>
        <row r="481">
          <cell r="E481" t="str">
            <v>TAJ</v>
          </cell>
        </row>
        <row r="482">
          <cell r="E482" t="str">
            <v>THA</v>
          </cell>
        </row>
        <row r="483">
          <cell r="E483" t="str">
            <v>TRI</v>
          </cell>
        </row>
        <row r="484">
          <cell r="E484" t="str">
            <v>TUN</v>
          </cell>
        </row>
        <row r="485">
          <cell r="E485" t="str">
            <v>TUR</v>
          </cell>
        </row>
        <row r="486">
          <cell r="E486" t="str">
            <v>UKR</v>
          </cell>
        </row>
        <row r="487">
          <cell r="E487" t="str">
            <v>UAE</v>
          </cell>
        </row>
        <row r="488">
          <cell r="E488" t="str">
            <v>UNI</v>
          </cell>
        </row>
        <row r="489">
          <cell r="E489" t="str">
            <v>USA</v>
          </cell>
        </row>
        <row r="490">
          <cell r="E490" t="str">
            <v>URU</v>
          </cell>
        </row>
        <row r="491">
          <cell r="E491" t="str">
            <v>UZB</v>
          </cell>
        </row>
        <row r="492">
          <cell r="E492" t="str">
            <v>VEN</v>
          </cell>
        </row>
        <row r="493">
          <cell r="E493" t="str">
            <v>VIE</v>
          </cell>
        </row>
        <row r="494">
          <cell r="E494" t="str">
            <v>VIR</v>
          </cell>
        </row>
        <row r="495">
          <cell r="E495" t="str">
            <v>YEM</v>
          </cell>
        </row>
        <row r="497">
          <cell r="A497">
            <v>127</v>
          </cell>
        </row>
        <row r="499">
          <cell r="A499" t="str">
            <v>ForV</v>
          </cell>
        </row>
        <row r="503">
          <cell r="E503" t="str">
            <v>F</v>
          </cell>
        </row>
        <row r="504">
          <cell r="E504" t="str">
            <v>V</v>
          </cell>
        </row>
        <row r="506">
          <cell r="A506">
            <v>2</v>
          </cell>
        </row>
        <row r="508">
          <cell r="A508" t="str">
            <v>Indexation Rates</v>
          </cell>
          <cell r="D508">
            <v>0</v>
          </cell>
        </row>
        <row r="514">
          <cell r="B514" t="str">
            <v>CEL</v>
          </cell>
        </row>
        <row r="515">
          <cell r="B515" t="str">
            <v>RPI</v>
          </cell>
        </row>
        <row r="516">
          <cell r="B516" t="str">
            <v>CPI</v>
          </cell>
        </row>
        <row r="517">
          <cell r="B517" t="str">
            <v>Hardware Maintenance</v>
          </cell>
        </row>
        <row r="518">
          <cell r="B518" t="str">
            <v>Infrastructure</v>
          </cell>
        </row>
        <row r="519">
          <cell r="B519" t="str">
            <v>Labour</v>
          </cell>
        </row>
        <row r="520">
          <cell r="B520" t="str">
            <v>Data Network</v>
          </cell>
        </row>
        <row r="521">
          <cell r="B521" t="str">
            <v>Voice Network</v>
          </cell>
        </row>
        <row r="522">
          <cell r="B522" t="str">
            <v>Pass through</v>
          </cell>
        </row>
        <row r="523">
          <cell r="B523" t="str">
            <v>Software</v>
          </cell>
        </row>
        <row r="524">
          <cell r="B524" t="str">
            <v>Software Maintenance</v>
          </cell>
        </row>
        <row r="525">
          <cell r="B525" t="str">
            <v>Third Party</v>
          </cell>
        </row>
        <row r="526">
          <cell r="B526" t="str">
            <v>OCTOBER</v>
          </cell>
        </row>
        <row r="527">
          <cell r="B527" t="str">
            <v>None</v>
          </cell>
        </row>
        <row r="529">
          <cell r="A529">
            <v>14</v>
          </cell>
        </row>
        <row r="553">
          <cell r="A553" t="str">
            <v>Lease Financing</v>
          </cell>
        </row>
        <row r="557">
          <cell r="E557" t="str">
            <v>N/A</v>
          </cell>
          <cell r="G557">
            <v>0</v>
          </cell>
        </row>
        <row r="558">
          <cell r="E558" t="str">
            <v>Le1</v>
          </cell>
          <cell r="G558">
            <v>0.05</v>
          </cell>
        </row>
        <row r="559">
          <cell r="E559" t="str">
            <v>Le2</v>
          </cell>
          <cell r="G559">
            <v>0.06</v>
          </cell>
        </row>
        <row r="560">
          <cell r="E560" t="str">
            <v>Le3</v>
          </cell>
          <cell r="G560">
            <v>0.04</v>
          </cell>
        </row>
        <row r="561">
          <cell r="E561" t="str">
            <v>Le4</v>
          </cell>
          <cell r="G561">
            <v>0.03</v>
          </cell>
        </row>
        <row r="562">
          <cell r="E562" t="str">
            <v>Le5</v>
          </cell>
          <cell r="G562">
            <v>0.02</v>
          </cell>
        </row>
        <row r="563">
          <cell r="E563" t="str">
            <v>Le6</v>
          </cell>
          <cell r="G563">
            <v>7.0000000000000007E-2</v>
          </cell>
        </row>
        <row r="564">
          <cell r="E564" t="str">
            <v>Le7</v>
          </cell>
          <cell r="G564">
            <v>0.14000000000000001</v>
          </cell>
        </row>
        <row r="566">
          <cell r="A566">
            <v>8</v>
          </cell>
        </row>
        <row r="568">
          <cell r="A568" t="str">
            <v>Margin</v>
          </cell>
        </row>
        <row r="572">
          <cell r="B572" t="str">
            <v>Managed Services</v>
          </cell>
          <cell r="E572">
            <v>0.22</v>
          </cell>
        </row>
        <row r="573">
          <cell r="B573" t="str">
            <v>Consultancy</v>
          </cell>
          <cell r="E573">
            <v>0.22</v>
          </cell>
        </row>
        <row r="574">
          <cell r="B574" t="str">
            <v>IT Solutions</v>
          </cell>
          <cell r="E574">
            <v>0.22</v>
          </cell>
        </row>
        <row r="575">
          <cell r="B575" t="str">
            <v>Hardware (standalone)</v>
          </cell>
          <cell r="E575">
            <v>0.22</v>
          </cell>
        </row>
        <row r="576">
          <cell r="B576" t="str">
            <v>Software (standalone)</v>
          </cell>
          <cell r="E576">
            <v>0.22</v>
          </cell>
        </row>
        <row r="577">
          <cell r="B577" t="str">
            <v>Passthrough</v>
          </cell>
          <cell r="E577">
            <v>0.22</v>
          </cell>
        </row>
        <row r="578">
          <cell r="B578" t="str">
            <v>Zero</v>
          </cell>
          <cell r="E578">
            <v>0</v>
          </cell>
        </row>
        <row r="580">
          <cell r="A580">
            <v>7</v>
          </cell>
        </row>
        <row r="582">
          <cell r="A582" t="str">
            <v>Miscellaneous Constants</v>
          </cell>
        </row>
        <row r="584">
          <cell r="E584" t="str">
            <v>ZZEND</v>
          </cell>
        </row>
        <row r="586">
          <cell r="E586" t="str">
            <v>EUR</v>
          </cell>
        </row>
        <row r="589">
          <cell r="E589">
            <v>12</v>
          </cell>
        </row>
        <row r="590">
          <cell r="E590">
            <v>30</v>
          </cell>
        </row>
        <row r="591">
          <cell r="E591">
            <v>1E-3</v>
          </cell>
        </row>
        <row r="592">
          <cell r="E592">
            <v>1000</v>
          </cell>
        </row>
        <row r="595">
          <cell r="A595" t="str">
            <v>Oracle</v>
          </cell>
        </row>
        <row r="599">
          <cell r="E599" t="str">
            <v>6110</v>
          </cell>
        </row>
        <row r="600">
          <cell r="E600" t="str">
            <v>6120</v>
          </cell>
        </row>
        <row r="601">
          <cell r="E601" t="str">
            <v>6130</v>
          </cell>
        </row>
        <row r="602">
          <cell r="E602" t="str">
            <v>6140</v>
          </cell>
        </row>
        <row r="603">
          <cell r="E603" t="str">
            <v>6150</v>
          </cell>
        </row>
        <row r="604">
          <cell r="E604" t="str">
            <v>6160</v>
          </cell>
        </row>
        <row r="605">
          <cell r="E605" t="str">
            <v>6170</v>
          </cell>
        </row>
        <row r="606">
          <cell r="E606" t="str">
            <v>6180</v>
          </cell>
        </row>
        <row r="607">
          <cell r="E607" t="str">
            <v>6190</v>
          </cell>
        </row>
        <row r="608">
          <cell r="E608" t="str">
            <v>6195</v>
          </cell>
        </row>
        <row r="609">
          <cell r="E609" t="str">
            <v>6210</v>
          </cell>
        </row>
        <row r="610">
          <cell r="E610" t="str">
            <v>6220</v>
          </cell>
        </row>
        <row r="611">
          <cell r="E611" t="str">
            <v>6230</v>
          </cell>
        </row>
        <row r="612">
          <cell r="E612" t="str">
            <v>6270</v>
          </cell>
        </row>
        <row r="613">
          <cell r="E613" t="str">
            <v>6240</v>
          </cell>
        </row>
        <row r="614">
          <cell r="E614" t="str">
            <v>6250</v>
          </cell>
        </row>
        <row r="615">
          <cell r="E615" t="str">
            <v>6260</v>
          </cell>
        </row>
        <row r="616">
          <cell r="E616" t="str">
            <v>6310</v>
          </cell>
        </row>
        <row r="617">
          <cell r="E617" t="str">
            <v>6320</v>
          </cell>
        </row>
        <row r="618">
          <cell r="E618" t="str">
            <v>6420</v>
          </cell>
        </row>
        <row r="619">
          <cell r="E619" t="str">
            <v>6410</v>
          </cell>
        </row>
        <row r="620">
          <cell r="E620" t="str">
            <v>6430</v>
          </cell>
        </row>
        <row r="621">
          <cell r="E621" t="str">
            <v>6440</v>
          </cell>
        </row>
        <row r="622">
          <cell r="E622" t="str">
            <v>6450</v>
          </cell>
        </row>
        <row r="623">
          <cell r="E623" t="str">
            <v>6460</v>
          </cell>
        </row>
        <row r="624">
          <cell r="E624" t="str">
            <v>6470</v>
          </cell>
        </row>
        <row r="625">
          <cell r="E625" t="str">
            <v>6480</v>
          </cell>
        </row>
        <row r="626">
          <cell r="E626" t="str">
            <v>6510</v>
          </cell>
        </row>
        <row r="627">
          <cell r="E627" t="str">
            <v>6520</v>
          </cell>
        </row>
        <row r="628">
          <cell r="E628" t="str">
            <v>6530</v>
          </cell>
        </row>
        <row r="629">
          <cell r="E629" t="str">
            <v>6540</v>
          </cell>
        </row>
        <row r="630">
          <cell r="E630" t="str">
            <v>6550</v>
          </cell>
        </row>
        <row r="631">
          <cell r="E631" t="str">
            <v>6560</v>
          </cell>
        </row>
        <row r="632">
          <cell r="E632" t="str">
            <v>6570</v>
          </cell>
        </row>
        <row r="633">
          <cell r="E633" t="str">
            <v>6710</v>
          </cell>
        </row>
        <row r="634">
          <cell r="E634" t="str">
            <v>6720</v>
          </cell>
        </row>
        <row r="635">
          <cell r="E635" t="str">
            <v>6730</v>
          </cell>
        </row>
        <row r="636">
          <cell r="E636" t="str">
            <v>6740</v>
          </cell>
        </row>
        <row r="637">
          <cell r="E637" t="str">
            <v>9980</v>
          </cell>
        </row>
        <row r="638">
          <cell r="E638" t="str">
            <v>9990</v>
          </cell>
        </row>
        <row r="639">
          <cell r="E639" t="str">
            <v>9991</v>
          </cell>
        </row>
        <row r="640">
          <cell r="E640" t="str">
            <v>8010</v>
          </cell>
        </row>
        <row r="641">
          <cell r="E641" t="str">
            <v>8025</v>
          </cell>
        </row>
        <row r="642">
          <cell r="E642" t="str">
            <v>8040</v>
          </cell>
        </row>
        <row r="643">
          <cell r="E643" t="str">
            <v>8015</v>
          </cell>
        </row>
        <row r="644">
          <cell r="E644" t="str">
            <v>8016</v>
          </cell>
        </row>
        <row r="645">
          <cell r="E645" t="str">
            <v>8030</v>
          </cell>
        </row>
        <row r="646">
          <cell r="E646" t="str">
            <v>8020</v>
          </cell>
        </row>
        <row r="647">
          <cell r="E647" t="str">
            <v>8110</v>
          </cell>
        </row>
        <row r="648">
          <cell r="E648" t="str">
            <v>8115</v>
          </cell>
        </row>
        <row r="649">
          <cell r="E649" t="str">
            <v>8230</v>
          </cell>
        </row>
        <row r="650">
          <cell r="E650" t="str">
            <v>8250</v>
          </cell>
        </row>
        <row r="651">
          <cell r="E651" t="str">
            <v>8240</v>
          </cell>
        </row>
        <row r="652">
          <cell r="E652" t="str">
            <v>8260</v>
          </cell>
        </row>
        <row r="653">
          <cell r="E653" t="str">
            <v>8270</v>
          </cell>
        </row>
        <row r="654">
          <cell r="E654" t="str">
            <v>8271</v>
          </cell>
        </row>
        <row r="655">
          <cell r="E655" t="str">
            <v>8213</v>
          </cell>
        </row>
        <row r="656">
          <cell r="E656" t="str">
            <v>8212</v>
          </cell>
        </row>
        <row r="657">
          <cell r="E657" t="str">
            <v>8216</v>
          </cell>
        </row>
        <row r="658">
          <cell r="E658" t="str">
            <v>8211</v>
          </cell>
        </row>
        <row r="659">
          <cell r="E659" t="str">
            <v>8210</v>
          </cell>
        </row>
        <row r="660">
          <cell r="E660" t="str">
            <v>8215</v>
          </cell>
        </row>
        <row r="661">
          <cell r="E661" t="str">
            <v>8280</v>
          </cell>
        </row>
        <row r="662">
          <cell r="E662" t="str">
            <v>8290</v>
          </cell>
        </row>
        <row r="663">
          <cell r="E663" t="str">
            <v>8291</v>
          </cell>
        </row>
        <row r="664">
          <cell r="E664" t="str">
            <v>8424</v>
          </cell>
        </row>
        <row r="665">
          <cell r="E665" t="str">
            <v>8430</v>
          </cell>
        </row>
        <row r="666">
          <cell r="E666" t="str">
            <v>8440</v>
          </cell>
        </row>
        <row r="667">
          <cell r="E667" t="str">
            <v>8445</v>
          </cell>
        </row>
        <row r="668">
          <cell r="E668" t="str">
            <v>8450</v>
          </cell>
        </row>
        <row r="669">
          <cell r="E669" t="str">
            <v>8460</v>
          </cell>
        </row>
        <row r="670">
          <cell r="E670" t="str">
            <v>8470</v>
          </cell>
        </row>
        <row r="671">
          <cell r="E671" t="str">
            <v>8480</v>
          </cell>
        </row>
        <row r="672">
          <cell r="E672" t="str">
            <v>8481</v>
          </cell>
        </row>
        <row r="673">
          <cell r="E673" t="str">
            <v>8410</v>
          </cell>
        </row>
        <row r="674">
          <cell r="E674" t="str">
            <v>8420</v>
          </cell>
        </row>
        <row r="675">
          <cell r="E675" t="str">
            <v>8421</v>
          </cell>
        </row>
        <row r="676">
          <cell r="E676" t="str">
            <v>8422</v>
          </cell>
        </row>
        <row r="677">
          <cell r="E677" t="str">
            <v>8423</v>
          </cell>
        </row>
        <row r="678">
          <cell r="E678" t="str">
            <v>8490</v>
          </cell>
        </row>
        <row r="679">
          <cell r="E679" t="str">
            <v>8491</v>
          </cell>
        </row>
        <row r="680">
          <cell r="E680" t="str">
            <v>8492</v>
          </cell>
        </row>
        <row r="681">
          <cell r="E681" t="str">
            <v>8510</v>
          </cell>
        </row>
        <row r="682">
          <cell r="E682" t="str">
            <v>8511</v>
          </cell>
        </row>
        <row r="683">
          <cell r="E683" t="str">
            <v>8512</v>
          </cell>
        </row>
        <row r="684">
          <cell r="E684" t="str">
            <v>8520</v>
          </cell>
        </row>
        <row r="685">
          <cell r="E685" t="str">
            <v>8521</v>
          </cell>
        </row>
        <row r="686">
          <cell r="E686" t="str">
            <v>8522</v>
          </cell>
        </row>
        <row r="687">
          <cell r="E687" t="str">
            <v>8523</v>
          </cell>
        </row>
        <row r="688">
          <cell r="E688" t="str">
            <v>8524</v>
          </cell>
        </row>
        <row r="689">
          <cell r="E689" t="str">
            <v>8530</v>
          </cell>
        </row>
        <row r="690">
          <cell r="E690" t="str">
            <v>8540</v>
          </cell>
        </row>
        <row r="691">
          <cell r="E691" t="str">
            <v>8541</v>
          </cell>
        </row>
        <row r="692">
          <cell r="E692" t="str">
            <v>8593</v>
          </cell>
        </row>
        <row r="693">
          <cell r="E693" t="str">
            <v>8550</v>
          </cell>
        </row>
        <row r="694">
          <cell r="E694" t="str">
            <v>8551</v>
          </cell>
        </row>
        <row r="695">
          <cell r="E695" t="str">
            <v>8552</v>
          </cell>
        </row>
        <row r="696">
          <cell r="E696" t="str">
            <v>8560</v>
          </cell>
        </row>
        <row r="697">
          <cell r="E697" t="str">
            <v>8561</v>
          </cell>
        </row>
        <row r="698">
          <cell r="E698" t="str">
            <v>8570</v>
          </cell>
        </row>
        <row r="699">
          <cell r="E699" t="str">
            <v>8580</v>
          </cell>
        </row>
        <row r="700">
          <cell r="E700" t="str">
            <v>8581</v>
          </cell>
        </row>
        <row r="701">
          <cell r="E701" t="str">
            <v>8582</v>
          </cell>
        </row>
        <row r="702">
          <cell r="E702" t="str">
            <v>8590</v>
          </cell>
        </row>
        <row r="703">
          <cell r="E703" t="str">
            <v>8591</v>
          </cell>
        </row>
        <row r="704">
          <cell r="E704" t="str">
            <v>8910</v>
          </cell>
        </row>
        <row r="705">
          <cell r="E705" t="str">
            <v>8820</v>
          </cell>
        </row>
        <row r="706">
          <cell r="E706" t="str">
            <v>8811</v>
          </cell>
        </row>
        <row r="707">
          <cell r="E707" t="str">
            <v>8810</v>
          </cell>
        </row>
        <row r="708">
          <cell r="E708" t="str">
            <v>8812</v>
          </cell>
        </row>
        <row r="709">
          <cell r="E709" t="str">
            <v>8610</v>
          </cell>
        </row>
        <row r="710">
          <cell r="E710" t="str">
            <v>8620</v>
          </cell>
        </row>
        <row r="711">
          <cell r="E711" t="str">
            <v>8621</v>
          </cell>
        </row>
        <row r="712">
          <cell r="E712" t="str">
            <v>8630</v>
          </cell>
        </row>
        <row r="713">
          <cell r="E713" t="str">
            <v>8680</v>
          </cell>
        </row>
        <row r="714">
          <cell r="E714" t="str">
            <v>8681</v>
          </cell>
        </row>
        <row r="715">
          <cell r="E715" t="str">
            <v>8611</v>
          </cell>
        </row>
        <row r="716">
          <cell r="E716" t="str">
            <v>8612</v>
          </cell>
        </row>
        <row r="717">
          <cell r="E717" t="str">
            <v>8613</v>
          </cell>
        </row>
        <row r="718">
          <cell r="E718" t="str">
            <v>8614</v>
          </cell>
        </row>
        <row r="719">
          <cell r="E719" t="str">
            <v>8615</v>
          </cell>
        </row>
        <row r="720">
          <cell r="E720" t="str">
            <v>8616</v>
          </cell>
        </row>
        <row r="721">
          <cell r="E721" t="str">
            <v>8650</v>
          </cell>
        </row>
        <row r="722">
          <cell r="E722" t="str">
            <v>8690</v>
          </cell>
        </row>
        <row r="723">
          <cell r="E723" t="str">
            <v>8850</v>
          </cell>
        </row>
        <row r="724">
          <cell r="E724" t="str">
            <v>8710</v>
          </cell>
        </row>
        <row r="725">
          <cell r="E725" t="str">
            <v>8720</v>
          </cell>
        </row>
        <row r="726">
          <cell r="E726" t="str">
            <v>8730</v>
          </cell>
        </row>
        <row r="727">
          <cell r="E727" t="str">
            <v>8740</v>
          </cell>
        </row>
        <row r="728">
          <cell r="E728" t="str">
            <v>8760</v>
          </cell>
        </row>
        <row r="729">
          <cell r="E729" t="str">
            <v>8821</v>
          </cell>
        </row>
        <row r="730">
          <cell r="E730" t="str">
            <v>8960</v>
          </cell>
        </row>
        <row r="731">
          <cell r="E731" t="str">
            <v>8310</v>
          </cell>
        </row>
        <row r="732">
          <cell r="E732" t="str">
            <v>8320</v>
          </cell>
        </row>
        <row r="733">
          <cell r="E733" t="str">
            <v>8830</v>
          </cell>
        </row>
        <row r="734">
          <cell r="E734" t="str">
            <v>8831</v>
          </cell>
        </row>
        <row r="735">
          <cell r="E735" t="str">
            <v>8832</v>
          </cell>
        </row>
        <row r="736">
          <cell r="E736" t="str">
            <v>6900</v>
          </cell>
        </row>
        <row r="737">
          <cell r="E737" t="str">
            <v>6905</v>
          </cell>
        </row>
        <row r="738">
          <cell r="E738" t="str">
            <v>6910</v>
          </cell>
        </row>
        <row r="739">
          <cell r="E739" t="str">
            <v>7100</v>
          </cell>
        </row>
        <row r="740">
          <cell r="E740" t="str">
            <v>8840</v>
          </cell>
        </row>
        <row r="741">
          <cell r="E741" t="str">
            <v>8940</v>
          </cell>
        </row>
        <row r="742">
          <cell r="E742" t="str">
            <v>8941</v>
          </cell>
        </row>
        <row r="743">
          <cell r="E743" t="str">
            <v>8955</v>
          </cell>
        </row>
        <row r="744">
          <cell r="E744" t="str">
            <v>9315</v>
          </cell>
        </row>
        <row r="745">
          <cell r="E745" t="str">
            <v>8930</v>
          </cell>
        </row>
        <row r="746">
          <cell r="E746" t="str">
            <v>7410</v>
          </cell>
        </row>
        <row r="747">
          <cell r="E747" t="str">
            <v>7411</v>
          </cell>
        </row>
        <row r="748">
          <cell r="E748" t="str">
            <v>7412</v>
          </cell>
        </row>
        <row r="749">
          <cell r="E749" t="str">
            <v>7413</v>
          </cell>
        </row>
        <row r="750">
          <cell r="E750" t="str">
            <v>7414</v>
          </cell>
        </row>
        <row r="751">
          <cell r="E751" t="str">
            <v>7421</v>
          </cell>
        </row>
        <row r="752">
          <cell r="E752" t="str">
            <v>7422</v>
          </cell>
        </row>
        <row r="753">
          <cell r="E753" t="str">
            <v>7423</v>
          </cell>
        </row>
        <row r="754">
          <cell r="E754" t="str">
            <v>7424</v>
          </cell>
        </row>
        <row r="755">
          <cell r="E755" t="str">
            <v>7425</v>
          </cell>
        </row>
        <row r="756">
          <cell r="E756" t="str">
            <v>7426</v>
          </cell>
        </row>
        <row r="757">
          <cell r="E757" t="str">
            <v>7427</v>
          </cell>
        </row>
        <row r="758">
          <cell r="E758" t="str">
            <v>7428</v>
          </cell>
        </row>
        <row r="759">
          <cell r="E759" t="str">
            <v>7431</v>
          </cell>
        </row>
        <row r="760">
          <cell r="E760" t="str">
            <v>7432</v>
          </cell>
        </row>
        <row r="761">
          <cell r="E761" t="str">
            <v>7433</v>
          </cell>
        </row>
        <row r="762">
          <cell r="E762" t="str">
            <v>7461</v>
          </cell>
        </row>
        <row r="763">
          <cell r="E763" t="str">
            <v>7462</v>
          </cell>
        </row>
        <row r="764">
          <cell r="E764" t="str">
            <v>7463</v>
          </cell>
        </row>
        <row r="765">
          <cell r="E765" t="str">
            <v>7441</v>
          </cell>
        </row>
        <row r="766">
          <cell r="E766" t="str">
            <v>7442</v>
          </cell>
        </row>
        <row r="767">
          <cell r="E767" t="str">
            <v>7443</v>
          </cell>
        </row>
        <row r="768">
          <cell r="E768" t="str">
            <v>7444</v>
          </cell>
        </row>
        <row r="769">
          <cell r="E769" t="str">
            <v>7448</v>
          </cell>
        </row>
        <row r="770">
          <cell r="E770" t="str">
            <v>7451</v>
          </cell>
        </row>
        <row r="771">
          <cell r="E771" t="str">
            <v>7452</v>
          </cell>
        </row>
        <row r="772">
          <cell r="E772" t="str">
            <v>7453</v>
          </cell>
        </row>
        <row r="773">
          <cell r="E773" t="str">
            <v>7454</v>
          </cell>
        </row>
        <row r="774">
          <cell r="E774" t="str">
            <v>7455</v>
          </cell>
        </row>
        <row r="775">
          <cell r="E775" t="str">
            <v>7456</v>
          </cell>
        </row>
        <row r="776">
          <cell r="E776" t="str">
            <v>7457</v>
          </cell>
        </row>
        <row r="777">
          <cell r="E777" t="str">
            <v>7470</v>
          </cell>
        </row>
        <row r="778">
          <cell r="E778" t="str">
            <v>7430</v>
          </cell>
        </row>
        <row r="779">
          <cell r="E779" t="str">
            <v>7434</v>
          </cell>
        </row>
        <row r="780">
          <cell r="E780" t="str">
            <v>7438</v>
          </cell>
        </row>
        <row r="781">
          <cell r="E781" t="str">
            <v>8945</v>
          </cell>
        </row>
        <row r="782">
          <cell r="E782" t="str">
            <v>7445</v>
          </cell>
        </row>
        <row r="783">
          <cell r="E783" t="str">
            <v>7446</v>
          </cell>
        </row>
        <row r="784">
          <cell r="E784" t="str">
            <v>7447</v>
          </cell>
        </row>
        <row r="785">
          <cell r="E785" t="str">
            <v>7210</v>
          </cell>
        </row>
        <row r="786">
          <cell r="E786" t="str">
            <v>7211</v>
          </cell>
        </row>
        <row r="787">
          <cell r="E787" t="str">
            <v>7315</v>
          </cell>
        </row>
        <row r="788">
          <cell r="E788" t="str">
            <v>7480</v>
          </cell>
        </row>
        <row r="789">
          <cell r="E789" t="str">
            <v>7319</v>
          </cell>
        </row>
        <row r="790">
          <cell r="E790" t="str">
            <v>7437</v>
          </cell>
        </row>
        <row r="791">
          <cell r="E791" t="str">
            <v>7435</v>
          </cell>
        </row>
        <row r="792">
          <cell r="E792" t="str">
            <v>7310</v>
          </cell>
        </row>
        <row r="793">
          <cell r="E793" t="str">
            <v>7311</v>
          </cell>
        </row>
        <row r="794">
          <cell r="E794" t="str">
            <v>7313</v>
          </cell>
        </row>
        <row r="795">
          <cell r="E795" t="str">
            <v>7314</v>
          </cell>
        </row>
        <row r="796">
          <cell r="E796" t="str">
            <v>7220</v>
          </cell>
        </row>
        <row r="797">
          <cell r="E797" t="str">
            <v>8562</v>
          </cell>
        </row>
        <row r="798">
          <cell r="E798" t="str">
            <v>7221</v>
          </cell>
        </row>
        <row r="799">
          <cell r="E799" t="str">
            <v>7312</v>
          </cell>
        </row>
        <row r="800">
          <cell r="E800" t="str">
            <v>7317</v>
          </cell>
        </row>
        <row r="801">
          <cell r="E801" t="str">
            <v>7316</v>
          </cell>
        </row>
        <row r="802">
          <cell r="E802" t="str">
            <v>8950</v>
          </cell>
        </row>
        <row r="803">
          <cell r="E803" t="str">
            <v>8951</v>
          </cell>
        </row>
        <row r="804">
          <cell r="E804" t="str">
            <v>8952</v>
          </cell>
        </row>
        <row r="805">
          <cell r="E805" t="str">
            <v>8954</v>
          </cell>
        </row>
        <row r="806">
          <cell r="E806" t="str">
            <v>8956</v>
          </cell>
        </row>
        <row r="807">
          <cell r="E807" t="str">
            <v>8592</v>
          </cell>
        </row>
        <row r="808">
          <cell r="E808" t="str">
            <v>8953</v>
          </cell>
        </row>
        <row r="809">
          <cell r="E809" t="str">
            <v>9100</v>
          </cell>
        </row>
        <row r="810">
          <cell r="E810" t="str">
            <v>9120</v>
          </cell>
        </row>
        <row r="811">
          <cell r="E811" t="str">
            <v>9130</v>
          </cell>
        </row>
        <row r="812">
          <cell r="E812" t="str">
            <v>7490</v>
          </cell>
        </row>
        <row r="813">
          <cell r="E813" t="str">
            <v>8050</v>
          </cell>
        </row>
        <row r="814">
          <cell r="E814" t="str">
            <v>8051</v>
          </cell>
        </row>
        <row r="815">
          <cell r="E815" t="str">
            <v>9320</v>
          </cell>
        </row>
        <row r="816">
          <cell r="E816" t="str">
            <v>9330</v>
          </cell>
        </row>
        <row r="817">
          <cell r="E817" t="str">
            <v>9350</v>
          </cell>
        </row>
        <row r="818">
          <cell r="E818" t="str">
            <v>9360</v>
          </cell>
        </row>
        <row r="819">
          <cell r="E819" t="str">
            <v>9380</v>
          </cell>
        </row>
        <row r="820">
          <cell r="E820" t="str">
            <v>9370</v>
          </cell>
        </row>
        <row r="821">
          <cell r="E821" t="str">
            <v>9390</v>
          </cell>
        </row>
        <row r="822">
          <cell r="E822" t="str">
            <v>9395</v>
          </cell>
        </row>
        <row r="823">
          <cell r="E823" t="str">
            <v>7101</v>
          </cell>
        </row>
        <row r="824">
          <cell r="E824" t="str">
            <v>9610</v>
          </cell>
        </row>
        <row r="825">
          <cell r="E825" t="str">
            <v>7495</v>
          </cell>
        </row>
        <row r="826">
          <cell r="E826" t="str">
            <v>9820</v>
          </cell>
        </row>
        <row r="828">
          <cell r="A828">
            <v>228</v>
          </cell>
        </row>
        <row r="830">
          <cell r="A830" t="str">
            <v>Payment Type</v>
          </cell>
        </row>
        <row r="834">
          <cell r="E834" t="str">
            <v>A</v>
          </cell>
        </row>
        <row r="835">
          <cell r="E835" t="str">
            <v>B</v>
          </cell>
        </row>
        <row r="836">
          <cell r="E836" t="str">
            <v>C</v>
          </cell>
        </row>
        <row r="837">
          <cell r="E837" t="str">
            <v>D</v>
          </cell>
        </row>
        <row r="839">
          <cell r="A839">
            <v>4</v>
          </cell>
        </row>
        <row r="841">
          <cell r="A841" t="str">
            <v>Prepayments and Accruals</v>
          </cell>
        </row>
        <row r="845">
          <cell r="E845" t="str">
            <v>ContractPrepayment</v>
          </cell>
        </row>
        <row r="846">
          <cell r="E846" t="str">
            <v>AnnualPrepayment</v>
          </cell>
        </row>
        <row r="847">
          <cell r="E847" t="str">
            <v>SixMonthlyPrepayment</v>
          </cell>
        </row>
        <row r="848">
          <cell r="E848" t="str">
            <v>QuarterlyPrepayment</v>
          </cell>
        </row>
        <row r="849">
          <cell r="E849" t="str">
            <v>ContractAccrual</v>
          </cell>
        </row>
        <row r="850">
          <cell r="E850" t="str">
            <v>AnnualAccrual</v>
          </cell>
        </row>
        <row r="851">
          <cell r="E851" t="str">
            <v>SixMonthlyAccrual</v>
          </cell>
        </row>
        <row r="852">
          <cell r="E852" t="str">
            <v>QuarterlyAccrual</v>
          </cell>
        </row>
        <row r="853">
          <cell r="E853" t="str">
            <v>Other</v>
          </cell>
        </row>
        <row r="855">
          <cell r="A855">
            <v>9</v>
          </cell>
        </row>
        <row r="857">
          <cell r="A857" t="str">
            <v>Region</v>
          </cell>
        </row>
        <row r="861">
          <cell r="E861" t="str">
            <v>ASPAC</v>
          </cell>
        </row>
        <row r="862">
          <cell r="E862" t="str">
            <v>Central America</v>
          </cell>
        </row>
        <row r="863">
          <cell r="E863" t="str">
            <v>EMEA</v>
          </cell>
        </row>
        <row r="864">
          <cell r="E864" t="str">
            <v>Global</v>
          </cell>
        </row>
        <row r="865">
          <cell r="E865" t="str">
            <v>Nordic</v>
          </cell>
        </row>
        <row r="866">
          <cell r="E866" t="str">
            <v>North America</v>
          </cell>
        </row>
        <row r="867">
          <cell r="E867" t="str">
            <v>South America</v>
          </cell>
        </row>
        <row r="868">
          <cell r="E868" t="str">
            <v>United Kingdom</v>
          </cell>
        </row>
        <row r="870">
          <cell r="A870">
            <v>8</v>
          </cell>
        </row>
        <row r="872">
          <cell r="A872" t="str">
            <v>Role</v>
          </cell>
        </row>
        <row r="876">
          <cell r="E876" t="str">
            <v>N/A</v>
          </cell>
        </row>
        <row r="877">
          <cell r="E877" t="str">
            <v>ACC.AMG.B</v>
          </cell>
        </row>
        <row r="878">
          <cell r="E878" t="str">
            <v>ACC.AMG.C</v>
          </cell>
        </row>
        <row r="879">
          <cell r="E879" t="str">
            <v>BSA.BSM.A</v>
          </cell>
        </row>
        <row r="880">
          <cell r="E880" t="str">
            <v>BSA.BSM.B</v>
          </cell>
        </row>
        <row r="881">
          <cell r="E881" t="str">
            <v>BSA.BUS.A</v>
          </cell>
        </row>
        <row r="882">
          <cell r="E882" t="str">
            <v>BSA.BUS.B</v>
          </cell>
        </row>
        <row r="883">
          <cell r="E883" t="str">
            <v>BSA.BUS.C</v>
          </cell>
        </row>
        <row r="884">
          <cell r="E884" t="str">
            <v>BSA.BUS.D</v>
          </cell>
        </row>
        <row r="885">
          <cell r="E885" t="str">
            <v>BSA.ENGBSM.B</v>
          </cell>
        </row>
        <row r="886">
          <cell r="E886" t="str">
            <v>BSA.ENGBUS.A</v>
          </cell>
        </row>
        <row r="887">
          <cell r="E887" t="str">
            <v>BSA.ENGBUS.B</v>
          </cell>
        </row>
        <row r="888">
          <cell r="E888" t="str">
            <v>BSA.ENGBUS.C</v>
          </cell>
        </row>
        <row r="889">
          <cell r="E889" t="str">
            <v>BSA.ENGBUS.D</v>
          </cell>
        </row>
        <row r="890">
          <cell r="E890" t="str">
            <v>BSA.GRDBSA.A</v>
          </cell>
        </row>
        <row r="891">
          <cell r="E891" t="str">
            <v>BSA.ITR.1</v>
          </cell>
        </row>
        <row r="892">
          <cell r="E892" t="str">
            <v>BSA.SAS.B</v>
          </cell>
        </row>
        <row r="893">
          <cell r="E893" t="str">
            <v>BSA.SAS.C</v>
          </cell>
        </row>
        <row r="894">
          <cell r="E894" t="str">
            <v>BSA.SAS.D</v>
          </cell>
        </row>
        <row r="895">
          <cell r="E895" t="str">
            <v>BSA.SLSSAS.B</v>
          </cell>
        </row>
        <row r="896">
          <cell r="E896" t="str">
            <v>BSC.BDE.A</v>
          </cell>
        </row>
        <row r="897">
          <cell r="E897" t="str">
            <v>BSC.BDE.B</v>
          </cell>
        </row>
        <row r="898">
          <cell r="E898" t="str">
            <v>BSC.BDE.C</v>
          </cell>
        </row>
        <row r="899">
          <cell r="E899" t="str">
            <v>BSC.BDE.D</v>
          </cell>
        </row>
        <row r="900">
          <cell r="E900" t="str">
            <v>BSC.BEM.1</v>
          </cell>
        </row>
        <row r="901">
          <cell r="E901" t="str">
            <v>BSC.BEM.2</v>
          </cell>
        </row>
        <row r="902">
          <cell r="E902" t="str">
            <v>BSC.BSC.AA</v>
          </cell>
        </row>
        <row r="903">
          <cell r="E903" t="str">
            <v>BSC.BSC.AB</v>
          </cell>
        </row>
        <row r="904">
          <cell r="E904" t="str">
            <v>BSC.BSC.CA</v>
          </cell>
        </row>
        <row r="905">
          <cell r="E905" t="str">
            <v>BSC.BSC.CB</v>
          </cell>
        </row>
        <row r="906">
          <cell r="E906" t="str">
            <v>BSC.BSC.MC</v>
          </cell>
        </row>
        <row r="907">
          <cell r="E907" t="str">
            <v>BSC.BSC.PC</v>
          </cell>
        </row>
        <row r="908">
          <cell r="E908" t="str">
            <v>BSC.GRDBSC.A</v>
          </cell>
        </row>
        <row r="909">
          <cell r="E909" t="str">
            <v>BSC.PM.I</v>
          </cell>
        </row>
        <row r="910">
          <cell r="E910" t="str">
            <v>CMC.COM.SM</v>
          </cell>
        </row>
        <row r="911">
          <cell r="E911" t="str">
            <v>FIN.FNP.FM</v>
          </cell>
        </row>
        <row r="912">
          <cell r="E912" t="str">
            <v>GEM.GEN.I</v>
          </cell>
        </row>
        <row r="913">
          <cell r="E913" t="str">
            <v>GEM.GEN.SM</v>
          </cell>
        </row>
        <row r="914">
          <cell r="E914" t="str">
            <v>GSC.SCM.SM</v>
          </cell>
        </row>
        <row r="915">
          <cell r="E915" t="str">
            <v>HUR.HRSAD.</v>
          </cell>
        </row>
        <row r="916">
          <cell r="E916" t="str">
            <v>HUR.HRSAD.0</v>
          </cell>
        </row>
        <row r="917">
          <cell r="E917" t="str">
            <v>HUR.HRS.C</v>
          </cell>
        </row>
        <row r="918">
          <cell r="E918" t="str">
            <v>HUR.HRSC.0</v>
          </cell>
        </row>
        <row r="919">
          <cell r="E919" t="str">
            <v>MAR.GMM.D</v>
          </cell>
        </row>
        <row r="920">
          <cell r="E920" t="str">
            <v>MAR.MCM.C</v>
          </cell>
        </row>
        <row r="921">
          <cell r="E921" t="str">
            <v>MAR.PTM.D</v>
          </cell>
        </row>
        <row r="922">
          <cell r="E922" t="str">
            <v>PRM.GRDPRM.A</v>
          </cell>
        </row>
        <row r="923">
          <cell r="E923" t="str">
            <v>PRM.OST.A</v>
          </cell>
        </row>
        <row r="924">
          <cell r="E924" t="str">
            <v>PRM.OST.B</v>
          </cell>
        </row>
        <row r="925">
          <cell r="E925" t="str">
            <v>PRM.OST.C</v>
          </cell>
        </row>
        <row r="926">
          <cell r="E926" t="str">
            <v>PRM.PAS.A</v>
          </cell>
        </row>
        <row r="927">
          <cell r="E927" t="str">
            <v>PRM.PCO.A</v>
          </cell>
        </row>
        <row r="928">
          <cell r="E928" t="str">
            <v>PRM.PCO.B</v>
          </cell>
        </row>
        <row r="929">
          <cell r="E929" t="str">
            <v>PRM.PCO.C</v>
          </cell>
        </row>
        <row r="930">
          <cell r="E930" t="str">
            <v>PRM.PGD.A</v>
          </cell>
        </row>
        <row r="931">
          <cell r="E931" t="str">
            <v>PRM.PRG.PG</v>
          </cell>
        </row>
        <row r="932">
          <cell r="E932" t="str">
            <v>PRM.PRO.PL</v>
          </cell>
        </row>
        <row r="933">
          <cell r="E933" t="str">
            <v>PRM.PRO.PM</v>
          </cell>
        </row>
        <row r="934">
          <cell r="E934" t="str">
            <v>PRM.PRO.SPM</v>
          </cell>
        </row>
        <row r="935">
          <cell r="E935" t="str">
            <v>PRM.PSS.A</v>
          </cell>
        </row>
        <row r="936">
          <cell r="E936" t="str">
            <v>PRM.PST.A</v>
          </cell>
        </row>
        <row r="937">
          <cell r="E937" t="str">
            <v>PRM.PST.B</v>
          </cell>
        </row>
        <row r="938">
          <cell r="E938" t="str">
            <v>PRM.PST.C</v>
          </cell>
        </row>
        <row r="939">
          <cell r="E939" t="str">
            <v>PRM.PST.D</v>
          </cell>
        </row>
        <row r="940">
          <cell r="E940" t="str">
            <v>QUA.QBE.QBI</v>
          </cell>
        </row>
        <row r="941">
          <cell r="E941" t="str">
            <v>QUA.QBE.QCA</v>
          </cell>
        </row>
        <row r="942">
          <cell r="E942" t="str">
            <v>SDC.CSD.A</v>
          </cell>
        </row>
        <row r="943">
          <cell r="E943" t="str">
            <v>SDC.CSD.B</v>
          </cell>
        </row>
        <row r="944">
          <cell r="E944" t="str">
            <v>SDC.CSD.C</v>
          </cell>
        </row>
        <row r="945">
          <cell r="E945" t="str">
            <v>SDC.CSE.1</v>
          </cell>
        </row>
        <row r="946">
          <cell r="E946" t="str">
            <v>SDC.CSE.2</v>
          </cell>
        </row>
        <row r="947">
          <cell r="E947" t="str">
            <v>SDC.CSE.3</v>
          </cell>
        </row>
        <row r="948">
          <cell r="E948" t="str">
            <v>SDC.CSE.4</v>
          </cell>
        </row>
        <row r="949">
          <cell r="E949" t="str">
            <v>SDC.CSE.5</v>
          </cell>
        </row>
        <row r="950">
          <cell r="E950" t="str">
            <v>SDC.CSS.A</v>
          </cell>
        </row>
        <row r="951">
          <cell r="E951" t="str">
            <v>SDC.CSS.B</v>
          </cell>
        </row>
        <row r="952">
          <cell r="E952" t="str">
            <v>SDC.CSS.C</v>
          </cell>
        </row>
        <row r="953">
          <cell r="E953" t="str">
            <v>SDC.CSS.D</v>
          </cell>
        </row>
        <row r="954">
          <cell r="E954" t="str">
            <v>SDC.GRDSDC.A</v>
          </cell>
        </row>
        <row r="955">
          <cell r="E955" t="str">
            <v>SDC.OPA.1</v>
          </cell>
        </row>
        <row r="956">
          <cell r="E956" t="str">
            <v>SDC.OPA.2</v>
          </cell>
        </row>
        <row r="957">
          <cell r="E957" t="str">
            <v>SDC.OPA.3</v>
          </cell>
        </row>
        <row r="958">
          <cell r="E958" t="str">
            <v>SDC.OPA.OA</v>
          </cell>
        </row>
        <row r="959">
          <cell r="E959" t="str">
            <v>SDC.OPS.1</v>
          </cell>
        </row>
        <row r="960">
          <cell r="E960" t="str">
            <v>SDC.OPS.2</v>
          </cell>
        </row>
        <row r="961">
          <cell r="E961" t="str">
            <v>SDC.OPS.3</v>
          </cell>
        </row>
        <row r="962">
          <cell r="E962" t="str">
            <v>SDC.OPS.4</v>
          </cell>
        </row>
        <row r="963">
          <cell r="E963" t="str">
            <v>SDC.SCO.A</v>
          </cell>
        </row>
        <row r="964">
          <cell r="E964" t="str">
            <v>SDC.SCO.ASM</v>
          </cell>
        </row>
        <row r="965">
          <cell r="E965" t="str">
            <v>SDC.SCO.B</v>
          </cell>
        </row>
        <row r="966">
          <cell r="E966" t="str">
            <v>SDC.TSM.1</v>
          </cell>
        </row>
        <row r="967">
          <cell r="E967" t="str">
            <v>SDC.TSM.2</v>
          </cell>
        </row>
        <row r="968">
          <cell r="E968" t="str">
            <v>SDC.TSM.3</v>
          </cell>
        </row>
        <row r="969">
          <cell r="E969" t="str">
            <v>SDC.TSS.1</v>
          </cell>
        </row>
        <row r="970">
          <cell r="E970" t="str">
            <v>SDC.TSS.2</v>
          </cell>
        </row>
        <row r="971">
          <cell r="E971" t="str">
            <v>SDC.TSS.3</v>
          </cell>
        </row>
        <row r="972">
          <cell r="E972" t="str">
            <v>SDC.TSS.4</v>
          </cell>
        </row>
        <row r="973">
          <cell r="E973" t="str">
            <v>SDC.TSS.5</v>
          </cell>
        </row>
        <row r="974">
          <cell r="E974" t="str">
            <v>SDC.TSS.T</v>
          </cell>
        </row>
        <row r="975">
          <cell r="E975" t="str">
            <v>SDM.GRDSDM.A</v>
          </cell>
        </row>
        <row r="976">
          <cell r="E976" t="str">
            <v>SDM.MAN.1</v>
          </cell>
        </row>
        <row r="977">
          <cell r="E977" t="str">
            <v>SDM.MAN.2</v>
          </cell>
        </row>
        <row r="978">
          <cell r="E978" t="str">
            <v>SDM.MAN.3</v>
          </cell>
        </row>
        <row r="979">
          <cell r="E979" t="str">
            <v>SLS.GRDSLS.A</v>
          </cell>
        </row>
        <row r="980">
          <cell r="E980" t="str">
            <v>SSD.DEV.1</v>
          </cell>
        </row>
        <row r="981">
          <cell r="E981" t="str">
            <v>SSD.DEV.2</v>
          </cell>
        </row>
        <row r="982">
          <cell r="E982" t="str">
            <v>SSD.DEV.3</v>
          </cell>
        </row>
        <row r="983">
          <cell r="E983" t="str">
            <v>SSD.DEV.4</v>
          </cell>
        </row>
        <row r="984">
          <cell r="E984" t="str">
            <v>SSD.DEV.5</v>
          </cell>
        </row>
        <row r="985">
          <cell r="E985" t="str">
            <v>SSD.DEV.6</v>
          </cell>
        </row>
        <row r="986">
          <cell r="E986" t="str">
            <v>SSD.DEV.T</v>
          </cell>
        </row>
        <row r="987">
          <cell r="E987" t="str">
            <v>SSD.GRDSSD.A</v>
          </cell>
        </row>
        <row r="988">
          <cell r="E988" t="str">
            <v>SSD.SDA.1</v>
          </cell>
        </row>
        <row r="989">
          <cell r="E989" t="str">
            <v>SSD.SDA.2</v>
          </cell>
        </row>
        <row r="990">
          <cell r="E990" t="str">
            <v>SSD.SDA.3</v>
          </cell>
        </row>
        <row r="991">
          <cell r="E991" t="str">
            <v>SSD.SDA.4</v>
          </cell>
        </row>
        <row r="992">
          <cell r="E992" t="str">
            <v>SSD.SDM.1</v>
          </cell>
        </row>
        <row r="993">
          <cell r="E993" t="str">
            <v>SSD.SDM.2</v>
          </cell>
        </row>
        <row r="994">
          <cell r="E994" t="str">
            <v>SSD.SDM.3</v>
          </cell>
        </row>
        <row r="995">
          <cell r="E995" t="str">
            <v>SSD.TAU.2</v>
          </cell>
        </row>
        <row r="996">
          <cell r="E996" t="str">
            <v>SSD.TAU.3</v>
          </cell>
        </row>
        <row r="997">
          <cell r="E997" t="str">
            <v>TAC.CSA.1</v>
          </cell>
        </row>
        <row r="998">
          <cell r="E998" t="str">
            <v>TAC.CSA.2</v>
          </cell>
        </row>
        <row r="999">
          <cell r="E999" t="str">
            <v>TAC.CSA.3</v>
          </cell>
        </row>
        <row r="1000">
          <cell r="E1000" t="str">
            <v>TAC.CSA.4</v>
          </cell>
        </row>
        <row r="1001">
          <cell r="E1001" t="str">
            <v>TAC.CSA.5</v>
          </cell>
        </row>
        <row r="1002">
          <cell r="E1002" t="str">
            <v>TAC.GRDTAC.A</v>
          </cell>
        </row>
        <row r="1003">
          <cell r="E1003" t="str">
            <v>TAC.ITC.2</v>
          </cell>
        </row>
        <row r="1004">
          <cell r="E1004" t="str">
            <v>WAS.NOROLE</v>
          </cell>
        </row>
        <row r="1005">
          <cell r="E1005" t="str">
            <v>WAS.NOROLE.0</v>
          </cell>
        </row>
        <row r="1007">
          <cell r="A1007">
            <v>130</v>
          </cell>
        </row>
        <row r="1009">
          <cell r="A1009" t="str">
            <v>Site</v>
          </cell>
        </row>
        <row r="1013">
          <cell r="E1013" t="str">
            <v>Site A</v>
          </cell>
        </row>
        <row r="1014">
          <cell r="E1014" t="str">
            <v>Site B</v>
          </cell>
        </row>
        <row r="1015">
          <cell r="E1015" t="str">
            <v>Site C</v>
          </cell>
        </row>
        <row r="1016">
          <cell r="E1016" t="str">
            <v>Site D</v>
          </cell>
        </row>
        <row r="1017">
          <cell r="E1017" t="str">
            <v>Site E</v>
          </cell>
        </row>
        <row r="1018">
          <cell r="E1018" t="str">
            <v>Site F</v>
          </cell>
        </row>
        <row r="1019">
          <cell r="E1019" t="str">
            <v>Site G</v>
          </cell>
        </row>
        <row r="1020">
          <cell r="E1020" t="str">
            <v>Site H</v>
          </cell>
        </row>
        <row r="1021">
          <cell r="E1021" t="str">
            <v>Site I</v>
          </cell>
        </row>
        <row r="1022">
          <cell r="E1022" t="str">
            <v>Site J</v>
          </cell>
        </row>
        <row r="1023">
          <cell r="E1023" t="str">
            <v>Site K</v>
          </cell>
        </row>
        <row r="1024">
          <cell r="E1024" t="str">
            <v>Site L</v>
          </cell>
        </row>
        <row r="1025">
          <cell r="E1025" t="str">
            <v>Site M</v>
          </cell>
        </row>
        <row r="1026">
          <cell r="E1026" t="str">
            <v>Site N</v>
          </cell>
        </row>
        <row r="1027">
          <cell r="E1027" t="str">
            <v>Site O</v>
          </cell>
        </row>
        <row r="1028">
          <cell r="E1028" t="str">
            <v>Site P</v>
          </cell>
        </row>
        <row r="1029">
          <cell r="E1029" t="str">
            <v>Site Q</v>
          </cell>
        </row>
        <row r="1030">
          <cell r="E1030" t="str">
            <v>Site R</v>
          </cell>
        </row>
        <row r="1031">
          <cell r="E1031" t="str">
            <v>Site S</v>
          </cell>
        </row>
        <row r="1032">
          <cell r="E1032" t="str">
            <v>Site T</v>
          </cell>
        </row>
        <row r="1034">
          <cell r="A1034">
            <v>20</v>
          </cell>
        </row>
        <row r="1036">
          <cell r="A1036" t="str">
            <v>Suppliers</v>
          </cell>
        </row>
        <row r="1040">
          <cell r="E1040" t="str">
            <v>BT</v>
          </cell>
          <cell r="G1040" t="str">
            <v>Y</v>
          </cell>
        </row>
        <row r="1041">
          <cell r="E1041" t="str">
            <v>BEA</v>
          </cell>
          <cell r="G1041" t="str">
            <v>Y</v>
          </cell>
        </row>
        <row r="1042">
          <cell r="E1042" t="str">
            <v>BT</v>
          </cell>
          <cell r="G1042" t="str">
            <v>Y</v>
          </cell>
        </row>
        <row r="1043">
          <cell r="E1043" t="str">
            <v>CA</v>
          </cell>
          <cell r="G1043" t="str">
            <v>Y</v>
          </cell>
        </row>
        <row r="1044">
          <cell r="E1044" t="str">
            <v>CG</v>
          </cell>
          <cell r="G1044" t="str">
            <v>Y</v>
          </cell>
        </row>
        <row r="1045">
          <cell r="E1045" t="str">
            <v>CIS</v>
          </cell>
          <cell r="G1045" t="str">
            <v>Y</v>
          </cell>
        </row>
        <row r="1046">
          <cell r="E1046" t="str">
            <v>COG</v>
          </cell>
          <cell r="G1046" t="str">
            <v>Y</v>
          </cell>
        </row>
        <row r="1047">
          <cell r="E1047" t="str">
            <v>DELL</v>
          </cell>
          <cell r="G1047" t="str">
            <v>Y</v>
          </cell>
        </row>
        <row r="1048">
          <cell r="E1048" t="str">
            <v>EMC</v>
          </cell>
          <cell r="G1048" t="str">
            <v>Y</v>
          </cell>
        </row>
        <row r="1049">
          <cell r="E1049" t="str">
            <v>ERI</v>
          </cell>
          <cell r="G1049" t="str">
            <v>Y</v>
          </cell>
        </row>
        <row r="1050">
          <cell r="E1050" t="str">
            <v>FJC</v>
          </cell>
          <cell r="G1050" t="str">
            <v>Y</v>
          </cell>
        </row>
        <row r="1051">
          <cell r="E1051" t="str">
            <v>FJG</v>
          </cell>
          <cell r="G1051" t="str">
            <v>Y</v>
          </cell>
        </row>
        <row r="1052">
          <cell r="E1052" t="str">
            <v>FJS</v>
          </cell>
          <cell r="G1052" t="str">
            <v>Y</v>
          </cell>
        </row>
        <row r="1053">
          <cell r="E1053" t="str">
            <v>FSC</v>
          </cell>
          <cell r="G1053" t="str">
            <v>Y</v>
          </cell>
        </row>
        <row r="1054">
          <cell r="E1054" t="str">
            <v>FXTS</v>
          </cell>
          <cell r="G1054" t="str">
            <v>Y</v>
          </cell>
        </row>
        <row r="1055">
          <cell r="E1055" t="str">
            <v>HCL</v>
          </cell>
          <cell r="G1055" t="str">
            <v>Y</v>
          </cell>
        </row>
        <row r="1056">
          <cell r="E1056" t="str">
            <v>HP</v>
          </cell>
          <cell r="G1056" t="str">
            <v>Y</v>
          </cell>
        </row>
        <row r="1057">
          <cell r="E1057" t="str">
            <v>HZ</v>
          </cell>
          <cell r="G1057" t="str">
            <v>Y</v>
          </cell>
        </row>
        <row r="1058">
          <cell r="E1058" t="str">
            <v>JUN</v>
          </cell>
          <cell r="G1058" t="str">
            <v>Y</v>
          </cell>
        </row>
        <row r="1059">
          <cell r="E1059" t="str">
            <v>Lexmark</v>
          </cell>
          <cell r="G1059" t="str">
            <v>Y</v>
          </cell>
        </row>
        <row r="1060">
          <cell r="E1060" t="str">
            <v>MS</v>
          </cell>
          <cell r="G1060" t="str">
            <v>Y</v>
          </cell>
        </row>
        <row r="1061">
          <cell r="E1061" t="str">
            <v>NAP</v>
          </cell>
          <cell r="G1061" t="str">
            <v>Y</v>
          </cell>
        </row>
        <row r="1062">
          <cell r="E1062" t="str">
            <v>Other</v>
          </cell>
          <cell r="G1062" t="str">
            <v>Y</v>
          </cell>
        </row>
        <row r="1063">
          <cell r="E1063" t="str">
            <v>SAT</v>
          </cell>
          <cell r="G1063" t="str">
            <v>Y</v>
          </cell>
        </row>
        <row r="1064">
          <cell r="E1064" t="str">
            <v>SUN</v>
          </cell>
          <cell r="G1064" t="str">
            <v>Y</v>
          </cell>
        </row>
        <row r="1065">
          <cell r="E1065" t="str">
            <v>SYM</v>
          </cell>
          <cell r="G1065" t="str">
            <v>Y</v>
          </cell>
        </row>
        <row r="1066">
          <cell r="E1066" t="str">
            <v>UK</v>
          </cell>
          <cell r="G1066" t="str">
            <v>Y</v>
          </cell>
        </row>
        <row r="1067">
          <cell r="E1067" t="str">
            <v>UNY</v>
          </cell>
          <cell r="G1067" t="str">
            <v>Y</v>
          </cell>
        </row>
        <row r="1068">
          <cell r="E1068" t="str">
            <v>UPS</v>
          </cell>
          <cell r="G1068" t="str">
            <v>Y</v>
          </cell>
        </row>
        <row r="1069">
          <cell r="E1069" t="str">
            <v>VAAU</v>
          </cell>
          <cell r="G1069" t="str">
            <v>Y</v>
          </cell>
        </row>
        <row r="1070">
          <cell r="E1070" t="str">
            <v>VER</v>
          </cell>
          <cell r="G1070" t="str">
            <v>Y</v>
          </cell>
        </row>
        <row r="1071">
          <cell r="E1071" t="str">
            <v>VMware</v>
          </cell>
          <cell r="G1071" t="str">
            <v>Y</v>
          </cell>
        </row>
        <row r="1073">
          <cell r="A1073">
            <v>32</v>
          </cell>
        </row>
        <row r="1075">
          <cell r="A1075" t="str">
            <v>Terms</v>
          </cell>
        </row>
        <row r="1078">
          <cell r="E1078">
            <v>1</v>
          </cell>
        </row>
        <row r="1079">
          <cell r="E1079">
            <v>1</v>
          </cell>
        </row>
        <row r="1083">
          <cell r="A1083" t="str">
            <v>Unit Types</v>
          </cell>
        </row>
        <row r="1087">
          <cell r="E1087" t="str">
            <v>Course</v>
          </cell>
        </row>
        <row r="1088">
          <cell r="E1088" t="str">
            <v>Days</v>
          </cell>
        </row>
        <row r="1089">
          <cell r="E1089" t="str">
            <v>Desktops</v>
          </cell>
        </row>
        <row r="1090">
          <cell r="E1090" t="str">
            <v>FTEs</v>
          </cell>
        </row>
        <row r="1091">
          <cell r="E1091" t="str">
            <v>Laptops</v>
          </cell>
        </row>
        <row r="1092">
          <cell r="E1092" t="str">
            <v>Licenses</v>
          </cell>
        </row>
        <row r="1093">
          <cell r="E1093" t="str">
            <v>Money</v>
          </cell>
        </row>
        <row r="1094">
          <cell r="E1094" t="str">
            <v>Monitors</v>
          </cell>
        </row>
        <row r="1095">
          <cell r="E1095" t="str">
            <v>Pallets</v>
          </cell>
        </row>
        <row r="1096">
          <cell r="E1096" t="str">
            <v>Printers</v>
          </cell>
        </row>
        <row r="1097">
          <cell r="E1097" t="str">
            <v>Seat</v>
          </cell>
        </row>
        <row r="1098">
          <cell r="E1098" t="str">
            <v>Servers</v>
          </cell>
        </row>
        <row r="1099">
          <cell r="E1099" t="str">
            <v>Unit</v>
          </cell>
        </row>
        <row r="1100">
          <cell r="E1100" t="str">
            <v>Users</v>
          </cell>
        </row>
        <row r="1101">
          <cell r="E1101" t="str">
            <v>[empty]</v>
          </cell>
        </row>
        <row r="1102">
          <cell r="E1102" t="str">
            <v>[empty]</v>
          </cell>
        </row>
        <row r="1103">
          <cell r="E1103" t="str">
            <v>[empty]</v>
          </cell>
        </row>
        <row r="1104">
          <cell r="E1104" t="str">
            <v>[empty]</v>
          </cell>
        </row>
        <row r="1105">
          <cell r="E1105" t="str">
            <v>[empty]</v>
          </cell>
        </row>
        <row r="1106">
          <cell r="E1106" t="str">
            <v>[empty]</v>
          </cell>
        </row>
        <row r="1108">
          <cell r="A1108">
            <v>20</v>
          </cell>
        </row>
        <row r="1110">
          <cell r="A1110" t="str">
            <v>User Code 1</v>
          </cell>
        </row>
        <row r="1114">
          <cell r="E1114" t="str">
            <v>UC 1.1</v>
          </cell>
        </row>
        <row r="1115">
          <cell r="E1115" t="str">
            <v>UC 1.2</v>
          </cell>
        </row>
        <row r="1116">
          <cell r="E1116" t="str">
            <v>UC 1.3</v>
          </cell>
        </row>
        <row r="1117">
          <cell r="E1117" t="str">
            <v>UC 1.4</v>
          </cell>
        </row>
        <row r="1118">
          <cell r="E1118" t="str">
            <v>UC 1.5</v>
          </cell>
        </row>
        <row r="1120">
          <cell r="A1120">
            <v>5</v>
          </cell>
        </row>
        <row r="1122">
          <cell r="A1122" t="str">
            <v>User Code 2</v>
          </cell>
        </row>
        <row r="1126">
          <cell r="E1126" t="str">
            <v>UC 2.1</v>
          </cell>
        </row>
        <row r="1127">
          <cell r="E1127" t="str">
            <v>UC 2.2</v>
          </cell>
        </row>
        <row r="1128">
          <cell r="E1128" t="str">
            <v>UC 2.3</v>
          </cell>
        </row>
        <row r="1129">
          <cell r="E1129" t="str">
            <v>UC 2.4</v>
          </cell>
        </row>
        <row r="1130">
          <cell r="E1130" t="str">
            <v>UC 2.5</v>
          </cell>
        </row>
        <row r="1132">
          <cell r="A1132">
            <v>5</v>
          </cell>
        </row>
        <row r="1134">
          <cell r="A1134" t="str">
            <v>User Code 3</v>
          </cell>
        </row>
        <row r="1138">
          <cell r="E1138" t="str">
            <v>UC 3.1</v>
          </cell>
        </row>
        <row r="1139">
          <cell r="E1139" t="str">
            <v>UC 3.2</v>
          </cell>
        </row>
        <row r="1140">
          <cell r="E1140" t="str">
            <v>UC 3.3</v>
          </cell>
        </row>
        <row r="1141">
          <cell r="E1141" t="str">
            <v>UC 3.4</v>
          </cell>
        </row>
        <row r="1142">
          <cell r="E1142" t="str">
            <v>UC 3.5</v>
          </cell>
        </row>
        <row r="1144">
          <cell r="A1144">
            <v>5</v>
          </cell>
        </row>
        <row r="1146">
          <cell r="A1146" t="str">
            <v>Volumes</v>
          </cell>
        </row>
        <row r="1151">
          <cell r="E1151" t="str">
            <v>Desks</v>
          </cell>
        </row>
        <row r="1152">
          <cell r="E1152" t="str">
            <v>B Users</v>
          </cell>
        </row>
        <row r="1153">
          <cell r="E1153" t="str">
            <v>A Users</v>
          </cell>
        </row>
        <row r="1154">
          <cell r="E1154" t="str">
            <v>Servers</v>
          </cell>
        </row>
        <row r="1155">
          <cell r="E1155" t="str">
            <v>All Desks</v>
          </cell>
        </row>
        <row r="1156">
          <cell r="E1156" t="str">
            <v>Std Desks</v>
          </cell>
        </row>
        <row r="1157">
          <cell r="E1157" t="str">
            <v>Spe Desks</v>
          </cell>
        </row>
        <row r="1158">
          <cell r="E1158" t="str">
            <v>Contract</v>
          </cell>
        </row>
        <row r="1159">
          <cell r="E1159" t="str">
            <v>Transition</v>
          </cell>
        </row>
        <row r="1160">
          <cell r="E1160" t="str">
            <v>ZZZ</v>
          </cell>
        </row>
        <row r="1161">
          <cell r="E1161" t="str">
            <v>Transf</v>
          </cell>
        </row>
        <row r="1162">
          <cell r="E1162" t="str">
            <v>ASIS</v>
          </cell>
        </row>
        <row r="1163">
          <cell r="E1163" t="str">
            <v>TOBE</v>
          </cell>
        </row>
        <row r="1164">
          <cell r="E1164" t="str">
            <v>None</v>
          </cell>
        </row>
        <row r="1168">
          <cell r="A1168" t="str">
            <v>Win Price</v>
          </cell>
        </row>
      </sheetData>
      <sheetData sheetId="7"/>
      <sheetData sheetId="8">
        <row r="1">
          <cell r="D1">
            <v>0</v>
          </cell>
        </row>
        <row r="4">
          <cell r="A4" t="str">
            <v>Main Input</v>
          </cell>
          <cell r="AF4" t="str">
            <v>Year 0</v>
          </cell>
          <cell r="AG4" t="str">
            <v>Year 0</v>
          </cell>
          <cell r="AH4" t="str">
            <v>Year 0</v>
          </cell>
          <cell r="AI4" t="str">
            <v>Q1</v>
          </cell>
          <cell r="AJ4" t="str">
            <v>Q1</v>
          </cell>
          <cell r="AK4" t="str">
            <v>Q1</v>
          </cell>
          <cell r="AL4" t="str">
            <v>Q2</v>
          </cell>
          <cell r="AM4" t="str">
            <v>Q2</v>
          </cell>
          <cell r="AN4" t="str">
            <v>Q2</v>
          </cell>
          <cell r="AO4" t="str">
            <v>Q3</v>
          </cell>
          <cell r="AP4" t="str">
            <v>Q3</v>
          </cell>
          <cell r="AQ4" t="str">
            <v>Q3</v>
          </cell>
          <cell r="AR4" t="str">
            <v>Q4</v>
          </cell>
          <cell r="AS4" t="str">
            <v>Q4</v>
          </cell>
          <cell r="AT4" t="str">
            <v>Q4</v>
          </cell>
          <cell r="AU4" t="str">
            <v>Year 2</v>
          </cell>
          <cell r="AV4" t="str">
            <v>Year 2</v>
          </cell>
          <cell r="AW4" t="str">
            <v>Year 2</v>
          </cell>
          <cell r="AX4" t="str">
            <v>Year 2</v>
          </cell>
          <cell r="AY4" t="str">
            <v>Year 2</v>
          </cell>
          <cell r="AZ4" t="str">
            <v>Year 2</v>
          </cell>
          <cell r="BA4" t="str">
            <v>Year 2</v>
          </cell>
          <cell r="BB4" t="str">
            <v>Year 2</v>
          </cell>
          <cell r="BC4" t="str">
            <v>Year 2</v>
          </cell>
          <cell r="BD4" t="str">
            <v>Year 2</v>
          </cell>
          <cell r="BE4" t="str">
            <v>Year 2</v>
          </cell>
          <cell r="BF4" t="str">
            <v>Year 2</v>
          </cell>
          <cell r="BG4" t="str">
            <v>Year 3</v>
          </cell>
          <cell r="BH4" t="str">
            <v>Year 3</v>
          </cell>
          <cell r="BI4" t="str">
            <v>Year 3</v>
          </cell>
          <cell r="BJ4" t="str">
            <v>Year 3</v>
          </cell>
          <cell r="BK4" t="str">
            <v>Year 3</v>
          </cell>
          <cell r="BL4" t="str">
            <v>Year 3</v>
          </cell>
          <cell r="BM4" t="str">
            <v>Year 3</v>
          </cell>
          <cell r="BN4" t="str">
            <v>Year 3</v>
          </cell>
          <cell r="BO4" t="str">
            <v>Year 3</v>
          </cell>
          <cell r="BP4" t="str">
            <v>Year 3</v>
          </cell>
          <cell r="BQ4" t="str">
            <v>Year 3</v>
          </cell>
          <cell r="BR4" t="str">
            <v>Year 3</v>
          </cell>
          <cell r="BS4" t="str">
            <v>Year 4</v>
          </cell>
          <cell r="BT4" t="str">
            <v>Year 4</v>
          </cell>
          <cell r="BU4" t="str">
            <v>Year 4</v>
          </cell>
          <cell r="BV4" t="str">
            <v>Year 4</v>
          </cell>
          <cell r="BW4" t="str">
            <v>Year 4</v>
          </cell>
          <cell r="BX4" t="str">
            <v>Year 4</v>
          </cell>
          <cell r="BY4" t="str">
            <v>Year 4</v>
          </cell>
          <cell r="BZ4" t="str">
            <v>Year 4</v>
          </cell>
          <cell r="CA4" t="str">
            <v>Year 4</v>
          </cell>
          <cell r="CB4" t="str">
            <v>Year 4</v>
          </cell>
          <cell r="CC4" t="str">
            <v>Year 4</v>
          </cell>
          <cell r="CD4" t="str">
            <v>Year 4</v>
          </cell>
          <cell r="CE4" t="str">
            <v>Year 5</v>
          </cell>
          <cell r="CF4" t="str">
            <v>Year 5</v>
          </cell>
          <cell r="CG4" t="str">
            <v>Year 5</v>
          </cell>
          <cell r="CH4" t="str">
            <v>Year 5</v>
          </cell>
          <cell r="CI4" t="str">
            <v>Year 5</v>
          </cell>
          <cell r="CJ4" t="str">
            <v>Year 5</v>
          </cell>
          <cell r="CK4" t="str">
            <v>Year 5</v>
          </cell>
          <cell r="CL4" t="str">
            <v>Year 5</v>
          </cell>
          <cell r="CM4" t="str">
            <v>Year 5</v>
          </cell>
          <cell r="CN4" t="str">
            <v>Year 5</v>
          </cell>
          <cell r="CO4" t="str">
            <v>Year 5</v>
          </cell>
          <cell r="CP4" t="str">
            <v>Year 5</v>
          </cell>
          <cell r="CQ4" t="str">
            <v>Year 6</v>
          </cell>
          <cell r="CR4" t="str">
            <v>Year 6</v>
          </cell>
          <cell r="CS4" t="str">
            <v>Year 6</v>
          </cell>
          <cell r="CT4" t="str">
            <v>Year 6</v>
          </cell>
          <cell r="CU4" t="str">
            <v>Year 6</v>
          </cell>
          <cell r="CV4" t="str">
            <v>Year 6</v>
          </cell>
          <cell r="CW4" t="str">
            <v>Year 6</v>
          </cell>
          <cell r="CX4" t="str">
            <v>Year 6</v>
          </cell>
          <cell r="CY4" t="str">
            <v>Year 6</v>
          </cell>
          <cell r="CZ4" t="str">
            <v>Year 6</v>
          </cell>
          <cell r="DA4" t="str">
            <v>Year 6</v>
          </cell>
          <cell r="DB4" t="str">
            <v>Year 6</v>
          </cell>
          <cell r="DC4" t="str">
            <v>Year 7</v>
          </cell>
          <cell r="DD4" t="str">
            <v>Year 7</v>
          </cell>
          <cell r="DE4" t="str">
            <v>Year 7</v>
          </cell>
          <cell r="DF4" t="str">
            <v>Year 7</v>
          </cell>
          <cell r="DG4" t="str">
            <v>Year 7</v>
          </cell>
          <cell r="DH4" t="str">
            <v>Year 7</v>
          </cell>
          <cell r="DI4" t="str">
            <v>Year 7</v>
          </cell>
          <cell r="DJ4" t="str">
            <v>Year 7</v>
          </cell>
          <cell r="DK4" t="str">
            <v>Year 7</v>
          </cell>
          <cell r="DL4" t="str">
            <v>Year 7</v>
          </cell>
          <cell r="DM4" t="str">
            <v>Year 7</v>
          </cell>
          <cell r="DN4" t="str">
            <v>Year 7</v>
          </cell>
          <cell r="DO4" t="str">
            <v>Year 8</v>
          </cell>
          <cell r="DP4" t="str">
            <v>Year 8</v>
          </cell>
          <cell r="DQ4" t="str">
            <v>Year 8</v>
          </cell>
          <cell r="DR4" t="str">
            <v>Year 8</v>
          </cell>
          <cell r="DS4" t="str">
            <v>Year 8</v>
          </cell>
          <cell r="DT4" t="str">
            <v>Year 8</v>
          </cell>
          <cell r="DU4" t="str">
            <v>Year 8</v>
          </cell>
          <cell r="DV4" t="str">
            <v>Year 8</v>
          </cell>
          <cell r="DW4" t="str">
            <v>Year 8</v>
          </cell>
          <cell r="DX4" t="str">
            <v>Year 8</v>
          </cell>
          <cell r="DY4" t="str">
            <v>Year 8</v>
          </cell>
          <cell r="DZ4" t="str">
            <v>Year 8</v>
          </cell>
          <cell r="EA4" t="str">
            <v>Year 9</v>
          </cell>
          <cell r="EB4" t="str">
            <v>Year 9</v>
          </cell>
          <cell r="EC4" t="str">
            <v>Year 9</v>
          </cell>
          <cell r="ED4" t="str">
            <v>Year 9</v>
          </cell>
          <cell r="EE4" t="str">
            <v>Year 9</v>
          </cell>
          <cell r="EF4" t="str">
            <v>Year 9</v>
          </cell>
          <cell r="EG4" t="str">
            <v>Year 9</v>
          </cell>
          <cell r="EH4" t="str">
            <v>Year 9</v>
          </cell>
          <cell r="EI4" t="str">
            <v>Year 9</v>
          </cell>
          <cell r="EJ4" t="str">
            <v>Year 9</v>
          </cell>
          <cell r="EK4" t="str">
            <v>Year 9</v>
          </cell>
          <cell r="EL4" t="str">
            <v>Year 9</v>
          </cell>
          <cell r="EM4" t="str">
            <v>Year 10</v>
          </cell>
          <cell r="EN4" t="str">
            <v>Year 10</v>
          </cell>
          <cell r="EO4" t="str">
            <v>Year 10</v>
          </cell>
          <cell r="EP4" t="str">
            <v>Year 10</v>
          </cell>
          <cell r="EQ4" t="str">
            <v>Year 10</v>
          </cell>
          <cell r="ER4" t="str">
            <v>Year 10</v>
          </cell>
          <cell r="ES4" t="str">
            <v>Year 10</v>
          </cell>
          <cell r="ET4" t="str">
            <v>Year 10</v>
          </cell>
          <cell r="EU4" t="str">
            <v>Year 10</v>
          </cell>
          <cell r="EV4" t="str">
            <v>Year 10</v>
          </cell>
          <cell r="EW4" t="str">
            <v>Year 10</v>
          </cell>
          <cell r="EX4" t="str">
            <v>Year 10</v>
          </cell>
        </row>
        <row r="15">
          <cell r="A15" t="str">
            <v>Pepe</v>
          </cell>
        </row>
        <row r="16">
          <cell r="A16" t="str">
            <v>Pepe</v>
          </cell>
        </row>
        <row r="17">
          <cell r="A17" t="str">
            <v>Pepe</v>
          </cell>
        </row>
        <row r="18">
          <cell r="A18" t="str">
            <v>Chema</v>
          </cell>
        </row>
        <row r="19">
          <cell r="A19" t="str">
            <v>Chema</v>
          </cell>
        </row>
        <row r="20">
          <cell r="A20" t="str">
            <v>Chema</v>
          </cell>
        </row>
        <row r="21">
          <cell r="A21" t="str">
            <v>Chema</v>
          </cell>
        </row>
        <row r="22">
          <cell r="A22" t="str">
            <v>Romualdo</v>
          </cell>
        </row>
        <row r="23">
          <cell r="A23" t="str">
            <v>Romualdo</v>
          </cell>
        </row>
        <row r="24">
          <cell r="A24" t="str">
            <v>Pepe</v>
          </cell>
        </row>
        <row r="25">
          <cell r="A25" t="str">
            <v>Pepe</v>
          </cell>
        </row>
        <row r="26">
          <cell r="A26" t="str">
            <v>MTB</v>
          </cell>
        </row>
        <row r="27">
          <cell r="A27" t="str">
            <v>MTB</v>
          </cell>
        </row>
        <row r="28">
          <cell r="A28" t="str">
            <v>MTB</v>
          </cell>
        </row>
        <row r="29">
          <cell r="A29" t="str">
            <v>MTB</v>
          </cell>
        </row>
        <row r="30">
          <cell r="A30" t="str">
            <v>MTB</v>
          </cell>
        </row>
        <row r="31">
          <cell r="A31" t="str">
            <v>MTB</v>
          </cell>
        </row>
        <row r="32">
          <cell r="A32" t="str">
            <v>MTB</v>
          </cell>
        </row>
        <row r="33">
          <cell r="A33" t="str">
            <v>MTB</v>
          </cell>
        </row>
        <row r="34">
          <cell r="A34" t="str">
            <v>MTB</v>
          </cell>
        </row>
        <row r="35">
          <cell r="A35" t="str">
            <v>MTB</v>
          </cell>
        </row>
        <row r="36">
          <cell r="A36" t="str">
            <v>MTB</v>
          </cell>
        </row>
        <row r="37">
          <cell r="A37" t="str">
            <v>MTB</v>
          </cell>
        </row>
        <row r="38">
          <cell r="A38" t="str">
            <v>MTB</v>
          </cell>
        </row>
        <row r="39">
          <cell r="A39" t="str">
            <v>MTB</v>
          </cell>
        </row>
        <row r="40">
          <cell r="A40" t="str">
            <v>MTB</v>
          </cell>
        </row>
        <row r="41">
          <cell r="A41" t="str">
            <v>MTB</v>
          </cell>
        </row>
        <row r="42">
          <cell r="A42" t="str">
            <v>MTB</v>
          </cell>
        </row>
        <row r="43">
          <cell r="A43" t="str">
            <v>MTB</v>
          </cell>
        </row>
        <row r="44">
          <cell r="A44" t="str">
            <v>MTB</v>
          </cell>
        </row>
        <row r="45">
          <cell r="A45" t="str">
            <v>MTB</v>
          </cell>
        </row>
        <row r="46">
          <cell r="A46" t="str">
            <v>MTB</v>
          </cell>
        </row>
        <row r="47">
          <cell r="A47" t="str">
            <v>MTB</v>
          </cell>
        </row>
        <row r="48">
          <cell r="A48" t="str">
            <v>MTB</v>
          </cell>
        </row>
        <row r="49">
          <cell r="A49" t="str">
            <v>MTB</v>
          </cell>
        </row>
        <row r="50">
          <cell r="A50" t="str">
            <v>MTB</v>
          </cell>
        </row>
        <row r="51">
          <cell r="A51" t="str">
            <v>MTB</v>
          </cell>
        </row>
        <row r="52">
          <cell r="A52" t="str">
            <v>MTB</v>
          </cell>
        </row>
        <row r="53">
          <cell r="A53" t="str">
            <v>MTB</v>
          </cell>
        </row>
        <row r="54">
          <cell r="A54" t="str">
            <v>MTB</v>
          </cell>
        </row>
        <row r="55">
          <cell r="A55" t="str">
            <v>MTB</v>
          </cell>
        </row>
        <row r="56">
          <cell r="A56" t="str">
            <v>MTB</v>
          </cell>
        </row>
        <row r="57">
          <cell r="A57" t="str">
            <v>MTB</v>
          </cell>
        </row>
        <row r="58">
          <cell r="A58" t="str">
            <v>MTB</v>
          </cell>
        </row>
        <row r="59">
          <cell r="A59" t="str">
            <v>MTB</v>
          </cell>
        </row>
        <row r="60">
          <cell r="A60" t="str">
            <v>MTB</v>
          </cell>
        </row>
        <row r="61">
          <cell r="A61" t="str">
            <v>MTB</v>
          </cell>
        </row>
        <row r="62">
          <cell r="A62" t="str">
            <v>MTB</v>
          </cell>
        </row>
        <row r="63">
          <cell r="A63" t="str">
            <v>MTB</v>
          </cell>
        </row>
        <row r="64">
          <cell r="A64" t="str">
            <v>MTB</v>
          </cell>
        </row>
        <row r="65">
          <cell r="A65" t="str">
            <v>MTB</v>
          </cell>
        </row>
        <row r="66">
          <cell r="A66" t="str">
            <v>MTB</v>
          </cell>
        </row>
        <row r="67">
          <cell r="A67" t="str">
            <v>MTB</v>
          </cell>
        </row>
        <row r="68">
          <cell r="A68" t="str">
            <v>MTB</v>
          </cell>
        </row>
        <row r="69">
          <cell r="A69" t="str">
            <v>MTB</v>
          </cell>
        </row>
        <row r="70">
          <cell r="A70" t="str">
            <v>MTB</v>
          </cell>
        </row>
        <row r="71">
          <cell r="A71" t="str">
            <v>MTB</v>
          </cell>
        </row>
        <row r="72">
          <cell r="A72" t="str">
            <v>MTB</v>
          </cell>
        </row>
        <row r="73">
          <cell r="A73" t="str">
            <v>MTB</v>
          </cell>
        </row>
        <row r="74">
          <cell r="A74" t="str">
            <v>MTB</v>
          </cell>
        </row>
        <row r="75">
          <cell r="A75" t="str">
            <v>MTB</v>
          </cell>
        </row>
        <row r="76">
          <cell r="A76" t="str">
            <v>MTB</v>
          </cell>
        </row>
        <row r="77">
          <cell r="A77" t="str">
            <v>MTB</v>
          </cell>
        </row>
        <row r="78">
          <cell r="A78" t="str">
            <v>MTB</v>
          </cell>
        </row>
        <row r="79">
          <cell r="A79" t="str">
            <v>MTB</v>
          </cell>
        </row>
        <row r="80">
          <cell r="A80" t="str">
            <v>MTB</v>
          </cell>
        </row>
        <row r="81">
          <cell r="A81" t="str">
            <v>MTB</v>
          </cell>
        </row>
        <row r="82">
          <cell r="A82" t="str">
            <v>MTB</v>
          </cell>
        </row>
        <row r="83">
          <cell r="A83" t="str">
            <v>MTB</v>
          </cell>
        </row>
        <row r="84">
          <cell r="A84" t="str">
            <v>MTB</v>
          </cell>
        </row>
        <row r="85">
          <cell r="A85" t="str">
            <v>MTB</v>
          </cell>
        </row>
        <row r="86">
          <cell r="A86" t="str">
            <v>MTB</v>
          </cell>
        </row>
        <row r="87">
          <cell r="A87" t="str">
            <v>MTB</v>
          </cell>
        </row>
        <row r="88">
          <cell r="A88" t="str">
            <v>MTB</v>
          </cell>
        </row>
        <row r="89">
          <cell r="A89" t="str">
            <v>MTB</v>
          </cell>
        </row>
        <row r="90">
          <cell r="A90" t="str">
            <v>MTB</v>
          </cell>
        </row>
        <row r="91">
          <cell r="A91" t="str">
            <v>MTB</v>
          </cell>
        </row>
        <row r="92">
          <cell r="A92" t="str">
            <v>MTB</v>
          </cell>
        </row>
        <row r="93">
          <cell r="A93" t="str">
            <v>MTB</v>
          </cell>
        </row>
        <row r="94">
          <cell r="A94" t="str">
            <v>MTB</v>
          </cell>
        </row>
        <row r="95">
          <cell r="A95" t="str">
            <v>MTB</v>
          </cell>
        </row>
        <row r="96">
          <cell r="A96" t="str">
            <v>MTB</v>
          </cell>
        </row>
        <row r="97">
          <cell r="A97" t="str">
            <v>MTB</v>
          </cell>
        </row>
        <row r="98">
          <cell r="A98" t="str">
            <v>MTB</v>
          </cell>
        </row>
        <row r="99">
          <cell r="A99" t="str">
            <v>MTB</v>
          </cell>
        </row>
        <row r="100">
          <cell r="A100" t="str">
            <v>MTB</v>
          </cell>
        </row>
        <row r="101">
          <cell r="A101" t="str">
            <v>MTB</v>
          </cell>
        </row>
        <row r="102">
          <cell r="A102" t="str">
            <v>MTB</v>
          </cell>
        </row>
        <row r="103">
          <cell r="A103" t="str">
            <v>MTB</v>
          </cell>
        </row>
        <row r="104">
          <cell r="A104" t="str">
            <v>MTB</v>
          </cell>
        </row>
        <row r="105">
          <cell r="A105" t="str">
            <v>MTB</v>
          </cell>
        </row>
        <row r="106">
          <cell r="A106" t="str">
            <v>MTB</v>
          </cell>
        </row>
        <row r="107">
          <cell r="A107" t="str">
            <v>MTB</v>
          </cell>
        </row>
        <row r="108">
          <cell r="A108" t="str">
            <v>MTB</v>
          </cell>
        </row>
        <row r="109">
          <cell r="A109" t="str">
            <v>MTB</v>
          </cell>
        </row>
        <row r="110">
          <cell r="A110" t="str">
            <v>MTB</v>
          </cell>
        </row>
        <row r="111">
          <cell r="A111" t="str">
            <v>MTB</v>
          </cell>
        </row>
        <row r="115">
          <cell r="A115">
            <v>101</v>
          </cell>
        </row>
      </sheetData>
      <sheetData sheetId="9">
        <row r="1">
          <cell r="D1">
            <v>0</v>
          </cell>
        </row>
        <row r="4">
          <cell r="A4" t="str">
            <v>Conversion</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row>
        <row r="15">
          <cell r="FL15">
            <v>0</v>
          </cell>
        </row>
        <row r="16">
          <cell r="FL16">
            <v>0</v>
          </cell>
        </row>
        <row r="17">
          <cell r="FL17">
            <v>0</v>
          </cell>
        </row>
        <row r="18">
          <cell r="FL18">
            <v>0</v>
          </cell>
        </row>
        <row r="19">
          <cell r="FL19">
            <v>0</v>
          </cell>
        </row>
        <row r="20">
          <cell r="FL20">
            <v>0</v>
          </cell>
        </row>
        <row r="21">
          <cell r="FL21">
            <v>0</v>
          </cell>
        </row>
        <row r="22">
          <cell r="FL22">
            <v>0</v>
          </cell>
        </row>
        <row r="23">
          <cell r="FL23">
            <v>0</v>
          </cell>
        </row>
        <row r="24">
          <cell r="FL24">
            <v>0</v>
          </cell>
        </row>
        <row r="25">
          <cell r="FL25">
            <v>0</v>
          </cell>
        </row>
        <row r="26">
          <cell r="FL26">
            <v>0</v>
          </cell>
        </row>
        <row r="27">
          <cell r="FL27">
            <v>0</v>
          </cell>
        </row>
        <row r="28">
          <cell r="FL28">
            <v>0</v>
          </cell>
        </row>
        <row r="29">
          <cell r="FL29">
            <v>0</v>
          </cell>
        </row>
        <row r="30">
          <cell r="FL30">
            <v>0</v>
          </cell>
        </row>
        <row r="31">
          <cell r="FL31">
            <v>0</v>
          </cell>
        </row>
        <row r="32">
          <cell r="FL32">
            <v>0</v>
          </cell>
        </row>
        <row r="33">
          <cell r="FL33">
            <v>0</v>
          </cell>
        </row>
        <row r="34">
          <cell r="FL34">
            <v>0</v>
          </cell>
        </row>
        <row r="35">
          <cell r="FL35">
            <v>0</v>
          </cell>
        </row>
        <row r="36">
          <cell r="FL36">
            <v>0</v>
          </cell>
        </row>
        <row r="37">
          <cell r="FL37">
            <v>0</v>
          </cell>
        </row>
        <row r="38">
          <cell r="FL38">
            <v>0</v>
          </cell>
        </row>
        <row r="39">
          <cell r="FL39">
            <v>0</v>
          </cell>
        </row>
        <row r="40">
          <cell r="FL40">
            <v>0</v>
          </cell>
        </row>
        <row r="41">
          <cell r="FL41">
            <v>0</v>
          </cell>
        </row>
        <row r="42">
          <cell r="FL42">
            <v>0</v>
          </cell>
        </row>
        <row r="43">
          <cell r="FL43">
            <v>0</v>
          </cell>
        </row>
        <row r="44">
          <cell r="FL44">
            <v>0</v>
          </cell>
        </row>
        <row r="45">
          <cell r="FL45">
            <v>0</v>
          </cell>
        </row>
        <row r="46">
          <cell r="FL46">
            <v>0</v>
          </cell>
        </row>
        <row r="47">
          <cell r="FL47">
            <v>0</v>
          </cell>
        </row>
        <row r="48">
          <cell r="FL48">
            <v>0</v>
          </cell>
        </row>
        <row r="49">
          <cell r="FL49">
            <v>0</v>
          </cell>
        </row>
        <row r="50">
          <cell r="FL50">
            <v>0</v>
          </cell>
        </row>
        <row r="51">
          <cell r="FL51">
            <v>0</v>
          </cell>
        </row>
        <row r="52">
          <cell r="FL52">
            <v>0</v>
          </cell>
        </row>
        <row r="53">
          <cell r="FL53">
            <v>0</v>
          </cell>
        </row>
        <row r="54">
          <cell r="FL54">
            <v>0</v>
          </cell>
        </row>
        <row r="55">
          <cell r="FL55">
            <v>0</v>
          </cell>
        </row>
        <row r="56">
          <cell r="FL56">
            <v>0</v>
          </cell>
        </row>
        <row r="57">
          <cell r="FL57">
            <v>0</v>
          </cell>
        </row>
        <row r="58">
          <cell r="FL58">
            <v>0</v>
          </cell>
        </row>
        <row r="59">
          <cell r="FL59">
            <v>0</v>
          </cell>
        </row>
        <row r="60">
          <cell r="FL60">
            <v>0</v>
          </cell>
        </row>
        <row r="61">
          <cell r="FL61">
            <v>0</v>
          </cell>
        </row>
        <row r="62">
          <cell r="FL62">
            <v>0</v>
          </cell>
        </row>
        <row r="63">
          <cell r="FL63">
            <v>0</v>
          </cell>
        </row>
        <row r="64">
          <cell r="FL64">
            <v>0</v>
          </cell>
        </row>
        <row r="65">
          <cell r="FL65">
            <v>0</v>
          </cell>
        </row>
        <row r="66">
          <cell r="FL66">
            <v>0</v>
          </cell>
        </row>
        <row r="67">
          <cell r="FL67">
            <v>0</v>
          </cell>
        </row>
        <row r="68">
          <cell r="FL68">
            <v>0</v>
          </cell>
        </row>
        <row r="69">
          <cell r="FL69">
            <v>0</v>
          </cell>
        </row>
        <row r="70">
          <cell r="FL70">
            <v>0</v>
          </cell>
        </row>
        <row r="71">
          <cell r="FL71">
            <v>0</v>
          </cell>
        </row>
        <row r="72">
          <cell r="FL72">
            <v>0</v>
          </cell>
        </row>
        <row r="73">
          <cell r="FL73">
            <v>0</v>
          </cell>
        </row>
        <row r="74">
          <cell r="FL74">
            <v>0</v>
          </cell>
        </row>
        <row r="75">
          <cell r="FL75">
            <v>0</v>
          </cell>
        </row>
        <row r="76">
          <cell r="FL76">
            <v>0</v>
          </cell>
        </row>
        <row r="77">
          <cell r="FL77">
            <v>0</v>
          </cell>
        </row>
        <row r="78">
          <cell r="FL78">
            <v>0</v>
          </cell>
        </row>
        <row r="79">
          <cell r="FL79">
            <v>0</v>
          </cell>
        </row>
        <row r="80">
          <cell r="FL80">
            <v>0</v>
          </cell>
        </row>
        <row r="81">
          <cell r="FL81">
            <v>0</v>
          </cell>
        </row>
        <row r="82">
          <cell r="FL82">
            <v>0</v>
          </cell>
        </row>
        <row r="83">
          <cell r="FL83">
            <v>0</v>
          </cell>
        </row>
        <row r="84">
          <cell r="FL84">
            <v>0</v>
          </cell>
        </row>
        <row r="85">
          <cell r="FL85">
            <v>0</v>
          </cell>
        </row>
        <row r="86">
          <cell r="FL86">
            <v>0</v>
          </cell>
        </row>
        <row r="87">
          <cell r="FL87">
            <v>0</v>
          </cell>
        </row>
        <row r="88">
          <cell r="FL88">
            <v>0</v>
          </cell>
        </row>
        <row r="89">
          <cell r="FL89">
            <v>0</v>
          </cell>
        </row>
        <row r="90">
          <cell r="FL90">
            <v>0</v>
          </cell>
        </row>
        <row r="91">
          <cell r="FL91">
            <v>0</v>
          </cell>
        </row>
        <row r="92">
          <cell r="FL92">
            <v>0</v>
          </cell>
        </row>
        <row r="93">
          <cell r="FL93">
            <v>0</v>
          </cell>
        </row>
        <row r="94">
          <cell r="FL94">
            <v>0</v>
          </cell>
        </row>
        <row r="95">
          <cell r="FL95">
            <v>0</v>
          </cell>
        </row>
        <row r="96">
          <cell r="FL96">
            <v>0</v>
          </cell>
        </row>
        <row r="97">
          <cell r="FL97">
            <v>0</v>
          </cell>
        </row>
        <row r="98">
          <cell r="FL98">
            <v>0</v>
          </cell>
        </row>
        <row r="99">
          <cell r="FL99">
            <v>0</v>
          </cell>
        </row>
        <row r="100">
          <cell r="FL100">
            <v>0</v>
          </cell>
        </row>
        <row r="101">
          <cell r="FL101">
            <v>0</v>
          </cell>
        </row>
        <row r="102">
          <cell r="FL102">
            <v>0</v>
          </cell>
        </row>
        <row r="103">
          <cell r="FL103">
            <v>0</v>
          </cell>
        </row>
        <row r="104">
          <cell r="FL104">
            <v>0</v>
          </cell>
        </row>
        <row r="105">
          <cell r="FL105">
            <v>0</v>
          </cell>
        </row>
        <row r="106">
          <cell r="FL106">
            <v>0</v>
          </cell>
        </row>
        <row r="107">
          <cell r="FL107">
            <v>0</v>
          </cell>
        </row>
        <row r="108">
          <cell r="FL108">
            <v>0</v>
          </cell>
        </row>
        <row r="109">
          <cell r="FL109">
            <v>0</v>
          </cell>
        </row>
        <row r="110">
          <cell r="FL110">
            <v>0</v>
          </cell>
        </row>
        <row r="111">
          <cell r="FL111">
            <v>0</v>
          </cell>
        </row>
        <row r="112">
          <cell r="FL112">
            <v>1</v>
          </cell>
        </row>
        <row r="113">
          <cell r="FL113">
            <v>1</v>
          </cell>
        </row>
        <row r="115">
          <cell r="AE115">
            <v>28624381.51642327</v>
          </cell>
        </row>
      </sheetData>
      <sheetData sheetId="10">
        <row r="1">
          <cell r="AD1">
            <v>0</v>
          </cell>
        </row>
        <row r="4">
          <cell r="A4" t="str">
            <v>Capital</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row>
        <row r="29">
          <cell r="C29" t="str">
            <v>3 years</v>
          </cell>
        </row>
        <row r="30">
          <cell r="C30" t="str">
            <v>5 years</v>
          </cell>
        </row>
        <row r="31">
          <cell r="C31" t="str">
            <v>7 years</v>
          </cell>
        </row>
        <row r="32">
          <cell r="C32">
            <v>0</v>
          </cell>
        </row>
        <row r="36">
          <cell r="AD36">
            <v>0</v>
          </cell>
        </row>
        <row r="46">
          <cell r="AD46">
            <v>0</v>
          </cell>
        </row>
        <row r="53">
          <cell r="AE53">
            <v>543981.33372800006</v>
          </cell>
        </row>
      </sheetData>
      <sheetData sheetId="11">
        <row r="1">
          <cell r="D1">
            <v>0</v>
          </cell>
        </row>
        <row r="4">
          <cell r="A4" t="str">
            <v>Cost Plus</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row>
        <row r="115">
          <cell r="AE115">
            <v>36000513.054737568</v>
          </cell>
        </row>
      </sheetData>
      <sheetData sheetId="12">
        <row r="1">
          <cell r="D1">
            <v>0</v>
          </cell>
        </row>
        <row r="4">
          <cell r="A4" t="str">
            <v>Customer Charges</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row>
        <row r="12">
          <cell r="A12" t="str">
            <v>SERVICE PROFILES</v>
          </cell>
        </row>
        <row r="207">
          <cell r="A207" t="str">
            <v>SUMMARY TABLES</v>
          </cell>
        </row>
        <row r="274">
          <cell r="AD274" t="str">
            <v>ZZZ</v>
          </cell>
        </row>
        <row r="275">
          <cell r="AD275" t="str">
            <v>1_ATP</v>
          </cell>
        </row>
        <row r="276">
          <cell r="AD276" t="str">
            <v>2_ATP</v>
          </cell>
        </row>
        <row r="277">
          <cell r="AD277" t="str">
            <v>3_ATP</v>
          </cell>
        </row>
        <row r="278">
          <cell r="AD278" t="str">
            <v>4_ATP</v>
          </cell>
        </row>
        <row r="279">
          <cell r="AD279" t="str">
            <v>5_ATP</v>
          </cell>
        </row>
        <row r="280">
          <cell r="AD280" t="str">
            <v>6_ATP</v>
          </cell>
        </row>
        <row r="281">
          <cell r="AD281" t="str">
            <v>7_ATP</v>
          </cell>
        </row>
        <row r="282">
          <cell r="AD282" t="str">
            <v>8_ATP</v>
          </cell>
        </row>
        <row r="283">
          <cell r="AD283" t="str">
            <v>9_ATP</v>
          </cell>
        </row>
        <row r="284">
          <cell r="AD284" t="str">
            <v>Sp_1</v>
          </cell>
        </row>
        <row r="285">
          <cell r="AD285" t="str">
            <v>Sp_2</v>
          </cell>
        </row>
        <row r="286">
          <cell r="AD286" t="str">
            <v>Sp_3</v>
          </cell>
        </row>
        <row r="287">
          <cell r="AD287" t="str">
            <v>Sp_4</v>
          </cell>
        </row>
        <row r="288">
          <cell r="AD288" t="str">
            <v>Sp_5</v>
          </cell>
        </row>
        <row r="289">
          <cell r="AD289" t="str">
            <v>N/A</v>
          </cell>
        </row>
      </sheetData>
      <sheetData sheetId="13">
        <row r="1">
          <cell r="D1">
            <v>0</v>
          </cell>
        </row>
        <row r="4">
          <cell r="A4" t="str">
            <v>Profile before CoM</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row>
        <row r="115">
          <cell r="AE115">
            <v>35701684.273700744</v>
          </cell>
        </row>
      </sheetData>
      <sheetData sheetId="14">
        <row r="1">
          <cell r="D1">
            <v>0</v>
          </cell>
        </row>
        <row r="4">
          <cell r="A4" t="str">
            <v>CoM</v>
          </cell>
        </row>
        <row r="18">
          <cell r="AD18">
            <v>1.044593852466013</v>
          </cell>
        </row>
        <row r="21">
          <cell r="AE21">
            <v>1293246.8602527706</v>
          </cell>
          <cell r="EZ21">
            <v>0</v>
          </cell>
        </row>
      </sheetData>
      <sheetData sheetId="15">
        <row r="1">
          <cell r="D1">
            <v>0</v>
          </cell>
        </row>
        <row r="4">
          <cell r="A4" t="str">
            <v>Profile with CoM</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row>
        <row r="115">
          <cell r="AE115">
            <v>37293759.91499041</v>
          </cell>
        </row>
      </sheetData>
      <sheetData sheetId="16">
        <row r="1">
          <cell r="D1">
            <v>0</v>
          </cell>
        </row>
        <row r="4">
          <cell r="A4" t="str">
            <v>Final Price</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row>
        <row r="115">
          <cell r="AE115">
            <v>37293759.91499041</v>
          </cell>
        </row>
      </sheetData>
      <sheetData sheetId="17">
        <row r="1">
          <cell r="D1">
            <v>0</v>
          </cell>
        </row>
        <row r="4">
          <cell r="A4" t="str">
            <v>Service Prices</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row>
        <row r="12">
          <cell r="A12" t="str">
            <v>SERVICE PROFILES</v>
          </cell>
        </row>
        <row r="22">
          <cell r="AD22">
            <v>0.20061159760769962</v>
          </cell>
        </row>
        <row r="239">
          <cell r="A239" t="str">
            <v>SUMMARY TABLES</v>
          </cell>
        </row>
      </sheetData>
      <sheetData sheetId="18">
        <row r="1">
          <cell r="F1">
            <v>0</v>
          </cell>
        </row>
        <row r="4">
          <cell r="A4" t="str">
            <v>Financial Dashboard</v>
          </cell>
        </row>
        <row r="12">
          <cell r="A12" t="str">
            <v>Financial Dashboard</v>
          </cell>
        </row>
        <row r="14">
          <cell r="C14" t="str">
            <v>ON</v>
          </cell>
          <cell r="F14" t="str">
            <v>ON</v>
          </cell>
          <cell r="I14" t="str">
            <v>ON</v>
          </cell>
          <cell r="L14">
            <v>30</v>
          </cell>
        </row>
        <row r="15">
          <cell r="C15" t="str">
            <v>ON</v>
          </cell>
          <cell r="F15" t="str">
            <v>ON</v>
          </cell>
          <cell r="I15" t="str">
            <v>ON</v>
          </cell>
          <cell r="L15">
            <v>30</v>
          </cell>
        </row>
        <row r="16">
          <cell r="C16" t="str">
            <v>ON</v>
          </cell>
          <cell r="F16" t="str">
            <v>ON</v>
          </cell>
          <cell r="I16" t="str">
            <v>ON</v>
          </cell>
          <cell r="L16" t="str">
            <v>EUR</v>
          </cell>
        </row>
        <row r="45">
          <cell r="A45" t="str">
            <v>SHEET REFERENCES</v>
          </cell>
        </row>
        <row r="71">
          <cell r="A71" t="str">
            <v>STATUS MESSAGES</v>
          </cell>
        </row>
        <row r="74">
          <cell r="C74" t="str">
            <v>Indexation is ON</v>
          </cell>
          <cell r="E74" t="b">
            <v>1</v>
          </cell>
        </row>
        <row r="75">
          <cell r="C75" t="str">
            <v>Margin is ON</v>
          </cell>
          <cell r="E75" t="b">
            <v>1</v>
          </cell>
        </row>
        <row r="76">
          <cell r="C76" t="str">
            <v>Discounts are ON</v>
          </cell>
          <cell r="E76" t="b">
            <v>1</v>
          </cell>
        </row>
        <row r="77">
          <cell r="C77" t="str">
            <v>Charging Profiles are ON</v>
          </cell>
          <cell r="E77" t="b">
            <v>1</v>
          </cell>
        </row>
        <row r="78">
          <cell r="C78" t="str">
            <v>Cost Of Money is ON</v>
          </cell>
          <cell r="E78" t="b">
            <v>1</v>
          </cell>
        </row>
        <row r="79">
          <cell r="C79" t="str">
            <v>Financing is ON</v>
          </cell>
          <cell r="E79" t="b">
            <v>1</v>
          </cell>
        </row>
        <row r="80">
          <cell r="C80" t="str">
            <v>Output Currency is Euros</v>
          </cell>
          <cell r="E80" t="str">
            <v>Euros</v>
          </cell>
        </row>
        <row r="81">
          <cell r="C81" t="str">
            <v>Overhead Spread is ON</v>
          </cell>
          <cell r="E81" t="b">
            <v>1</v>
          </cell>
        </row>
        <row r="82">
          <cell r="C82" t="str">
            <v>Remove Res Val is ON</v>
          </cell>
          <cell r="E82" t="b">
            <v>1</v>
          </cell>
        </row>
        <row r="83">
          <cell r="C83" t="str">
            <v>Overhead Profiling is ON</v>
          </cell>
          <cell r="E83" t="b">
            <v>1</v>
          </cell>
        </row>
        <row r="86">
          <cell r="A86" t="str">
            <v>GRAPH DATA</v>
          </cell>
        </row>
        <row r="102">
          <cell r="B102" t="str">
            <v>Raw Costs</v>
          </cell>
          <cell r="C102" t="str">
            <v>Cost Plus</v>
          </cell>
        </row>
        <row r="103">
          <cell r="B103" t="str">
            <v>Costs after Terms</v>
          </cell>
          <cell r="C103" t="str">
            <v>Profiled</v>
          </cell>
        </row>
        <row r="104">
          <cell r="C104" t="str">
            <v>After CoM</v>
          </cell>
        </row>
        <row r="105">
          <cell r="B105">
            <v>2</v>
          </cell>
          <cell r="C105" t="str">
            <v>Final</v>
          </cell>
        </row>
        <row r="107">
          <cell r="C107">
            <v>4</v>
          </cell>
        </row>
        <row r="110">
          <cell r="A110" t="str">
            <v>Cost Base by Cost Type</v>
          </cell>
        </row>
      </sheetData>
      <sheetData sheetId="19">
        <row r="1">
          <cell r="D1">
            <v>0</v>
          </cell>
        </row>
        <row r="4">
          <cell r="A4" t="str">
            <v>Interface</v>
          </cell>
        </row>
        <row r="5">
          <cell r="AF5" t="str">
            <v>Year 0</v>
          </cell>
          <cell r="AG5" t="str">
            <v>Year 0</v>
          </cell>
          <cell r="AH5" t="str">
            <v>Year 0</v>
          </cell>
          <cell r="AI5" t="str">
            <v>Q1</v>
          </cell>
          <cell r="AJ5" t="str">
            <v>Q1</v>
          </cell>
          <cell r="AK5" t="str">
            <v>Q1</v>
          </cell>
          <cell r="AL5" t="str">
            <v>Q2</v>
          </cell>
          <cell r="AM5" t="str">
            <v>Q2</v>
          </cell>
          <cell r="AN5" t="str">
            <v>Q2</v>
          </cell>
          <cell r="AO5" t="str">
            <v>Q3</v>
          </cell>
          <cell r="AP5" t="str">
            <v>Q3</v>
          </cell>
          <cell r="AQ5" t="str">
            <v>Q3</v>
          </cell>
          <cell r="AR5" t="str">
            <v>Q4</v>
          </cell>
          <cell r="AS5" t="str">
            <v>Q4</v>
          </cell>
          <cell r="AT5" t="str">
            <v>Q4</v>
          </cell>
          <cell r="AU5" t="str">
            <v>Year 2</v>
          </cell>
          <cell r="AV5" t="str">
            <v>Year 2</v>
          </cell>
          <cell r="AW5" t="str">
            <v>Year 2</v>
          </cell>
          <cell r="AX5" t="str">
            <v>Year 2</v>
          </cell>
          <cell r="AY5" t="str">
            <v>Year 2</v>
          </cell>
          <cell r="AZ5" t="str">
            <v>Year 2</v>
          </cell>
          <cell r="BA5" t="str">
            <v>Year 2</v>
          </cell>
          <cell r="BB5" t="str">
            <v>Year 2</v>
          </cell>
          <cell r="BC5" t="str">
            <v>Year 2</v>
          </cell>
          <cell r="BD5" t="str">
            <v>Year 2</v>
          </cell>
          <cell r="BE5" t="str">
            <v>Year 2</v>
          </cell>
          <cell r="BF5" t="str">
            <v>Year 2</v>
          </cell>
          <cell r="BG5" t="str">
            <v>Year 3</v>
          </cell>
          <cell r="BH5" t="str">
            <v>Year 3</v>
          </cell>
          <cell r="BI5" t="str">
            <v>Year 3</v>
          </cell>
          <cell r="BJ5" t="str">
            <v>Year 3</v>
          </cell>
          <cell r="BK5" t="str">
            <v>Year 3</v>
          </cell>
          <cell r="BL5" t="str">
            <v>Year 3</v>
          </cell>
          <cell r="BM5" t="str">
            <v>Year 3</v>
          </cell>
          <cell r="BN5" t="str">
            <v>Year 3</v>
          </cell>
          <cell r="BO5" t="str">
            <v>Year 3</v>
          </cell>
          <cell r="BP5" t="str">
            <v>Year 3</v>
          </cell>
          <cell r="BQ5" t="str">
            <v>Year 3</v>
          </cell>
          <cell r="BR5" t="str">
            <v>Year 3</v>
          </cell>
          <cell r="BS5" t="str">
            <v>Year 4</v>
          </cell>
          <cell r="BT5" t="str">
            <v>Year 4</v>
          </cell>
          <cell r="BU5" t="str">
            <v>Year 4</v>
          </cell>
          <cell r="BV5" t="str">
            <v>Year 4</v>
          </cell>
          <cell r="BW5" t="str">
            <v>Year 4</v>
          </cell>
          <cell r="BX5" t="str">
            <v>Year 4</v>
          </cell>
          <cell r="BY5" t="str">
            <v>Year 4</v>
          </cell>
          <cell r="BZ5" t="str">
            <v>Year 4</v>
          </cell>
          <cell r="CA5" t="str">
            <v>Year 4</v>
          </cell>
          <cell r="CB5" t="str">
            <v>Year 4</v>
          </cell>
          <cell r="CC5" t="str">
            <v>Year 4</v>
          </cell>
          <cell r="CD5" t="str">
            <v>Year 4</v>
          </cell>
          <cell r="CE5" t="str">
            <v>Year 5</v>
          </cell>
          <cell r="CF5" t="str">
            <v>Year 5</v>
          </cell>
          <cell r="CG5" t="str">
            <v>Year 5</v>
          </cell>
          <cell r="CH5" t="str">
            <v>Year 5</v>
          </cell>
          <cell r="CI5" t="str">
            <v>Year 5</v>
          </cell>
          <cell r="CJ5" t="str">
            <v>Year 5</v>
          </cell>
          <cell r="CK5" t="str">
            <v>Year 5</v>
          </cell>
          <cell r="CL5" t="str">
            <v>Year 5</v>
          </cell>
          <cell r="CM5" t="str">
            <v>Year 5</v>
          </cell>
          <cell r="CN5" t="str">
            <v>Year 5</v>
          </cell>
          <cell r="CO5" t="str">
            <v>Year 5</v>
          </cell>
          <cell r="CP5" t="str">
            <v>Year 5</v>
          </cell>
          <cell r="CQ5" t="str">
            <v>Year 6</v>
          </cell>
          <cell r="CR5" t="str">
            <v>Year 6</v>
          </cell>
          <cell r="CS5" t="str">
            <v>Year 6</v>
          </cell>
          <cell r="CT5" t="str">
            <v>Year 6</v>
          </cell>
          <cell r="CU5" t="str">
            <v>Year 6</v>
          </cell>
          <cell r="CV5" t="str">
            <v>Year 6</v>
          </cell>
          <cell r="CW5" t="str">
            <v>Year 6</v>
          </cell>
          <cell r="CX5" t="str">
            <v>Year 6</v>
          </cell>
          <cell r="CY5" t="str">
            <v>Year 6</v>
          </cell>
          <cell r="CZ5" t="str">
            <v>Year 6</v>
          </cell>
          <cell r="DA5" t="str">
            <v>Year 6</v>
          </cell>
          <cell r="DB5" t="str">
            <v>Year 6</v>
          </cell>
          <cell r="DC5" t="str">
            <v>Year 7</v>
          </cell>
          <cell r="DD5" t="str">
            <v>Year 7</v>
          </cell>
          <cell r="DE5" t="str">
            <v>Year 7</v>
          </cell>
          <cell r="DF5" t="str">
            <v>Year 7</v>
          </cell>
          <cell r="DG5" t="str">
            <v>Year 7</v>
          </cell>
          <cell r="DH5" t="str">
            <v>Year 7</v>
          </cell>
          <cell r="DI5" t="str">
            <v>Year 7</v>
          </cell>
          <cell r="DJ5" t="str">
            <v>Year 7</v>
          </cell>
          <cell r="DK5" t="str">
            <v>Year 7</v>
          </cell>
          <cell r="DL5" t="str">
            <v>Year 7</v>
          </cell>
          <cell r="DM5" t="str">
            <v>Year 7</v>
          </cell>
          <cell r="DN5" t="str">
            <v>Year 7</v>
          </cell>
          <cell r="DO5" t="str">
            <v>Year 8</v>
          </cell>
          <cell r="DP5" t="str">
            <v>Year 8</v>
          </cell>
          <cell r="DQ5" t="str">
            <v>Year 8</v>
          </cell>
          <cell r="DR5" t="str">
            <v>Year 8</v>
          </cell>
          <cell r="DS5" t="str">
            <v>Year 8</v>
          </cell>
          <cell r="DT5" t="str">
            <v>Year 8</v>
          </cell>
          <cell r="DU5" t="str">
            <v>Year 8</v>
          </cell>
          <cell r="DV5" t="str">
            <v>Year 8</v>
          </cell>
          <cell r="DW5" t="str">
            <v>Year 8</v>
          </cell>
          <cell r="DX5" t="str">
            <v>Year 8</v>
          </cell>
          <cell r="DY5" t="str">
            <v>Year 8</v>
          </cell>
          <cell r="DZ5" t="str">
            <v>Year 8</v>
          </cell>
          <cell r="EA5" t="str">
            <v>Year 9</v>
          </cell>
          <cell r="EB5" t="str">
            <v>Year 9</v>
          </cell>
          <cell r="EC5" t="str">
            <v>Year 9</v>
          </cell>
          <cell r="ED5" t="str">
            <v>Year 9</v>
          </cell>
          <cell r="EE5" t="str">
            <v>Year 9</v>
          </cell>
          <cell r="EF5" t="str">
            <v>Year 9</v>
          </cell>
          <cell r="EG5" t="str">
            <v>Year 9</v>
          </cell>
          <cell r="EH5" t="str">
            <v>Year 9</v>
          </cell>
          <cell r="EI5" t="str">
            <v>Year 9</v>
          </cell>
          <cell r="EJ5" t="str">
            <v>Year 9</v>
          </cell>
          <cell r="EK5" t="str">
            <v>Year 9</v>
          </cell>
          <cell r="EL5" t="str">
            <v>Year 9</v>
          </cell>
          <cell r="EM5" t="str">
            <v>Year 10</v>
          </cell>
          <cell r="EN5" t="str">
            <v>Year 10</v>
          </cell>
          <cell r="EO5" t="str">
            <v>Year 10</v>
          </cell>
          <cell r="EP5" t="str">
            <v>Year 10</v>
          </cell>
          <cell r="EQ5" t="str">
            <v>Year 10</v>
          </cell>
          <cell r="ER5" t="str">
            <v>Year 10</v>
          </cell>
          <cell r="ES5" t="str">
            <v>Year 10</v>
          </cell>
          <cell r="ET5" t="str">
            <v>Year 10</v>
          </cell>
          <cell r="EU5" t="str">
            <v>Year 10</v>
          </cell>
          <cell r="EV5" t="str">
            <v>Year 10</v>
          </cell>
          <cell r="EW5" t="str">
            <v>Year 10</v>
          </cell>
          <cell r="EX5" t="str">
            <v>Year 10</v>
          </cell>
        </row>
        <row r="12">
          <cell r="A12" t="str">
            <v>Costs</v>
          </cell>
        </row>
        <row r="45">
          <cell r="AE45">
            <v>28624381.51642327</v>
          </cell>
        </row>
        <row r="76">
          <cell r="AE76">
            <v>28624381.51642327</v>
          </cell>
        </row>
        <row r="85">
          <cell r="AE85">
            <v>28624381.516423278</v>
          </cell>
        </row>
        <row r="96">
          <cell r="AE96">
            <v>28624381.516423266</v>
          </cell>
        </row>
        <row r="103">
          <cell r="AE103">
            <v>28624381.51642327</v>
          </cell>
        </row>
        <row r="119">
          <cell r="AE119">
            <v>28624381.516423281</v>
          </cell>
        </row>
        <row r="133">
          <cell r="AE133">
            <v>28624381.516423278</v>
          </cell>
        </row>
        <row r="142">
          <cell r="AE142">
            <v>28624381.51642327</v>
          </cell>
        </row>
        <row r="145">
          <cell r="A145" t="str">
            <v>Cost Plus</v>
          </cell>
        </row>
        <row r="176">
          <cell r="AE176">
            <v>36000513.05473756</v>
          </cell>
        </row>
        <row r="187">
          <cell r="AE187">
            <v>36000513.054737508</v>
          </cell>
        </row>
        <row r="190">
          <cell r="A190" t="str">
            <v>Profile</v>
          </cell>
        </row>
        <row r="201">
          <cell r="AE201">
            <v>35701684.273700699</v>
          </cell>
        </row>
        <row r="204">
          <cell r="A204" t="str">
            <v>Other</v>
          </cell>
        </row>
      </sheetData>
      <sheetData sheetId="20">
        <row r="1">
          <cell r="F1">
            <v>0</v>
          </cell>
        </row>
        <row r="4">
          <cell r="A4" t="str">
            <v>Audit</v>
          </cell>
        </row>
        <row r="16">
          <cell r="A16">
            <v>1</v>
          </cell>
        </row>
        <row r="17">
          <cell r="A17">
            <v>1</v>
          </cell>
        </row>
      </sheetData>
      <sheetData sheetId="21">
        <row r="1">
          <cell r="D1">
            <v>0</v>
          </cell>
        </row>
        <row r="4">
          <cell r="A4" t="str">
            <v>Change Control</v>
          </cell>
        </row>
        <row r="17">
          <cell r="E17" t="str">
            <v>Intermediate Pricing Model v1.2</v>
          </cell>
        </row>
        <row r="20">
          <cell r="E20" t="str">
            <v>The Sponsor</v>
          </cell>
        </row>
        <row r="21">
          <cell r="E21" t="str">
            <v>+44(0)7867 nnn nnn</v>
          </cell>
        </row>
        <row r="22">
          <cell r="E22" t="str">
            <v>some.one@uk.fujitsu.com</v>
          </cell>
        </row>
        <row r="24">
          <cell r="E24" t="str">
            <v>Operational Owner</v>
          </cell>
        </row>
        <row r="25">
          <cell r="E25" t="str">
            <v>+44 (0) 7867 nnn nnn</v>
          </cell>
        </row>
        <row r="26">
          <cell r="E26" t="str">
            <v>operational.owner@uk.fujitsu.com</v>
          </cell>
        </row>
        <row r="32">
          <cell r="E32" t="str">
            <v>NOT SELECTED</v>
          </cell>
        </row>
      </sheetData>
      <sheetData sheetId="22">
        <row r="1">
          <cell r="A1" t="str">
            <v>End</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act"/>
      <sheetName val="Rates"/>
      <sheetName val="Sheet1"/>
    </sheetNames>
    <sheetDataSet>
      <sheetData sheetId="0" refreshError="1"/>
      <sheetData sheetId="1">
        <row r="3">
          <cell r="A3">
            <v>0</v>
          </cell>
          <cell r="B3">
            <v>0</v>
          </cell>
          <cell r="C3">
            <v>0</v>
          </cell>
        </row>
        <row r="4">
          <cell r="A4">
            <v>1</v>
          </cell>
          <cell r="B4" t="str">
            <v>10 mins</v>
          </cell>
          <cell r="C4">
            <v>10</v>
          </cell>
        </row>
        <row r="5">
          <cell r="A5">
            <v>2</v>
          </cell>
          <cell r="B5" t="str">
            <v>15 mins</v>
          </cell>
          <cell r="C5">
            <v>15</v>
          </cell>
        </row>
        <row r="6">
          <cell r="A6">
            <v>3</v>
          </cell>
          <cell r="B6" t="str">
            <v>20 mins</v>
          </cell>
          <cell r="C6">
            <v>20</v>
          </cell>
        </row>
        <row r="7">
          <cell r="A7">
            <v>4</v>
          </cell>
          <cell r="B7" t="str">
            <v>25 mins</v>
          </cell>
          <cell r="C7">
            <v>25</v>
          </cell>
        </row>
        <row r="8">
          <cell r="A8">
            <v>5</v>
          </cell>
          <cell r="B8" t="str">
            <v>30 mins</v>
          </cell>
          <cell r="C8">
            <v>30</v>
          </cell>
        </row>
        <row r="9">
          <cell r="A9">
            <v>6</v>
          </cell>
          <cell r="B9" t="str">
            <v>35 mins</v>
          </cell>
          <cell r="C9">
            <v>35</v>
          </cell>
        </row>
        <row r="10">
          <cell r="A10">
            <v>7</v>
          </cell>
          <cell r="B10" t="str">
            <v>40 mins</v>
          </cell>
          <cell r="C10">
            <v>40</v>
          </cell>
        </row>
        <row r="11">
          <cell r="A11">
            <v>8</v>
          </cell>
          <cell r="B11" t="str">
            <v>45 mins</v>
          </cell>
          <cell r="C11">
            <v>45</v>
          </cell>
        </row>
        <row r="12">
          <cell r="A12">
            <v>9</v>
          </cell>
          <cell r="B12" t="str">
            <v>50 mins</v>
          </cell>
          <cell r="C12">
            <v>50</v>
          </cell>
        </row>
        <row r="13">
          <cell r="A13">
            <v>10</v>
          </cell>
          <cell r="B13" t="str">
            <v>55 mins</v>
          </cell>
          <cell r="C13">
            <v>55</v>
          </cell>
        </row>
        <row r="14">
          <cell r="A14">
            <v>11</v>
          </cell>
          <cell r="B14" t="str">
            <v>1 Hour</v>
          </cell>
          <cell r="C14">
            <v>60</v>
          </cell>
        </row>
        <row r="15">
          <cell r="A15">
            <v>12</v>
          </cell>
          <cell r="B15" t="str">
            <v>1 Hour 15 minutes</v>
          </cell>
          <cell r="C15">
            <v>75</v>
          </cell>
        </row>
        <row r="16">
          <cell r="A16">
            <v>13</v>
          </cell>
          <cell r="B16" t="str">
            <v>1 Hour 30 minutes</v>
          </cell>
          <cell r="C16">
            <v>90</v>
          </cell>
        </row>
        <row r="17">
          <cell r="A17">
            <v>14</v>
          </cell>
          <cell r="B17" t="str">
            <v>1 Hour 45 minutes</v>
          </cell>
          <cell r="C17">
            <v>105</v>
          </cell>
        </row>
        <row r="18">
          <cell r="A18">
            <v>15</v>
          </cell>
          <cell r="B18" t="str">
            <v>2 Hours</v>
          </cell>
          <cell r="C18">
            <v>120</v>
          </cell>
        </row>
        <row r="19">
          <cell r="A19">
            <v>16</v>
          </cell>
          <cell r="B19" t="str">
            <v>2 Hours 15 minutes</v>
          </cell>
          <cell r="C19">
            <v>135</v>
          </cell>
        </row>
        <row r="20">
          <cell r="A20">
            <v>17</v>
          </cell>
          <cell r="B20" t="str">
            <v>2 Hours 30 minutes</v>
          </cell>
          <cell r="C20">
            <v>150</v>
          </cell>
        </row>
        <row r="21">
          <cell r="A21">
            <v>18</v>
          </cell>
          <cell r="B21" t="str">
            <v>2 Hours 45 minutes</v>
          </cell>
          <cell r="C21">
            <v>165</v>
          </cell>
        </row>
        <row r="22">
          <cell r="A22">
            <v>19</v>
          </cell>
          <cell r="B22" t="str">
            <v>3 Hours</v>
          </cell>
          <cell r="C22">
            <v>180</v>
          </cell>
        </row>
        <row r="23">
          <cell r="A23">
            <v>20</v>
          </cell>
          <cell r="B23" t="str">
            <v>3 Hours 15 minutes</v>
          </cell>
          <cell r="C23">
            <v>195</v>
          </cell>
        </row>
        <row r="24">
          <cell r="A24">
            <v>21</v>
          </cell>
          <cell r="B24" t="str">
            <v>3 Hous 30 minutes</v>
          </cell>
          <cell r="C24">
            <v>210</v>
          </cell>
        </row>
        <row r="25">
          <cell r="A25">
            <v>22</v>
          </cell>
          <cell r="B25" t="str">
            <v>3 Hours 45 minutes</v>
          </cell>
          <cell r="C25">
            <v>225</v>
          </cell>
        </row>
        <row r="26">
          <cell r="A26">
            <v>23</v>
          </cell>
          <cell r="B26" t="str">
            <v>4 Hours</v>
          </cell>
          <cell r="C26">
            <v>240</v>
          </cell>
        </row>
        <row r="27">
          <cell r="A27">
            <v>24</v>
          </cell>
          <cell r="B27" t="str">
            <v>4 Hours 30 minutes</v>
          </cell>
          <cell r="C27">
            <v>270</v>
          </cell>
        </row>
        <row r="28">
          <cell r="A28">
            <v>25</v>
          </cell>
          <cell r="B28" t="str">
            <v>5 Hours</v>
          </cell>
          <cell r="C28">
            <v>300</v>
          </cell>
        </row>
        <row r="29">
          <cell r="A29">
            <v>26</v>
          </cell>
          <cell r="B29" t="str">
            <v>5 Hours 30 minutes</v>
          </cell>
          <cell r="C29">
            <v>330</v>
          </cell>
        </row>
        <row r="30">
          <cell r="A30">
            <v>27</v>
          </cell>
          <cell r="B30" t="str">
            <v>6 hours</v>
          </cell>
          <cell r="C30">
            <v>360</v>
          </cell>
        </row>
        <row r="31">
          <cell r="A31">
            <v>28</v>
          </cell>
          <cell r="B31" t="str">
            <v>7 Hours</v>
          </cell>
          <cell r="C31">
            <v>420</v>
          </cell>
        </row>
        <row r="32">
          <cell r="A32">
            <v>29</v>
          </cell>
          <cell r="B32" t="str">
            <v>8 Hours</v>
          </cell>
          <cell r="C32">
            <v>480</v>
          </cell>
        </row>
        <row r="58">
          <cell r="C58">
            <v>0.05</v>
          </cell>
        </row>
        <row r="60">
          <cell r="C60">
            <v>0.03</v>
          </cell>
        </row>
        <row r="69">
          <cell r="A69">
            <v>1</v>
          </cell>
          <cell r="B69" t="str">
            <v>None</v>
          </cell>
          <cell r="C69">
            <v>0</v>
          </cell>
        </row>
        <row r="70">
          <cell r="A70">
            <v>2</v>
          </cell>
          <cell r="B70" t="str">
            <v>Plastic Ext.</v>
          </cell>
          <cell r="C70">
            <v>8</v>
          </cell>
        </row>
        <row r="71">
          <cell r="A71">
            <v>3</v>
          </cell>
          <cell r="B71" t="str">
            <v xml:space="preserve">Metal Ext. </v>
          </cell>
          <cell r="C71">
            <v>15</v>
          </cell>
        </row>
        <row r="72">
          <cell r="A72">
            <v>4</v>
          </cell>
          <cell r="B72" t="str">
            <v>Covert drain Lge Ext.</v>
          </cell>
          <cell r="C72">
            <v>88</v>
          </cell>
        </row>
        <row r="73">
          <cell r="A73">
            <v>5</v>
          </cell>
          <cell r="B73" t="str">
            <v>Covert drain Sml Ext.</v>
          </cell>
          <cell r="C73">
            <v>44</v>
          </cell>
        </row>
        <row r="74">
          <cell r="A74">
            <v>6</v>
          </cell>
          <cell r="B74" t="str">
            <v>Covert litter bin ext.</v>
          </cell>
          <cell r="C74">
            <v>137</v>
          </cell>
        </row>
        <row r="75">
          <cell r="A75">
            <v>7</v>
          </cell>
          <cell r="B75" t="str">
            <v>Flea Bait</v>
          </cell>
          <cell r="C75">
            <v>8</v>
          </cell>
        </row>
        <row r="76">
          <cell r="A76">
            <v>8</v>
          </cell>
          <cell r="B76" t="str">
            <v>Wasp Bait</v>
          </cell>
          <cell r="C76">
            <v>15</v>
          </cell>
        </row>
        <row r="77">
          <cell r="A77">
            <v>9</v>
          </cell>
          <cell r="B77" t="str">
            <v>Electronic Mouse Bait</v>
          </cell>
          <cell r="C77">
            <v>44</v>
          </cell>
        </row>
        <row r="78">
          <cell r="A78">
            <v>10</v>
          </cell>
          <cell r="B78" t="str">
            <v>Moth Dome Pheremone Trap</v>
          </cell>
          <cell r="C78">
            <v>15</v>
          </cell>
        </row>
        <row r="79">
          <cell r="A79">
            <v>11</v>
          </cell>
          <cell r="B79" t="str">
            <v xml:space="preserve">Exosex Moth Tab </v>
          </cell>
          <cell r="C79">
            <v>92</v>
          </cell>
        </row>
        <row r="80">
          <cell r="A80">
            <v>12</v>
          </cell>
          <cell r="B80" t="str">
            <v>Spare</v>
          </cell>
        </row>
        <row r="81">
          <cell r="A81">
            <v>13</v>
          </cell>
          <cell r="B81" t="str">
            <v>Spare</v>
          </cell>
        </row>
        <row r="82">
          <cell r="A82">
            <v>14</v>
          </cell>
          <cell r="B82" t="str">
            <v>Spare</v>
          </cell>
        </row>
        <row r="83">
          <cell r="A83">
            <v>15</v>
          </cell>
          <cell r="B83" t="str">
            <v>Spare</v>
          </cell>
        </row>
        <row r="84">
          <cell r="A84">
            <v>16</v>
          </cell>
          <cell r="B84" t="str">
            <v>Spare</v>
          </cell>
        </row>
        <row r="85">
          <cell r="A85">
            <v>17</v>
          </cell>
          <cell r="B85" t="str">
            <v>Spare</v>
          </cell>
        </row>
        <row r="86">
          <cell r="A86">
            <v>18</v>
          </cell>
          <cell r="B86" t="str">
            <v>Spare</v>
          </cell>
        </row>
        <row r="87">
          <cell r="A87">
            <v>19</v>
          </cell>
          <cell r="B87" t="str">
            <v>Spare</v>
          </cell>
        </row>
        <row r="88">
          <cell r="A88">
            <v>20</v>
          </cell>
          <cell r="B88" t="str">
            <v>Spare</v>
          </cell>
        </row>
        <row r="90">
          <cell r="C90">
            <v>0.03</v>
          </cell>
        </row>
        <row r="150">
          <cell r="B150">
            <v>1</v>
          </cell>
          <cell r="C150">
            <v>34</v>
          </cell>
          <cell r="D150">
            <v>14</v>
          </cell>
        </row>
        <row r="151">
          <cell r="B151">
            <v>2</v>
          </cell>
          <cell r="C151">
            <v>44</v>
          </cell>
          <cell r="D151">
            <v>14</v>
          </cell>
        </row>
        <row r="152">
          <cell r="B152">
            <v>3</v>
          </cell>
          <cell r="C152">
            <v>54</v>
          </cell>
          <cell r="D152">
            <v>14</v>
          </cell>
        </row>
        <row r="153">
          <cell r="B153">
            <v>4</v>
          </cell>
          <cell r="C153">
            <v>64</v>
          </cell>
          <cell r="D153">
            <v>14</v>
          </cell>
        </row>
        <row r="154">
          <cell r="B154">
            <v>5</v>
          </cell>
          <cell r="C154">
            <v>38</v>
          </cell>
          <cell r="D154">
            <v>14</v>
          </cell>
        </row>
        <row r="155">
          <cell r="B155">
            <v>6</v>
          </cell>
          <cell r="C155">
            <v>50</v>
          </cell>
          <cell r="D155">
            <v>14</v>
          </cell>
        </row>
        <row r="156">
          <cell r="B156">
            <v>7</v>
          </cell>
          <cell r="C156">
            <v>62</v>
          </cell>
          <cell r="D156">
            <v>14</v>
          </cell>
        </row>
        <row r="157">
          <cell r="B157">
            <v>8</v>
          </cell>
          <cell r="C157">
            <v>74</v>
          </cell>
          <cell r="D157">
            <v>14</v>
          </cell>
        </row>
        <row r="159">
          <cell r="B159">
            <v>1</v>
          </cell>
          <cell r="C159">
            <v>34</v>
          </cell>
          <cell r="D159">
            <v>14</v>
          </cell>
        </row>
        <row r="160">
          <cell r="B160">
            <v>2</v>
          </cell>
          <cell r="C160">
            <v>44</v>
          </cell>
          <cell r="D160">
            <v>14</v>
          </cell>
        </row>
        <row r="161">
          <cell r="B161">
            <v>3</v>
          </cell>
          <cell r="C161">
            <v>54</v>
          </cell>
          <cell r="D161">
            <v>14</v>
          </cell>
        </row>
        <row r="162">
          <cell r="B162">
            <v>4</v>
          </cell>
          <cell r="C162">
            <v>64</v>
          </cell>
          <cell r="D162">
            <v>14</v>
          </cell>
        </row>
        <row r="163">
          <cell r="B163">
            <v>5</v>
          </cell>
          <cell r="C163">
            <v>38</v>
          </cell>
          <cell r="D163">
            <v>14</v>
          </cell>
        </row>
        <row r="164">
          <cell r="B164">
            <v>6</v>
          </cell>
          <cell r="C164">
            <v>50</v>
          </cell>
          <cell r="D164">
            <v>14</v>
          </cell>
        </row>
        <row r="165">
          <cell r="B165">
            <v>7</v>
          </cell>
          <cell r="C165">
            <v>62</v>
          </cell>
          <cell r="D165">
            <v>14</v>
          </cell>
        </row>
        <row r="166">
          <cell r="B166">
            <v>8</v>
          </cell>
          <cell r="C166">
            <v>74</v>
          </cell>
          <cell r="D166">
            <v>14</v>
          </cell>
        </row>
        <row r="168">
          <cell r="B168">
            <v>1</v>
          </cell>
          <cell r="C168">
            <v>34</v>
          </cell>
          <cell r="D168">
            <v>14</v>
          </cell>
        </row>
        <row r="169">
          <cell r="B169">
            <v>2</v>
          </cell>
          <cell r="C169">
            <v>44</v>
          </cell>
          <cell r="D169">
            <v>14</v>
          </cell>
        </row>
        <row r="170">
          <cell r="B170">
            <v>3</v>
          </cell>
          <cell r="C170">
            <v>54</v>
          </cell>
          <cell r="D170">
            <v>14</v>
          </cell>
        </row>
        <row r="171">
          <cell r="B171">
            <v>4</v>
          </cell>
          <cell r="C171">
            <v>64</v>
          </cell>
          <cell r="D171">
            <v>14</v>
          </cell>
        </row>
        <row r="172">
          <cell r="B172">
            <v>5</v>
          </cell>
          <cell r="C172">
            <v>38</v>
          </cell>
          <cell r="D172">
            <v>14</v>
          </cell>
        </row>
        <row r="173">
          <cell r="B173">
            <v>6</v>
          </cell>
          <cell r="C173">
            <v>50</v>
          </cell>
          <cell r="D173">
            <v>14</v>
          </cell>
        </row>
        <row r="174">
          <cell r="B174">
            <v>7</v>
          </cell>
          <cell r="C174">
            <v>62</v>
          </cell>
          <cell r="D174">
            <v>14</v>
          </cell>
        </row>
        <row r="175">
          <cell r="B175">
            <v>8</v>
          </cell>
          <cell r="C175">
            <v>74</v>
          </cell>
          <cell r="D175">
            <v>14</v>
          </cell>
        </row>
        <row r="178">
          <cell r="B178">
            <v>0</v>
          </cell>
          <cell r="C178" t="str">
            <v>None</v>
          </cell>
        </row>
        <row r="179">
          <cell r="B179">
            <v>1</v>
          </cell>
          <cell r="C179" t="str">
            <v>EFK One tube</v>
          </cell>
        </row>
        <row r="180">
          <cell r="B180">
            <v>2</v>
          </cell>
          <cell r="C180" t="str">
            <v>EFK Two tube/ ALL</v>
          </cell>
        </row>
        <row r="181">
          <cell r="B181">
            <v>3</v>
          </cell>
          <cell r="C181" t="str">
            <v>EFK Three tube</v>
          </cell>
        </row>
        <row r="182">
          <cell r="B182">
            <v>4</v>
          </cell>
          <cell r="C182" t="str">
            <v>EFK Four tube</v>
          </cell>
        </row>
        <row r="183">
          <cell r="B183">
            <v>5</v>
          </cell>
          <cell r="C183" t="str">
            <v>Sticky-B One tube</v>
          </cell>
        </row>
        <row r="184">
          <cell r="B184">
            <v>6</v>
          </cell>
          <cell r="C184" t="str">
            <v>Sticky-B Two tube/ ALL</v>
          </cell>
        </row>
        <row r="185">
          <cell r="B185">
            <v>7</v>
          </cell>
          <cell r="C185" t="str">
            <v>Sticky-B Three tube</v>
          </cell>
        </row>
        <row r="186">
          <cell r="B186">
            <v>8</v>
          </cell>
          <cell r="C186" t="str">
            <v>Sticky-B Four tube</v>
          </cell>
        </row>
        <row r="193">
          <cell r="B193">
            <v>1</v>
          </cell>
          <cell r="C193" t="str">
            <v>None</v>
          </cell>
          <cell r="F193">
            <v>0</v>
          </cell>
          <cell r="H193">
            <v>0</v>
          </cell>
        </row>
        <row r="194">
          <cell r="B194">
            <v>2</v>
          </cell>
          <cell r="C194" t="str">
            <v>Viper EFK</v>
          </cell>
          <cell r="D194">
            <v>180</v>
          </cell>
          <cell r="F194">
            <v>152</v>
          </cell>
          <cell r="H194">
            <v>110</v>
          </cell>
        </row>
        <row r="195">
          <cell r="B195">
            <v>3</v>
          </cell>
          <cell r="C195" t="str">
            <v>Liberator EFK White</v>
          </cell>
          <cell r="D195">
            <v>296</v>
          </cell>
          <cell r="F195">
            <v>215</v>
          </cell>
          <cell r="H195">
            <v>173</v>
          </cell>
        </row>
        <row r="196">
          <cell r="B196">
            <v>4</v>
          </cell>
          <cell r="C196" t="str">
            <v>Liberator EFK S/Steel</v>
          </cell>
          <cell r="D196">
            <v>328</v>
          </cell>
          <cell r="F196">
            <v>226</v>
          </cell>
          <cell r="H196">
            <v>184</v>
          </cell>
        </row>
        <row r="197">
          <cell r="B197">
            <v>5</v>
          </cell>
          <cell r="C197" t="str">
            <v>Liberator EFK J/Proof</v>
          </cell>
          <cell r="D197">
            <v>578</v>
          </cell>
          <cell r="F197">
            <v>318</v>
          </cell>
          <cell r="H197">
            <v>276</v>
          </cell>
        </row>
        <row r="198">
          <cell r="B198">
            <v>6</v>
          </cell>
          <cell r="C198">
            <v>0</v>
          </cell>
        </row>
        <row r="199">
          <cell r="B199">
            <v>7</v>
          </cell>
          <cell r="C199">
            <v>0</v>
          </cell>
        </row>
        <row r="200">
          <cell r="B200">
            <v>8</v>
          </cell>
          <cell r="C200">
            <v>0</v>
          </cell>
        </row>
        <row r="201">
          <cell r="B201">
            <v>9</v>
          </cell>
          <cell r="C201">
            <v>0</v>
          </cell>
        </row>
        <row r="206">
          <cell r="B206">
            <v>1</v>
          </cell>
          <cell r="C206" t="str">
            <v>None</v>
          </cell>
          <cell r="D206">
            <v>0</v>
          </cell>
          <cell r="F206">
            <v>0</v>
          </cell>
          <cell r="H206">
            <v>0</v>
          </cell>
        </row>
        <row r="207">
          <cell r="B207">
            <v>2</v>
          </cell>
          <cell r="C207" t="str">
            <v>Liberator G/board White</v>
          </cell>
          <cell r="D207">
            <v>280</v>
          </cell>
          <cell r="F207">
            <v>219</v>
          </cell>
          <cell r="H207">
            <v>275</v>
          </cell>
        </row>
        <row r="208">
          <cell r="B208">
            <v>3</v>
          </cell>
          <cell r="C208" t="str">
            <v>Liberator G/board S/Steel</v>
          </cell>
          <cell r="D208">
            <v>319</v>
          </cell>
          <cell r="F208">
            <v>233</v>
          </cell>
          <cell r="H208">
            <v>289</v>
          </cell>
        </row>
        <row r="209">
          <cell r="B209">
            <v>4</v>
          </cell>
          <cell r="C209" t="str">
            <v>Liberator G/Board J/Proof</v>
          </cell>
          <cell r="D209">
            <v>556</v>
          </cell>
          <cell r="F209">
            <v>320</v>
          </cell>
          <cell r="H209">
            <v>376</v>
          </cell>
        </row>
        <row r="210">
          <cell r="B210">
            <v>5</v>
          </cell>
          <cell r="C210" t="str">
            <v>Cobra</v>
          </cell>
          <cell r="D210">
            <v>198</v>
          </cell>
          <cell r="F210">
            <v>177</v>
          </cell>
          <cell r="H210">
            <v>233</v>
          </cell>
        </row>
        <row r="211">
          <cell r="B211">
            <v>6</v>
          </cell>
          <cell r="C211" t="str">
            <v>Plasma</v>
          </cell>
          <cell r="D211">
            <v>284</v>
          </cell>
          <cell r="F211">
            <v>196</v>
          </cell>
          <cell r="H211">
            <v>253</v>
          </cell>
        </row>
        <row r="212">
          <cell r="B212">
            <v>7</v>
          </cell>
          <cell r="C212" t="str">
            <v>Eclipse</v>
          </cell>
          <cell r="D212">
            <v>152</v>
          </cell>
          <cell r="F212">
            <v>148</v>
          </cell>
          <cell r="H212">
            <v>204</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Adm_Styles"/>
      <sheetName val="Adm_Notes"/>
      <sheetName val="Logic"/>
      <sheetName val="Navigation"/>
      <sheetName val="Inp_User"/>
      <sheetName val="Control"/>
      <sheetName val="Inp_Constants"/>
      <sheetName val="Calc_Main"/>
      <sheetName val="Calc_Timeline"/>
      <sheetName val="Error"/>
      <sheetName val="Audit"/>
      <sheetName val="IssueForm"/>
      <sheetName val="IncomeStmt"/>
      <sheetName val="Cashflow"/>
      <sheetName val="BalanceSheet"/>
      <sheetName val="IncomeStmt_Scr"/>
      <sheetName val="Cashflow_Scr"/>
      <sheetName val="Balance sheet_Scr"/>
      <sheetName val="Template"/>
    </sheetNames>
    <sheetDataSet>
      <sheetData sheetId="0" refreshError="1"/>
      <sheetData sheetId="1" refreshError="1">
        <row r="1">
          <cell r="A1" t="str">
            <v>IsysC_CostModel_v1 2.xlsm</v>
          </cell>
        </row>
      </sheetData>
      <sheetData sheetId="2" refreshError="1"/>
      <sheetData sheetId="3" refreshError="1"/>
      <sheetData sheetId="4" refreshError="1"/>
      <sheetData sheetId="5" refreshError="1">
        <row r="8">
          <cell r="F8" t="str">
            <v>Volume</v>
          </cell>
          <cell r="G8" t="str">
            <v>Volume</v>
          </cell>
          <cell r="H8" t="str">
            <v>Volume</v>
          </cell>
          <cell r="I8" t="str">
            <v>Volume</v>
          </cell>
          <cell r="J8" t="str">
            <v>Volume</v>
          </cell>
          <cell r="K8" t="str">
            <v>Volume</v>
          </cell>
          <cell r="L8" t="str">
            <v>Volume</v>
          </cell>
          <cell r="M8" t="str">
            <v>Volume</v>
          </cell>
          <cell r="N8" t="str">
            <v>Volume</v>
          </cell>
          <cell r="O8" t="str">
            <v>Volume</v>
          </cell>
          <cell r="P8" t="str">
            <v>Volume</v>
          </cell>
          <cell r="Q8" t="str">
            <v>Volume</v>
          </cell>
          <cell r="R8" t="str">
            <v>Volume</v>
          </cell>
          <cell r="S8" t="str">
            <v>Volume</v>
          </cell>
          <cell r="T8" t="str">
            <v>Volume</v>
          </cell>
          <cell r="U8" t="str">
            <v>Volume</v>
          </cell>
          <cell r="V8" t="str">
            <v>Volume</v>
          </cell>
          <cell r="W8" t="str">
            <v>Volume</v>
          </cell>
          <cell r="X8" t="str">
            <v>Volume</v>
          </cell>
          <cell r="Y8" t="str">
            <v>Volume</v>
          </cell>
          <cell r="Z8" t="str">
            <v>Volume</v>
          </cell>
          <cell r="AA8" t="str">
            <v>Volume</v>
          </cell>
          <cell r="AB8" t="str">
            <v>Volume</v>
          </cell>
          <cell r="AC8" t="str">
            <v>Volume</v>
          </cell>
          <cell r="AD8" t="str">
            <v>Volume</v>
          </cell>
          <cell r="AE8" t="str">
            <v>Volume</v>
          </cell>
          <cell r="AF8" t="str">
            <v>Volume</v>
          </cell>
          <cell r="AG8" t="str">
            <v>Volume</v>
          </cell>
          <cell r="AH8" t="str">
            <v>Volume</v>
          </cell>
          <cell r="AI8" t="str">
            <v>Volume</v>
          </cell>
          <cell r="AJ8" t="str">
            <v>Volume</v>
          </cell>
          <cell r="AK8" t="str">
            <v>Volume</v>
          </cell>
          <cell r="AL8" t="str">
            <v>Volume</v>
          </cell>
          <cell r="AM8" t="str">
            <v>Volume</v>
          </cell>
          <cell r="AN8" t="str">
            <v>Volume</v>
          </cell>
          <cell r="AO8" t="str">
            <v>Volume</v>
          </cell>
          <cell r="AP8" t="str">
            <v>Volume</v>
          </cell>
          <cell r="AQ8" t="str">
            <v>Volume</v>
          </cell>
          <cell r="AR8" t="str">
            <v>Volume</v>
          </cell>
        </row>
        <row r="39">
          <cell r="F39" t="str">
            <v>Value</v>
          </cell>
          <cell r="G39" t="str">
            <v>Value</v>
          </cell>
          <cell r="H39" t="str">
            <v>Value</v>
          </cell>
          <cell r="I39" t="str">
            <v>Value</v>
          </cell>
          <cell r="J39" t="str">
            <v>Value</v>
          </cell>
          <cell r="K39" t="str">
            <v>Value</v>
          </cell>
          <cell r="L39" t="str">
            <v>Value</v>
          </cell>
          <cell r="M39" t="str">
            <v>Value</v>
          </cell>
          <cell r="N39" t="str">
            <v>Value</v>
          </cell>
          <cell r="O39" t="str">
            <v>Value</v>
          </cell>
          <cell r="P39" t="str">
            <v>Value</v>
          </cell>
          <cell r="Q39" t="str">
            <v>Value</v>
          </cell>
          <cell r="R39" t="str">
            <v>Value</v>
          </cell>
          <cell r="S39" t="str">
            <v>Value</v>
          </cell>
          <cell r="T39" t="str">
            <v>Value</v>
          </cell>
          <cell r="U39" t="str">
            <v>Value</v>
          </cell>
          <cell r="V39" t="str">
            <v>Value</v>
          </cell>
          <cell r="W39" t="str">
            <v>Value</v>
          </cell>
          <cell r="X39" t="str">
            <v>Value</v>
          </cell>
          <cell r="Y39" t="str">
            <v>Value</v>
          </cell>
          <cell r="Z39" t="str">
            <v>Value</v>
          </cell>
          <cell r="AA39" t="str">
            <v>Value</v>
          </cell>
          <cell r="AB39" t="str">
            <v>Value</v>
          </cell>
          <cell r="AC39" t="str">
            <v>Value</v>
          </cell>
          <cell r="AD39" t="str">
            <v>Value</v>
          </cell>
          <cell r="AE39" t="str">
            <v>Value</v>
          </cell>
          <cell r="AF39" t="str">
            <v>Value</v>
          </cell>
          <cell r="AG39" t="str">
            <v>Value</v>
          </cell>
          <cell r="AH39" t="str">
            <v>Value</v>
          </cell>
          <cell r="AI39" t="str">
            <v>Value</v>
          </cell>
          <cell r="AJ39" t="str">
            <v>Value</v>
          </cell>
          <cell r="AK39" t="str">
            <v>Value</v>
          </cell>
          <cell r="AL39" t="str">
            <v>Value</v>
          </cell>
          <cell r="AM39" t="str">
            <v>Value</v>
          </cell>
          <cell r="AN39" t="str">
            <v>Value</v>
          </cell>
          <cell r="AO39" t="str">
            <v>Value</v>
          </cell>
          <cell r="AP39" t="str">
            <v>Value</v>
          </cell>
          <cell r="AQ39" t="str">
            <v>Value</v>
          </cell>
          <cell r="AR39" t="str">
            <v>Value</v>
          </cell>
        </row>
        <row r="45">
          <cell r="F45" t="str">
            <v>Value</v>
          </cell>
          <cell r="G45" t="str">
            <v>Value</v>
          </cell>
          <cell r="H45" t="str">
            <v>Value</v>
          </cell>
          <cell r="I45" t="str">
            <v>Value</v>
          </cell>
          <cell r="J45" t="str">
            <v>Value</v>
          </cell>
          <cell r="K45" t="str">
            <v>Value</v>
          </cell>
          <cell r="L45" t="str">
            <v>Value</v>
          </cell>
          <cell r="M45" t="str">
            <v>Value</v>
          </cell>
          <cell r="N45" t="str">
            <v>Value</v>
          </cell>
          <cell r="O45" t="str">
            <v>Value</v>
          </cell>
          <cell r="P45" t="str">
            <v>Value</v>
          </cell>
          <cell r="Q45" t="str">
            <v>Value</v>
          </cell>
          <cell r="R45" t="str">
            <v>Value</v>
          </cell>
          <cell r="S45" t="str">
            <v>Value</v>
          </cell>
          <cell r="T45" t="str">
            <v>Value</v>
          </cell>
          <cell r="U45" t="str">
            <v>Value</v>
          </cell>
          <cell r="V45" t="str">
            <v>Value</v>
          </cell>
          <cell r="W45" t="str">
            <v>Value</v>
          </cell>
          <cell r="X45" t="str">
            <v>Value</v>
          </cell>
          <cell r="Y45" t="str">
            <v>Value</v>
          </cell>
          <cell r="Z45" t="str">
            <v>Value</v>
          </cell>
          <cell r="AA45" t="str">
            <v>Value</v>
          </cell>
          <cell r="AB45" t="str">
            <v>Value</v>
          </cell>
          <cell r="AC45" t="str">
            <v>Value</v>
          </cell>
          <cell r="AD45" t="str">
            <v>Value</v>
          </cell>
          <cell r="AE45" t="str">
            <v>Value</v>
          </cell>
          <cell r="AF45" t="str">
            <v>Value</v>
          </cell>
          <cell r="AG45" t="str">
            <v>Value</v>
          </cell>
          <cell r="AH45" t="str">
            <v>Value</v>
          </cell>
          <cell r="AI45" t="str">
            <v>Value</v>
          </cell>
          <cell r="AJ45" t="str">
            <v>Value</v>
          </cell>
          <cell r="AK45" t="str">
            <v>Value</v>
          </cell>
          <cell r="AL45" t="str">
            <v>Value</v>
          </cell>
          <cell r="AM45" t="str">
            <v>Value</v>
          </cell>
          <cell r="AN45" t="str">
            <v>Value</v>
          </cell>
          <cell r="AO45" t="str">
            <v>Value</v>
          </cell>
          <cell r="AP45" t="str">
            <v>Value</v>
          </cell>
          <cell r="AQ45" t="str">
            <v>Value</v>
          </cell>
          <cell r="AR45" t="str">
            <v>Value</v>
          </cell>
        </row>
      </sheetData>
      <sheetData sheetId="6" refreshError="1">
        <row r="1">
          <cell r="D1">
            <v>0</v>
          </cell>
        </row>
        <row r="13">
          <cell r="C13" t="str">
            <v>IsysC_v1 2</v>
          </cell>
        </row>
        <row r="16">
          <cell r="C16" t="str">
            <v>The Sponsor</v>
          </cell>
        </row>
        <row r="17">
          <cell r="C17" t="str">
            <v>+44(0)nnnn nnn nnn</v>
          </cell>
        </row>
        <row r="18">
          <cell r="C18" t="str">
            <v>SomeOne@Isysr.com</v>
          </cell>
        </row>
        <row r="20">
          <cell r="C20" t="str">
            <v>Operational owner</v>
          </cell>
        </row>
        <row r="21">
          <cell r="C21" t="str">
            <v>+44(0)nnnn nnn nnn</v>
          </cell>
        </row>
        <row r="22">
          <cell r="C22" t="str">
            <v>SomeOne@Isysr.com</v>
          </cell>
        </row>
        <row r="24">
          <cell r="C24" t="str">
            <v>Model Owner</v>
          </cell>
        </row>
        <row r="25">
          <cell r="C25" t="str">
            <v>+44(0)nnnn nnn nnn</v>
          </cell>
        </row>
        <row r="26">
          <cell r="C26" t="str">
            <v>SomeOne@Isysr.com</v>
          </cell>
        </row>
        <row r="28">
          <cell r="C28" t="str">
            <v>NOT SELECTED</v>
          </cell>
        </row>
        <row r="54">
          <cell r="B54" t="str">
            <v>Jack</v>
          </cell>
        </row>
        <row r="69">
          <cell r="B69" t="str">
            <v>Jack</v>
          </cell>
        </row>
      </sheetData>
      <sheetData sheetId="7" refreshError="1">
        <row r="1">
          <cell r="D1">
            <v>0</v>
          </cell>
        </row>
        <row r="10">
          <cell r="D10" t="str">
            <v>Client</v>
          </cell>
        </row>
        <row r="11">
          <cell r="D11" t="str">
            <v>Demo</v>
          </cell>
        </row>
        <row r="12">
          <cell r="D12" t="str">
            <v>Finance</v>
          </cell>
        </row>
        <row r="23">
          <cell r="D23">
            <v>41944</v>
          </cell>
        </row>
        <row r="24">
          <cell r="D24">
            <v>120</v>
          </cell>
        </row>
        <row r="25">
          <cell r="D25">
            <v>45626</v>
          </cell>
        </row>
        <row r="26">
          <cell r="D26">
            <v>41944</v>
          </cell>
        </row>
        <row r="30">
          <cell r="D30">
            <v>11</v>
          </cell>
        </row>
        <row r="38">
          <cell r="C38" t="str">
            <v>Cost Centre 1</v>
          </cell>
          <cell r="G38">
            <v>1</v>
          </cell>
        </row>
        <row r="39">
          <cell r="C39" t="str">
            <v>Cost Centre 2</v>
          </cell>
          <cell r="G39">
            <v>1</v>
          </cell>
        </row>
        <row r="45">
          <cell r="C45" t="str">
            <v>Capability 1</v>
          </cell>
          <cell r="G45">
            <v>1</v>
          </cell>
          <cell r="H45" t="str">
            <v>ON</v>
          </cell>
        </row>
        <row r="46">
          <cell r="C46" t="str">
            <v>Capability 2</v>
          </cell>
          <cell r="G46">
            <v>1</v>
          </cell>
          <cell r="H46" t="str">
            <v>ON</v>
          </cell>
        </row>
        <row r="47">
          <cell r="C47" t="str">
            <v>Capability 3</v>
          </cell>
          <cell r="G47">
            <v>1</v>
          </cell>
          <cell r="H47" t="str">
            <v>ON</v>
          </cell>
        </row>
        <row r="48">
          <cell r="C48" t="str">
            <v>Capability 4</v>
          </cell>
          <cell r="G48">
            <v>1</v>
          </cell>
          <cell r="H48" t="str">
            <v>ON</v>
          </cell>
        </row>
        <row r="49">
          <cell r="C49" t="str">
            <v>Capability 5</v>
          </cell>
          <cell r="G49">
            <v>1</v>
          </cell>
        </row>
        <row r="50">
          <cell r="C50" t="str">
            <v>Capability 6</v>
          </cell>
          <cell r="G50">
            <v>1</v>
          </cell>
          <cell r="H50" t="str">
            <v>ON</v>
          </cell>
        </row>
        <row r="51">
          <cell r="C51" t="str">
            <v>Capability 7</v>
          </cell>
          <cell r="G51">
            <v>1</v>
          </cell>
        </row>
        <row r="52">
          <cell r="C52" t="str">
            <v>Capability 8</v>
          </cell>
          <cell r="G52">
            <v>1</v>
          </cell>
          <cell r="H52" t="str">
            <v>ON</v>
          </cell>
        </row>
        <row r="53">
          <cell r="C53" t="str">
            <v>Capability 9</v>
          </cell>
          <cell r="G53">
            <v>1</v>
          </cell>
          <cell r="H53" t="str">
            <v>ON</v>
          </cell>
        </row>
        <row r="54">
          <cell r="C54" t="str">
            <v>Capability 10</v>
          </cell>
          <cell r="G54">
            <v>1</v>
          </cell>
          <cell r="H54" t="str">
            <v>ON</v>
          </cell>
        </row>
        <row r="55">
          <cell r="C55" t="str">
            <v>Capability 11</v>
          </cell>
          <cell r="G55">
            <v>1</v>
          </cell>
          <cell r="H55" t="str">
            <v>ON</v>
          </cell>
        </row>
        <row r="56">
          <cell r="C56" t="str">
            <v>Capability 12</v>
          </cell>
          <cell r="G56">
            <v>1</v>
          </cell>
          <cell r="H56" t="str">
            <v>ON</v>
          </cell>
        </row>
        <row r="57">
          <cell r="C57" t="str">
            <v>Capability 13</v>
          </cell>
          <cell r="G57">
            <v>1</v>
          </cell>
          <cell r="H57" t="str">
            <v>ON</v>
          </cell>
        </row>
        <row r="59">
          <cell r="B59">
            <v>13</v>
          </cell>
        </row>
        <row r="65">
          <cell r="C65" t="str">
            <v>Works1</v>
          </cell>
          <cell r="G65">
            <v>1</v>
          </cell>
          <cell r="H65" t="str">
            <v>ON</v>
          </cell>
        </row>
        <row r="66">
          <cell r="C66" t="str">
            <v>Works2</v>
          </cell>
          <cell r="G66">
            <v>1</v>
          </cell>
          <cell r="H66" t="str">
            <v>ON</v>
          </cell>
        </row>
        <row r="67">
          <cell r="C67" t="str">
            <v>Works3</v>
          </cell>
          <cell r="G67">
            <v>1</v>
          </cell>
          <cell r="H67" t="str">
            <v>ON</v>
          </cell>
        </row>
        <row r="68">
          <cell r="C68" t="str">
            <v>Works4</v>
          </cell>
          <cell r="G68">
            <v>1</v>
          </cell>
          <cell r="H68" t="str">
            <v>ON</v>
          </cell>
        </row>
        <row r="69">
          <cell r="C69" t="str">
            <v>Works5</v>
          </cell>
          <cell r="G69">
            <v>1</v>
          </cell>
          <cell r="H69" t="str">
            <v>ON</v>
          </cell>
        </row>
        <row r="70">
          <cell r="C70" t="str">
            <v>Works6</v>
          </cell>
          <cell r="G70">
            <v>1</v>
          </cell>
          <cell r="H70" t="str">
            <v>ON</v>
          </cell>
        </row>
        <row r="71">
          <cell r="C71" t="str">
            <v>Works7</v>
          </cell>
          <cell r="G71">
            <v>1</v>
          </cell>
          <cell r="H71" t="str">
            <v>ON</v>
          </cell>
        </row>
        <row r="72">
          <cell r="C72" t="str">
            <v>Works8</v>
          </cell>
          <cell r="G72">
            <v>1</v>
          </cell>
          <cell r="H72" t="str">
            <v>ON</v>
          </cell>
        </row>
        <row r="73">
          <cell r="C73" t="str">
            <v>Works9</v>
          </cell>
          <cell r="G73">
            <v>1</v>
          </cell>
          <cell r="H73" t="str">
            <v>ON</v>
          </cell>
        </row>
        <row r="74">
          <cell r="C74" t="str">
            <v>Works10</v>
          </cell>
          <cell r="G74">
            <v>1</v>
          </cell>
          <cell r="H74" t="str">
            <v>ON</v>
          </cell>
        </row>
        <row r="75">
          <cell r="C75" t="str">
            <v>Works11</v>
          </cell>
          <cell r="G75">
            <v>1</v>
          </cell>
          <cell r="H75" t="str">
            <v>ON</v>
          </cell>
        </row>
        <row r="76">
          <cell r="C76" t="str">
            <v>Works12</v>
          </cell>
          <cell r="G76">
            <v>1</v>
          </cell>
          <cell r="H76" t="str">
            <v>ON</v>
          </cell>
        </row>
        <row r="77">
          <cell r="C77" t="str">
            <v>Works13</v>
          </cell>
          <cell r="G77">
            <v>1</v>
          </cell>
          <cell r="H77" t="str">
            <v>ON</v>
          </cell>
        </row>
        <row r="78">
          <cell r="C78" t="str">
            <v>Works14</v>
          </cell>
          <cell r="G78">
            <v>1</v>
          </cell>
          <cell r="H78" t="str">
            <v>ON</v>
          </cell>
        </row>
        <row r="79">
          <cell r="C79" t="str">
            <v>Works15</v>
          </cell>
          <cell r="G79">
            <v>1</v>
          </cell>
        </row>
        <row r="87">
          <cell r="C87" t="str">
            <v>Descriptor1</v>
          </cell>
          <cell r="G87">
            <v>1</v>
          </cell>
        </row>
        <row r="88">
          <cell r="C88" t="str">
            <v>Descriptor2</v>
          </cell>
          <cell r="G88">
            <v>1</v>
          </cell>
        </row>
        <row r="89">
          <cell r="C89" t="str">
            <v>Descriptor3</v>
          </cell>
          <cell r="G89">
            <v>1</v>
          </cell>
        </row>
        <row r="90">
          <cell r="C90" t="str">
            <v>Descriptor4</v>
          </cell>
          <cell r="G90">
            <v>1</v>
          </cell>
        </row>
        <row r="91">
          <cell r="C91" t="str">
            <v>Descriptor5</v>
          </cell>
          <cell r="G91">
            <v>1</v>
          </cell>
        </row>
        <row r="92">
          <cell r="C92" t="str">
            <v>Descriptor6</v>
          </cell>
          <cell r="G92">
            <v>1</v>
          </cell>
        </row>
        <row r="93">
          <cell r="C93" t="str">
            <v>Descriptor7</v>
          </cell>
          <cell r="G93">
            <v>1</v>
          </cell>
        </row>
        <row r="94">
          <cell r="C94" t="str">
            <v>Descriptor8</v>
          </cell>
          <cell r="G94">
            <v>1</v>
          </cell>
        </row>
        <row r="95">
          <cell r="C95" t="str">
            <v>Descriptor9</v>
          </cell>
          <cell r="G95">
            <v>1</v>
          </cell>
        </row>
        <row r="96">
          <cell r="C96" t="str">
            <v>Descriptor10</v>
          </cell>
          <cell r="G96">
            <v>1</v>
          </cell>
        </row>
        <row r="97">
          <cell r="C97" t="str">
            <v>Descriptor11</v>
          </cell>
          <cell r="G97">
            <v>1</v>
          </cell>
        </row>
        <row r="98">
          <cell r="C98" t="str">
            <v>Descriptor12</v>
          </cell>
          <cell r="G98">
            <v>1</v>
          </cell>
        </row>
        <row r="99">
          <cell r="C99" t="str">
            <v>Descriptor13</v>
          </cell>
          <cell r="G99">
            <v>1</v>
          </cell>
        </row>
        <row r="100">
          <cell r="C100" t="str">
            <v>Descriptor14</v>
          </cell>
          <cell r="G100">
            <v>1</v>
          </cell>
        </row>
        <row r="101">
          <cell r="C101" t="str">
            <v>Descriptor15</v>
          </cell>
          <cell r="G101">
            <v>1</v>
          </cell>
        </row>
        <row r="102">
          <cell r="C102" t="str">
            <v>Descriptor16</v>
          </cell>
          <cell r="G102">
            <v>1</v>
          </cell>
        </row>
        <row r="103">
          <cell r="C103" t="str">
            <v>Descriptor17</v>
          </cell>
          <cell r="G103">
            <v>1</v>
          </cell>
        </row>
        <row r="104">
          <cell r="C104" t="str">
            <v>Descriptor18</v>
          </cell>
          <cell r="G104">
            <v>1</v>
          </cell>
        </row>
        <row r="105">
          <cell r="C105" t="str">
            <v>Descriptor19</v>
          </cell>
          <cell r="G105">
            <v>1</v>
          </cell>
        </row>
        <row r="106">
          <cell r="C106" t="str">
            <v>Descriptor20</v>
          </cell>
          <cell r="G106">
            <v>1</v>
          </cell>
        </row>
        <row r="107">
          <cell r="C107" t="str">
            <v>Descriptor21</v>
          </cell>
          <cell r="G107">
            <v>1</v>
          </cell>
        </row>
        <row r="108">
          <cell r="C108" t="str">
            <v>Descriptor22</v>
          </cell>
          <cell r="G108">
            <v>1</v>
          </cell>
        </row>
        <row r="109">
          <cell r="C109" t="str">
            <v>Descriptor23</v>
          </cell>
          <cell r="G109">
            <v>1</v>
          </cell>
        </row>
        <row r="110">
          <cell r="C110" t="str">
            <v>Descriptor24</v>
          </cell>
          <cell r="G110">
            <v>1</v>
          </cell>
        </row>
        <row r="111">
          <cell r="C111" t="str">
            <v>Descriptor25</v>
          </cell>
          <cell r="G111">
            <v>1</v>
          </cell>
        </row>
        <row r="112">
          <cell r="C112" t="str">
            <v>Descriptor26</v>
          </cell>
          <cell r="G112">
            <v>1</v>
          </cell>
        </row>
        <row r="113">
          <cell r="C113" t="str">
            <v>Descriptor27</v>
          </cell>
          <cell r="G113">
            <v>1</v>
          </cell>
        </row>
        <row r="114">
          <cell r="C114" t="str">
            <v>Descriptor28</v>
          </cell>
          <cell r="G114">
            <v>1</v>
          </cell>
        </row>
        <row r="115">
          <cell r="C115" t="str">
            <v>Descriptor29</v>
          </cell>
          <cell r="G115">
            <v>1</v>
          </cell>
        </row>
        <row r="116">
          <cell r="C116" t="str">
            <v>Descriptor30</v>
          </cell>
          <cell r="G116">
            <v>1</v>
          </cell>
        </row>
        <row r="117">
          <cell r="C117" t="str">
            <v>Descriptor31</v>
          </cell>
          <cell r="G117">
            <v>1</v>
          </cell>
        </row>
        <row r="118">
          <cell r="C118" t="str">
            <v>Descriptor32</v>
          </cell>
          <cell r="G118">
            <v>1</v>
          </cell>
        </row>
        <row r="119">
          <cell r="C119" t="str">
            <v>Descriptor33</v>
          </cell>
          <cell r="G119">
            <v>1</v>
          </cell>
        </row>
        <row r="120">
          <cell r="C120" t="str">
            <v>Descriptor34</v>
          </cell>
          <cell r="G120">
            <v>1</v>
          </cell>
        </row>
        <row r="121">
          <cell r="C121" t="str">
            <v>Descriptor35</v>
          </cell>
          <cell r="G121">
            <v>1</v>
          </cell>
        </row>
        <row r="122">
          <cell r="C122" t="str">
            <v>Descriptor36</v>
          </cell>
          <cell r="G122">
            <v>1</v>
          </cell>
        </row>
        <row r="123">
          <cell r="C123" t="str">
            <v>Descriptor37</v>
          </cell>
          <cell r="G123">
            <v>1</v>
          </cell>
        </row>
        <row r="124">
          <cell r="C124" t="str">
            <v>Descriptor38</v>
          </cell>
          <cell r="G124">
            <v>1</v>
          </cell>
        </row>
        <row r="125">
          <cell r="C125" t="str">
            <v>Descriptor39</v>
          </cell>
          <cell r="G125">
            <v>1</v>
          </cell>
        </row>
        <row r="126">
          <cell r="C126" t="str">
            <v>Descriptor40</v>
          </cell>
          <cell r="G126">
            <v>1</v>
          </cell>
        </row>
        <row r="127">
          <cell r="C127" t="str">
            <v>Descriptor41</v>
          </cell>
          <cell r="G127">
            <v>1</v>
          </cell>
        </row>
        <row r="128">
          <cell r="C128" t="str">
            <v>Descriptor42</v>
          </cell>
          <cell r="G128">
            <v>1</v>
          </cell>
        </row>
        <row r="129">
          <cell r="C129" t="str">
            <v>Descriptor43</v>
          </cell>
          <cell r="G129">
            <v>1</v>
          </cell>
        </row>
        <row r="130">
          <cell r="C130" t="str">
            <v>Descriptor44</v>
          </cell>
          <cell r="G130">
            <v>1</v>
          </cell>
        </row>
        <row r="131">
          <cell r="C131" t="str">
            <v>Descriptor45</v>
          </cell>
          <cell r="G131">
            <v>1</v>
          </cell>
        </row>
        <row r="132">
          <cell r="C132" t="str">
            <v>Descriptor46</v>
          </cell>
          <cell r="G132">
            <v>1</v>
          </cell>
        </row>
        <row r="133">
          <cell r="C133" t="str">
            <v>Descriptor47</v>
          </cell>
          <cell r="G133">
            <v>1</v>
          </cell>
        </row>
        <row r="134">
          <cell r="C134" t="str">
            <v>Descriptor48</v>
          </cell>
          <cell r="G134">
            <v>1</v>
          </cell>
        </row>
        <row r="135">
          <cell r="C135" t="str">
            <v>Descriptor49</v>
          </cell>
          <cell r="G135">
            <v>1</v>
          </cell>
        </row>
        <row r="136">
          <cell r="C136" t="str">
            <v>Descriptor50</v>
          </cell>
          <cell r="G136">
            <v>1</v>
          </cell>
        </row>
        <row r="137">
          <cell r="C137" t="str">
            <v>Descriptor51</v>
          </cell>
          <cell r="G137">
            <v>1</v>
          </cell>
        </row>
        <row r="138">
          <cell r="C138" t="str">
            <v>Descriptor52</v>
          </cell>
          <cell r="G138">
            <v>1</v>
          </cell>
        </row>
        <row r="139">
          <cell r="C139" t="str">
            <v>Descriptor53</v>
          </cell>
          <cell r="G139">
            <v>1</v>
          </cell>
        </row>
        <row r="140">
          <cell r="C140" t="str">
            <v>Descriptor54</v>
          </cell>
          <cell r="G140">
            <v>1</v>
          </cell>
        </row>
        <row r="141">
          <cell r="C141" t="str">
            <v>Descriptor55</v>
          </cell>
          <cell r="G141">
            <v>1</v>
          </cell>
        </row>
        <row r="142">
          <cell r="C142" t="str">
            <v>Descriptor56</v>
          </cell>
          <cell r="G142">
            <v>1</v>
          </cell>
        </row>
        <row r="143">
          <cell r="C143" t="str">
            <v>Descriptor57</v>
          </cell>
          <cell r="G143">
            <v>1</v>
          </cell>
        </row>
        <row r="144">
          <cell r="C144" t="str">
            <v>Descriptor58</v>
          </cell>
          <cell r="G144">
            <v>1</v>
          </cell>
        </row>
        <row r="145">
          <cell r="C145" t="str">
            <v>Descriptor59</v>
          </cell>
          <cell r="G145">
            <v>1</v>
          </cell>
        </row>
        <row r="146">
          <cell r="C146" t="str">
            <v>Descriptor60</v>
          </cell>
          <cell r="G146">
            <v>1</v>
          </cell>
        </row>
        <row r="147">
          <cell r="C147" t="str">
            <v>Descriptor61</v>
          </cell>
          <cell r="G147">
            <v>1</v>
          </cell>
        </row>
        <row r="148">
          <cell r="C148" t="str">
            <v>Descriptor62</v>
          </cell>
          <cell r="G148">
            <v>1</v>
          </cell>
        </row>
        <row r="149">
          <cell r="C149" t="str">
            <v>Descriptor63</v>
          </cell>
          <cell r="G149">
            <v>1</v>
          </cell>
        </row>
        <row r="150">
          <cell r="C150" t="str">
            <v>Descriptor64</v>
          </cell>
          <cell r="G150">
            <v>1</v>
          </cell>
        </row>
        <row r="151">
          <cell r="C151" t="str">
            <v>Descriptor65</v>
          </cell>
          <cell r="G151">
            <v>1</v>
          </cell>
        </row>
        <row r="152">
          <cell r="C152" t="str">
            <v>Descriptor66</v>
          </cell>
          <cell r="G152">
            <v>1</v>
          </cell>
        </row>
        <row r="153">
          <cell r="C153" t="str">
            <v>Descriptor67</v>
          </cell>
          <cell r="G153">
            <v>1</v>
          </cell>
        </row>
        <row r="154">
          <cell r="C154" t="str">
            <v>Descriptor68</v>
          </cell>
          <cell r="G154">
            <v>1</v>
          </cell>
        </row>
        <row r="155">
          <cell r="C155" t="str">
            <v>Descriptor69</v>
          </cell>
          <cell r="G155">
            <v>1</v>
          </cell>
        </row>
        <row r="156">
          <cell r="C156" t="str">
            <v>Descriptor70</v>
          </cell>
          <cell r="G156">
            <v>1</v>
          </cell>
        </row>
        <row r="157">
          <cell r="C157" t="str">
            <v>Descriptor71</v>
          </cell>
          <cell r="G157">
            <v>1</v>
          </cell>
        </row>
        <row r="158">
          <cell r="C158" t="str">
            <v>Descriptor72</v>
          </cell>
          <cell r="G158">
            <v>1</v>
          </cell>
        </row>
        <row r="159">
          <cell r="C159" t="str">
            <v>Descriptor73</v>
          </cell>
          <cell r="G159">
            <v>1</v>
          </cell>
        </row>
        <row r="160">
          <cell r="C160" t="str">
            <v>Descriptor74</v>
          </cell>
          <cell r="G160">
            <v>1</v>
          </cell>
        </row>
        <row r="161">
          <cell r="C161" t="str">
            <v>Descriptor75</v>
          </cell>
          <cell r="G161">
            <v>1</v>
          </cell>
        </row>
        <row r="162">
          <cell r="C162" t="str">
            <v>Descriptor76</v>
          </cell>
          <cell r="G162">
            <v>1</v>
          </cell>
        </row>
        <row r="163">
          <cell r="C163" t="str">
            <v>Descriptor77</v>
          </cell>
          <cell r="G163">
            <v>1</v>
          </cell>
        </row>
        <row r="164">
          <cell r="C164" t="str">
            <v>Descriptor78</v>
          </cell>
          <cell r="G164">
            <v>1</v>
          </cell>
        </row>
        <row r="165">
          <cell r="C165" t="str">
            <v>Descriptor79</v>
          </cell>
          <cell r="G165">
            <v>1</v>
          </cell>
        </row>
        <row r="166">
          <cell r="C166" t="str">
            <v>Descriptor80</v>
          </cell>
          <cell r="G166">
            <v>1</v>
          </cell>
        </row>
        <row r="167">
          <cell r="C167" t="str">
            <v>Descriptor81</v>
          </cell>
          <cell r="G167">
            <v>1</v>
          </cell>
        </row>
        <row r="168">
          <cell r="C168" t="str">
            <v>Descriptor82</v>
          </cell>
          <cell r="G168">
            <v>1</v>
          </cell>
        </row>
        <row r="169">
          <cell r="C169" t="str">
            <v>Descriptor83</v>
          </cell>
          <cell r="G169">
            <v>1</v>
          </cell>
        </row>
        <row r="170">
          <cell r="C170" t="str">
            <v>Descriptor84</v>
          </cell>
          <cell r="G170">
            <v>1</v>
          </cell>
        </row>
        <row r="171">
          <cell r="C171" t="str">
            <v>Descriptor85</v>
          </cell>
          <cell r="G171">
            <v>1</v>
          </cell>
        </row>
        <row r="172">
          <cell r="C172" t="str">
            <v>Descriptor86</v>
          </cell>
          <cell r="G172">
            <v>1</v>
          </cell>
        </row>
        <row r="173">
          <cell r="C173" t="str">
            <v>Descriptor87</v>
          </cell>
          <cell r="G173">
            <v>1</v>
          </cell>
        </row>
        <row r="174">
          <cell r="C174" t="str">
            <v>Descriptor88</v>
          </cell>
          <cell r="G174">
            <v>1</v>
          </cell>
        </row>
        <row r="175">
          <cell r="C175" t="str">
            <v>Descriptor89</v>
          </cell>
          <cell r="G175">
            <v>1</v>
          </cell>
        </row>
        <row r="176">
          <cell r="C176" t="str">
            <v>Descriptor90</v>
          </cell>
          <cell r="G176">
            <v>1</v>
          </cell>
        </row>
        <row r="177">
          <cell r="C177" t="str">
            <v>Descriptor91</v>
          </cell>
          <cell r="G177">
            <v>1</v>
          </cell>
        </row>
        <row r="178">
          <cell r="C178" t="str">
            <v>Descriptor92</v>
          </cell>
          <cell r="G178">
            <v>1</v>
          </cell>
        </row>
        <row r="179">
          <cell r="C179" t="str">
            <v>Descriptor93</v>
          </cell>
          <cell r="G179">
            <v>1</v>
          </cell>
        </row>
        <row r="180">
          <cell r="C180" t="str">
            <v>Descriptor94</v>
          </cell>
          <cell r="G180">
            <v>1</v>
          </cell>
        </row>
        <row r="181">
          <cell r="C181" t="str">
            <v>Descriptor95</v>
          </cell>
          <cell r="G181">
            <v>1</v>
          </cell>
        </row>
        <row r="182">
          <cell r="C182" t="str">
            <v>Descriptor96</v>
          </cell>
          <cell r="G182">
            <v>1</v>
          </cell>
        </row>
        <row r="183">
          <cell r="C183" t="str">
            <v>Descriptor97</v>
          </cell>
          <cell r="G183">
            <v>1</v>
          </cell>
        </row>
        <row r="184">
          <cell r="C184" t="str">
            <v>Descriptor98</v>
          </cell>
          <cell r="G184">
            <v>1</v>
          </cell>
        </row>
        <row r="185">
          <cell r="C185" t="str">
            <v>Descriptor99</v>
          </cell>
          <cell r="G185">
            <v>1</v>
          </cell>
        </row>
        <row r="186">
          <cell r="C186" t="str">
            <v>Descriptor100</v>
          </cell>
          <cell r="G186">
            <v>1</v>
          </cell>
        </row>
        <row r="187">
          <cell r="C187" t="str">
            <v>Descriptor101</v>
          </cell>
          <cell r="G187">
            <v>1</v>
          </cell>
        </row>
        <row r="188">
          <cell r="C188" t="str">
            <v>Descriptor102</v>
          </cell>
          <cell r="G188">
            <v>1</v>
          </cell>
        </row>
        <row r="189">
          <cell r="C189" t="str">
            <v>Descriptor103</v>
          </cell>
          <cell r="G189">
            <v>1</v>
          </cell>
        </row>
        <row r="190">
          <cell r="C190" t="str">
            <v>Descriptor104</v>
          </cell>
          <cell r="G190">
            <v>1</v>
          </cell>
        </row>
        <row r="191">
          <cell r="C191" t="str">
            <v>Descriptor105</v>
          </cell>
          <cell r="G191">
            <v>1</v>
          </cell>
        </row>
        <row r="192">
          <cell r="C192" t="str">
            <v>Descriptor106</v>
          </cell>
          <cell r="G192">
            <v>1</v>
          </cell>
        </row>
        <row r="193">
          <cell r="C193" t="str">
            <v>Descriptor107</v>
          </cell>
          <cell r="G193">
            <v>1</v>
          </cell>
        </row>
        <row r="194">
          <cell r="C194" t="str">
            <v>Descriptor108</v>
          </cell>
          <cell r="G194">
            <v>1</v>
          </cell>
        </row>
        <row r="195">
          <cell r="C195" t="str">
            <v>Descriptor109</v>
          </cell>
          <cell r="G195">
            <v>1</v>
          </cell>
        </row>
        <row r="196">
          <cell r="C196" t="str">
            <v>Descriptor110</v>
          </cell>
          <cell r="G196">
            <v>1</v>
          </cell>
        </row>
        <row r="197">
          <cell r="C197" t="str">
            <v>Descriptor111</v>
          </cell>
          <cell r="G197">
            <v>1</v>
          </cell>
        </row>
        <row r="198">
          <cell r="C198" t="str">
            <v>Descriptor112</v>
          </cell>
          <cell r="G198">
            <v>1</v>
          </cell>
        </row>
        <row r="199">
          <cell r="C199" t="str">
            <v>Descriptor113</v>
          </cell>
          <cell r="G199">
            <v>1</v>
          </cell>
        </row>
        <row r="200">
          <cell r="C200" t="str">
            <v>Descriptor114</v>
          </cell>
          <cell r="G200">
            <v>1</v>
          </cell>
        </row>
        <row r="201">
          <cell r="C201" t="str">
            <v>Descriptor115</v>
          </cell>
          <cell r="G201">
            <v>1</v>
          </cell>
        </row>
        <row r="202">
          <cell r="C202" t="str">
            <v>Descriptor116</v>
          </cell>
          <cell r="G202">
            <v>1</v>
          </cell>
        </row>
        <row r="203">
          <cell r="C203" t="str">
            <v>Descriptor117</v>
          </cell>
          <cell r="G203">
            <v>1</v>
          </cell>
        </row>
        <row r="204">
          <cell r="C204" t="str">
            <v>Descriptor118</v>
          </cell>
          <cell r="G204">
            <v>1</v>
          </cell>
        </row>
        <row r="205">
          <cell r="C205" t="str">
            <v>Descriptor119</v>
          </cell>
          <cell r="G205">
            <v>1</v>
          </cell>
        </row>
        <row r="206">
          <cell r="C206" t="str">
            <v>Descriptor120</v>
          </cell>
          <cell r="G206">
            <v>1</v>
          </cell>
        </row>
        <row r="207">
          <cell r="C207" t="str">
            <v>Descriptor121</v>
          </cell>
          <cell r="G207">
            <v>1</v>
          </cell>
        </row>
        <row r="208">
          <cell r="C208" t="str">
            <v>Descriptor122</v>
          </cell>
          <cell r="G208">
            <v>1</v>
          </cell>
        </row>
        <row r="209">
          <cell r="C209" t="str">
            <v>Descriptor123</v>
          </cell>
          <cell r="G209">
            <v>1</v>
          </cell>
        </row>
        <row r="210">
          <cell r="C210" t="str">
            <v>Descriptor124</v>
          </cell>
          <cell r="G210">
            <v>1</v>
          </cell>
        </row>
        <row r="211">
          <cell r="C211" t="str">
            <v>Descriptor125</v>
          </cell>
          <cell r="G211">
            <v>1</v>
          </cell>
        </row>
        <row r="212">
          <cell r="C212" t="str">
            <v>Descriptor126</v>
          </cell>
          <cell r="G212">
            <v>1</v>
          </cell>
        </row>
        <row r="213">
          <cell r="C213" t="str">
            <v>Descriptor127</v>
          </cell>
          <cell r="G213">
            <v>1</v>
          </cell>
        </row>
        <row r="214">
          <cell r="C214" t="str">
            <v>Descriptor128</v>
          </cell>
          <cell r="G214">
            <v>1</v>
          </cell>
        </row>
        <row r="215">
          <cell r="C215" t="str">
            <v>Descriptor129</v>
          </cell>
          <cell r="G215">
            <v>1</v>
          </cell>
        </row>
        <row r="216">
          <cell r="C216" t="str">
            <v>Descriptor130</v>
          </cell>
          <cell r="G216">
            <v>1</v>
          </cell>
        </row>
        <row r="225">
          <cell r="C225" t="str">
            <v>3rd Party</v>
          </cell>
          <cell r="G225">
            <v>1</v>
          </cell>
        </row>
        <row r="226">
          <cell r="C226" t="str">
            <v>Software</v>
          </cell>
          <cell r="G226">
            <v>1</v>
          </cell>
        </row>
        <row r="227">
          <cell r="C227" t="str">
            <v>Hardware</v>
          </cell>
          <cell r="G227">
            <v>1</v>
          </cell>
        </row>
        <row r="228">
          <cell r="C228" t="str">
            <v>Labour</v>
          </cell>
          <cell r="G228">
            <v>1</v>
          </cell>
        </row>
        <row r="229">
          <cell r="C229" t="str">
            <v>Spare</v>
          </cell>
          <cell r="G229">
            <v>1</v>
          </cell>
        </row>
        <row r="230">
          <cell r="C230" t="str">
            <v>Spare</v>
          </cell>
          <cell r="G230">
            <v>1</v>
          </cell>
        </row>
        <row r="231">
          <cell r="C231" t="str">
            <v>Spare</v>
          </cell>
          <cell r="G231">
            <v>1</v>
          </cell>
        </row>
        <row r="232">
          <cell r="C232" t="str">
            <v>Spare</v>
          </cell>
          <cell r="G232">
            <v>1</v>
          </cell>
        </row>
        <row r="238">
          <cell r="C238" t="str">
            <v>Serco</v>
          </cell>
          <cell r="G238">
            <v>1</v>
          </cell>
        </row>
        <row r="239">
          <cell r="C239" t="str">
            <v>Peek</v>
          </cell>
          <cell r="G239">
            <v>1</v>
          </cell>
        </row>
        <row r="240">
          <cell r="C240" t="str">
            <v>Siemens</v>
          </cell>
          <cell r="G240">
            <v>1</v>
          </cell>
        </row>
        <row r="241">
          <cell r="C241" t="str">
            <v>Spare</v>
          </cell>
          <cell r="G241">
            <v>1</v>
          </cell>
        </row>
        <row r="242">
          <cell r="C242" t="str">
            <v>Spare</v>
          </cell>
          <cell r="G242">
            <v>1</v>
          </cell>
        </row>
        <row r="248">
          <cell r="D248" t="str">
            <v>Capability 1 is ON</v>
          </cell>
        </row>
        <row r="249">
          <cell r="D249" t="str">
            <v>Capability 2 is ON</v>
          </cell>
        </row>
        <row r="250">
          <cell r="D250" t="str">
            <v>Capability 3 is ON</v>
          </cell>
        </row>
        <row r="251">
          <cell r="D251" t="str">
            <v>Capability 4 is ON</v>
          </cell>
        </row>
        <row r="252">
          <cell r="D252" t="str">
            <v>Capability 5 is ON</v>
          </cell>
        </row>
        <row r="253">
          <cell r="D253" t="str">
            <v>Capability 6 is ON</v>
          </cell>
        </row>
        <row r="254">
          <cell r="D254" t="str">
            <v>Capability 8 is ON</v>
          </cell>
        </row>
        <row r="255">
          <cell r="D255" t="str">
            <v>Capability 9 is ON</v>
          </cell>
        </row>
        <row r="256">
          <cell r="D256" t="str">
            <v>Capability 10 is ON</v>
          </cell>
        </row>
        <row r="257">
          <cell r="D257" t="str">
            <v>Capability 11 is ON</v>
          </cell>
        </row>
        <row r="258">
          <cell r="D258" t="str">
            <v>Capability 12 is ON</v>
          </cell>
        </row>
        <row r="259">
          <cell r="D259" t="str">
            <v>Capability 13 is ON</v>
          </cell>
        </row>
        <row r="265">
          <cell r="D265" t="str">
            <v>Works1 is ON</v>
          </cell>
        </row>
        <row r="266">
          <cell r="D266" t="str">
            <v>Works2 is ON</v>
          </cell>
        </row>
        <row r="267">
          <cell r="D267" t="str">
            <v>Works3 is ON</v>
          </cell>
        </row>
        <row r="268">
          <cell r="D268" t="str">
            <v>Works4 is ON</v>
          </cell>
        </row>
        <row r="269">
          <cell r="D269" t="str">
            <v>Works5 is ON</v>
          </cell>
        </row>
        <row r="270">
          <cell r="D270" t="str">
            <v>Works6 is ON</v>
          </cell>
        </row>
        <row r="271">
          <cell r="D271" t="str">
            <v>Works7 is ON</v>
          </cell>
        </row>
        <row r="272">
          <cell r="D272" t="str">
            <v>Works8 is ON</v>
          </cell>
        </row>
        <row r="273">
          <cell r="D273" t="str">
            <v>Works9 is ON</v>
          </cell>
        </row>
        <row r="274">
          <cell r="D274" t="str">
            <v>Works10 is ON</v>
          </cell>
        </row>
        <row r="275">
          <cell r="D275" t="str">
            <v>Works11 is ON</v>
          </cell>
        </row>
        <row r="276">
          <cell r="D276" t="str">
            <v>Works12 is ON</v>
          </cell>
        </row>
        <row r="277">
          <cell r="D277" t="str">
            <v>Works13 is ON</v>
          </cell>
        </row>
        <row r="278">
          <cell r="D278" t="str">
            <v>Works14 is ON</v>
          </cell>
        </row>
        <row r="286">
          <cell r="C286">
            <v>12</v>
          </cell>
        </row>
      </sheetData>
      <sheetData sheetId="8" refreshError="1">
        <row r="12">
          <cell r="F12" t="str">
            <v>Y1M1</v>
          </cell>
        </row>
        <row r="34">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row>
        <row r="35">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row>
        <row r="36">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row>
      </sheetData>
      <sheetData sheetId="9" refreshError="1">
        <row r="1">
          <cell r="E1">
            <v>0</v>
          </cell>
        </row>
        <row r="7">
          <cell r="F7" t="str">
            <v>January</v>
          </cell>
          <cell r="G7" t="str">
            <v>February</v>
          </cell>
          <cell r="H7" t="str">
            <v>March</v>
          </cell>
          <cell r="I7" t="str">
            <v>April</v>
          </cell>
          <cell r="J7" t="str">
            <v>May</v>
          </cell>
          <cell r="K7" t="str">
            <v>June</v>
          </cell>
          <cell r="L7" t="str">
            <v>July</v>
          </cell>
          <cell r="M7" t="str">
            <v>August</v>
          </cell>
          <cell r="N7" t="str">
            <v>September</v>
          </cell>
          <cell r="O7" t="str">
            <v>October</v>
          </cell>
          <cell r="P7" t="str">
            <v>November</v>
          </cell>
          <cell r="Q7" t="str">
            <v>December</v>
          </cell>
        </row>
        <row r="11">
          <cell r="F11">
            <v>41944</v>
          </cell>
          <cell r="G11">
            <v>41974</v>
          </cell>
          <cell r="H11">
            <v>42005</v>
          </cell>
          <cell r="I11">
            <v>42036</v>
          </cell>
          <cell r="J11">
            <v>42064</v>
          </cell>
          <cell r="K11">
            <v>42095</v>
          </cell>
          <cell r="L11">
            <v>42125</v>
          </cell>
          <cell r="M11">
            <v>42156</v>
          </cell>
          <cell r="N11">
            <v>42186</v>
          </cell>
          <cell r="O11">
            <v>42217</v>
          </cell>
          <cell r="P11">
            <v>42248</v>
          </cell>
          <cell r="Q11">
            <v>42278</v>
          </cell>
          <cell r="R11">
            <v>42309</v>
          </cell>
          <cell r="S11">
            <v>42339</v>
          </cell>
          <cell r="T11">
            <v>42370</v>
          </cell>
          <cell r="U11">
            <v>42401</v>
          </cell>
          <cell r="V11">
            <v>42430</v>
          </cell>
          <cell r="W11">
            <v>42461</v>
          </cell>
          <cell r="X11">
            <v>42491</v>
          </cell>
          <cell r="Y11">
            <v>42522</v>
          </cell>
          <cell r="Z11">
            <v>42552</v>
          </cell>
          <cell r="AA11">
            <v>42583</v>
          </cell>
          <cell r="AB11">
            <v>42614</v>
          </cell>
          <cell r="AC11">
            <v>42644</v>
          </cell>
          <cell r="AD11">
            <v>42675</v>
          </cell>
          <cell r="AE11">
            <v>42705</v>
          </cell>
          <cell r="AF11">
            <v>42736</v>
          </cell>
          <cell r="AG11">
            <v>42767</v>
          </cell>
          <cell r="AH11">
            <v>42795</v>
          </cell>
          <cell r="AI11">
            <v>42826</v>
          </cell>
          <cell r="AJ11">
            <v>42856</v>
          </cell>
          <cell r="AK11">
            <v>42887</v>
          </cell>
          <cell r="AL11">
            <v>42917</v>
          </cell>
          <cell r="AM11">
            <v>42948</v>
          </cell>
          <cell r="AN11">
            <v>42979</v>
          </cell>
          <cell r="AO11">
            <v>43009</v>
          </cell>
          <cell r="AP11">
            <v>43040</v>
          </cell>
          <cell r="AQ11">
            <v>43070</v>
          </cell>
          <cell r="AR11">
            <v>43101</v>
          </cell>
          <cell r="AS11">
            <v>43132</v>
          </cell>
          <cell r="AT11">
            <v>43160</v>
          </cell>
          <cell r="AU11">
            <v>43191</v>
          </cell>
          <cell r="AV11">
            <v>43221</v>
          </cell>
          <cell r="AW11">
            <v>43252</v>
          </cell>
          <cell r="AX11">
            <v>43282</v>
          </cell>
          <cell r="AY11">
            <v>43313</v>
          </cell>
          <cell r="AZ11">
            <v>43344</v>
          </cell>
          <cell r="BA11">
            <v>43374</v>
          </cell>
          <cell r="BB11">
            <v>43405</v>
          </cell>
          <cell r="BC11">
            <v>43435</v>
          </cell>
          <cell r="BD11">
            <v>43466</v>
          </cell>
          <cell r="BE11">
            <v>43497</v>
          </cell>
          <cell r="BF11">
            <v>43525</v>
          </cell>
          <cell r="BG11">
            <v>43556</v>
          </cell>
          <cell r="BH11">
            <v>43586</v>
          </cell>
          <cell r="BI11">
            <v>43617</v>
          </cell>
          <cell r="BJ11">
            <v>43647</v>
          </cell>
          <cell r="BK11">
            <v>43678</v>
          </cell>
          <cell r="BL11">
            <v>43709</v>
          </cell>
          <cell r="BM11">
            <v>43739</v>
          </cell>
          <cell r="BN11">
            <v>43770</v>
          </cell>
          <cell r="BO11">
            <v>43800</v>
          </cell>
          <cell r="BP11">
            <v>43831</v>
          </cell>
          <cell r="BQ11">
            <v>43862</v>
          </cell>
          <cell r="BR11">
            <v>43891</v>
          </cell>
          <cell r="BS11">
            <v>43922</v>
          </cell>
          <cell r="BT11">
            <v>43952</v>
          </cell>
          <cell r="BU11">
            <v>43983</v>
          </cell>
          <cell r="BV11">
            <v>44013</v>
          </cell>
          <cell r="BW11">
            <v>44044</v>
          </cell>
          <cell r="BX11">
            <v>44075</v>
          </cell>
          <cell r="BY11">
            <v>44105</v>
          </cell>
          <cell r="BZ11">
            <v>44136</v>
          </cell>
          <cell r="CA11">
            <v>44166</v>
          </cell>
          <cell r="CB11">
            <v>44197</v>
          </cell>
          <cell r="CC11">
            <v>44228</v>
          </cell>
          <cell r="CD11">
            <v>44256</v>
          </cell>
          <cell r="CE11">
            <v>44287</v>
          </cell>
          <cell r="CF11">
            <v>44317</v>
          </cell>
          <cell r="CG11">
            <v>44348</v>
          </cell>
          <cell r="CH11">
            <v>44378</v>
          </cell>
          <cell r="CI11">
            <v>44409</v>
          </cell>
          <cell r="CJ11">
            <v>44440</v>
          </cell>
          <cell r="CK11">
            <v>44470</v>
          </cell>
          <cell r="CL11">
            <v>44501</v>
          </cell>
          <cell r="CM11">
            <v>44531</v>
          </cell>
          <cell r="CN11">
            <v>44562</v>
          </cell>
          <cell r="CO11">
            <v>44593</v>
          </cell>
          <cell r="CP11">
            <v>44621</v>
          </cell>
          <cell r="CQ11">
            <v>44652</v>
          </cell>
          <cell r="CR11">
            <v>44682</v>
          </cell>
          <cell r="CS11">
            <v>44713</v>
          </cell>
          <cell r="CT11">
            <v>44743</v>
          </cell>
          <cell r="CU11">
            <v>44774</v>
          </cell>
          <cell r="CV11">
            <v>44805</v>
          </cell>
          <cell r="CW11">
            <v>44835</v>
          </cell>
          <cell r="CX11">
            <v>44866</v>
          </cell>
          <cell r="CY11">
            <v>44896</v>
          </cell>
          <cell r="CZ11">
            <v>44927</v>
          </cell>
          <cell r="DA11">
            <v>44958</v>
          </cell>
          <cell r="DB11">
            <v>44986</v>
          </cell>
          <cell r="DC11">
            <v>45017</v>
          </cell>
          <cell r="DD11">
            <v>45047</v>
          </cell>
          <cell r="DE11">
            <v>45078</v>
          </cell>
          <cell r="DF11">
            <v>45108</v>
          </cell>
          <cell r="DG11">
            <v>45139</v>
          </cell>
          <cell r="DH11">
            <v>45170</v>
          </cell>
          <cell r="DI11">
            <v>45200</v>
          </cell>
          <cell r="DJ11">
            <v>45231</v>
          </cell>
          <cell r="DK11">
            <v>45261</v>
          </cell>
          <cell r="DL11">
            <v>45292</v>
          </cell>
          <cell r="DM11">
            <v>45323</v>
          </cell>
          <cell r="DN11">
            <v>45352</v>
          </cell>
          <cell r="DO11">
            <v>45383</v>
          </cell>
          <cell r="DP11">
            <v>45413</v>
          </cell>
          <cell r="DQ11">
            <v>45444</v>
          </cell>
          <cell r="DR11">
            <v>45474</v>
          </cell>
          <cell r="DS11">
            <v>45505</v>
          </cell>
          <cell r="DT11">
            <v>45536</v>
          </cell>
          <cell r="DU11">
            <v>45566</v>
          </cell>
          <cell r="DV11">
            <v>45597</v>
          </cell>
          <cell r="DW11">
            <v>45627</v>
          </cell>
          <cell r="DX11">
            <v>45658</v>
          </cell>
          <cell r="DY11">
            <v>45689</v>
          </cell>
          <cell r="DZ11">
            <v>45717</v>
          </cell>
          <cell r="EA11">
            <v>45748</v>
          </cell>
          <cell r="EB11">
            <v>45778</v>
          </cell>
          <cell r="EC11">
            <v>45809</v>
          </cell>
          <cell r="ED11">
            <v>45839</v>
          </cell>
          <cell r="EE11">
            <v>45870</v>
          </cell>
          <cell r="EF11">
            <v>45901</v>
          </cell>
          <cell r="EG11">
            <v>45931</v>
          </cell>
          <cell r="EH11">
            <v>45962</v>
          </cell>
          <cell r="EI11">
            <v>45992</v>
          </cell>
          <cell r="EJ11">
            <v>46023</v>
          </cell>
          <cell r="EK11">
            <v>46054</v>
          </cell>
          <cell r="EL11">
            <v>46082</v>
          </cell>
          <cell r="EM11">
            <v>46113</v>
          </cell>
          <cell r="EN11">
            <v>46143</v>
          </cell>
          <cell r="EO11">
            <v>46174</v>
          </cell>
          <cell r="EP11">
            <v>46204</v>
          </cell>
          <cell r="EQ11">
            <v>46235</v>
          </cell>
          <cell r="ER11">
            <v>46266</v>
          </cell>
          <cell r="ES11">
            <v>46296</v>
          </cell>
          <cell r="ET11">
            <v>46327</v>
          </cell>
          <cell r="EU11">
            <v>46357</v>
          </cell>
          <cell r="EV11">
            <v>46388</v>
          </cell>
          <cell r="EW11">
            <v>46419</v>
          </cell>
          <cell r="EX11">
            <v>46447</v>
          </cell>
          <cell r="EY11">
            <v>46478</v>
          </cell>
          <cell r="EZ11">
            <v>46508</v>
          </cell>
          <cell r="FA11">
            <v>46539</v>
          </cell>
          <cell r="FB11">
            <v>46569</v>
          </cell>
          <cell r="FC11">
            <v>46600</v>
          </cell>
          <cell r="FD11">
            <v>46631</v>
          </cell>
          <cell r="FE11">
            <v>46661</v>
          </cell>
          <cell r="FF11">
            <v>46692</v>
          </cell>
          <cell r="FG11">
            <v>46722</v>
          </cell>
          <cell r="FH11">
            <v>46753</v>
          </cell>
          <cell r="FI11">
            <v>46784</v>
          </cell>
          <cell r="FJ11">
            <v>46813</v>
          </cell>
          <cell r="FK11">
            <v>46844</v>
          </cell>
          <cell r="FL11">
            <v>46874</v>
          </cell>
          <cell r="FM11">
            <v>46905</v>
          </cell>
          <cell r="FN11">
            <v>46935</v>
          </cell>
          <cell r="FO11">
            <v>46966</v>
          </cell>
          <cell r="FP11">
            <v>46997</v>
          </cell>
          <cell r="FQ11">
            <v>47027</v>
          </cell>
          <cell r="FR11">
            <v>47058</v>
          </cell>
          <cell r="FS11">
            <v>47088</v>
          </cell>
          <cell r="FT11">
            <v>47119</v>
          </cell>
          <cell r="FU11">
            <v>47150</v>
          </cell>
          <cell r="FV11">
            <v>47178</v>
          </cell>
          <cell r="FW11">
            <v>47209</v>
          </cell>
          <cell r="FX11">
            <v>47239</v>
          </cell>
          <cell r="FY11">
            <v>47270</v>
          </cell>
          <cell r="FZ11">
            <v>47300</v>
          </cell>
          <cell r="GA11">
            <v>47331</v>
          </cell>
          <cell r="GB11">
            <v>47362</v>
          </cell>
          <cell r="GC11">
            <v>47392</v>
          </cell>
          <cell r="GD11">
            <v>47423</v>
          </cell>
          <cell r="GE11">
            <v>47453</v>
          </cell>
          <cell r="GF11">
            <v>47484</v>
          </cell>
          <cell r="GG11">
            <v>47515</v>
          </cell>
          <cell r="GH11">
            <v>47543</v>
          </cell>
          <cell r="GI11">
            <v>47574</v>
          </cell>
          <cell r="GJ11">
            <v>47604</v>
          </cell>
          <cell r="GK11">
            <v>47635</v>
          </cell>
          <cell r="GL11">
            <v>47665</v>
          </cell>
          <cell r="GM11">
            <v>47696</v>
          </cell>
          <cell r="GN11">
            <v>47727</v>
          </cell>
          <cell r="GO11">
            <v>47757</v>
          </cell>
        </row>
        <row r="12">
          <cell r="F12">
            <v>41973</v>
          </cell>
          <cell r="G12">
            <v>42004</v>
          </cell>
          <cell r="H12">
            <v>42035</v>
          </cell>
          <cell r="I12">
            <v>42063</v>
          </cell>
          <cell r="J12">
            <v>42094</v>
          </cell>
          <cell r="K12">
            <v>42124</v>
          </cell>
          <cell r="L12">
            <v>42155</v>
          </cell>
          <cell r="M12">
            <v>42185</v>
          </cell>
          <cell r="N12">
            <v>42216</v>
          </cell>
          <cell r="O12">
            <v>42247</v>
          </cell>
          <cell r="P12">
            <v>42277</v>
          </cell>
          <cell r="Q12">
            <v>42308</v>
          </cell>
          <cell r="R12">
            <v>42338</v>
          </cell>
          <cell r="S12">
            <v>42369</v>
          </cell>
          <cell r="T12">
            <v>42400</v>
          </cell>
          <cell r="U12">
            <v>42429</v>
          </cell>
          <cell r="V12">
            <v>42460</v>
          </cell>
          <cell r="W12">
            <v>42490</v>
          </cell>
          <cell r="X12">
            <v>42521</v>
          </cell>
          <cell r="Y12">
            <v>42551</v>
          </cell>
          <cell r="Z12">
            <v>42582</v>
          </cell>
          <cell r="AA12">
            <v>42613</v>
          </cell>
          <cell r="AB12">
            <v>42643</v>
          </cell>
          <cell r="AC12">
            <v>42674</v>
          </cell>
          <cell r="AD12">
            <v>42704</v>
          </cell>
          <cell r="AE12">
            <v>42735</v>
          </cell>
          <cell r="AF12">
            <v>42766</v>
          </cell>
          <cell r="AG12">
            <v>42794</v>
          </cell>
          <cell r="AH12">
            <v>42825</v>
          </cell>
          <cell r="AI12">
            <v>42855</v>
          </cell>
          <cell r="AJ12">
            <v>42886</v>
          </cell>
          <cell r="AK12">
            <v>42916</v>
          </cell>
          <cell r="AL12">
            <v>42947</v>
          </cell>
          <cell r="AM12">
            <v>42978</v>
          </cell>
          <cell r="AN12">
            <v>43008</v>
          </cell>
          <cell r="AO12">
            <v>43039</v>
          </cell>
          <cell r="AP12">
            <v>43069</v>
          </cell>
          <cell r="AQ12">
            <v>43100</v>
          </cell>
          <cell r="AR12">
            <v>43131</v>
          </cell>
          <cell r="AS12">
            <v>43159</v>
          </cell>
          <cell r="AT12">
            <v>43190</v>
          </cell>
          <cell r="AU12">
            <v>43220</v>
          </cell>
          <cell r="AV12">
            <v>43251</v>
          </cell>
          <cell r="AW12">
            <v>43281</v>
          </cell>
          <cell r="AX12">
            <v>43312</v>
          </cell>
          <cell r="AY12">
            <v>43343</v>
          </cell>
          <cell r="AZ12">
            <v>43373</v>
          </cell>
          <cell r="BA12">
            <v>43404</v>
          </cell>
          <cell r="BB12">
            <v>43434</v>
          </cell>
          <cell r="BC12">
            <v>43465</v>
          </cell>
          <cell r="BD12">
            <v>43496</v>
          </cell>
          <cell r="BE12">
            <v>43524</v>
          </cell>
          <cell r="BF12">
            <v>43555</v>
          </cell>
          <cell r="BG12">
            <v>43585</v>
          </cell>
          <cell r="BH12">
            <v>43616</v>
          </cell>
          <cell r="BI12">
            <v>43646</v>
          </cell>
          <cell r="BJ12">
            <v>43677</v>
          </cell>
          <cell r="BK12">
            <v>43708</v>
          </cell>
          <cell r="BL12">
            <v>43738</v>
          </cell>
          <cell r="BM12">
            <v>43769</v>
          </cell>
          <cell r="BN12">
            <v>43799</v>
          </cell>
          <cell r="BO12">
            <v>43830</v>
          </cell>
          <cell r="BP12">
            <v>43861</v>
          </cell>
          <cell r="BQ12">
            <v>43890</v>
          </cell>
          <cell r="BR12">
            <v>43921</v>
          </cell>
          <cell r="BS12">
            <v>43951</v>
          </cell>
          <cell r="BT12">
            <v>43982</v>
          </cell>
          <cell r="BU12">
            <v>44012</v>
          </cell>
          <cell r="BV12">
            <v>44043</v>
          </cell>
          <cell r="BW12">
            <v>44074</v>
          </cell>
          <cell r="BX12">
            <v>44104</v>
          </cell>
          <cell r="BY12">
            <v>44135</v>
          </cell>
          <cell r="BZ12">
            <v>44165</v>
          </cell>
          <cell r="CA12">
            <v>44196</v>
          </cell>
          <cell r="CB12">
            <v>44227</v>
          </cell>
          <cell r="CC12">
            <v>44255</v>
          </cell>
          <cell r="CD12">
            <v>44286</v>
          </cell>
          <cell r="CE12">
            <v>44316</v>
          </cell>
          <cell r="CF12">
            <v>44347</v>
          </cell>
          <cell r="CG12">
            <v>44377</v>
          </cell>
          <cell r="CH12">
            <v>44408</v>
          </cell>
          <cell r="CI12">
            <v>44439</v>
          </cell>
          <cell r="CJ12">
            <v>44469</v>
          </cell>
          <cell r="CK12">
            <v>44500</v>
          </cell>
          <cell r="CL12">
            <v>44530</v>
          </cell>
          <cell r="CM12">
            <v>44561</v>
          </cell>
          <cell r="CN12">
            <v>44592</v>
          </cell>
          <cell r="CO12">
            <v>44620</v>
          </cell>
          <cell r="CP12">
            <v>44651</v>
          </cell>
          <cell r="CQ12">
            <v>44681</v>
          </cell>
          <cell r="CR12">
            <v>44712</v>
          </cell>
          <cell r="CS12">
            <v>44742</v>
          </cell>
          <cell r="CT12">
            <v>44773</v>
          </cell>
          <cell r="CU12">
            <v>44804</v>
          </cell>
          <cell r="CV12">
            <v>44834</v>
          </cell>
          <cell r="CW12">
            <v>44865</v>
          </cell>
          <cell r="CX12">
            <v>44895</v>
          </cell>
          <cell r="CY12">
            <v>44926</v>
          </cell>
          <cell r="CZ12">
            <v>44957</v>
          </cell>
          <cell r="DA12">
            <v>44985</v>
          </cell>
          <cell r="DB12">
            <v>45016</v>
          </cell>
          <cell r="DC12">
            <v>45046</v>
          </cell>
          <cell r="DD12">
            <v>45077</v>
          </cell>
          <cell r="DE12">
            <v>45107</v>
          </cell>
          <cell r="DF12">
            <v>45138</v>
          </cell>
          <cell r="DG12">
            <v>45169</v>
          </cell>
          <cell r="DH12">
            <v>45199</v>
          </cell>
          <cell r="DI12">
            <v>45230</v>
          </cell>
          <cell r="DJ12">
            <v>45260</v>
          </cell>
          <cell r="DK12">
            <v>45291</v>
          </cell>
          <cell r="DL12">
            <v>45322</v>
          </cell>
          <cell r="DM12">
            <v>45351</v>
          </cell>
          <cell r="DN12">
            <v>45382</v>
          </cell>
          <cell r="DO12">
            <v>45412</v>
          </cell>
          <cell r="DP12">
            <v>45443</v>
          </cell>
          <cell r="DQ12">
            <v>45473</v>
          </cell>
          <cell r="DR12">
            <v>45504</v>
          </cell>
          <cell r="DS12">
            <v>45535</v>
          </cell>
          <cell r="DT12">
            <v>45565</v>
          </cell>
          <cell r="DU12">
            <v>45596</v>
          </cell>
          <cell r="DV12">
            <v>45626</v>
          </cell>
          <cell r="DW12">
            <v>45657</v>
          </cell>
          <cell r="DX12">
            <v>45688</v>
          </cell>
          <cell r="DY12">
            <v>45716</v>
          </cell>
          <cell r="DZ12">
            <v>45747</v>
          </cell>
          <cell r="EA12">
            <v>45777</v>
          </cell>
          <cell r="EB12">
            <v>45808</v>
          </cell>
          <cell r="EC12">
            <v>45838</v>
          </cell>
          <cell r="ED12">
            <v>45869</v>
          </cell>
          <cell r="EE12">
            <v>45900</v>
          </cell>
          <cell r="EF12">
            <v>45930</v>
          </cell>
          <cell r="EG12">
            <v>45961</v>
          </cell>
          <cell r="EH12">
            <v>45991</v>
          </cell>
          <cell r="EI12">
            <v>46022</v>
          </cell>
          <cell r="EJ12">
            <v>46053</v>
          </cell>
          <cell r="EK12">
            <v>46081</v>
          </cell>
          <cell r="EL12">
            <v>46112</v>
          </cell>
          <cell r="EM12">
            <v>46142</v>
          </cell>
          <cell r="EN12">
            <v>46173</v>
          </cell>
          <cell r="EO12">
            <v>46203</v>
          </cell>
          <cell r="EP12">
            <v>46234</v>
          </cell>
          <cell r="EQ12">
            <v>46265</v>
          </cell>
          <cell r="ER12">
            <v>46295</v>
          </cell>
          <cell r="ES12">
            <v>46326</v>
          </cell>
          <cell r="ET12">
            <v>46356</v>
          </cell>
          <cell r="EU12">
            <v>46387</v>
          </cell>
          <cell r="EV12">
            <v>46418</v>
          </cell>
          <cell r="EW12">
            <v>46446</v>
          </cell>
          <cell r="EX12">
            <v>46477</v>
          </cell>
          <cell r="EY12">
            <v>46507</v>
          </cell>
          <cell r="EZ12">
            <v>46538</v>
          </cell>
          <cell r="FA12">
            <v>46568</v>
          </cell>
          <cell r="FB12">
            <v>46599</v>
          </cell>
          <cell r="FC12">
            <v>46630</v>
          </cell>
          <cell r="FD12">
            <v>46660</v>
          </cell>
          <cell r="FE12">
            <v>46691</v>
          </cell>
          <cell r="FF12">
            <v>46721</v>
          </cell>
          <cell r="FG12">
            <v>46752</v>
          </cell>
          <cell r="FH12">
            <v>46783</v>
          </cell>
          <cell r="FI12">
            <v>46812</v>
          </cell>
          <cell r="FJ12">
            <v>46843</v>
          </cell>
          <cell r="FK12">
            <v>46873</v>
          </cell>
          <cell r="FL12">
            <v>46904</v>
          </cell>
          <cell r="FM12">
            <v>46934</v>
          </cell>
          <cell r="FN12">
            <v>46965</v>
          </cell>
          <cell r="FO12">
            <v>46996</v>
          </cell>
          <cell r="FP12">
            <v>47026</v>
          </cell>
          <cell r="FQ12">
            <v>47057</v>
          </cell>
          <cell r="FR12">
            <v>47087</v>
          </cell>
          <cell r="FS12">
            <v>47118</v>
          </cell>
          <cell r="FT12">
            <v>47149</v>
          </cell>
          <cell r="FU12">
            <v>47177</v>
          </cell>
          <cell r="FV12">
            <v>47208</v>
          </cell>
          <cell r="FW12">
            <v>47238</v>
          </cell>
          <cell r="FX12">
            <v>47269</v>
          </cell>
          <cell r="FY12">
            <v>47299</v>
          </cell>
          <cell r="FZ12">
            <v>47330</v>
          </cell>
          <cell r="GA12">
            <v>47361</v>
          </cell>
          <cell r="GB12">
            <v>47391</v>
          </cell>
          <cell r="GC12">
            <v>47422</v>
          </cell>
          <cell r="GD12">
            <v>47452</v>
          </cell>
          <cell r="GE12">
            <v>47483</v>
          </cell>
          <cell r="GF12">
            <v>47514</v>
          </cell>
          <cell r="GG12">
            <v>47542</v>
          </cell>
          <cell r="GH12">
            <v>47573</v>
          </cell>
          <cell r="GI12">
            <v>47603</v>
          </cell>
          <cell r="GJ12">
            <v>47634</v>
          </cell>
          <cell r="GK12">
            <v>47664</v>
          </cell>
          <cell r="GL12">
            <v>47695</v>
          </cell>
          <cell r="GM12">
            <v>47726</v>
          </cell>
          <cell r="GN12">
            <v>47756</v>
          </cell>
          <cell r="GO12">
            <v>47787</v>
          </cell>
        </row>
        <row r="13">
          <cell r="F13">
            <v>1</v>
          </cell>
          <cell r="G13">
            <v>2</v>
          </cell>
          <cell r="H13">
            <v>3</v>
          </cell>
          <cell r="I13">
            <v>4</v>
          </cell>
          <cell r="J13">
            <v>5</v>
          </cell>
          <cell r="K13">
            <v>6</v>
          </cell>
          <cell r="L13">
            <v>7</v>
          </cell>
          <cell r="M13">
            <v>8</v>
          </cell>
          <cell r="N13">
            <v>9</v>
          </cell>
          <cell r="O13">
            <v>10</v>
          </cell>
          <cell r="P13">
            <v>11</v>
          </cell>
          <cell r="Q13">
            <v>12</v>
          </cell>
          <cell r="R13">
            <v>13</v>
          </cell>
          <cell r="S13">
            <v>14</v>
          </cell>
          <cell r="T13">
            <v>15</v>
          </cell>
          <cell r="U13">
            <v>16</v>
          </cell>
          <cell r="V13">
            <v>17</v>
          </cell>
          <cell r="W13">
            <v>18</v>
          </cell>
          <cell r="X13">
            <v>19</v>
          </cell>
          <cell r="Y13">
            <v>20</v>
          </cell>
          <cell r="Z13">
            <v>21</v>
          </cell>
          <cell r="AA13">
            <v>22</v>
          </cell>
          <cell r="AB13">
            <v>23</v>
          </cell>
          <cell r="AC13">
            <v>24</v>
          </cell>
          <cell r="AD13">
            <v>25</v>
          </cell>
          <cell r="AE13">
            <v>26</v>
          </cell>
          <cell r="AF13">
            <v>27</v>
          </cell>
          <cell r="AG13">
            <v>28</v>
          </cell>
          <cell r="AH13">
            <v>29</v>
          </cell>
          <cell r="AI13">
            <v>30</v>
          </cell>
          <cell r="AJ13">
            <v>31</v>
          </cell>
          <cell r="AK13">
            <v>32</v>
          </cell>
          <cell r="AL13">
            <v>33</v>
          </cell>
          <cell r="AM13">
            <v>34</v>
          </cell>
          <cell r="AN13">
            <v>35</v>
          </cell>
          <cell r="AO13">
            <v>36</v>
          </cell>
          <cell r="AP13">
            <v>37</v>
          </cell>
          <cell r="AQ13">
            <v>38</v>
          </cell>
          <cell r="AR13">
            <v>39</v>
          </cell>
          <cell r="AS13">
            <v>40</v>
          </cell>
          <cell r="AT13">
            <v>41</v>
          </cell>
          <cell r="AU13">
            <v>42</v>
          </cell>
          <cell r="AV13">
            <v>43</v>
          </cell>
          <cell r="AW13">
            <v>44</v>
          </cell>
          <cell r="AX13">
            <v>45</v>
          </cell>
          <cell r="AY13">
            <v>46</v>
          </cell>
          <cell r="AZ13">
            <v>47</v>
          </cell>
          <cell r="BA13">
            <v>48</v>
          </cell>
          <cell r="BB13">
            <v>49</v>
          </cell>
          <cell r="BC13">
            <v>50</v>
          </cell>
          <cell r="BD13">
            <v>51</v>
          </cell>
          <cell r="BE13">
            <v>52</v>
          </cell>
          <cell r="BF13">
            <v>53</v>
          </cell>
          <cell r="BG13">
            <v>54</v>
          </cell>
          <cell r="BH13">
            <v>55</v>
          </cell>
          <cell r="BI13">
            <v>56</v>
          </cell>
          <cell r="BJ13">
            <v>57</v>
          </cell>
          <cell r="BK13">
            <v>58</v>
          </cell>
          <cell r="BL13">
            <v>59</v>
          </cell>
          <cell r="BM13">
            <v>60</v>
          </cell>
          <cell r="BN13">
            <v>61</v>
          </cell>
          <cell r="BO13">
            <v>62</v>
          </cell>
          <cell r="BP13">
            <v>63</v>
          </cell>
          <cell r="BQ13">
            <v>64</v>
          </cell>
          <cell r="BR13">
            <v>65</v>
          </cell>
          <cell r="BS13">
            <v>66</v>
          </cell>
          <cell r="BT13">
            <v>67</v>
          </cell>
          <cell r="BU13">
            <v>68</v>
          </cell>
          <cell r="BV13">
            <v>69</v>
          </cell>
          <cell r="BW13">
            <v>70</v>
          </cell>
          <cell r="BX13">
            <v>71</v>
          </cell>
          <cell r="BY13">
            <v>72</v>
          </cell>
          <cell r="BZ13">
            <v>73</v>
          </cell>
          <cell r="CA13">
            <v>74</v>
          </cell>
          <cell r="CB13">
            <v>75</v>
          </cell>
          <cell r="CC13">
            <v>76</v>
          </cell>
          <cell r="CD13">
            <v>77</v>
          </cell>
          <cell r="CE13">
            <v>78</v>
          </cell>
          <cell r="CF13">
            <v>79</v>
          </cell>
          <cell r="CG13">
            <v>80</v>
          </cell>
          <cell r="CH13">
            <v>81</v>
          </cell>
          <cell r="CI13">
            <v>82</v>
          </cell>
          <cell r="CJ13">
            <v>83</v>
          </cell>
          <cell r="CK13">
            <v>84</v>
          </cell>
          <cell r="CL13">
            <v>85</v>
          </cell>
          <cell r="CM13">
            <v>86</v>
          </cell>
          <cell r="CN13">
            <v>87</v>
          </cell>
          <cell r="CO13">
            <v>88</v>
          </cell>
          <cell r="CP13">
            <v>89</v>
          </cell>
          <cell r="CQ13">
            <v>90</v>
          </cell>
          <cell r="CR13">
            <v>91</v>
          </cell>
          <cell r="CS13">
            <v>92</v>
          </cell>
          <cell r="CT13">
            <v>93</v>
          </cell>
          <cell r="CU13">
            <v>94</v>
          </cell>
          <cell r="CV13">
            <v>95</v>
          </cell>
          <cell r="CW13">
            <v>96</v>
          </cell>
          <cell r="CX13">
            <v>97</v>
          </cell>
          <cell r="CY13">
            <v>98</v>
          </cell>
          <cell r="CZ13">
            <v>99</v>
          </cell>
          <cell r="DA13">
            <v>100</v>
          </cell>
          <cell r="DB13">
            <v>101</v>
          </cell>
          <cell r="DC13">
            <v>102</v>
          </cell>
          <cell r="DD13">
            <v>103</v>
          </cell>
          <cell r="DE13">
            <v>104</v>
          </cell>
          <cell r="DF13">
            <v>105</v>
          </cell>
          <cell r="DG13">
            <v>106</v>
          </cell>
          <cell r="DH13">
            <v>107</v>
          </cell>
          <cell r="DI13">
            <v>108</v>
          </cell>
          <cell r="DJ13">
            <v>109</v>
          </cell>
          <cell r="DK13">
            <v>110</v>
          </cell>
          <cell r="DL13">
            <v>111</v>
          </cell>
          <cell r="DM13">
            <v>112</v>
          </cell>
          <cell r="DN13">
            <v>113</v>
          </cell>
          <cell r="DO13">
            <v>114</v>
          </cell>
          <cell r="DP13">
            <v>115</v>
          </cell>
          <cell r="DQ13">
            <v>116</v>
          </cell>
          <cell r="DR13">
            <v>117</v>
          </cell>
          <cell r="DS13">
            <v>118</v>
          </cell>
          <cell r="DT13">
            <v>119</v>
          </cell>
          <cell r="DU13">
            <v>120</v>
          </cell>
          <cell r="DV13">
            <v>121</v>
          </cell>
          <cell r="DW13">
            <v>122</v>
          </cell>
          <cell r="DX13">
            <v>123</v>
          </cell>
          <cell r="DY13">
            <v>124</v>
          </cell>
          <cell r="DZ13">
            <v>125</v>
          </cell>
          <cell r="EA13">
            <v>126</v>
          </cell>
          <cell r="EB13">
            <v>127</v>
          </cell>
          <cell r="EC13">
            <v>128</v>
          </cell>
          <cell r="ED13">
            <v>129</v>
          </cell>
          <cell r="EE13">
            <v>130</v>
          </cell>
          <cell r="EF13">
            <v>131</v>
          </cell>
          <cell r="EG13">
            <v>132</v>
          </cell>
          <cell r="EH13">
            <v>133</v>
          </cell>
          <cell r="EI13">
            <v>134</v>
          </cell>
          <cell r="EJ13">
            <v>135</v>
          </cell>
          <cell r="EK13">
            <v>136</v>
          </cell>
          <cell r="EL13">
            <v>137</v>
          </cell>
          <cell r="EM13">
            <v>138</v>
          </cell>
          <cell r="EN13">
            <v>139</v>
          </cell>
          <cell r="EO13">
            <v>140</v>
          </cell>
          <cell r="EP13">
            <v>141</v>
          </cell>
          <cell r="EQ13">
            <v>142</v>
          </cell>
          <cell r="ER13">
            <v>143</v>
          </cell>
          <cell r="ES13">
            <v>144</v>
          </cell>
          <cell r="ET13">
            <v>145</v>
          </cell>
          <cell r="EU13">
            <v>146</v>
          </cell>
          <cell r="EV13">
            <v>147</v>
          </cell>
          <cell r="EW13">
            <v>148</v>
          </cell>
          <cell r="EX13">
            <v>149</v>
          </cell>
          <cell r="EY13">
            <v>150</v>
          </cell>
          <cell r="EZ13">
            <v>151</v>
          </cell>
          <cell r="FA13">
            <v>152</v>
          </cell>
          <cell r="FB13">
            <v>153</v>
          </cell>
          <cell r="FC13">
            <v>154</v>
          </cell>
          <cell r="FD13">
            <v>155</v>
          </cell>
          <cell r="FE13">
            <v>156</v>
          </cell>
          <cell r="FF13">
            <v>157</v>
          </cell>
          <cell r="FG13">
            <v>158</v>
          </cell>
          <cell r="FH13">
            <v>159</v>
          </cell>
          <cell r="FI13">
            <v>160</v>
          </cell>
          <cell r="FJ13">
            <v>161</v>
          </cell>
          <cell r="FK13">
            <v>162</v>
          </cell>
          <cell r="FL13">
            <v>163</v>
          </cell>
          <cell r="FM13">
            <v>164</v>
          </cell>
          <cell r="FN13">
            <v>165</v>
          </cell>
          <cell r="FO13">
            <v>166</v>
          </cell>
          <cell r="FP13">
            <v>167</v>
          </cell>
          <cell r="FQ13">
            <v>168</v>
          </cell>
          <cell r="FR13">
            <v>169</v>
          </cell>
          <cell r="FS13">
            <v>170</v>
          </cell>
          <cell r="FT13">
            <v>171</v>
          </cell>
          <cell r="FU13">
            <v>172</v>
          </cell>
          <cell r="FV13">
            <v>173</v>
          </cell>
          <cell r="FW13">
            <v>174</v>
          </cell>
          <cell r="FX13">
            <v>175</v>
          </cell>
          <cell r="FY13">
            <v>176</v>
          </cell>
          <cell r="FZ13">
            <v>177</v>
          </cell>
          <cell r="GA13">
            <v>178</v>
          </cell>
          <cell r="GB13">
            <v>179</v>
          </cell>
          <cell r="GC13">
            <v>180</v>
          </cell>
          <cell r="GD13">
            <v>181</v>
          </cell>
          <cell r="GE13">
            <v>182</v>
          </cell>
          <cell r="GF13">
            <v>183</v>
          </cell>
          <cell r="GG13">
            <v>184</v>
          </cell>
          <cell r="GH13">
            <v>185</v>
          </cell>
          <cell r="GI13">
            <v>186</v>
          </cell>
          <cell r="GJ13">
            <v>187</v>
          </cell>
          <cell r="GK13">
            <v>188</v>
          </cell>
          <cell r="GL13">
            <v>189</v>
          </cell>
          <cell r="GM13">
            <v>190</v>
          </cell>
          <cell r="GN13">
            <v>191</v>
          </cell>
          <cell r="GO13">
            <v>192</v>
          </cell>
          <cell r="GR13">
            <v>0</v>
          </cell>
        </row>
        <row r="14">
          <cell r="F14">
            <v>1</v>
          </cell>
          <cell r="G14">
            <v>2</v>
          </cell>
          <cell r="H14">
            <v>3</v>
          </cell>
          <cell r="I14">
            <v>4</v>
          </cell>
          <cell r="J14">
            <v>5</v>
          </cell>
          <cell r="K14">
            <v>6</v>
          </cell>
          <cell r="L14">
            <v>7</v>
          </cell>
          <cell r="M14">
            <v>8</v>
          </cell>
          <cell r="N14">
            <v>9</v>
          </cell>
          <cell r="O14">
            <v>10</v>
          </cell>
          <cell r="P14">
            <v>11</v>
          </cell>
          <cell r="Q14">
            <v>12</v>
          </cell>
          <cell r="R14">
            <v>13</v>
          </cell>
          <cell r="S14">
            <v>14</v>
          </cell>
          <cell r="T14">
            <v>15</v>
          </cell>
          <cell r="U14">
            <v>16</v>
          </cell>
          <cell r="V14">
            <v>17</v>
          </cell>
          <cell r="W14">
            <v>18</v>
          </cell>
          <cell r="X14">
            <v>19</v>
          </cell>
          <cell r="Y14">
            <v>20</v>
          </cell>
          <cell r="Z14">
            <v>21</v>
          </cell>
          <cell r="AA14">
            <v>22</v>
          </cell>
          <cell r="AB14">
            <v>23</v>
          </cell>
          <cell r="AC14">
            <v>24</v>
          </cell>
          <cell r="AD14">
            <v>25</v>
          </cell>
          <cell r="AE14">
            <v>26</v>
          </cell>
          <cell r="AF14">
            <v>27</v>
          </cell>
          <cell r="AG14">
            <v>28</v>
          </cell>
          <cell r="AH14">
            <v>29</v>
          </cell>
          <cell r="AI14">
            <v>30</v>
          </cell>
          <cell r="AJ14">
            <v>31</v>
          </cell>
          <cell r="AK14">
            <v>32</v>
          </cell>
          <cell r="AL14">
            <v>33</v>
          </cell>
          <cell r="AM14">
            <v>34</v>
          </cell>
          <cell r="AN14">
            <v>35</v>
          </cell>
          <cell r="AO14">
            <v>36</v>
          </cell>
          <cell r="AP14">
            <v>37</v>
          </cell>
          <cell r="AQ14">
            <v>38</v>
          </cell>
          <cell r="AR14">
            <v>39</v>
          </cell>
          <cell r="AS14">
            <v>40</v>
          </cell>
          <cell r="AT14">
            <v>41</v>
          </cell>
          <cell r="AU14">
            <v>42</v>
          </cell>
          <cell r="AV14">
            <v>43</v>
          </cell>
          <cell r="AW14">
            <v>44</v>
          </cell>
          <cell r="AX14">
            <v>45</v>
          </cell>
          <cell r="AY14">
            <v>46</v>
          </cell>
          <cell r="AZ14">
            <v>47</v>
          </cell>
          <cell r="BA14">
            <v>48</v>
          </cell>
          <cell r="BB14">
            <v>49</v>
          </cell>
          <cell r="BC14">
            <v>50</v>
          </cell>
          <cell r="BD14">
            <v>51</v>
          </cell>
          <cell r="BE14">
            <v>52</v>
          </cell>
          <cell r="BF14">
            <v>53</v>
          </cell>
          <cell r="BG14">
            <v>54</v>
          </cell>
          <cell r="BH14">
            <v>55</v>
          </cell>
          <cell r="BI14">
            <v>56</v>
          </cell>
          <cell r="BJ14">
            <v>57</v>
          </cell>
          <cell r="BK14">
            <v>58</v>
          </cell>
          <cell r="BL14">
            <v>59</v>
          </cell>
          <cell r="BM14">
            <v>60</v>
          </cell>
          <cell r="BN14">
            <v>61</v>
          </cell>
          <cell r="BO14">
            <v>62</v>
          </cell>
          <cell r="BP14">
            <v>63</v>
          </cell>
          <cell r="BQ14">
            <v>64</v>
          </cell>
          <cell r="BR14">
            <v>65</v>
          </cell>
          <cell r="BS14">
            <v>66</v>
          </cell>
          <cell r="BT14">
            <v>67</v>
          </cell>
          <cell r="BU14">
            <v>68</v>
          </cell>
          <cell r="BV14">
            <v>69</v>
          </cell>
          <cell r="BW14">
            <v>70</v>
          </cell>
          <cell r="BX14">
            <v>71</v>
          </cell>
          <cell r="BY14">
            <v>72</v>
          </cell>
          <cell r="BZ14">
            <v>73</v>
          </cell>
          <cell r="CA14">
            <v>74</v>
          </cell>
          <cell r="CB14">
            <v>75</v>
          </cell>
          <cell r="CC14">
            <v>76</v>
          </cell>
          <cell r="CD14">
            <v>77</v>
          </cell>
          <cell r="CE14">
            <v>78</v>
          </cell>
          <cell r="CF14">
            <v>79</v>
          </cell>
          <cell r="CG14">
            <v>80</v>
          </cell>
          <cell r="CH14">
            <v>81</v>
          </cell>
          <cell r="CI14">
            <v>82</v>
          </cell>
          <cell r="CJ14">
            <v>83</v>
          </cell>
          <cell r="CK14">
            <v>84</v>
          </cell>
          <cell r="CL14">
            <v>85</v>
          </cell>
          <cell r="CM14">
            <v>86</v>
          </cell>
          <cell r="CN14">
            <v>87</v>
          </cell>
          <cell r="CO14">
            <v>88</v>
          </cell>
          <cell r="CP14">
            <v>89</v>
          </cell>
          <cell r="CQ14">
            <v>90</v>
          </cell>
          <cell r="CR14">
            <v>91</v>
          </cell>
          <cell r="CS14">
            <v>92</v>
          </cell>
          <cell r="CT14">
            <v>93</v>
          </cell>
          <cell r="CU14">
            <v>94</v>
          </cell>
          <cell r="CV14">
            <v>95</v>
          </cell>
          <cell r="CW14">
            <v>96</v>
          </cell>
          <cell r="CX14">
            <v>97</v>
          </cell>
          <cell r="CY14">
            <v>98</v>
          </cell>
          <cell r="CZ14">
            <v>99</v>
          </cell>
          <cell r="DA14">
            <v>100</v>
          </cell>
          <cell r="DB14">
            <v>101</v>
          </cell>
          <cell r="DC14">
            <v>102</v>
          </cell>
          <cell r="DD14">
            <v>103</v>
          </cell>
          <cell r="DE14">
            <v>104</v>
          </cell>
          <cell r="DF14">
            <v>105</v>
          </cell>
          <cell r="DG14">
            <v>106</v>
          </cell>
          <cell r="DH14">
            <v>107</v>
          </cell>
          <cell r="DI14">
            <v>108</v>
          </cell>
          <cell r="DJ14">
            <v>109</v>
          </cell>
          <cell r="DK14">
            <v>110</v>
          </cell>
          <cell r="DL14">
            <v>111</v>
          </cell>
          <cell r="DM14">
            <v>112</v>
          </cell>
          <cell r="DN14">
            <v>113</v>
          </cell>
          <cell r="DO14">
            <v>114</v>
          </cell>
          <cell r="DP14">
            <v>115</v>
          </cell>
          <cell r="DQ14">
            <v>116</v>
          </cell>
          <cell r="DR14">
            <v>117</v>
          </cell>
          <cell r="DS14">
            <v>118</v>
          </cell>
          <cell r="DT14">
            <v>119</v>
          </cell>
          <cell r="DU14">
            <v>120</v>
          </cell>
          <cell r="DV14">
            <v>121</v>
          </cell>
          <cell r="DW14">
            <v>122</v>
          </cell>
          <cell r="DX14">
            <v>123</v>
          </cell>
          <cell r="DY14">
            <v>124</v>
          </cell>
          <cell r="DZ14">
            <v>125</v>
          </cell>
          <cell r="EA14">
            <v>126</v>
          </cell>
          <cell r="EB14">
            <v>127</v>
          </cell>
          <cell r="EC14">
            <v>128</v>
          </cell>
          <cell r="ED14">
            <v>129</v>
          </cell>
          <cell r="EE14">
            <v>130</v>
          </cell>
          <cell r="EF14">
            <v>131</v>
          </cell>
          <cell r="EG14">
            <v>132</v>
          </cell>
          <cell r="EH14">
            <v>133</v>
          </cell>
          <cell r="EI14">
            <v>134</v>
          </cell>
          <cell r="EJ14">
            <v>135</v>
          </cell>
          <cell r="EK14">
            <v>136</v>
          </cell>
          <cell r="EL14">
            <v>137</v>
          </cell>
          <cell r="EM14">
            <v>138</v>
          </cell>
          <cell r="EN14">
            <v>139</v>
          </cell>
          <cell r="EO14">
            <v>140</v>
          </cell>
          <cell r="EP14">
            <v>141</v>
          </cell>
          <cell r="EQ14">
            <v>142</v>
          </cell>
          <cell r="ER14">
            <v>143</v>
          </cell>
          <cell r="ES14">
            <v>144</v>
          </cell>
          <cell r="ET14">
            <v>145</v>
          </cell>
          <cell r="EU14">
            <v>146</v>
          </cell>
          <cell r="EV14">
            <v>147</v>
          </cell>
          <cell r="EW14">
            <v>148</v>
          </cell>
          <cell r="EX14">
            <v>149</v>
          </cell>
          <cell r="EY14">
            <v>150</v>
          </cell>
          <cell r="EZ14">
            <v>151</v>
          </cell>
          <cell r="FA14">
            <v>152</v>
          </cell>
          <cell r="FB14">
            <v>153</v>
          </cell>
          <cell r="FC14">
            <v>154</v>
          </cell>
          <cell r="FD14">
            <v>155</v>
          </cell>
          <cell r="FE14">
            <v>156</v>
          </cell>
          <cell r="FF14">
            <v>157</v>
          </cell>
          <cell r="FG14">
            <v>158</v>
          </cell>
          <cell r="FH14">
            <v>159</v>
          </cell>
          <cell r="FI14">
            <v>160</v>
          </cell>
          <cell r="FJ14">
            <v>161</v>
          </cell>
          <cell r="FK14">
            <v>162</v>
          </cell>
          <cell r="FL14">
            <v>163</v>
          </cell>
          <cell r="FM14">
            <v>164</v>
          </cell>
          <cell r="FN14">
            <v>165</v>
          </cell>
          <cell r="FO14">
            <v>166</v>
          </cell>
          <cell r="FP14">
            <v>167</v>
          </cell>
          <cell r="FQ14">
            <v>168</v>
          </cell>
          <cell r="FR14">
            <v>169</v>
          </cell>
          <cell r="FS14">
            <v>170</v>
          </cell>
          <cell r="FT14">
            <v>171</v>
          </cell>
          <cell r="FU14">
            <v>172</v>
          </cell>
          <cell r="FV14">
            <v>173</v>
          </cell>
          <cell r="FW14">
            <v>174</v>
          </cell>
          <cell r="FX14">
            <v>175</v>
          </cell>
          <cell r="FY14">
            <v>176</v>
          </cell>
          <cell r="FZ14">
            <v>177</v>
          </cell>
          <cell r="GA14">
            <v>178</v>
          </cell>
          <cell r="GB14">
            <v>179</v>
          </cell>
          <cell r="GC14">
            <v>180</v>
          </cell>
          <cell r="GD14">
            <v>181</v>
          </cell>
          <cell r="GE14">
            <v>182</v>
          </cell>
          <cell r="GF14">
            <v>183</v>
          </cell>
          <cell r="GG14">
            <v>184</v>
          </cell>
          <cell r="GH14">
            <v>185</v>
          </cell>
          <cell r="GI14">
            <v>186</v>
          </cell>
          <cell r="GJ14">
            <v>187</v>
          </cell>
          <cell r="GK14">
            <v>188</v>
          </cell>
          <cell r="GL14">
            <v>189</v>
          </cell>
          <cell r="GM14">
            <v>190</v>
          </cell>
          <cell r="GN14">
            <v>191</v>
          </cell>
          <cell r="GO14">
            <v>192</v>
          </cell>
          <cell r="GR14">
            <v>0</v>
          </cell>
        </row>
        <row r="15">
          <cell r="F15">
            <v>1</v>
          </cell>
          <cell r="G15">
            <v>1</v>
          </cell>
          <cell r="H15">
            <v>1</v>
          </cell>
          <cell r="I15">
            <v>1</v>
          </cell>
          <cell r="J15">
            <v>1</v>
          </cell>
          <cell r="K15">
            <v>1</v>
          </cell>
          <cell r="L15">
            <v>1</v>
          </cell>
          <cell r="M15">
            <v>1</v>
          </cell>
          <cell r="N15">
            <v>1</v>
          </cell>
          <cell r="O15">
            <v>1</v>
          </cell>
          <cell r="P15">
            <v>1</v>
          </cell>
          <cell r="Q15">
            <v>1</v>
          </cell>
          <cell r="R15">
            <v>2</v>
          </cell>
          <cell r="S15">
            <v>2</v>
          </cell>
          <cell r="T15">
            <v>2</v>
          </cell>
          <cell r="U15">
            <v>2</v>
          </cell>
          <cell r="V15">
            <v>2</v>
          </cell>
          <cell r="W15">
            <v>2</v>
          </cell>
          <cell r="X15">
            <v>2</v>
          </cell>
          <cell r="Y15">
            <v>2</v>
          </cell>
          <cell r="Z15">
            <v>2</v>
          </cell>
          <cell r="AA15">
            <v>2</v>
          </cell>
          <cell r="AB15">
            <v>2</v>
          </cell>
          <cell r="AC15">
            <v>2</v>
          </cell>
          <cell r="AD15">
            <v>3</v>
          </cell>
          <cell r="AE15">
            <v>3</v>
          </cell>
          <cell r="AF15">
            <v>3</v>
          </cell>
          <cell r="AG15">
            <v>3</v>
          </cell>
          <cell r="AH15">
            <v>3</v>
          </cell>
          <cell r="AI15">
            <v>3</v>
          </cell>
          <cell r="AJ15">
            <v>3</v>
          </cell>
          <cell r="AK15">
            <v>3</v>
          </cell>
          <cell r="AL15">
            <v>3</v>
          </cell>
          <cell r="AM15">
            <v>3</v>
          </cell>
          <cell r="AN15">
            <v>3</v>
          </cell>
          <cell r="AO15">
            <v>3</v>
          </cell>
          <cell r="AP15">
            <v>4</v>
          </cell>
          <cell r="AQ15">
            <v>4</v>
          </cell>
          <cell r="AR15">
            <v>4</v>
          </cell>
          <cell r="AS15">
            <v>4</v>
          </cell>
          <cell r="AT15">
            <v>4</v>
          </cell>
          <cell r="AU15">
            <v>4</v>
          </cell>
          <cell r="AV15">
            <v>4</v>
          </cell>
          <cell r="AW15">
            <v>4</v>
          </cell>
          <cell r="AX15">
            <v>4</v>
          </cell>
          <cell r="AY15">
            <v>4</v>
          </cell>
          <cell r="AZ15">
            <v>4</v>
          </cell>
          <cell r="BA15">
            <v>4</v>
          </cell>
          <cell r="BB15">
            <v>5</v>
          </cell>
          <cell r="BC15">
            <v>5</v>
          </cell>
          <cell r="BD15">
            <v>5</v>
          </cell>
          <cell r="BE15">
            <v>5</v>
          </cell>
          <cell r="BF15">
            <v>5</v>
          </cell>
          <cell r="BG15">
            <v>5</v>
          </cell>
          <cell r="BH15">
            <v>5</v>
          </cell>
          <cell r="BI15">
            <v>5</v>
          </cell>
          <cell r="BJ15">
            <v>5</v>
          </cell>
          <cell r="BK15">
            <v>5</v>
          </cell>
          <cell r="BL15">
            <v>5</v>
          </cell>
          <cell r="BM15">
            <v>5</v>
          </cell>
          <cell r="BN15">
            <v>6</v>
          </cell>
          <cell r="BO15">
            <v>6</v>
          </cell>
          <cell r="BP15">
            <v>6</v>
          </cell>
          <cell r="BQ15">
            <v>6</v>
          </cell>
          <cell r="BR15">
            <v>6</v>
          </cell>
          <cell r="BS15">
            <v>6</v>
          </cell>
          <cell r="BT15">
            <v>6</v>
          </cell>
          <cell r="BU15">
            <v>6</v>
          </cell>
          <cell r="BV15">
            <v>6</v>
          </cell>
          <cell r="BW15">
            <v>6</v>
          </cell>
          <cell r="BX15">
            <v>6</v>
          </cell>
          <cell r="BY15">
            <v>6</v>
          </cell>
          <cell r="BZ15">
            <v>7</v>
          </cell>
          <cell r="CA15">
            <v>7</v>
          </cell>
          <cell r="CB15">
            <v>7</v>
          </cell>
          <cell r="CC15">
            <v>7</v>
          </cell>
          <cell r="CD15">
            <v>7</v>
          </cell>
          <cell r="CE15">
            <v>7</v>
          </cell>
          <cell r="CF15">
            <v>7</v>
          </cell>
          <cell r="CG15">
            <v>7</v>
          </cell>
          <cell r="CH15">
            <v>7</v>
          </cell>
          <cell r="CI15">
            <v>7</v>
          </cell>
          <cell r="CJ15">
            <v>7</v>
          </cell>
          <cell r="CK15">
            <v>7</v>
          </cell>
          <cell r="CL15">
            <v>8</v>
          </cell>
          <cell r="CM15">
            <v>8</v>
          </cell>
          <cell r="CN15">
            <v>8</v>
          </cell>
          <cell r="CO15">
            <v>8</v>
          </cell>
          <cell r="CP15">
            <v>8</v>
          </cell>
          <cell r="CQ15">
            <v>8</v>
          </cell>
          <cell r="CR15">
            <v>8</v>
          </cell>
          <cell r="CS15">
            <v>8</v>
          </cell>
          <cell r="CT15">
            <v>8</v>
          </cell>
          <cell r="CU15">
            <v>8</v>
          </cell>
          <cell r="CV15">
            <v>8</v>
          </cell>
          <cell r="CW15">
            <v>8</v>
          </cell>
          <cell r="CX15">
            <v>9</v>
          </cell>
          <cell r="CY15">
            <v>9</v>
          </cell>
          <cell r="CZ15">
            <v>9</v>
          </cell>
          <cell r="DA15">
            <v>9</v>
          </cell>
          <cell r="DB15">
            <v>9</v>
          </cell>
          <cell r="DC15">
            <v>9</v>
          </cell>
          <cell r="DD15">
            <v>9</v>
          </cell>
          <cell r="DE15">
            <v>9</v>
          </cell>
          <cell r="DF15">
            <v>9</v>
          </cell>
          <cell r="DG15">
            <v>9</v>
          </cell>
          <cell r="DH15">
            <v>9</v>
          </cell>
          <cell r="DI15">
            <v>9</v>
          </cell>
          <cell r="DJ15">
            <v>10</v>
          </cell>
          <cell r="DK15">
            <v>10</v>
          </cell>
          <cell r="DL15">
            <v>10</v>
          </cell>
          <cell r="DM15">
            <v>10</v>
          </cell>
          <cell r="DN15">
            <v>10</v>
          </cell>
          <cell r="DO15">
            <v>10</v>
          </cell>
          <cell r="DP15">
            <v>10</v>
          </cell>
          <cell r="DQ15">
            <v>10</v>
          </cell>
          <cell r="DR15">
            <v>10</v>
          </cell>
          <cell r="DS15">
            <v>10</v>
          </cell>
          <cell r="DT15">
            <v>10</v>
          </cell>
          <cell r="DU15">
            <v>10</v>
          </cell>
          <cell r="DV15">
            <v>11</v>
          </cell>
          <cell r="DW15">
            <v>11</v>
          </cell>
          <cell r="DX15">
            <v>11</v>
          </cell>
          <cell r="DY15">
            <v>11</v>
          </cell>
          <cell r="DZ15">
            <v>11</v>
          </cell>
          <cell r="EA15">
            <v>11</v>
          </cell>
          <cell r="EB15">
            <v>11</v>
          </cell>
          <cell r="EC15">
            <v>11</v>
          </cell>
          <cell r="ED15">
            <v>11</v>
          </cell>
          <cell r="EE15">
            <v>11</v>
          </cell>
          <cell r="EF15">
            <v>11</v>
          </cell>
          <cell r="EG15">
            <v>11</v>
          </cell>
          <cell r="EH15">
            <v>12</v>
          </cell>
          <cell r="EI15">
            <v>12</v>
          </cell>
          <cell r="EJ15">
            <v>12</v>
          </cell>
          <cell r="EK15">
            <v>12</v>
          </cell>
          <cell r="EL15">
            <v>12</v>
          </cell>
          <cell r="EM15">
            <v>12</v>
          </cell>
          <cell r="EN15">
            <v>12</v>
          </cell>
          <cell r="EO15">
            <v>12</v>
          </cell>
          <cell r="EP15">
            <v>12</v>
          </cell>
          <cell r="EQ15">
            <v>12</v>
          </cell>
          <cell r="ER15">
            <v>12</v>
          </cell>
          <cell r="ES15">
            <v>12</v>
          </cell>
          <cell r="ET15">
            <v>13</v>
          </cell>
          <cell r="EU15">
            <v>13</v>
          </cell>
          <cell r="EV15">
            <v>13</v>
          </cell>
          <cell r="EW15">
            <v>13</v>
          </cell>
          <cell r="EX15">
            <v>13</v>
          </cell>
          <cell r="EY15">
            <v>13</v>
          </cell>
          <cell r="EZ15">
            <v>13</v>
          </cell>
          <cell r="FA15">
            <v>13</v>
          </cell>
          <cell r="FB15">
            <v>13</v>
          </cell>
          <cell r="FC15">
            <v>13</v>
          </cell>
          <cell r="FD15">
            <v>13</v>
          </cell>
          <cell r="FE15">
            <v>13</v>
          </cell>
          <cell r="FF15">
            <v>14</v>
          </cell>
          <cell r="FG15">
            <v>14</v>
          </cell>
          <cell r="FH15">
            <v>14</v>
          </cell>
          <cell r="FI15">
            <v>14</v>
          </cell>
          <cell r="FJ15">
            <v>14</v>
          </cell>
          <cell r="FK15">
            <v>14</v>
          </cell>
          <cell r="FL15">
            <v>14</v>
          </cell>
          <cell r="FM15">
            <v>14</v>
          </cell>
          <cell r="FN15">
            <v>14</v>
          </cell>
          <cell r="FO15">
            <v>14</v>
          </cell>
          <cell r="FP15">
            <v>14</v>
          </cell>
          <cell r="FQ15">
            <v>14</v>
          </cell>
          <cell r="FR15">
            <v>15</v>
          </cell>
          <cell r="FS15">
            <v>15</v>
          </cell>
          <cell r="FT15">
            <v>15</v>
          </cell>
          <cell r="FU15">
            <v>15</v>
          </cell>
          <cell r="FV15">
            <v>15</v>
          </cell>
          <cell r="FW15">
            <v>15</v>
          </cell>
          <cell r="FX15">
            <v>15</v>
          </cell>
          <cell r="FY15">
            <v>15</v>
          </cell>
          <cell r="FZ15">
            <v>15</v>
          </cell>
          <cell r="GA15">
            <v>15</v>
          </cell>
          <cell r="GB15">
            <v>15</v>
          </cell>
          <cell r="GC15">
            <v>15</v>
          </cell>
          <cell r="GD15">
            <v>16</v>
          </cell>
          <cell r="GE15">
            <v>16</v>
          </cell>
          <cell r="GF15">
            <v>16</v>
          </cell>
          <cell r="GG15">
            <v>16</v>
          </cell>
          <cell r="GH15">
            <v>16</v>
          </cell>
          <cell r="GI15">
            <v>16</v>
          </cell>
          <cell r="GJ15">
            <v>16</v>
          </cell>
          <cell r="GK15">
            <v>16</v>
          </cell>
          <cell r="GL15">
            <v>16</v>
          </cell>
          <cell r="GM15">
            <v>16</v>
          </cell>
          <cell r="GN15">
            <v>16</v>
          </cell>
          <cell r="GO15">
            <v>16</v>
          </cell>
        </row>
        <row r="19">
          <cell r="F19" t="str">
            <v>Y1M1</v>
          </cell>
          <cell r="G19" t="str">
            <v>Y1M2</v>
          </cell>
          <cell r="H19" t="str">
            <v>Y1M3</v>
          </cell>
          <cell r="I19" t="str">
            <v>Y1M4</v>
          </cell>
          <cell r="J19" t="str">
            <v>Y1M5</v>
          </cell>
          <cell r="K19" t="str">
            <v>Y1M6</v>
          </cell>
          <cell r="L19" t="str">
            <v>Y1M7</v>
          </cell>
          <cell r="M19" t="str">
            <v>Y1M8</v>
          </cell>
          <cell r="N19" t="str">
            <v>Y1M9</v>
          </cell>
          <cell r="O19" t="str">
            <v>Y1M10</v>
          </cell>
          <cell r="P19" t="str">
            <v>Y1M11</v>
          </cell>
          <cell r="Q19" t="str">
            <v>Y1M12</v>
          </cell>
          <cell r="R19" t="str">
            <v>Y2M1</v>
          </cell>
          <cell r="S19" t="str">
            <v>Y2M2</v>
          </cell>
          <cell r="T19" t="str">
            <v>Y2M3</v>
          </cell>
          <cell r="U19" t="str">
            <v>Y2M4</v>
          </cell>
          <cell r="V19" t="str">
            <v>Y2M5</v>
          </cell>
          <cell r="W19" t="str">
            <v>Y2M6</v>
          </cell>
          <cell r="X19" t="str">
            <v>Y2M7</v>
          </cell>
          <cell r="Y19" t="str">
            <v>Y2M8</v>
          </cell>
          <cell r="Z19" t="str">
            <v>Y2M9</v>
          </cell>
          <cell r="AA19" t="str">
            <v>Y2M10</v>
          </cell>
          <cell r="AB19" t="str">
            <v>Y2M11</v>
          </cell>
          <cell r="AC19" t="str">
            <v>Y2M12</v>
          </cell>
          <cell r="AD19" t="str">
            <v>Y3M1</v>
          </cell>
          <cell r="AE19" t="str">
            <v>Y3M2</v>
          </cell>
          <cell r="AF19" t="str">
            <v>Y3M3</v>
          </cell>
          <cell r="AG19" t="str">
            <v>Y3M4</v>
          </cell>
          <cell r="AH19" t="str">
            <v>Y3M5</v>
          </cell>
          <cell r="AI19" t="str">
            <v>Y3M6</v>
          </cell>
          <cell r="AJ19" t="str">
            <v>Y3M7</v>
          </cell>
          <cell r="AK19" t="str">
            <v>Y3M8</v>
          </cell>
          <cell r="AL19" t="str">
            <v>Y3M9</v>
          </cell>
          <cell r="AM19" t="str">
            <v>Y3M10</v>
          </cell>
          <cell r="AN19" t="str">
            <v>Y3M11</v>
          </cell>
          <cell r="AO19" t="str">
            <v>Y3M12</v>
          </cell>
          <cell r="AP19" t="str">
            <v>Y4M1</v>
          </cell>
          <cell r="AQ19" t="str">
            <v>Y4M2</v>
          </cell>
          <cell r="AR19" t="str">
            <v>Y4M3</v>
          </cell>
          <cell r="AS19" t="str">
            <v>Y4M4</v>
          </cell>
          <cell r="AT19" t="str">
            <v>Y4M5</v>
          </cell>
          <cell r="AU19" t="str">
            <v>Y4M6</v>
          </cell>
          <cell r="AV19" t="str">
            <v>Y4M7</v>
          </cell>
          <cell r="AW19" t="str">
            <v>Y4M8</v>
          </cell>
          <cell r="AX19" t="str">
            <v>Y4M9</v>
          </cell>
          <cell r="AY19" t="str">
            <v>Y4M10</v>
          </cell>
          <cell r="AZ19" t="str">
            <v>Y4M11</v>
          </cell>
          <cell r="BA19" t="str">
            <v>Y4M12</v>
          </cell>
          <cell r="BB19" t="str">
            <v>Y5M1</v>
          </cell>
          <cell r="BC19" t="str">
            <v>Y5M2</v>
          </cell>
          <cell r="BD19" t="str">
            <v>Y5M3</v>
          </cell>
          <cell r="BE19" t="str">
            <v>Y5M4</v>
          </cell>
          <cell r="BF19" t="str">
            <v>Y5M5</v>
          </cell>
          <cell r="BG19" t="str">
            <v>Y5M6</v>
          </cell>
          <cell r="BH19" t="str">
            <v>Y5M7</v>
          </cell>
          <cell r="BI19" t="str">
            <v>Y5M8</v>
          </cell>
          <cell r="BJ19" t="str">
            <v>Y5M9</v>
          </cell>
          <cell r="BK19" t="str">
            <v>Y5M10</v>
          </cell>
          <cell r="BL19" t="str">
            <v>Y5M11</v>
          </cell>
          <cell r="BM19" t="str">
            <v>Y5M12</v>
          </cell>
          <cell r="BN19" t="str">
            <v>Y6M1</v>
          </cell>
          <cell r="BO19" t="str">
            <v>Y6M2</v>
          </cell>
          <cell r="BP19" t="str">
            <v>Y6M3</v>
          </cell>
          <cell r="BQ19" t="str">
            <v>Y6M4</v>
          </cell>
          <cell r="BR19" t="str">
            <v>Y6M5</v>
          </cell>
          <cell r="BS19" t="str">
            <v>Y6M6</v>
          </cell>
          <cell r="BT19" t="str">
            <v>Y6M7</v>
          </cell>
          <cell r="BU19" t="str">
            <v>Y6M8</v>
          </cell>
          <cell r="BV19" t="str">
            <v>Y6M9</v>
          </cell>
          <cell r="BW19" t="str">
            <v>Y6M10</v>
          </cell>
          <cell r="BX19" t="str">
            <v>Y6M11</v>
          </cell>
          <cell r="BY19" t="str">
            <v>Y6M12</v>
          </cell>
          <cell r="BZ19" t="str">
            <v>Y7M1</v>
          </cell>
          <cell r="CA19" t="str">
            <v>Y7M2</v>
          </cell>
          <cell r="CB19" t="str">
            <v>Y7M3</v>
          </cell>
          <cell r="CC19" t="str">
            <v>Y7M4</v>
          </cell>
          <cell r="CD19" t="str">
            <v>Y7M5</v>
          </cell>
          <cell r="CE19" t="str">
            <v>Y7M6</v>
          </cell>
          <cell r="CF19" t="str">
            <v>Y7M7</v>
          </cell>
          <cell r="CG19" t="str">
            <v>Y7M8</v>
          </cell>
          <cell r="CH19" t="str">
            <v>Y7M9</v>
          </cell>
          <cell r="CI19" t="str">
            <v>Y7M10</v>
          </cell>
          <cell r="CJ19" t="str">
            <v>Y7M11</v>
          </cell>
          <cell r="CK19" t="str">
            <v>Y7M12</v>
          </cell>
          <cell r="CL19" t="str">
            <v>Y8M1</v>
          </cell>
          <cell r="CM19" t="str">
            <v>Y8M2</v>
          </cell>
          <cell r="CN19" t="str">
            <v>Y8M3</v>
          </cell>
          <cell r="CO19" t="str">
            <v>Y8M4</v>
          </cell>
          <cell r="CP19" t="str">
            <v>Y8M5</v>
          </cell>
          <cell r="CQ19" t="str">
            <v>Y8M6</v>
          </cell>
          <cell r="CR19" t="str">
            <v>Y8M7</v>
          </cell>
          <cell r="CS19" t="str">
            <v>Y8M8</v>
          </cell>
          <cell r="CT19" t="str">
            <v>Y8M9</v>
          </cell>
          <cell r="CU19" t="str">
            <v>Y8M10</v>
          </cell>
          <cell r="CV19" t="str">
            <v>Y8M11</v>
          </cell>
          <cell r="CW19" t="str">
            <v>Y8M12</v>
          </cell>
          <cell r="CX19" t="str">
            <v>Y9M1</v>
          </cell>
          <cell r="CY19" t="str">
            <v>Y9M2</v>
          </cell>
          <cell r="CZ19" t="str">
            <v>Y9M3</v>
          </cell>
          <cell r="DA19" t="str">
            <v>Y9M4</v>
          </cell>
          <cell r="DB19" t="str">
            <v>Y9M5</v>
          </cell>
          <cell r="DC19" t="str">
            <v>Y9M6</v>
          </cell>
          <cell r="DD19" t="str">
            <v>Y9M7</v>
          </cell>
          <cell r="DE19" t="str">
            <v>Y9M8</v>
          </cell>
          <cell r="DF19" t="str">
            <v>Y9M9</v>
          </cell>
          <cell r="DG19" t="str">
            <v>Y9M10</v>
          </cell>
          <cell r="DH19" t="str">
            <v>Y9M11</v>
          </cell>
          <cell r="DI19" t="str">
            <v>Y9M12</v>
          </cell>
          <cell r="DJ19" t="str">
            <v>Y10M1</v>
          </cell>
          <cell r="DK19" t="str">
            <v>Y10M2</v>
          </cell>
          <cell r="DL19" t="str">
            <v>Y10M3</v>
          </cell>
          <cell r="DM19" t="str">
            <v>Y10M4</v>
          </cell>
          <cell r="DN19" t="str">
            <v>Y10M5</v>
          </cell>
          <cell r="DO19" t="str">
            <v>Y10M6</v>
          </cell>
          <cell r="DP19" t="str">
            <v>Y10M7</v>
          </cell>
          <cell r="DQ19" t="str">
            <v>Y10M8</v>
          </cell>
          <cell r="DR19" t="str">
            <v>Y10M9</v>
          </cell>
          <cell r="DS19" t="str">
            <v>Y10M10</v>
          </cell>
          <cell r="DT19" t="str">
            <v>Y10M11</v>
          </cell>
          <cell r="DU19" t="str">
            <v>Y10M12</v>
          </cell>
          <cell r="DV19" t="str">
            <v>Y11M1</v>
          </cell>
          <cell r="DW19" t="str">
            <v>Y11M2</v>
          </cell>
          <cell r="DX19" t="str">
            <v>Y11M3</v>
          </cell>
          <cell r="DY19" t="str">
            <v>Y11M4</v>
          </cell>
          <cell r="DZ19" t="str">
            <v>Y11M5</v>
          </cell>
          <cell r="EA19" t="str">
            <v>Y11M6</v>
          </cell>
          <cell r="EB19" t="str">
            <v>Y11M7</v>
          </cell>
          <cell r="EC19" t="str">
            <v>Y11M8</v>
          </cell>
          <cell r="ED19" t="str">
            <v>Y11M9</v>
          </cell>
          <cell r="EE19" t="str">
            <v>Y11M10</v>
          </cell>
          <cell r="EF19" t="str">
            <v>Y11M11</v>
          </cell>
          <cell r="EG19" t="str">
            <v>Y11M12</v>
          </cell>
          <cell r="EH19" t="str">
            <v>Y12M1</v>
          </cell>
          <cell r="EI19" t="str">
            <v>Y12M2</v>
          </cell>
          <cell r="EJ19" t="str">
            <v>Y12M3</v>
          </cell>
          <cell r="EK19" t="str">
            <v>Y12M4</v>
          </cell>
          <cell r="EL19" t="str">
            <v>Y12M5</v>
          </cell>
          <cell r="EM19" t="str">
            <v>Y12M6</v>
          </cell>
          <cell r="EN19" t="str">
            <v>Y12M7</v>
          </cell>
          <cell r="EO19" t="str">
            <v>Y12M8</v>
          </cell>
          <cell r="EP19" t="str">
            <v>Y12M9</v>
          </cell>
          <cell r="EQ19" t="str">
            <v>Y12M10</v>
          </cell>
          <cell r="ER19" t="str">
            <v>Y12M11</v>
          </cell>
          <cell r="ES19" t="str">
            <v>Y12M12</v>
          </cell>
          <cell r="ET19" t="str">
            <v>Y13M1</v>
          </cell>
          <cell r="EU19" t="str">
            <v>Y13M2</v>
          </cell>
          <cell r="EV19" t="str">
            <v>Y13M3</v>
          </cell>
          <cell r="EW19" t="str">
            <v>Y13M4</v>
          </cell>
          <cell r="EX19" t="str">
            <v>Y13M5</v>
          </cell>
          <cell r="EY19" t="str">
            <v>Y13M6</v>
          </cell>
          <cell r="EZ19" t="str">
            <v>Y13M7</v>
          </cell>
          <cell r="FA19" t="str">
            <v>Y13M8</v>
          </cell>
          <cell r="FB19" t="str">
            <v>Y13M9</v>
          </cell>
          <cell r="FC19" t="str">
            <v>Y13M10</v>
          </cell>
          <cell r="FD19" t="str">
            <v>Y13M11</v>
          </cell>
          <cell r="FE19" t="str">
            <v>Y13M12</v>
          </cell>
          <cell r="FF19" t="str">
            <v>Y14M1</v>
          </cell>
          <cell r="FG19" t="str">
            <v>Y14M2</v>
          </cell>
          <cell r="FH19" t="str">
            <v>Y14M3</v>
          </cell>
          <cell r="FI19" t="str">
            <v>Y14M4</v>
          </cell>
          <cell r="FJ19" t="str">
            <v>Y14M5</v>
          </cell>
          <cell r="FK19" t="str">
            <v>Y14M6</v>
          </cell>
          <cell r="FL19" t="str">
            <v>Y14M7</v>
          </cell>
          <cell r="FM19" t="str">
            <v>Y14M8</v>
          </cell>
          <cell r="FN19" t="str">
            <v>Y14M9</v>
          </cell>
          <cell r="FO19" t="str">
            <v>Y14M10</v>
          </cell>
          <cell r="FP19" t="str">
            <v>Y14M11</v>
          </cell>
          <cell r="FQ19" t="str">
            <v>Y14M12</v>
          </cell>
          <cell r="FR19" t="str">
            <v>Y15M1</v>
          </cell>
          <cell r="FS19" t="str">
            <v>Y15M2</v>
          </cell>
          <cell r="FT19" t="str">
            <v>Y15M3</v>
          </cell>
          <cell r="FU19" t="str">
            <v>Y15M4</v>
          </cell>
          <cell r="FV19" t="str">
            <v>Y15M5</v>
          </cell>
          <cell r="FW19" t="str">
            <v>Y15M6</v>
          </cell>
          <cell r="FX19" t="str">
            <v>Y15M7</v>
          </cell>
          <cell r="FY19" t="str">
            <v>Y15M8</v>
          </cell>
          <cell r="FZ19" t="str">
            <v>Y15M9</v>
          </cell>
          <cell r="GA19" t="str">
            <v>Y15M10</v>
          </cell>
          <cell r="GB19" t="str">
            <v>Y15M11</v>
          </cell>
          <cell r="GC19" t="str">
            <v>Y15M12</v>
          </cell>
          <cell r="GD19" t="str">
            <v>Y16M1</v>
          </cell>
          <cell r="GE19" t="str">
            <v>Y16M2</v>
          </cell>
          <cell r="GF19" t="str">
            <v>Y16M3</v>
          </cell>
          <cell r="GG19" t="str">
            <v>Y16M4</v>
          </cell>
          <cell r="GH19" t="str">
            <v>Y16M5</v>
          </cell>
          <cell r="GI19" t="str">
            <v>Y16M6</v>
          </cell>
          <cell r="GJ19" t="str">
            <v>Y16M7</v>
          </cell>
          <cell r="GK19" t="str">
            <v>Y16M8</v>
          </cell>
          <cell r="GL19" t="str">
            <v>Y16M9</v>
          </cell>
          <cell r="GM19" t="str">
            <v>Y16M10</v>
          </cell>
          <cell r="GN19" t="str">
            <v>Y16M11</v>
          </cell>
          <cell r="GO19" t="str">
            <v>Y16M12</v>
          </cell>
        </row>
        <row r="21">
          <cell r="F21">
            <v>1</v>
          </cell>
          <cell r="G21">
            <v>1</v>
          </cell>
          <cell r="H21">
            <v>1</v>
          </cell>
          <cell r="I21">
            <v>1</v>
          </cell>
          <cell r="J21">
            <v>1</v>
          </cell>
          <cell r="K21">
            <v>1</v>
          </cell>
          <cell r="L21">
            <v>1</v>
          </cell>
          <cell r="M21">
            <v>1</v>
          </cell>
          <cell r="N21">
            <v>1</v>
          </cell>
          <cell r="O21">
            <v>1</v>
          </cell>
          <cell r="P21">
            <v>1</v>
          </cell>
          <cell r="Q21">
            <v>1</v>
          </cell>
          <cell r="R21">
            <v>1</v>
          </cell>
          <cell r="S21">
            <v>1</v>
          </cell>
          <cell r="T21">
            <v>1</v>
          </cell>
          <cell r="U21">
            <v>1</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row>
      </sheetData>
      <sheetData sheetId="10" refreshError="1">
        <row r="1">
          <cell r="E1">
            <v>0</v>
          </cell>
        </row>
      </sheetData>
      <sheetData sheetId="11" refreshError="1">
        <row r="1">
          <cell r="E1">
            <v>0</v>
          </cell>
        </row>
        <row r="16">
          <cell r="A16">
            <v>1</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Introduction"/>
      <sheetName val="2.Prison and Supplier Details"/>
      <sheetName val="3.Key Model Outputs"/>
      <sheetName val="Ref Tables"/>
      <sheetName val="4.Sensitivity Output"/>
      <sheetName val="5.Schedule 5"/>
      <sheetName val="6.Schedule of Wage Rates"/>
      <sheetName val="7.Staffing Nos."/>
      <sheetName val="8.Steady State Staffing"/>
      <sheetName val="9.Interventions Services"/>
      <sheetName val="10.ICT Costs"/>
      <sheetName val="11. Bulk Transfer Shortfall"/>
      <sheetName val="Cover"/>
      <sheetName val="P&amp;L"/>
      <sheetName val="CF"/>
      <sheetName val="BS"/>
      <sheetName val="OSG"/>
      <sheetName val="TupeVsSolution"/>
      <sheetName val="HardFM"/>
      <sheetName val="CapWorks-Coldingley"/>
      <sheetName val="CapWorks-Zero"/>
      <sheetName val="CapitalWorks"/>
      <sheetName val="TV Replacement"/>
      <sheetName val="Cleaning"/>
      <sheetName val="PestControl"/>
      <sheetName val="Waste"/>
      <sheetName val="Landscaping"/>
      <sheetName val="Management"/>
      <sheetName val="ICT"/>
      <sheetName val="Food"/>
      <sheetName val="Catering"/>
      <sheetName val="Mobilisation"/>
      <sheetName val="Overhead-Insurance"/>
      <sheetName val="Profit"/>
      <sheetName val="Inputs"/>
      <sheetName val="Constants"/>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12">
          <cell r="C12">
            <v>0.255</v>
          </cell>
        </row>
        <row r="31">
          <cell r="A31" t="str">
            <v>RPIx</v>
          </cell>
        </row>
        <row r="32">
          <cell r="A32" t="str">
            <v>AWE</v>
          </cell>
        </row>
        <row r="33">
          <cell r="A33" t="str">
            <v>Fixed</v>
          </cell>
        </row>
        <row r="34">
          <cell r="A34" t="str">
            <v>Mobilisation Fixed</v>
          </cell>
        </row>
        <row r="38">
          <cell r="D38">
            <v>0</v>
          </cell>
        </row>
        <row r="39">
          <cell r="D39">
            <v>0</v>
          </cell>
        </row>
        <row r="40">
          <cell r="D40">
            <v>0</v>
          </cell>
        </row>
        <row r="41">
          <cell r="D41">
            <v>0</v>
          </cell>
        </row>
        <row r="42">
          <cell r="D42">
            <v>0</v>
          </cell>
        </row>
        <row r="43">
          <cell r="D43">
            <v>0</v>
          </cell>
        </row>
        <row r="44">
          <cell r="D44">
            <v>0</v>
          </cell>
        </row>
        <row r="45">
          <cell r="D45">
            <v>0</v>
          </cell>
        </row>
        <row r="46">
          <cell r="D46">
            <v>0</v>
          </cell>
        </row>
        <row r="47">
          <cell r="D47">
            <v>0</v>
          </cell>
        </row>
        <row r="51">
          <cell r="C51">
            <v>0.02</v>
          </cell>
        </row>
        <row r="54">
          <cell r="C54">
            <v>0.06</v>
          </cell>
        </row>
        <row r="57">
          <cell r="C57">
            <v>7</v>
          </cell>
        </row>
        <row r="59">
          <cell r="D59">
            <v>1</v>
          </cell>
        </row>
        <row r="62">
          <cell r="C62">
            <v>0.01</v>
          </cell>
        </row>
        <row r="108">
          <cell r="C108">
            <v>1</v>
          </cell>
        </row>
        <row r="110">
          <cell r="C110">
            <v>1</v>
          </cell>
        </row>
        <row r="114">
          <cell r="C114">
            <v>0</v>
          </cell>
        </row>
        <row r="116">
          <cell r="C116">
            <v>0</v>
          </cell>
        </row>
      </sheetData>
      <sheetData sheetId="35">
        <row r="12">
          <cell r="D12">
            <v>180</v>
          </cell>
        </row>
        <row r="14">
          <cell r="D14">
            <v>41334</v>
          </cell>
        </row>
        <row r="20">
          <cell r="D20" t="str">
            <v>Coldingley</v>
          </cell>
        </row>
        <row r="23">
          <cell r="D23" t="str">
            <v>NOT SELECTED</v>
          </cell>
        </row>
        <row r="28">
          <cell r="D28" t="str">
            <v>Martin Satunton</v>
          </cell>
        </row>
        <row r="29">
          <cell r="D29">
            <v>0</v>
          </cell>
        </row>
        <row r="30">
          <cell r="D30">
            <v>0</v>
          </cell>
        </row>
        <row r="32">
          <cell r="D32">
            <v>0</v>
          </cell>
        </row>
        <row r="33">
          <cell r="D33">
            <v>0</v>
          </cell>
        </row>
        <row r="34">
          <cell r="D34">
            <v>0</v>
          </cell>
        </row>
        <row r="36">
          <cell r="D36">
            <v>0</v>
          </cell>
        </row>
        <row r="37">
          <cell r="D37">
            <v>0</v>
          </cell>
        </row>
        <row r="38">
          <cell r="D38">
            <v>0</v>
          </cell>
        </row>
        <row r="43">
          <cell r="D43" t="str">
            <v>PCP2ITN_Northumberland v1.0</v>
          </cell>
        </row>
      </sheetData>
      <sheetData sheetId="3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structions &amp; Notes"/>
      <sheetName val="Styles"/>
      <sheetName val="Contents"/>
      <sheetName val="Model Logic"/>
      <sheetName val="Error Checks"/>
      <sheetName val="Constants"/>
      <sheetName val="Timelines"/>
      <sheetName val="Main Input"/>
      <sheetName val="Conversion"/>
      <sheetName val="Capital"/>
      <sheetName val="Cost Plus"/>
      <sheetName val="Customer Charges"/>
      <sheetName val="Profile before CoM"/>
      <sheetName val="CoM"/>
      <sheetName val="Profile with CoM"/>
      <sheetName val="Final Price"/>
      <sheetName val="Service Prices"/>
      <sheetName val="Financial Dashboard"/>
      <sheetName val="Interface"/>
      <sheetName val="Audit"/>
      <sheetName val="Change Control"/>
      <sheetName val="End"/>
    </sheetNames>
    <sheetDataSet>
      <sheetData sheetId="0"/>
      <sheetData sheetId="1"/>
      <sheetData sheetId="2"/>
      <sheetData sheetId="3"/>
      <sheetData sheetId="4"/>
      <sheetData sheetId="5"/>
      <sheetData sheetId="6">
        <row r="106">
          <cell r="E106">
            <v>39539</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structions &amp; Notes"/>
      <sheetName val="Styles"/>
      <sheetName val="Contents"/>
      <sheetName val="Model Logic"/>
      <sheetName val="Error Checks"/>
      <sheetName val="Constants"/>
      <sheetName val="Timelines"/>
      <sheetName val="Main Input"/>
      <sheetName val="Conversion"/>
      <sheetName val="Capital"/>
      <sheetName val="Cost Plus"/>
      <sheetName val="Customer Charges"/>
      <sheetName val="Profile before CoM"/>
      <sheetName val="CoM"/>
      <sheetName val="Profile with CoM"/>
      <sheetName val="Final Price"/>
      <sheetName val="Service Prices"/>
      <sheetName val="Financial Dashboard"/>
      <sheetName val="Interface"/>
      <sheetName val="Audit"/>
      <sheetName val="Change Control"/>
      <sheetName val="End"/>
    </sheetNames>
    <sheetDataSet>
      <sheetData sheetId="0"/>
      <sheetData sheetId="1"/>
      <sheetData sheetId="2"/>
      <sheetData sheetId="3"/>
      <sheetData sheetId="4"/>
      <sheetData sheetId="5"/>
      <sheetData sheetId="6">
        <row r="104">
          <cell r="E104">
            <v>41729</v>
          </cell>
        </row>
        <row r="109">
          <cell r="E109">
            <v>39722</v>
          </cell>
        </row>
        <row r="589">
          <cell r="E589">
            <v>12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
      <sheetName val="P&amp;L"/>
      <sheetName val="CFS"/>
      <sheetName val="BS"/>
      <sheetName val="Introduction"/>
      <sheetName val="Prison and Supplier Details"/>
      <sheetName val="Key Model Outputs"/>
      <sheetName val="Ref Tables"/>
      <sheetName val="Sensitivity Output"/>
      <sheetName val="Schedule 5"/>
      <sheetName val="Schedule of Wage Rates"/>
      <sheetName val="Staffing Nos."/>
      <sheetName val="Steady State Staffing"/>
      <sheetName val="Substance Misuse"/>
      <sheetName val="Interventions Services"/>
      <sheetName val="ICT Costs"/>
      <sheetName val="Appendix A FTE "/>
      <sheetName val="Appendix B - Pay bands"/>
      <sheetName val="Appendix C -_Vat"/>
      <sheetName val="Appendix D - MT&amp;T"/>
      <sheetName val="Appendix    - Industries"/>
      <sheetName val="Appendix F - RRAPP"/>
    </sheetNames>
    <sheetDataSet>
      <sheetData sheetId="0">
        <row r="19">
          <cell r="D19">
            <v>0</v>
          </cell>
        </row>
        <row r="20">
          <cell r="D20">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6"/>
  <sheetViews>
    <sheetView showGridLines="0" tabSelected="1" topLeftCell="A16" zoomScaleNormal="100" workbookViewId="0">
      <selection activeCell="I39" sqref="I39"/>
    </sheetView>
  </sheetViews>
  <sheetFormatPr defaultRowHeight="15"/>
  <cols>
    <col min="1" max="1" width="6" customWidth="1"/>
    <col min="2" max="2" width="4.85546875" customWidth="1"/>
    <col min="16" max="16" width="10.28515625" customWidth="1"/>
    <col min="17" max="17" width="3.85546875" customWidth="1"/>
  </cols>
  <sheetData>
    <row r="1" spans="2:17" ht="6.75" customHeight="1" thickBot="1"/>
    <row r="2" spans="2:17" ht="26.25">
      <c r="B2" s="2"/>
      <c r="C2" s="4"/>
      <c r="D2" s="3" t="s">
        <v>0</v>
      </c>
      <c r="E2" s="4"/>
      <c r="F2" s="4"/>
      <c r="G2" s="4"/>
      <c r="H2" s="4"/>
      <c r="I2" s="4"/>
      <c r="J2" s="4"/>
      <c r="K2" s="4"/>
      <c r="L2" s="4"/>
      <c r="M2" s="4"/>
      <c r="N2" s="4"/>
      <c r="O2" s="4"/>
      <c r="P2" s="4"/>
      <c r="Q2" s="5"/>
    </row>
    <row r="3" spans="2:17" ht="18.75">
      <c r="B3" s="6"/>
      <c r="C3" s="8"/>
      <c r="D3" s="7" t="s">
        <v>313</v>
      </c>
      <c r="E3" s="8"/>
      <c r="F3" s="8"/>
      <c r="G3" s="8"/>
      <c r="H3" s="8"/>
      <c r="I3" s="8"/>
      <c r="J3" s="8"/>
      <c r="K3" s="8"/>
      <c r="L3" s="8"/>
      <c r="M3" s="8"/>
      <c r="N3" s="8"/>
      <c r="O3" s="8"/>
      <c r="P3" s="8"/>
      <c r="Q3" s="9"/>
    </row>
    <row r="4" spans="2:17">
      <c r="B4" s="6"/>
      <c r="C4" s="8"/>
      <c r="D4" s="8"/>
      <c r="E4" s="8"/>
      <c r="F4" s="8"/>
      <c r="G4" s="8"/>
      <c r="H4" s="8"/>
      <c r="I4" s="8"/>
      <c r="J4" s="8"/>
      <c r="K4" s="8"/>
      <c r="L4" s="8"/>
      <c r="M4" s="8"/>
      <c r="N4" s="8"/>
      <c r="O4" s="8"/>
      <c r="P4" s="8"/>
      <c r="Q4" s="9"/>
    </row>
    <row r="5" spans="2:17" ht="15.75">
      <c r="B5" s="6"/>
      <c r="C5" s="171" t="s">
        <v>5</v>
      </c>
      <c r="D5" s="10"/>
      <c r="E5" s="10"/>
      <c r="F5" s="10"/>
      <c r="G5" s="10"/>
      <c r="H5" s="10"/>
      <c r="I5" s="10"/>
      <c r="J5" s="10"/>
      <c r="K5" s="10"/>
      <c r="L5" s="10"/>
      <c r="M5" s="10"/>
      <c r="N5" s="10"/>
      <c r="O5" s="10"/>
      <c r="P5" s="10"/>
      <c r="Q5" s="9"/>
    </row>
    <row r="6" spans="2:17">
      <c r="B6" s="6"/>
      <c r="C6" s="211" t="s">
        <v>371</v>
      </c>
      <c r="D6" s="212"/>
      <c r="E6" s="212"/>
      <c r="F6" s="212"/>
      <c r="G6" s="212"/>
      <c r="H6" s="212"/>
      <c r="I6" s="212"/>
      <c r="J6" s="212"/>
      <c r="K6" s="212"/>
      <c r="L6" s="212"/>
      <c r="M6" s="212"/>
      <c r="N6" s="212"/>
      <c r="O6" s="212"/>
      <c r="P6" s="212"/>
      <c r="Q6" s="9"/>
    </row>
    <row r="7" spans="2:17">
      <c r="B7" s="6"/>
      <c r="C7" s="212"/>
      <c r="D7" s="212"/>
      <c r="E7" s="212"/>
      <c r="F7" s="212"/>
      <c r="G7" s="212"/>
      <c r="H7" s="212"/>
      <c r="I7" s="212"/>
      <c r="J7" s="212"/>
      <c r="K7" s="212"/>
      <c r="L7" s="212"/>
      <c r="M7" s="212"/>
      <c r="N7" s="212"/>
      <c r="O7" s="212"/>
      <c r="P7" s="212"/>
      <c r="Q7" s="9"/>
    </row>
    <row r="8" spans="2:17">
      <c r="B8" s="6"/>
      <c r="C8" s="212"/>
      <c r="D8" s="212"/>
      <c r="E8" s="212"/>
      <c r="F8" s="212"/>
      <c r="G8" s="212"/>
      <c r="H8" s="212"/>
      <c r="I8" s="212"/>
      <c r="J8" s="212"/>
      <c r="K8" s="212"/>
      <c r="L8" s="212"/>
      <c r="M8" s="212"/>
      <c r="N8" s="212"/>
      <c r="O8" s="212"/>
      <c r="P8" s="212"/>
      <c r="Q8" s="9"/>
    </row>
    <row r="9" spans="2:17" ht="9" customHeight="1">
      <c r="B9" s="6"/>
      <c r="C9" s="172"/>
      <c r="D9" s="10"/>
      <c r="E9" s="10"/>
      <c r="F9" s="10"/>
      <c r="G9" s="10"/>
      <c r="H9" s="10"/>
      <c r="I9" s="10"/>
      <c r="J9" s="10"/>
      <c r="K9" s="10"/>
      <c r="L9" s="10"/>
      <c r="M9" s="10"/>
      <c r="N9" s="10"/>
      <c r="O9" s="10"/>
      <c r="P9" s="10"/>
      <c r="Q9" s="9"/>
    </row>
    <row r="10" spans="2:17" ht="15.75">
      <c r="B10" s="6"/>
      <c r="C10" s="173" t="s">
        <v>6</v>
      </c>
      <c r="D10" s="10"/>
      <c r="E10" s="10"/>
      <c r="F10" s="10"/>
      <c r="G10" s="10"/>
      <c r="H10" s="10"/>
      <c r="I10" s="10"/>
      <c r="J10" s="10"/>
      <c r="K10" s="10"/>
      <c r="L10" s="10"/>
      <c r="M10" s="10"/>
      <c r="N10" s="10"/>
      <c r="O10" s="10"/>
      <c r="P10" s="10"/>
      <c r="Q10" s="9"/>
    </row>
    <row r="11" spans="2:17">
      <c r="B11" s="6"/>
      <c r="C11" s="211" t="s">
        <v>372</v>
      </c>
      <c r="D11" s="212"/>
      <c r="E11" s="212"/>
      <c r="F11" s="212"/>
      <c r="G11" s="212"/>
      <c r="H11" s="212"/>
      <c r="I11" s="212"/>
      <c r="J11" s="212"/>
      <c r="K11" s="212"/>
      <c r="L11" s="212"/>
      <c r="M11" s="212"/>
      <c r="N11" s="212"/>
      <c r="O11" s="212"/>
      <c r="P11" s="212"/>
      <c r="Q11" s="9"/>
    </row>
    <row r="12" spans="2:17">
      <c r="B12" s="6"/>
      <c r="C12" s="212"/>
      <c r="D12" s="212"/>
      <c r="E12" s="212"/>
      <c r="F12" s="212"/>
      <c r="G12" s="212"/>
      <c r="H12" s="212"/>
      <c r="I12" s="212"/>
      <c r="J12" s="212"/>
      <c r="K12" s="212"/>
      <c r="L12" s="212"/>
      <c r="M12" s="212"/>
      <c r="N12" s="212"/>
      <c r="O12" s="212"/>
      <c r="P12" s="212"/>
      <c r="Q12" s="9"/>
    </row>
    <row r="13" spans="2:17" ht="30.75" customHeight="1">
      <c r="B13" s="6"/>
      <c r="C13" s="212"/>
      <c r="D13" s="212"/>
      <c r="E13" s="212"/>
      <c r="F13" s="212"/>
      <c r="G13" s="212"/>
      <c r="H13" s="212"/>
      <c r="I13" s="212"/>
      <c r="J13" s="212"/>
      <c r="K13" s="212"/>
      <c r="L13" s="212"/>
      <c r="M13" s="212"/>
      <c r="N13" s="212"/>
      <c r="O13" s="212"/>
      <c r="P13" s="212"/>
      <c r="Q13" s="9"/>
    </row>
    <row r="14" spans="2:17" ht="6" customHeight="1">
      <c r="B14" s="6"/>
      <c r="C14" s="172"/>
      <c r="D14" s="10"/>
      <c r="E14" s="10"/>
      <c r="F14" s="10"/>
      <c r="G14" s="10"/>
      <c r="H14" s="10"/>
      <c r="I14" s="10"/>
      <c r="J14" s="10"/>
      <c r="K14" s="10"/>
      <c r="L14" s="10"/>
      <c r="M14" s="10"/>
      <c r="N14" s="10"/>
      <c r="O14" s="10"/>
      <c r="P14" s="10"/>
      <c r="Q14" s="9"/>
    </row>
    <row r="15" spans="2:17" ht="15.75">
      <c r="B15" s="6"/>
      <c r="C15" s="173" t="s">
        <v>7</v>
      </c>
      <c r="D15" s="10"/>
      <c r="E15" s="10"/>
      <c r="F15" s="10"/>
      <c r="G15" s="10"/>
      <c r="H15" s="10"/>
      <c r="I15" s="10"/>
      <c r="J15" s="10"/>
      <c r="K15" s="10"/>
      <c r="L15" s="10"/>
      <c r="M15" s="10"/>
      <c r="N15" s="10"/>
      <c r="O15" s="10"/>
      <c r="P15" s="10"/>
      <c r="Q15" s="9"/>
    </row>
    <row r="16" spans="2:17">
      <c r="B16" s="6"/>
      <c r="C16" s="211" t="s">
        <v>314</v>
      </c>
      <c r="D16" s="212"/>
      <c r="E16" s="212"/>
      <c r="F16" s="212"/>
      <c r="G16" s="212"/>
      <c r="H16" s="212"/>
      <c r="I16" s="212"/>
      <c r="J16" s="212"/>
      <c r="K16" s="212"/>
      <c r="L16" s="212"/>
      <c r="M16" s="212"/>
      <c r="N16" s="212"/>
      <c r="O16" s="212"/>
      <c r="P16" s="212"/>
      <c r="Q16" s="9"/>
    </row>
    <row r="17" spans="2:17">
      <c r="B17" s="6"/>
      <c r="C17" s="212"/>
      <c r="D17" s="212"/>
      <c r="E17" s="212"/>
      <c r="F17" s="212"/>
      <c r="G17" s="212"/>
      <c r="H17" s="212"/>
      <c r="I17" s="212"/>
      <c r="J17" s="212"/>
      <c r="K17" s="212"/>
      <c r="L17" s="212"/>
      <c r="M17" s="212"/>
      <c r="N17" s="212"/>
      <c r="O17" s="212"/>
      <c r="P17" s="212"/>
      <c r="Q17" s="9"/>
    </row>
    <row r="18" spans="2:17" ht="9" customHeight="1">
      <c r="B18" s="6"/>
      <c r="C18" s="212"/>
      <c r="D18" s="212"/>
      <c r="E18" s="212"/>
      <c r="F18" s="212"/>
      <c r="G18" s="212"/>
      <c r="H18" s="212"/>
      <c r="I18" s="212"/>
      <c r="J18" s="212"/>
      <c r="K18" s="212"/>
      <c r="L18" s="212"/>
      <c r="M18" s="212"/>
      <c r="N18" s="212"/>
      <c r="O18" s="212"/>
      <c r="P18" s="212"/>
      <c r="Q18" s="9"/>
    </row>
    <row r="19" spans="2:17" ht="15.75">
      <c r="B19" s="6"/>
      <c r="C19" s="173" t="s">
        <v>8</v>
      </c>
      <c r="D19" s="8"/>
      <c r="E19" s="8"/>
      <c r="F19" s="8"/>
      <c r="G19" s="8"/>
      <c r="H19" s="8"/>
      <c r="I19" s="8"/>
      <c r="J19" s="8"/>
      <c r="K19" s="8"/>
      <c r="L19" s="8"/>
      <c r="M19" s="8"/>
      <c r="N19" s="8"/>
      <c r="O19" s="8"/>
      <c r="P19" s="8"/>
      <c r="Q19" s="9"/>
    </row>
    <row r="20" spans="2:17">
      <c r="B20" s="6"/>
      <c r="C20" s="172" t="s">
        <v>315</v>
      </c>
      <c r="D20" s="11"/>
      <c r="E20" s="11"/>
      <c r="F20" s="11"/>
      <c r="G20" s="11"/>
      <c r="H20" s="11"/>
      <c r="I20" s="11"/>
      <c r="J20" s="8"/>
      <c r="K20" s="8"/>
      <c r="L20" s="8"/>
      <c r="M20" s="8"/>
      <c r="N20" s="8"/>
      <c r="O20" s="8"/>
      <c r="P20" s="8"/>
      <c r="Q20" s="9"/>
    </row>
    <row r="21" spans="2:17">
      <c r="B21" s="6"/>
      <c r="C21" s="172" t="s">
        <v>2</v>
      </c>
      <c r="D21" s="11"/>
      <c r="E21" s="11"/>
      <c r="F21" s="11"/>
      <c r="G21" s="11"/>
      <c r="H21" s="11"/>
      <c r="I21" s="11"/>
      <c r="J21" s="8"/>
      <c r="K21" s="8"/>
      <c r="L21" s="8"/>
      <c r="M21" s="8"/>
      <c r="N21" s="8"/>
      <c r="O21" s="8"/>
      <c r="P21" s="8"/>
      <c r="Q21" s="9"/>
    </row>
    <row r="22" spans="2:17">
      <c r="B22" s="6"/>
      <c r="C22" s="172" t="s">
        <v>3</v>
      </c>
      <c r="D22" s="11"/>
      <c r="E22" s="11"/>
      <c r="F22" s="11"/>
      <c r="G22" s="11"/>
      <c r="H22" s="11"/>
      <c r="I22" s="11"/>
      <c r="J22" s="8"/>
      <c r="K22" s="8"/>
      <c r="L22" s="8"/>
      <c r="M22" s="8"/>
      <c r="N22" s="8"/>
      <c r="O22" s="8"/>
      <c r="P22" s="8"/>
      <c r="Q22" s="9"/>
    </row>
    <row r="23" spans="2:17">
      <c r="B23" s="6"/>
      <c r="C23" s="172" t="s">
        <v>316</v>
      </c>
      <c r="D23" s="11"/>
      <c r="E23" s="11"/>
      <c r="F23" s="11"/>
      <c r="G23" s="11"/>
      <c r="H23" s="11"/>
      <c r="I23" s="11"/>
      <c r="J23" s="8"/>
      <c r="K23" s="8"/>
      <c r="L23" s="8"/>
      <c r="M23" s="8"/>
      <c r="N23" s="8"/>
      <c r="O23" s="8"/>
      <c r="P23" s="8"/>
      <c r="Q23" s="9"/>
    </row>
    <row r="24" spans="2:17">
      <c r="B24" s="6"/>
      <c r="C24" s="172" t="s">
        <v>4</v>
      </c>
      <c r="D24" s="11"/>
      <c r="E24" s="11"/>
      <c r="F24" s="11"/>
      <c r="G24" s="11"/>
      <c r="H24" s="11"/>
      <c r="I24" s="11"/>
      <c r="J24" s="8"/>
      <c r="K24" s="8"/>
      <c r="L24" s="8"/>
      <c r="M24" s="8"/>
      <c r="N24" s="8"/>
      <c r="O24" s="8"/>
      <c r="P24" s="8"/>
      <c r="Q24" s="9"/>
    </row>
    <row r="25" spans="2:17" ht="3.75" customHeight="1">
      <c r="B25" s="6"/>
      <c r="C25" s="174"/>
      <c r="D25" s="8"/>
      <c r="E25" s="8"/>
      <c r="F25" s="8"/>
      <c r="G25" s="8"/>
      <c r="H25" s="8"/>
      <c r="I25" s="8"/>
      <c r="J25" s="8"/>
      <c r="K25" s="8"/>
      <c r="L25" s="8"/>
      <c r="M25" s="8"/>
      <c r="N25" s="8"/>
      <c r="O25" s="8"/>
      <c r="P25" s="8"/>
      <c r="Q25" s="9"/>
    </row>
    <row r="26" spans="2:17" ht="15.75">
      <c r="B26" s="6"/>
      <c r="C26" s="173" t="s">
        <v>9</v>
      </c>
      <c r="D26" s="8"/>
      <c r="E26" s="8"/>
      <c r="F26" s="8"/>
      <c r="G26" s="8"/>
      <c r="H26" s="8"/>
      <c r="I26" s="8"/>
      <c r="J26" s="8"/>
      <c r="K26" s="8"/>
      <c r="L26" s="8"/>
      <c r="M26" s="8"/>
      <c r="N26" s="8"/>
      <c r="O26" s="8"/>
      <c r="P26" s="8"/>
      <c r="Q26" s="9"/>
    </row>
    <row r="27" spans="2:17">
      <c r="B27" s="6"/>
      <c r="C27" s="213" t="s">
        <v>373</v>
      </c>
      <c r="D27" s="214"/>
      <c r="E27" s="214"/>
      <c r="F27" s="214"/>
      <c r="G27" s="214"/>
      <c r="H27" s="214"/>
      <c r="I27" s="214"/>
      <c r="J27" s="214"/>
      <c r="K27" s="214"/>
      <c r="L27" s="214"/>
      <c r="M27" s="214"/>
      <c r="N27" s="214"/>
      <c r="O27" s="214"/>
      <c r="P27" s="214"/>
      <c r="Q27" s="9"/>
    </row>
    <row r="28" spans="2:17">
      <c r="B28" s="6"/>
      <c r="C28" s="214"/>
      <c r="D28" s="214"/>
      <c r="E28" s="214"/>
      <c r="F28" s="214"/>
      <c r="G28" s="214"/>
      <c r="H28" s="214"/>
      <c r="I28" s="214"/>
      <c r="J28" s="214"/>
      <c r="K28" s="214"/>
      <c r="L28" s="214"/>
      <c r="M28" s="214"/>
      <c r="N28" s="214"/>
      <c r="O28" s="214"/>
      <c r="P28" s="214"/>
      <c r="Q28" s="9"/>
    </row>
    <row r="29" spans="2:17">
      <c r="B29" s="6"/>
      <c r="C29" s="214"/>
      <c r="D29" s="214"/>
      <c r="E29" s="214"/>
      <c r="F29" s="214"/>
      <c r="G29" s="214"/>
      <c r="H29" s="214"/>
      <c r="I29" s="214"/>
      <c r="J29" s="214"/>
      <c r="K29" s="214"/>
      <c r="L29" s="214"/>
      <c r="M29" s="214"/>
      <c r="N29" s="214"/>
      <c r="O29" s="214"/>
      <c r="P29" s="214"/>
      <c r="Q29" s="9"/>
    </row>
    <row r="30" spans="2:17" ht="6" customHeight="1">
      <c r="B30" s="6"/>
      <c r="C30" s="175"/>
      <c r="D30" s="8"/>
      <c r="E30" s="8"/>
      <c r="F30" s="8"/>
      <c r="G30" s="8"/>
      <c r="H30" s="8"/>
      <c r="I30" s="8"/>
      <c r="J30" s="8"/>
      <c r="K30" s="8"/>
      <c r="L30" s="8"/>
      <c r="M30" s="8"/>
      <c r="N30" s="8"/>
      <c r="O30" s="8"/>
      <c r="P30" s="8"/>
      <c r="Q30" s="9"/>
    </row>
    <row r="31" spans="2:17" ht="18.75">
      <c r="B31" s="6"/>
      <c r="C31" s="176" t="s">
        <v>10</v>
      </c>
      <c r="D31" s="8"/>
      <c r="E31" s="8"/>
      <c r="F31" s="8"/>
      <c r="G31" s="8"/>
      <c r="H31" s="8"/>
      <c r="I31" s="8"/>
      <c r="J31" s="8"/>
      <c r="K31" s="8"/>
      <c r="L31" s="8"/>
      <c r="M31" s="8"/>
      <c r="N31" s="8"/>
      <c r="O31" s="8"/>
      <c r="P31" s="8"/>
      <c r="Q31" s="9"/>
    </row>
    <row r="32" spans="2:17">
      <c r="B32" s="6"/>
      <c r="C32" s="211" t="s">
        <v>374</v>
      </c>
      <c r="D32" s="212"/>
      <c r="E32" s="212"/>
      <c r="F32" s="212"/>
      <c r="G32" s="212"/>
      <c r="H32" s="212"/>
      <c r="I32" s="212"/>
      <c r="J32" s="212"/>
      <c r="K32" s="212"/>
      <c r="L32" s="212"/>
      <c r="M32" s="212"/>
      <c r="N32" s="212"/>
      <c r="O32" s="212"/>
      <c r="P32" s="212"/>
      <c r="Q32" s="9"/>
    </row>
    <row r="33" spans="2:17">
      <c r="B33" s="6"/>
      <c r="C33" s="212"/>
      <c r="D33" s="212"/>
      <c r="E33" s="212"/>
      <c r="F33" s="212"/>
      <c r="G33" s="212"/>
      <c r="H33" s="212"/>
      <c r="I33" s="212"/>
      <c r="J33" s="212"/>
      <c r="K33" s="212"/>
      <c r="L33" s="212"/>
      <c r="M33" s="212"/>
      <c r="N33" s="212"/>
      <c r="O33" s="212"/>
      <c r="P33" s="212"/>
      <c r="Q33" s="9"/>
    </row>
    <row r="34" spans="2:17">
      <c r="B34" s="6"/>
      <c r="C34" s="212"/>
      <c r="D34" s="212"/>
      <c r="E34" s="212"/>
      <c r="F34" s="212"/>
      <c r="G34" s="212"/>
      <c r="H34" s="212"/>
      <c r="I34" s="212"/>
      <c r="J34" s="212"/>
      <c r="K34" s="212"/>
      <c r="L34" s="212"/>
      <c r="M34" s="212"/>
      <c r="N34" s="212"/>
      <c r="O34" s="212"/>
      <c r="P34" s="212"/>
      <c r="Q34" s="9"/>
    </row>
    <row r="35" spans="2:17">
      <c r="B35" s="6"/>
      <c r="C35" s="212"/>
      <c r="D35" s="212"/>
      <c r="E35" s="212"/>
      <c r="F35" s="212"/>
      <c r="G35" s="212"/>
      <c r="H35" s="212"/>
      <c r="I35" s="212"/>
      <c r="J35" s="212"/>
      <c r="K35" s="212"/>
      <c r="L35" s="212"/>
      <c r="M35" s="212"/>
      <c r="N35" s="212"/>
      <c r="O35" s="212"/>
      <c r="P35" s="212"/>
      <c r="Q35" s="9"/>
    </row>
    <row r="36" spans="2:17" ht="15.75" thickBot="1">
      <c r="B36" s="177"/>
      <c r="C36" s="215"/>
      <c r="D36" s="215"/>
      <c r="E36" s="215"/>
      <c r="F36" s="215"/>
      <c r="G36" s="215"/>
      <c r="H36" s="215"/>
      <c r="I36" s="215"/>
      <c r="J36" s="215"/>
      <c r="K36" s="215"/>
      <c r="L36" s="215"/>
      <c r="M36" s="215"/>
      <c r="N36" s="215"/>
      <c r="O36" s="215"/>
      <c r="P36" s="215"/>
      <c r="Q36" s="170"/>
    </row>
  </sheetData>
  <mergeCells count="5">
    <mergeCell ref="C6:P8"/>
    <mergeCell ref="C11:P13"/>
    <mergeCell ref="C16:P18"/>
    <mergeCell ref="C27:P29"/>
    <mergeCell ref="C32:P36"/>
  </mergeCells>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M23"/>
  <sheetViews>
    <sheetView showGridLines="0" topLeftCell="A9" workbookViewId="0">
      <selection activeCell="D26" sqref="D26"/>
    </sheetView>
  </sheetViews>
  <sheetFormatPr defaultRowHeight="15"/>
  <cols>
    <col min="1" max="1" width="5.7109375" customWidth="1"/>
    <col min="2" max="2" width="11.7109375" customWidth="1"/>
    <col min="8" max="8" width="10.140625" customWidth="1"/>
  </cols>
  <sheetData>
    <row r="2" spans="2:13">
      <c r="C2" s="8"/>
    </row>
    <row r="3" spans="2:13" ht="18.75">
      <c r="B3" s="16" t="s">
        <v>1</v>
      </c>
      <c r="C3" s="8"/>
    </row>
    <row r="4" spans="2:13" ht="15.75">
      <c r="B4" s="17" t="s">
        <v>14</v>
      </c>
    </row>
    <row r="6" spans="2:13">
      <c r="B6" s="224" t="s">
        <v>32</v>
      </c>
      <c r="C6" s="225"/>
      <c r="D6" s="225"/>
      <c r="E6" s="225"/>
      <c r="F6" s="225"/>
      <c r="G6" s="225"/>
      <c r="H6" s="225"/>
      <c r="I6" s="225"/>
      <c r="J6" s="225"/>
      <c r="K6" s="225"/>
      <c r="L6" s="225"/>
      <c r="M6" s="226"/>
    </row>
    <row r="7" spans="2:13">
      <c r="B7" s="227"/>
      <c r="C7" s="228"/>
      <c r="D7" s="228"/>
      <c r="E7" s="228"/>
      <c r="F7" s="228"/>
      <c r="G7" s="228"/>
      <c r="H7" s="228"/>
      <c r="I7" s="228"/>
      <c r="J7" s="228"/>
      <c r="K7" s="228"/>
      <c r="L7" s="228"/>
      <c r="M7" s="229"/>
    </row>
    <row r="8" spans="2:13">
      <c r="B8" s="227"/>
      <c r="C8" s="228"/>
      <c r="D8" s="228"/>
      <c r="E8" s="228"/>
      <c r="F8" s="228"/>
      <c r="G8" s="228"/>
      <c r="H8" s="228"/>
      <c r="I8" s="228"/>
      <c r="J8" s="228"/>
      <c r="K8" s="228"/>
      <c r="L8" s="228"/>
      <c r="M8" s="229"/>
    </row>
    <row r="9" spans="2:13">
      <c r="B9" s="230"/>
      <c r="C9" s="231"/>
      <c r="D9" s="231"/>
      <c r="E9" s="231"/>
      <c r="F9" s="231"/>
      <c r="G9" s="231"/>
      <c r="H9" s="231"/>
      <c r="I9" s="231"/>
      <c r="J9" s="231"/>
      <c r="K9" s="231"/>
      <c r="L9" s="231"/>
      <c r="M9" s="232"/>
    </row>
    <row r="10" spans="2:13">
      <c r="B10" s="13"/>
      <c r="C10" s="13"/>
      <c r="D10" s="13"/>
      <c r="E10" s="13"/>
      <c r="F10" s="13"/>
      <c r="G10" s="13"/>
      <c r="H10" s="13"/>
      <c r="I10" s="13"/>
      <c r="J10" s="13"/>
      <c r="K10" s="13"/>
      <c r="L10" s="13"/>
      <c r="M10" s="13"/>
    </row>
    <row r="11" spans="2:13">
      <c r="B11" s="20" t="s">
        <v>15</v>
      </c>
    </row>
    <row r="13" spans="2:13">
      <c r="B13" s="19" t="s">
        <v>17</v>
      </c>
      <c r="C13" s="219" t="s">
        <v>16</v>
      </c>
      <c r="D13" s="219"/>
      <c r="E13" s="219"/>
      <c r="F13" s="219"/>
      <c r="G13" s="219"/>
      <c r="H13" s="219"/>
      <c r="I13" s="219" t="s">
        <v>28</v>
      </c>
      <c r="J13" s="219"/>
      <c r="K13" s="219"/>
      <c r="L13" s="219"/>
      <c r="M13" s="220"/>
    </row>
    <row r="14" spans="2:13" ht="23.25" customHeight="1">
      <c r="B14" s="18" t="s">
        <v>18</v>
      </c>
      <c r="C14" s="221" t="s">
        <v>29</v>
      </c>
      <c r="D14" s="222"/>
      <c r="E14" s="222"/>
      <c r="F14" s="222"/>
      <c r="G14" s="222"/>
      <c r="H14" s="223"/>
      <c r="I14" s="216"/>
      <c r="J14" s="217"/>
      <c r="K14" s="217"/>
      <c r="L14" s="217"/>
      <c r="M14" s="218"/>
    </row>
    <row r="15" spans="2:13" ht="25.5" customHeight="1">
      <c r="B15" s="18" t="s">
        <v>19</v>
      </c>
      <c r="C15" s="221" t="s">
        <v>30</v>
      </c>
      <c r="D15" s="222"/>
      <c r="E15" s="222"/>
      <c r="F15" s="222"/>
      <c r="G15" s="222"/>
      <c r="H15" s="223"/>
      <c r="I15" s="216"/>
      <c r="J15" s="217"/>
      <c r="K15" s="217"/>
      <c r="L15" s="217"/>
      <c r="M15" s="218"/>
    </row>
    <row r="16" spans="2:13" ht="32.25" customHeight="1">
      <c r="B16" s="18" t="s">
        <v>20</v>
      </c>
      <c r="C16" s="221" t="s">
        <v>33</v>
      </c>
      <c r="D16" s="222"/>
      <c r="E16" s="222"/>
      <c r="F16" s="222"/>
      <c r="G16" s="222"/>
      <c r="H16" s="223"/>
      <c r="I16" s="216"/>
      <c r="J16" s="217"/>
      <c r="K16" s="217"/>
      <c r="L16" s="217"/>
      <c r="M16" s="218"/>
    </row>
    <row r="17" spans="2:13">
      <c r="B17" s="18" t="s">
        <v>21</v>
      </c>
      <c r="C17" s="221" t="s">
        <v>34</v>
      </c>
      <c r="D17" s="222"/>
      <c r="E17" s="222"/>
      <c r="F17" s="222"/>
      <c r="G17" s="222"/>
      <c r="H17" s="223"/>
      <c r="I17" s="216"/>
      <c r="J17" s="217"/>
      <c r="K17" s="217"/>
      <c r="L17" s="217"/>
      <c r="M17" s="218"/>
    </row>
    <row r="18" spans="2:13" ht="28.5" customHeight="1">
      <c r="B18" s="18" t="s">
        <v>22</v>
      </c>
      <c r="C18" s="221" t="s">
        <v>35</v>
      </c>
      <c r="D18" s="222"/>
      <c r="E18" s="222"/>
      <c r="F18" s="222"/>
      <c r="G18" s="222"/>
      <c r="H18" s="223"/>
      <c r="I18" s="216"/>
      <c r="J18" s="217"/>
      <c r="K18" s="217"/>
      <c r="L18" s="217"/>
      <c r="M18" s="218"/>
    </row>
    <row r="19" spans="2:13" ht="33.75" customHeight="1">
      <c r="B19" s="18" t="s">
        <v>23</v>
      </c>
      <c r="C19" s="221" t="s">
        <v>36</v>
      </c>
      <c r="D19" s="222"/>
      <c r="E19" s="222"/>
      <c r="F19" s="222"/>
      <c r="G19" s="222"/>
      <c r="H19" s="223"/>
      <c r="I19" s="216"/>
      <c r="J19" s="217"/>
      <c r="K19" s="217"/>
      <c r="L19" s="217"/>
      <c r="M19" s="218"/>
    </row>
    <row r="20" spans="2:13">
      <c r="B20" s="18" t="s">
        <v>24</v>
      </c>
      <c r="C20" s="221" t="s">
        <v>31</v>
      </c>
      <c r="D20" s="222"/>
      <c r="E20" s="222"/>
      <c r="F20" s="222"/>
      <c r="G20" s="222"/>
      <c r="H20" s="223"/>
      <c r="I20" s="216"/>
      <c r="J20" s="217"/>
      <c r="K20" s="217"/>
      <c r="L20" s="217"/>
      <c r="M20" s="218"/>
    </row>
    <row r="21" spans="2:13">
      <c r="B21" s="18" t="s">
        <v>25</v>
      </c>
      <c r="C21" s="221"/>
      <c r="D21" s="222"/>
      <c r="E21" s="222"/>
      <c r="F21" s="222"/>
      <c r="G21" s="222"/>
      <c r="H21" s="223"/>
      <c r="I21" s="216"/>
      <c r="J21" s="217"/>
      <c r="K21" s="217"/>
      <c r="L21" s="217"/>
      <c r="M21" s="218"/>
    </row>
    <row r="22" spans="2:13">
      <c r="B22" s="18" t="s">
        <v>26</v>
      </c>
      <c r="C22" s="221"/>
      <c r="D22" s="222"/>
      <c r="E22" s="222"/>
      <c r="F22" s="222"/>
      <c r="G22" s="222"/>
      <c r="H22" s="223"/>
      <c r="I22" s="216"/>
      <c r="J22" s="217"/>
      <c r="K22" s="217"/>
      <c r="L22" s="217"/>
      <c r="M22" s="218"/>
    </row>
    <row r="23" spans="2:13">
      <c r="B23" s="18" t="s">
        <v>27</v>
      </c>
      <c r="C23" s="221"/>
      <c r="D23" s="222"/>
      <c r="E23" s="222"/>
      <c r="F23" s="222"/>
      <c r="G23" s="222"/>
      <c r="H23" s="223"/>
      <c r="I23" s="216"/>
      <c r="J23" s="217"/>
      <c r="K23" s="217"/>
      <c r="L23" s="217"/>
      <c r="M23" s="218"/>
    </row>
  </sheetData>
  <mergeCells count="23">
    <mergeCell ref="B6:M9"/>
    <mergeCell ref="C14:H14"/>
    <mergeCell ref="C15:H15"/>
    <mergeCell ref="C16:H16"/>
    <mergeCell ref="C13:H13"/>
    <mergeCell ref="I14:M14"/>
    <mergeCell ref="I15:M15"/>
    <mergeCell ref="I16:M16"/>
    <mergeCell ref="I23:M23"/>
    <mergeCell ref="I13:M13"/>
    <mergeCell ref="C23:H23"/>
    <mergeCell ref="I17:M17"/>
    <mergeCell ref="I18:M18"/>
    <mergeCell ref="I19:M19"/>
    <mergeCell ref="I20:M20"/>
    <mergeCell ref="I21:M21"/>
    <mergeCell ref="I22:M22"/>
    <mergeCell ref="C17:H17"/>
    <mergeCell ref="C18:H18"/>
    <mergeCell ref="C19:H19"/>
    <mergeCell ref="C20:H20"/>
    <mergeCell ref="C21:H21"/>
    <mergeCell ref="C22:H2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36"/>
  <sheetViews>
    <sheetView showGridLines="0" topLeftCell="A16" zoomScaleNormal="100" workbookViewId="0">
      <selection activeCell="J31" sqref="J31"/>
    </sheetView>
  </sheetViews>
  <sheetFormatPr defaultRowHeight="15"/>
  <cols>
    <col min="1" max="1" width="5.28515625" customWidth="1"/>
    <col min="3" max="3" width="31.7109375" customWidth="1"/>
  </cols>
  <sheetData>
    <row r="1" spans="2:15" ht="8.25" customHeight="1"/>
    <row r="2" spans="2:15" ht="23.25" customHeight="1">
      <c r="B2" s="15" t="s">
        <v>317</v>
      </c>
      <c r="C2" s="8"/>
      <c r="D2" s="8"/>
    </row>
    <row r="3" spans="2:15" ht="18.75">
      <c r="B3" s="7" t="s">
        <v>313</v>
      </c>
      <c r="C3" s="8"/>
      <c r="D3" s="8"/>
    </row>
    <row r="4" spans="2:15" ht="7.5" customHeight="1"/>
    <row r="5" spans="2:15">
      <c r="B5" s="12" t="s">
        <v>11</v>
      </c>
    </row>
    <row r="6" spans="2:15">
      <c r="B6" s="234" t="s">
        <v>375</v>
      </c>
      <c r="C6" s="234"/>
      <c r="D6" s="234"/>
      <c r="E6" s="234"/>
      <c r="F6" s="234"/>
      <c r="G6" s="234"/>
      <c r="H6" s="234"/>
      <c r="I6" s="234"/>
      <c r="J6" s="234"/>
      <c r="K6" s="234"/>
      <c r="L6" s="234"/>
      <c r="M6" s="234"/>
      <c r="N6" s="234"/>
      <c r="O6" s="234"/>
    </row>
    <row r="7" spans="2:15">
      <c r="B7" s="234"/>
      <c r="C7" s="234"/>
      <c r="D7" s="234"/>
      <c r="E7" s="234"/>
      <c r="F7" s="234"/>
      <c r="G7" s="234"/>
      <c r="H7" s="234"/>
      <c r="I7" s="234"/>
      <c r="J7" s="234"/>
      <c r="K7" s="234"/>
      <c r="L7" s="234"/>
      <c r="M7" s="234"/>
      <c r="N7" s="234"/>
      <c r="O7" s="234"/>
    </row>
    <row r="8" spans="2:15" ht="6" customHeight="1">
      <c r="B8" s="13"/>
      <c r="C8" s="13"/>
      <c r="D8" s="13"/>
      <c r="E8" s="13"/>
      <c r="F8" s="13"/>
      <c r="G8" s="13"/>
      <c r="H8" s="13"/>
      <c r="I8" s="13"/>
      <c r="J8" s="13"/>
      <c r="K8" s="13"/>
      <c r="L8" s="13"/>
      <c r="M8" s="13"/>
      <c r="N8" s="13"/>
      <c r="O8" s="13"/>
    </row>
    <row r="9" spans="2:15">
      <c r="B9" s="12" t="s">
        <v>376</v>
      </c>
    </row>
    <row r="10" spans="2:15" ht="17.25" customHeight="1">
      <c r="B10" s="233" t="s">
        <v>411</v>
      </c>
      <c r="C10" s="233"/>
      <c r="D10" s="233"/>
      <c r="E10" s="233"/>
      <c r="F10" s="233"/>
      <c r="G10" s="233"/>
      <c r="H10" s="233"/>
      <c r="I10" s="233"/>
      <c r="J10" s="233"/>
      <c r="K10" s="233"/>
      <c r="L10" s="233"/>
      <c r="M10" s="233"/>
      <c r="N10" s="233"/>
      <c r="O10" s="233"/>
    </row>
    <row r="11" spans="2:15" ht="11.25" customHeight="1">
      <c r="B11" s="233"/>
      <c r="C11" s="233"/>
      <c r="D11" s="233"/>
      <c r="E11" s="233"/>
      <c r="F11" s="233"/>
      <c r="G11" s="233"/>
      <c r="H11" s="233"/>
      <c r="I11" s="233"/>
      <c r="J11" s="233"/>
      <c r="K11" s="233"/>
      <c r="L11" s="233"/>
      <c r="M11" s="233"/>
      <c r="N11" s="233"/>
      <c r="O11" s="233"/>
    </row>
    <row r="12" spans="2:15" ht="7.5" customHeight="1"/>
    <row r="13" spans="2:15">
      <c r="B13" s="12" t="s">
        <v>12</v>
      </c>
    </row>
    <row r="14" spans="2:15" ht="3.75" customHeight="1"/>
    <row r="15" spans="2:15">
      <c r="C15" s="14" t="s">
        <v>318</v>
      </c>
    </row>
    <row r="16" spans="2:15">
      <c r="D16" s="233" t="s">
        <v>377</v>
      </c>
      <c r="E16" s="233"/>
      <c r="F16" s="233"/>
      <c r="G16" s="233"/>
      <c r="H16" s="233"/>
      <c r="I16" s="233"/>
      <c r="J16" s="233"/>
      <c r="K16" s="233"/>
      <c r="L16" s="233"/>
      <c r="M16" s="233"/>
      <c r="N16" s="233"/>
      <c r="O16" s="233"/>
    </row>
    <row r="17" spans="2:15">
      <c r="D17" s="233"/>
      <c r="E17" s="233"/>
      <c r="F17" s="233"/>
      <c r="G17" s="233"/>
      <c r="H17" s="233"/>
      <c r="I17" s="233"/>
      <c r="J17" s="233"/>
      <c r="K17" s="233"/>
      <c r="L17" s="233"/>
      <c r="M17" s="233"/>
      <c r="N17" s="233"/>
      <c r="O17" s="233"/>
    </row>
    <row r="18" spans="2:15" ht="8.25" customHeight="1"/>
    <row r="19" spans="2:15">
      <c r="C19" s="14" t="s">
        <v>13</v>
      </c>
    </row>
    <row r="20" spans="2:15">
      <c r="D20" s="233" t="s">
        <v>378</v>
      </c>
      <c r="E20" s="233"/>
      <c r="F20" s="233"/>
      <c r="G20" s="233"/>
      <c r="H20" s="233"/>
      <c r="I20" s="233"/>
      <c r="J20" s="233"/>
      <c r="K20" s="233"/>
      <c r="L20" s="233"/>
      <c r="M20" s="233"/>
      <c r="N20" s="233"/>
      <c r="O20" s="233"/>
    </row>
    <row r="21" spans="2:15">
      <c r="D21" s="233"/>
      <c r="E21" s="233"/>
      <c r="F21" s="233"/>
      <c r="G21" s="233"/>
      <c r="H21" s="233"/>
      <c r="I21" s="233"/>
      <c r="J21" s="233"/>
      <c r="K21" s="233"/>
      <c r="L21" s="233"/>
      <c r="M21" s="233"/>
      <c r="N21" s="233"/>
      <c r="O21" s="233"/>
    </row>
    <row r="22" spans="2:15">
      <c r="D22" s="233"/>
      <c r="E22" s="233"/>
      <c r="F22" s="233"/>
      <c r="G22" s="233"/>
      <c r="H22" s="233"/>
      <c r="I22" s="233"/>
      <c r="J22" s="233"/>
      <c r="K22" s="233"/>
      <c r="L22" s="233"/>
      <c r="M22" s="233"/>
      <c r="N22" s="233"/>
      <c r="O22" s="233"/>
    </row>
    <row r="23" spans="2:15">
      <c r="B23" s="12" t="s">
        <v>379</v>
      </c>
    </row>
    <row r="24" spans="2:15">
      <c r="C24" s="1" t="s">
        <v>37</v>
      </c>
      <c r="D24" s="1" t="s">
        <v>380</v>
      </c>
    </row>
    <row r="25" spans="2:15">
      <c r="C25" s="1" t="s">
        <v>38</v>
      </c>
      <c r="D25" s="1" t="s">
        <v>381</v>
      </c>
    </row>
    <row r="26" spans="2:15">
      <c r="C26" s="1" t="s">
        <v>319</v>
      </c>
      <c r="D26" s="1" t="s">
        <v>320</v>
      </c>
    </row>
    <row r="27" spans="2:15">
      <c r="C27" s="1" t="s">
        <v>39</v>
      </c>
      <c r="D27" s="1" t="s">
        <v>43</v>
      </c>
    </row>
    <row r="28" spans="2:15">
      <c r="C28" s="1" t="s">
        <v>40</v>
      </c>
      <c r="D28" s="1" t="s">
        <v>382</v>
      </c>
    </row>
    <row r="29" spans="2:15">
      <c r="C29" s="1" t="s">
        <v>41</v>
      </c>
      <c r="D29" s="1" t="s">
        <v>412</v>
      </c>
    </row>
    <row r="30" spans="2:15">
      <c r="C30" s="1" t="s">
        <v>321</v>
      </c>
      <c r="D30" s="1" t="s">
        <v>383</v>
      </c>
    </row>
    <row r="31" spans="2:15">
      <c r="C31" s="1" t="s">
        <v>42</v>
      </c>
      <c r="D31" s="1" t="s">
        <v>384</v>
      </c>
    </row>
    <row r="33" spans="2:16">
      <c r="B33" s="12" t="s">
        <v>385</v>
      </c>
    </row>
    <row r="34" spans="2:16" ht="15" customHeight="1">
      <c r="C34" s="14" t="s">
        <v>44</v>
      </c>
      <c r="D34" s="234" t="s">
        <v>413</v>
      </c>
      <c r="E34" s="235"/>
      <c r="F34" s="235"/>
      <c r="G34" s="235"/>
      <c r="H34" s="235"/>
      <c r="I34" s="235"/>
      <c r="J34" s="235"/>
      <c r="K34" s="235"/>
      <c r="L34" s="235"/>
      <c r="M34" s="235"/>
      <c r="N34" s="235"/>
      <c r="O34" s="235"/>
      <c r="P34" s="235"/>
    </row>
    <row r="35" spans="2:16">
      <c r="D35" s="235"/>
      <c r="E35" s="235"/>
      <c r="F35" s="235"/>
      <c r="G35" s="235"/>
      <c r="H35" s="235"/>
      <c r="I35" s="235"/>
      <c r="J35" s="235"/>
      <c r="K35" s="235"/>
      <c r="L35" s="235"/>
      <c r="M35" s="235"/>
      <c r="N35" s="235"/>
      <c r="O35" s="235"/>
      <c r="P35" s="235"/>
    </row>
    <row r="36" spans="2:16">
      <c r="D36" s="21"/>
      <c r="E36" s="21"/>
      <c r="F36" s="21"/>
      <c r="G36" s="21"/>
      <c r="H36" s="21"/>
      <c r="I36" s="21"/>
      <c r="J36" s="21"/>
      <c r="K36" s="21"/>
      <c r="L36" s="21"/>
      <c r="M36" s="21"/>
      <c r="N36" s="21"/>
      <c r="O36" s="21"/>
    </row>
  </sheetData>
  <mergeCells count="5">
    <mergeCell ref="B6:O7"/>
    <mergeCell ref="D16:O17"/>
    <mergeCell ref="D20:O22"/>
    <mergeCell ref="D34:P35"/>
    <mergeCell ref="B10:O11"/>
  </mergeCell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opLeftCell="A2" zoomScale="90" zoomScaleNormal="90" workbookViewId="0">
      <selection activeCell="T12" sqref="T12"/>
    </sheetView>
  </sheetViews>
  <sheetFormatPr defaultRowHeight="15"/>
  <cols>
    <col min="18" max="18" width="11" bestFit="1" customWidth="1"/>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99"/>
  <sheetViews>
    <sheetView showGridLines="0" zoomScale="90" zoomScaleNormal="90" workbookViewId="0">
      <pane ySplit="4" topLeftCell="A53" activePane="bottomLeft" state="frozen"/>
      <selection pane="bottomLeft" activeCell="BS74" sqref="BS74"/>
    </sheetView>
  </sheetViews>
  <sheetFormatPr defaultColWidth="0" defaultRowHeight="12.75" outlineLevelRow="1" outlineLevelCol="1"/>
  <cols>
    <col min="1" max="1" width="25.5703125" style="24" customWidth="1"/>
    <col min="2" max="2" width="33.85546875" style="24" customWidth="1"/>
    <col min="3" max="3" width="17.5703125" style="24" customWidth="1"/>
    <col min="4" max="4" width="12.5703125" style="24" customWidth="1" outlineLevel="1"/>
    <col min="5" max="5" width="13.28515625" style="24" customWidth="1" outlineLevel="1"/>
    <col min="6" max="16" width="11.42578125" style="24" customWidth="1" outlineLevel="1"/>
    <col min="17" max="17" width="8.7109375" style="24" customWidth="1" outlineLevel="1"/>
    <col min="18" max="18" width="11" style="24" bestFit="1" customWidth="1"/>
    <col min="19" max="30" width="9.140625" style="24" hidden="1" customWidth="1" outlineLevel="1"/>
    <col min="31" max="31" width="9.7109375" style="24" bestFit="1" customWidth="1" collapsed="1"/>
    <col min="32" max="43" width="11.42578125" style="24" hidden="1" customWidth="1" outlineLevel="1"/>
    <col min="44" max="44" width="9.7109375" style="24" bestFit="1" customWidth="1" collapsed="1"/>
    <col min="45" max="56" width="11.42578125" style="24" hidden="1" customWidth="1" outlineLevel="1"/>
    <col min="57" max="57" width="9.7109375" style="24" bestFit="1" customWidth="1" collapsed="1"/>
    <col min="58" max="69" width="11.42578125" style="24" hidden="1" customWidth="1" outlineLevel="1"/>
    <col min="70" max="70" width="9.7109375" style="24" bestFit="1" customWidth="1" collapsed="1"/>
    <col min="71" max="72" width="11.42578125" style="24" customWidth="1"/>
    <col min="73" max="16384" width="11.42578125" style="24" hidden="1"/>
  </cols>
  <sheetData>
    <row r="1" spans="1:70" ht="14.25">
      <c r="A1" s="22" t="s">
        <v>206</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row>
    <row r="2" spans="1:70" ht="15">
      <c r="A2" s="25" t="s">
        <v>45</v>
      </c>
    </row>
    <row r="3" spans="1:70" ht="15">
      <c r="A3" s="26"/>
    </row>
    <row r="4" spans="1:70" ht="15">
      <c r="A4" s="27" t="s">
        <v>46</v>
      </c>
      <c r="B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row>
    <row r="5" spans="1:70" ht="14.25">
      <c r="A5" s="29" t="s">
        <v>358</v>
      </c>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row>
    <row r="6" spans="1:70" ht="14.25">
      <c r="A6" s="31"/>
    </row>
    <row r="7" spans="1:70" ht="14.25">
      <c r="A7" s="31"/>
      <c r="Q7" s="32"/>
      <c r="R7" s="33" t="s">
        <v>47</v>
      </c>
      <c r="S7" s="33"/>
      <c r="T7" s="33"/>
      <c r="U7" s="33"/>
      <c r="V7" s="33"/>
      <c r="W7" s="33"/>
      <c r="X7" s="33"/>
      <c r="Y7" s="33"/>
      <c r="Z7" s="33"/>
      <c r="AA7" s="33"/>
      <c r="AB7" s="33"/>
      <c r="AC7" s="33"/>
      <c r="AD7" s="33"/>
      <c r="AE7" s="33" t="s">
        <v>48</v>
      </c>
      <c r="AF7" s="33"/>
      <c r="AG7" s="33"/>
      <c r="AH7" s="33"/>
      <c r="AI7" s="33"/>
      <c r="AJ7" s="33"/>
      <c r="AK7" s="33"/>
      <c r="AL7" s="33"/>
      <c r="AM7" s="33"/>
      <c r="AN7" s="33"/>
      <c r="AO7" s="33"/>
      <c r="AP7" s="33"/>
      <c r="AQ7" s="33"/>
      <c r="AR7" s="33" t="s">
        <v>49</v>
      </c>
      <c r="AS7" s="33"/>
      <c r="AT7" s="33"/>
      <c r="AU7" s="33"/>
      <c r="AV7" s="33"/>
      <c r="AW7" s="33"/>
      <c r="AX7" s="33"/>
      <c r="AY7" s="33"/>
      <c r="AZ7" s="33"/>
      <c r="BA7" s="33"/>
      <c r="BB7" s="33"/>
      <c r="BC7" s="33"/>
      <c r="BD7" s="33"/>
      <c r="BE7" s="33" t="s">
        <v>50</v>
      </c>
      <c r="BF7" s="33"/>
      <c r="BG7" s="33"/>
      <c r="BH7" s="33"/>
      <c r="BI7" s="33"/>
      <c r="BJ7" s="33"/>
      <c r="BK7" s="33"/>
      <c r="BL7" s="33"/>
      <c r="BM7" s="33"/>
      <c r="BN7" s="33"/>
      <c r="BO7" s="33"/>
      <c r="BP7" s="33"/>
      <c r="BQ7" s="33"/>
      <c r="BR7" s="33" t="s">
        <v>51</v>
      </c>
    </row>
    <row r="8" spans="1:70" ht="15">
      <c r="A8" s="34" t="s">
        <v>52</v>
      </c>
    </row>
    <row r="9" spans="1:70" ht="15">
      <c r="A9" s="27" t="s">
        <v>53</v>
      </c>
      <c r="F9" s="35"/>
      <c r="G9" s="35"/>
      <c r="H9" s="35"/>
      <c r="I9" s="35"/>
      <c r="J9" s="35"/>
      <c r="K9" s="35"/>
      <c r="L9" s="35"/>
      <c r="M9" s="35"/>
      <c r="N9" s="35"/>
      <c r="O9" s="35"/>
      <c r="P9" s="35"/>
      <c r="Q9" s="35"/>
      <c r="R9" s="36">
        <f>SUM(F56:Q56)</f>
        <v>0</v>
      </c>
      <c r="S9" s="35"/>
      <c r="T9" s="35"/>
      <c r="U9" s="35"/>
      <c r="V9" s="35"/>
      <c r="W9" s="35"/>
      <c r="X9" s="35"/>
      <c r="Y9" s="35"/>
      <c r="Z9" s="35"/>
      <c r="AA9" s="35"/>
      <c r="AB9" s="35"/>
      <c r="AC9" s="35"/>
      <c r="AD9" s="35"/>
      <c r="AE9" s="36">
        <f>SUM(S56:AD56)</f>
        <v>0</v>
      </c>
      <c r="AF9" s="35"/>
      <c r="AG9" s="35"/>
      <c r="AH9" s="35"/>
      <c r="AI9" s="35"/>
      <c r="AJ9" s="35"/>
      <c r="AK9" s="35"/>
      <c r="AL9" s="35"/>
      <c r="AM9" s="35"/>
      <c r="AN9" s="35"/>
      <c r="AO9" s="35"/>
      <c r="AP9" s="35"/>
      <c r="AQ9" s="35"/>
      <c r="AR9" s="36">
        <f>SUM(AF56:AQ56)</f>
        <v>0</v>
      </c>
      <c r="AS9" s="35"/>
      <c r="AT9" s="35"/>
      <c r="AU9" s="35"/>
      <c r="AV9" s="35"/>
      <c r="AW9" s="35"/>
      <c r="AX9" s="35"/>
      <c r="AY9" s="35"/>
      <c r="AZ9" s="35"/>
      <c r="BA9" s="35"/>
      <c r="BB9" s="35"/>
      <c r="BC9" s="35"/>
      <c r="BD9" s="35"/>
      <c r="BE9" s="36">
        <f>SUM(AS56:BD56)</f>
        <v>0</v>
      </c>
      <c r="BF9" s="35"/>
      <c r="BG9" s="35"/>
      <c r="BH9" s="35"/>
      <c r="BI9" s="35"/>
      <c r="BJ9" s="35"/>
      <c r="BK9" s="35"/>
      <c r="BL9" s="35"/>
      <c r="BM9" s="35"/>
      <c r="BN9" s="35"/>
      <c r="BO9" s="35"/>
      <c r="BP9" s="35"/>
      <c r="BQ9" s="35"/>
      <c r="BR9" s="36">
        <f>SUM(BF56:BQ56)</f>
        <v>0</v>
      </c>
    </row>
    <row r="10" spans="1:70" ht="15">
      <c r="A10" s="37" t="s">
        <v>54</v>
      </c>
      <c r="F10" s="35"/>
      <c r="G10" s="35"/>
      <c r="H10" s="35"/>
      <c r="I10" s="35"/>
      <c r="J10" s="35"/>
      <c r="K10" s="35"/>
      <c r="L10" s="35"/>
      <c r="M10" s="35"/>
      <c r="N10" s="35"/>
      <c r="O10" s="35"/>
      <c r="P10" s="35"/>
      <c r="Q10" s="35"/>
      <c r="R10" s="36">
        <f t="shared" ref="R10:R17" si="0">SUM(F57:Q57)</f>
        <v>0</v>
      </c>
      <c r="S10" s="35"/>
      <c r="T10" s="35"/>
      <c r="U10" s="35"/>
      <c r="V10" s="35"/>
      <c r="W10" s="35"/>
      <c r="X10" s="35"/>
      <c r="Y10" s="35"/>
      <c r="Z10" s="35"/>
      <c r="AA10" s="35"/>
      <c r="AB10" s="35"/>
      <c r="AC10" s="35"/>
      <c r="AD10" s="35"/>
      <c r="AE10" s="36">
        <f t="shared" ref="AE10:AE17" si="1">SUM(S57:AD57)</f>
        <v>0</v>
      </c>
      <c r="AF10" s="35"/>
      <c r="AG10" s="35"/>
      <c r="AH10" s="35"/>
      <c r="AI10" s="35"/>
      <c r="AJ10" s="35"/>
      <c r="AK10" s="35"/>
      <c r="AL10" s="35"/>
      <c r="AM10" s="35"/>
      <c r="AN10" s="35"/>
      <c r="AO10" s="35"/>
      <c r="AP10" s="35"/>
      <c r="AQ10" s="35"/>
      <c r="AR10" s="36">
        <f t="shared" ref="AR10:AR17" si="2">SUM(AF57:AQ57)</f>
        <v>0</v>
      </c>
      <c r="AS10" s="35"/>
      <c r="AT10" s="35"/>
      <c r="AU10" s="35"/>
      <c r="AV10" s="35"/>
      <c r="AW10" s="35"/>
      <c r="AX10" s="35"/>
      <c r="AY10" s="35"/>
      <c r="AZ10" s="35"/>
      <c r="BA10" s="35"/>
      <c r="BB10" s="35"/>
      <c r="BC10" s="35"/>
      <c r="BD10" s="35"/>
      <c r="BE10" s="36">
        <f t="shared" ref="BE10:BE17" si="3">SUM(AS57:BD57)</f>
        <v>0</v>
      </c>
      <c r="BF10" s="35"/>
      <c r="BG10" s="35"/>
      <c r="BH10" s="35"/>
      <c r="BI10" s="35"/>
      <c r="BJ10" s="35"/>
      <c r="BK10" s="35"/>
      <c r="BL10" s="35"/>
      <c r="BM10" s="35"/>
      <c r="BN10" s="35"/>
      <c r="BO10" s="35"/>
      <c r="BP10" s="35"/>
      <c r="BQ10" s="35"/>
      <c r="BR10" s="36">
        <f t="shared" ref="BR10:BR17" si="4">SUM(BF57:BQ57)</f>
        <v>0</v>
      </c>
    </row>
    <row r="11" spans="1:70" ht="15">
      <c r="A11" s="37" t="s">
        <v>55</v>
      </c>
      <c r="F11" s="35"/>
      <c r="G11" s="35"/>
      <c r="H11" s="35"/>
      <c r="I11" s="35"/>
      <c r="J11" s="35"/>
      <c r="K11" s="35"/>
      <c r="L11" s="35"/>
      <c r="M11" s="35"/>
      <c r="N11" s="35"/>
      <c r="O11" s="35"/>
      <c r="P11" s="35"/>
      <c r="Q11" s="35"/>
      <c r="R11" s="36">
        <f t="shared" si="0"/>
        <v>0</v>
      </c>
      <c r="S11" s="35"/>
      <c r="T11" s="35"/>
      <c r="U11" s="35"/>
      <c r="V11" s="35"/>
      <c r="W11" s="35"/>
      <c r="X11" s="35"/>
      <c r="Y11" s="35"/>
      <c r="Z11" s="35"/>
      <c r="AA11" s="35"/>
      <c r="AB11" s="35"/>
      <c r="AC11" s="35"/>
      <c r="AD11" s="35"/>
      <c r="AE11" s="36">
        <f t="shared" si="1"/>
        <v>0</v>
      </c>
      <c r="AF11" s="35"/>
      <c r="AG11" s="35"/>
      <c r="AH11" s="35"/>
      <c r="AI11" s="35"/>
      <c r="AJ11" s="35"/>
      <c r="AK11" s="35"/>
      <c r="AL11" s="35"/>
      <c r="AM11" s="35"/>
      <c r="AN11" s="35"/>
      <c r="AO11" s="35"/>
      <c r="AP11" s="35"/>
      <c r="AQ11" s="35"/>
      <c r="AR11" s="36">
        <f t="shared" si="2"/>
        <v>0</v>
      </c>
      <c r="AS11" s="35"/>
      <c r="AT11" s="35"/>
      <c r="AU11" s="35"/>
      <c r="AV11" s="35"/>
      <c r="AW11" s="35"/>
      <c r="AX11" s="35"/>
      <c r="AY11" s="35"/>
      <c r="AZ11" s="35"/>
      <c r="BA11" s="35"/>
      <c r="BB11" s="35"/>
      <c r="BC11" s="35"/>
      <c r="BD11" s="35"/>
      <c r="BE11" s="36">
        <f t="shared" si="3"/>
        <v>0</v>
      </c>
      <c r="BF11" s="35"/>
      <c r="BG11" s="35"/>
      <c r="BH11" s="35"/>
      <c r="BI11" s="35"/>
      <c r="BJ11" s="35"/>
      <c r="BK11" s="35"/>
      <c r="BL11" s="35"/>
      <c r="BM11" s="35"/>
      <c r="BN11" s="35"/>
      <c r="BO11" s="35"/>
      <c r="BP11" s="35"/>
      <c r="BQ11" s="35"/>
      <c r="BR11" s="36">
        <f t="shared" si="4"/>
        <v>0</v>
      </c>
    </row>
    <row r="12" spans="1:70" ht="15">
      <c r="A12" s="37" t="s">
        <v>56</v>
      </c>
      <c r="F12" s="35"/>
      <c r="G12" s="35"/>
      <c r="H12" s="35"/>
      <c r="I12" s="35"/>
      <c r="J12" s="35"/>
      <c r="K12" s="35"/>
      <c r="L12" s="35"/>
      <c r="M12" s="35"/>
      <c r="N12" s="35"/>
      <c r="O12" s="35"/>
      <c r="P12" s="35"/>
      <c r="Q12" s="35"/>
      <c r="R12" s="36">
        <f t="shared" si="0"/>
        <v>0</v>
      </c>
      <c r="S12" s="35"/>
      <c r="T12" s="35"/>
      <c r="U12" s="35"/>
      <c r="V12" s="35"/>
      <c r="W12" s="35"/>
      <c r="X12" s="35"/>
      <c r="Y12" s="35"/>
      <c r="Z12" s="35"/>
      <c r="AA12" s="35"/>
      <c r="AB12" s="35"/>
      <c r="AC12" s="35"/>
      <c r="AD12" s="35"/>
      <c r="AE12" s="36">
        <f t="shared" si="1"/>
        <v>0</v>
      </c>
      <c r="AF12" s="35"/>
      <c r="AG12" s="35"/>
      <c r="AH12" s="35"/>
      <c r="AI12" s="35"/>
      <c r="AJ12" s="35"/>
      <c r="AK12" s="35"/>
      <c r="AL12" s="35"/>
      <c r="AM12" s="35"/>
      <c r="AN12" s="35"/>
      <c r="AO12" s="35"/>
      <c r="AP12" s="35"/>
      <c r="AQ12" s="35"/>
      <c r="AR12" s="36">
        <f t="shared" si="2"/>
        <v>0</v>
      </c>
      <c r="AS12" s="35"/>
      <c r="AT12" s="35"/>
      <c r="AU12" s="35"/>
      <c r="AV12" s="35"/>
      <c r="AW12" s="35"/>
      <c r="AX12" s="35"/>
      <c r="AY12" s="35"/>
      <c r="AZ12" s="35"/>
      <c r="BA12" s="35"/>
      <c r="BB12" s="35"/>
      <c r="BC12" s="35"/>
      <c r="BD12" s="35"/>
      <c r="BE12" s="36">
        <f t="shared" si="3"/>
        <v>0</v>
      </c>
      <c r="BF12" s="35"/>
      <c r="BG12" s="35"/>
      <c r="BH12" s="35"/>
      <c r="BI12" s="35"/>
      <c r="BJ12" s="35"/>
      <c r="BK12" s="35"/>
      <c r="BL12" s="35"/>
      <c r="BM12" s="35"/>
      <c r="BN12" s="35"/>
      <c r="BO12" s="35"/>
      <c r="BP12" s="35"/>
      <c r="BQ12" s="35"/>
      <c r="BR12" s="36">
        <f t="shared" si="4"/>
        <v>0</v>
      </c>
    </row>
    <row r="13" spans="1:70" ht="15">
      <c r="A13" s="27" t="s">
        <v>57</v>
      </c>
      <c r="F13" s="35"/>
      <c r="G13" s="35"/>
      <c r="H13" s="35"/>
      <c r="I13" s="35"/>
      <c r="J13" s="35"/>
      <c r="K13" s="35"/>
      <c r="L13" s="35"/>
      <c r="M13" s="35"/>
      <c r="N13" s="35"/>
      <c r="O13" s="35"/>
      <c r="P13" s="35"/>
      <c r="Q13" s="35"/>
      <c r="R13" s="36">
        <f t="shared" si="0"/>
        <v>0</v>
      </c>
      <c r="S13" s="35"/>
      <c r="T13" s="35"/>
      <c r="U13" s="35"/>
      <c r="V13" s="35"/>
      <c r="W13" s="35"/>
      <c r="X13" s="35"/>
      <c r="Y13" s="35"/>
      <c r="Z13" s="35"/>
      <c r="AA13" s="35"/>
      <c r="AB13" s="35"/>
      <c r="AC13" s="35"/>
      <c r="AD13" s="35"/>
      <c r="AE13" s="36">
        <f t="shared" si="1"/>
        <v>0</v>
      </c>
      <c r="AF13" s="35"/>
      <c r="AG13" s="35"/>
      <c r="AH13" s="35"/>
      <c r="AI13" s="35"/>
      <c r="AJ13" s="35"/>
      <c r="AK13" s="35"/>
      <c r="AL13" s="35"/>
      <c r="AM13" s="35"/>
      <c r="AN13" s="35"/>
      <c r="AO13" s="35"/>
      <c r="AP13" s="35"/>
      <c r="AQ13" s="35"/>
      <c r="AR13" s="36">
        <f t="shared" si="2"/>
        <v>0</v>
      </c>
      <c r="AS13" s="35"/>
      <c r="AT13" s="35"/>
      <c r="AU13" s="35"/>
      <c r="AV13" s="35"/>
      <c r="AW13" s="35"/>
      <c r="AX13" s="35"/>
      <c r="AY13" s="35"/>
      <c r="AZ13" s="35"/>
      <c r="BA13" s="35"/>
      <c r="BB13" s="35"/>
      <c r="BC13" s="35"/>
      <c r="BD13" s="35"/>
      <c r="BE13" s="36">
        <f t="shared" si="3"/>
        <v>0</v>
      </c>
      <c r="BF13" s="35"/>
      <c r="BG13" s="35"/>
      <c r="BH13" s="35"/>
      <c r="BI13" s="35"/>
      <c r="BJ13" s="35"/>
      <c r="BK13" s="35"/>
      <c r="BL13" s="35"/>
      <c r="BM13" s="35"/>
      <c r="BN13" s="35"/>
      <c r="BO13" s="35"/>
      <c r="BP13" s="35"/>
      <c r="BQ13" s="35"/>
      <c r="BR13" s="36">
        <f t="shared" si="4"/>
        <v>0</v>
      </c>
    </row>
    <row r="14" spans="1:70" ht="15">
      <c r="A14" s="37" t="s">
        <v>54</v>
      </c>
      <c r="F14" s="35"/>
      <c r="G14" s="35"/>
      <c r="H14" s="35"/>
      <c r="I14" s="35"/>
      <c r="J14" s="35"/>
      <c r="K14" s="35"/>
      <c r="L14" s="35"/>
      <c r="M14" s="35"/>
      <c r="N14" s="35"/>
      <c r="O14" s="35"/>
      <c r="P14" s="35"/>
      <c r="Q14" s="35"/>
      <c r="R14" s="36">
        <f t="shared" si="0"/>
        <v>0</v>
      </c>
      <c r="S14" s="35"/>
      <c r="T14" s="35"/>
      <c r="U14" s="35"/>
      <c r="V14" s="35"/>
      <c r="W14" s="35"/>
      <c r="X14" s="35"/>
      <c r="Y14" s="35"/>
      <c r="Z14" s="35"/>
      <c r="AA14" s="35"/>
      <c r="AB14" s="35"/>
      <c r="AC14" s="35"/>
      <c r="AD14" s="35"/>
      <c r="AE14" s="36">
        <f t="shared" si="1"/>
        <v>0</v>
      </c>
      <c r="AF14" s="35"/>
      <c r="AG14" s="35"/>
      <c r="AH14" s="35"/>
      <c r="AI14" s="35"/>
      <c r="AJ14" s="35"/>
      <c r="AK14" s="35"/>
      <c r="AL14" s="35"/>
      <c r="AM14" s="35"/>
      <c r="AN14" s="35"/>
      <c r="AO14" s="35"/>
      <c r="AP14" s="35"/>
      <c r="AQ14" s="35"/>
      <c r="AR14" s="36">
        <f t="shared" si="2"/>
        <v>0</v>
      </c>
      <c r="AS14" s="35"/>
      <c r="AT14" s="35"/>
      <c r="AU14" s="35"/>
      <c r="AV14" s="35"/>
      <c r="AW14" s="35"/>
      <c r="AX14" s="35"/>
      <c r="AY14" s="35"/>
      <c r="AZ14" s="35"/>
      <c r="BA14" s="35"/>
      <c r="BB14" s="35"/>
      <c r="BC14" s="35"/>
      <c r="BD14" s="35"/>
      <c r="BE14" s="36">
        <f t="shared" si="3"/>
        <v>0</v>
      </c>
      <c r="BF14" s="35"/>
      <c r="BG14" s="35"/>
      <c r="BH14" s="35"/>
      <c r="BI14" s="35"/>
      <c r="BJ14" s="35"/>
      <c r="BK14" s="35"/>
      <c r="BL14" s="35"/>
      <c r="BM14" s="35"/>
      <c r="BN14" s="35"/>
      <c r="BO14" s="35"/>
      <c r="BP14" s="35"/>
      <c r="BQ14" s="35"/>
      <c r="BR14" s="36">
        <f t="shared" si="4"/>
        <v>0</v>
      </c>
    </row>
    <row r="15" spans="1:70" ht="15">
      <c r="A15" s="37" t="s">
        <v>55</v>
      </c>
      <c r="F15" s="35"/>
      <c r="G15" s="35"/>
      <c r="H15" s="35"/>
      <c r="I15" s="35"/>
      <c r="J15" s="35"/>
      <c r="K15" s="35"/>
      <c r="L15" s="35"/>
      <c r="M15" s="35"/>
      <c r="N15" s="35"/>
      <c r="O15" s="35"/>
      <c r="P15" s="35"/>
      <c r="Q15" s="35"/>
      <c r="R15" s="36">
        <f t="shared" si="0"/>
        <v>0</v>
      </c>
      <c r="S15" s="35"/>
      <c r="T15" s="35"/>
      <c r="U15" s="35"/>
      <c r="V15" s="35"/>
      <c r="W15" s="35"/>
      <c r="X15" s="35"/>
      <c r="Y15" s="35"/>
      <c r="Z15" s="35"/>
      <c r="AA15" s="35"/>
      <c r="AB15" s="35"/>
      <c r="AC15" s="35"/>
      <c r="AD15" s="35"/>
      <c r="AE15" s="36">
        <f t="shared" si="1"/>
        <v>0</v>
      </c>
      <c r="AF15" s="35"/>
      <c r="AG15" s="35"/>
      <c r="AH15" s="35"/>
      <c r="AI15" s="35"/>
      <c r="AJ15" s="35"/>
      <c r="AK15" s="35"/>
      <c r="AL15" s="35"/>
      <c r="AM15" s="35"/>
      <c r="AN15" s="35"/>
      <c r="AO15" s="35"/>
      <c r="AP15" s="35"/>
      <c r="AQ15" s="35"/>
      <c r="AR15" s="36">
        <f t="shared" si="2"/>
        <v>0</v>
      </c>
      <c r="AS15" s="35"/>
      <c r="AT15" s="35"/>
      <c r="AU15" s="35"/>
      <c r="AV15" s="35"/>
      <c r="AW15" s="35"/>
      <c r="AX15" s="35"/>
      <c r="AY15" s="35"/>
      <c r="AZ15" s="35"/>
      <c r="BA15" s="35"/>
      <c r="BB15" s="35"/>
      <c r="BC15" s="35"/>
      <c r="BD15" s="35"/>
      <c r="BE15" s="36">
        <f t="shared" si="3"/>
        <v>0</v>
      </c>
      <c r="BF15" s="35"/>
      <c r="BG15" s="35"/>
      <c r="BH15" s="35"/>
      <c r="BI15" s="35"/>
      <c r="BJ15" s="35"/>
      <c r="BK15" s="35"/>
      <c r="BL15" s="35"/>
      <c r="BM15" s="35"/>
      <c r="BN15" s="35"/>
      <c r="BO15" s="35"/>
      <c r="BP15" s="35"/>
      <c r="BQ15" s="35"/>
      <c r="BR15" s="36">
        <f t="shared" si="4"/>
        <v>0</v>
      </c>
    </row>
    <row r="16" spans="1:70" ht="15">
      <c r="A16" s="37" t="s">
        <v>56</v>
      </c>
      <c r="F16" s="35"/>
      <c r="G16" s="35"/>
      <c r="H16" s="35"/>
      <c r="I16" s="35"/>
      <c r="J16" s="35"/>
      <c r="K16" s="35"/>
      <c r="L16" s="35"/>
      <c r="M16" s="35"/>
      <c r="N16" s="35"/>
      <c r="O16" s="35"/>
      <c r="P16" s="35"/>
      <c r="Q16" s="35"/>
      <c r="R16" s="36">
        <f t="shared" si="0"/>
        <v>0</v>
      </c>
      <c r="S16" s="35"/>
      <c r="T16" s="35"/>
      <c r="U16" s="35"/>
      <c r="V16" s="35"/>
      <c r="W16" s="35"/>
      <c r="X16" s="35"/>
      <c r="Y16" s="35"/>
      <c r="Z16" s="35"/>
      <c r="AA16" s="35"/>
      <c r="AB16" s="35"/>
      <c r="AC16" s="35"/>
      <c r="AD16" s="35"/>
      <c r="AE16" s="36">
        <f t="shared" si="1"/>
        <v>0</v>
      </c>
      <c r="AF16" s="35"/>
      <c r="AG16" s="35"/>
      <c r="AH16" s="35"/>
      <c r="AI16" s="35"/>
      <c r="AJ16" s="35"/>
      <c r="AK16" s="35"/>
      <c r="AL16" s="35"/>
      <c r="AM16" s="35"/>
      <c r="AN16" s="35"/>
      <c r="AO16" s="35"/>
      <c r="AP16" s="35"/>
      <c r="AQ16" s="35"/>
      <c r="AR16" s="36">
        <f t="shared" si="2"/>
        <v>0</v>
      </c>
      <c r="AS16" s="35"/>
      <c r="AT16" s="35"/>
      <c r="AU16" s="35"/>
      <c r="AV16" s="35"/>
      <c r="AW16" s="35"/>
      <c r="AX16" s="35"/>
      <c r="AY16" s="35"/>
      <c r="AZ16" s="35"/>
      <c r="BA16" s="35"/>
      <c r="BB16" s="35"/>
      <c r="BC16" s="35"/>
      <c r="BD16" s="35"/>
      <c r="BE16" s="36">
        <f t="shared" si="3"/>
        <v>0</v>
      </c>
      <c r="BF16" s="35"/>
      <c r="BG16" s="35"/>
      <c r="BH16" s="35"/>
      <c r="BI16" s="35"/>
      <c r="BJ16" s="35"/>
      <c r="BK16" s="35"/>
      <c r="BL16" s="35"/>
      <c r="BM16" s="35"/>
      <c r="BN16" s="35"/>
      <c r="BO16" s="35"/>
      <c r="BP16" s="35"/>
      <c r="BQ16" s="35"/>
      <c r="BR16" s="36">
        <f t="shared" si="4"/>
        <v>0</v>
      </c>
    </row>
    <row r="17" spans="1:70" ht="15">
      <c r="A17" s="38" t="s">
        <v>58</v>
      </c>
      <c r="B17" s="39"/>
      <c r="C17" s="39"/>
      <c r="D17" s="39"/>
      <c r="E17" s="39"/>
      <c r="F17" s="40"/>
      <c r="G17" s="40"/>
      <c r="H17" s="40"/>
      <c r="I17" s="40"/>
      <c r="J17" s="40"/>
      <c r="K17" s="40"/>
      <c r="L17" s="40"/>
      <c r="M17" s="40"/>
      <c r="N17" s="40"/>
      <c r="O17" s="40"/>
      <c r="P17" s="40"/>
      <c r="Q17" s="40"/>
      <c r="R17" s="41">
        <f t="shared" si="0"/>
        <v>0</v>
      </c>
      <c r="S17" s="40"/>
      <c r="T17" s="40"/>
      <c r="U17" s="40"/>
      <c r="V17" s="40"/>
      <c r="W17" s="40"/>
      <c r="X17" s="40"/>
      <c r="Y17" s="40"/>
      <c r="Z17" s="40"/>
      <c r="AA17" s="40"/>
      <c r="AB17" s="40"/>
      <c r="AC17" s="40"/>
      <c r="AD17" s="40"/>
      <c r="AE17" s="41">
        <f t="shared" si="1"/>
        <v>0</v>
      </c>
      <c r="AF17" s="40"/>
      <c r="AG17" s="40"/>
      <c r="AH17" s="40"/>
      <c r="AI17" s="40"/>
      <c r="AJ17" s="40"/>
      <c r="AK17" s="40"/>
      <c r="AL17" s="40"/>
      <c r="AM17" s="40"/>
      <c r="AN17" s="40"/>
      <c r="AO17" s="40"/>
      <c r="AP17" s="40"/>
      <c r="AQ17" s="40"/>
      <c r="AR17" s="41">
        <f t="shared" si="2"/>
        <v>0</v>
      </c>
      <c r="AS17" s="40"/>
      <c r="AT17" s="40"/>
      <c r="AU17" s="40"/>
      <c r="AV17" s="40"/>
      <c r="AW17" s="40"/>
      <c r="AX17" s="40"/>
      <c r="AY17" s="40"/>
      <c r="AZ17" s="40"/>
      <c r="BA17" s="40"/>
      <c r="BB17" s="40"/>
      <c r="BC17" s="40"/>
      <c r="BD17" s="40"/>
      <c r="BE17" s="41">
        <f t="shared" si="3"/>
        <v>0</v>
      </c>
      <c r="BF17" s="40"/>
      <c r="BG17" s="40"/>
      <c r="BH17" s="40"/>
      <c r="BI17" s="40"/>
      <c r="BJ17" s="40"/>
      <c r="BK17" s="40"/>
      <c r="BL17" s="40"/>
      <c r="BM17" s="40"/>
      <c r="BN17" s="40"/>
      <c r="BO17" s="40"/>
      <c r="BP17" s="40"/>
      <c r="BQ17" s="40"/>
      <c r="BR17" s="41">
        <f t="shared" si="4"/>
        <v>0</v>
      </c>
    </row>
    <row r="18" spans="1:70" ht="15">
      <c r="A18" s="34" t="s">
        <v>59</v>
      </c>
      <c r="F18" s="35"/>
      <c r="G18" s="35"/>
      <c r="H18" s="35"/>
      <c r="I18" s="35"/>
      <c r="J18" s="35"/>
      <c r="K18" s="35"/>
      <c r="L18" s="35"/>
      <c r="M18" s="35"/>
      <c r="N18" s="35"/>
      <c r="O18" s="35"/>
      <c r="P18" s="35"/>
      <c r="Q18" s="35"/>
      <c r="R18" s="36">
        <f>SUM(R9:R17)</f>
        <v>0</v>
      </c>
      <c r="S18" s="35"/>
      <c r="T18" s="35"/>
      <c r="U18" s="35"/>
      <c r="V18" s="35"/>
      <c r="W18" s="35"/>
      <c r="X18" s="35"/>
      <c r="Y18" s="35"/>
      <c r="Z18" s="35"/>
      <c r="AA18" s="35"/>
      <c r="AB18" s="35"/>
      <c r="AC18" s="35"/>
      <c r="AD18" s="35"/>
      <c r="AE18" s="36">
        <f>SUM(AE9:AE17)</f>
        <v>0</v>
      </c>
      <c r="AF18" s="35"/>
      <c r="AG18" s="35"/>
      <c r="AH18" s="35"/>
      <c r="AI18" s="35"/>
      <c r="AJ18" s="35"/>
      <c r="AK18" s="35"/>
      <c r="AL18" s="35"/>
      <c r="AM18" s="35"/>
      <c r="AN18" s="35"/>
      <c r="AO18" s="35"/>
      <c r="AP18" s="35"/>
      <c r="AQ18" s="35"/>
      <c r="AR18" s="36">
        <f>SUM(AR9:AR17)</f>
        <v>0</v>
      </c>
      <c r="AS18" s="35"/>
      <c r="AT18" s="35"/>
      <c r="AU18" s="35"/>
      <c r="AV18" s="35"/>
      <c r="AW18" s="35"/>
      <c r="AX18" s="35"/>
      <c r="AY18" s="35"/>
      <c r="AZ18" s="35"/>
      <c r="BA18" s="35"/>
      <c r="BB18" s="35"/>
      <c r="BC18" s="35"/>
      <c r="BD18" s="35"/>
      <c r="BE18" s="36">
        <f>SUM(BE9:BE17)</f>
        <v>0</v>
      </c>
      <c r="BF18" s="35"/>
      <c r="BG18" s="35"/>
      <c r="BH18" s="35"/>
      <c r="BI18" s="35"/>
      <c r="BJ18" s="35"/>
      <c r="BK18" s="35"/>
      <c r="BL18" s="35"/>
      <c r="BM18" s="35"/>
      <c r="BN18" s="35"/>
      <c r="BO18" s="35"/>
      <c r="BP18" s="35"/>
      <c r="BQ18" s="35"/>
      <c r="BR18" s="36">
        <f>SUM(BR9:BR17)</f>
        <v>0</v>
      </c>
    </row>
    <row r="19" spans="1:70" ht="14.25">
      <c r="A19" s="31"/>
      <c r="F19" s="42"/>
      <c r="G19" s="42"/>
      <c r="H19" s="42"/>
      <c r="I19" s="42"/>
      <c r="J19" s="42"/>
      <c r="K19" s="42"/>
      <c r="L19" s="42"/>
      <c r="M19" s="42"/>
      <c r="N19" s="42"/>
      <c r="O19" s="42"/>
      <c r="P19" s="42"/>
      <c r="Q19" s="42"/>
      <c r="R19" s="43"/>
      <c r="S19" s="42"/>
      <c r="T19" s="42"/>
      <c r="U19" s="42"/>
      <c r="V19" s="42"/>
      <c r="W19" s="42"/>
      <c r="X19" s="42"/>
      <c r="Y19" s="42"/>
      <c r="Z19" s="42"/>
      <c r="AA19" s="42"/>
      <c r="AB19" s="42"/>
      <c r="AC19" s="42"/>
      <c r="AD19" s="42"/>
      <c r="AE19" s="43"/>
      <c r="AF19" s="42"/>
      <c r="AG19" s="42"/>
      <c r="AH19" s="42"/>
      <c r="AI19" s="42"/>
      <c r="AJ19" s="42"/>
      <c r="AK19" s="42"/>
      <c r="AL19" s="42"/>
      <c r="AM19" s="42"/>
      <c r="AN19" s="42"/>
      <c r="AO19" s="42"/>
      <c r="AP19" s="42"/>
      <c r="AQ19" s="42"/>
      <c r="AR19" s="43"/>
      <c r="AS19" s="42"/>
      <c r="AT19" s="42"/>
      <c r="AU19" s="42"/>
      <c r="AV19" s="42"/>
      <c r="AW19" s="42"/>
      <c r="AX19" s="42"/>
      <c r="AY19" s="42"/>
      <c r="AZ19" s="42"/>
      <c r="BA19" s="42"/>
      <c r="BB19" s="42"/>
      <c r="BC19" s="42"/>
      <c r="BD19" s="42"/>
      <c r="BE19" s="43"/>
      <c r="BF19" s="42"/>
      <c r="BG19" s="42"/>
      <c r="BH19" s="42"/>
      <c r="BI19" s="42"/>
      <c r="BJ19" s="42"/>
      <c r="BK19" s="42"/>
      <c r="BL19" s="42"/>
      <c r="BM19" s="42"/>
      <c r="BN19" s="42"/>
      <c r="BO19" s="42"/>
      <c r="BP19" s="42"/>
      <c r="BQ19" s="42"/>
      <c r="BR19" s="43"/>
    </row>
    <row r="20" spans="1:70" ht="15">
      <c r="A20" s="34" t="s">
        <v>60</v>
      </c>
      <c r="F20" s="42"/>
      <c r="G20" s="42"/>
      <c r="H20" s="42"/>
      <c r="I20" s="42"/>
      <c r="J20" s="42"/>
      <c r="K20" s="42"/>
      <c r="L20" s="42"/>
      <c r="M20" s="42"/>
      <c r="N20" s="42"/>
      <c r="O20" s="42"/>
      <c r="P20" s="42"/>
      <c r="Q20" s="42"/>
      <c r="R20" s="43"/>
      <c r="S20" s="42"/>
      <c r="T20" s="42"/>
      <c r="U20" s="42"/>
      <c r="V20" s="42"/>
      <c r="W20" s="42"/>
      <c r="X20" s="42"/>
      <c r="Y20" s="42"/>
      <c r="Z20" s="42"/>
      <c r="AA20" s="42"/>
      <c r="AB20" s="42"/>
      <c r="AC20" s="42"/>
      <c r="AD20" s="42"/>
      <c r="AE20" s="43"/>
      <c r="AF20" s="42"/>
      <c r="AG20" s="42"/>
      <c r="AH20" s="42"/>
      <c r="AI20" s="42"/>
      <c r="AJ20" s="42"/>
      <c r="AK20" s="42"/>
      <c r="AL20" s="42"/>
      <c r="AM20" s="42"/>
      <c r="AN20" s="42"/>
      <c r="AO20" s="42"/>
      <c r="AP20" s="42"/>
      <c r="AQ20" s="42"/>
      <c r="AR20" s="43"/>
      <c r="AS20" s="42"/>
      <c r="AT20" s="42"/>
      <c r="AU20" s="42"/>
      <c r="AV20" s="42"/>
      <c r="AW20" s="42"/>
      <c r="AX20" s="42"/>
      <c r="AY20" s="42"/>
      <c r="AZ20" s="42"/>
      <c r="BA20" s="42"/>
      <c r="BB20" s="42"/>
      <c r="BC20" s="42"/>
      <c r="BD20" s="42"/>
      <c r="BE20" s="43"/>
      <c r="BF20" s="42"/>
      <c r="BG20" s="42"/>
      <c r="BH20" s="42"/>
      <c r="BI20" s="42"/>
      <c r="BJ20" s="42"/>
      <c r="BK20" s="42"/>
      <c r="BL20" s="42"/>
      <c r="BM20" s="42"/>
      <c r="BN20" s="42"/>
      <c r="BO20" s="42"/>
      <c r="BP20" s="42"/>
      <c r="BQ20" s="42"/>
      <c r="BR20" s="43"/>
    </row>
    <row r="21" spans="1:70" ht="15">
      <c r="A21" s="27" t="s">
        <v>61</v>
      </c>
      <c r="F21" s="35"/>
      <c r="G21" s="35"/>
      <c r="H21" s="35"/>
      <c r="I21" s="35"/>
      <c r="J21" s="35"/>
      <c r="K21" s="35"/>
      <c r="L21" s="35"/>
      <c r="M21" s="35"/>
      <c r="N21" s="35"/>
      <c r="O21" s="35"/>
      <c r="P21" s="35"/>
      <c r="Q21" s="35"/>
      <c r="R21" s="36">
        <f t="shared" ref="R21:R31" si="5">SUM(F68:Q68)</f>
        <v>0</v>
      </c>
      <c r="S21" s="35"/>
      <c r="T21" s="35"/>
      <c r="U21" s="35"/>
      <c r="V21" s="35"/>
      <c r="W21" s="35"/>
      <c r="X21" s="35"/>
      <c r="Y21" s="35"/>
      <c r="Z21" s="35"/>
      <c r="AA21" s="35"/>
      <c r="AB21" s="35"/>
      <c r="AC21" s="35"/>
      <c r="AD21" s="35"/>
      <c r="AE21" s="36">
        <f t="shared" ref="AE21:AE31" si="6">SUM(S68:AD68)</f>
        <v>0</v>
      </c>
      <c r="AF21" s="35"/>
      <c r="AG21" s="35"/>
      <c r="AH21" s="35"/>
      <c r="AI21" s="35"/>
      <c r="AJ21" s="35"/>
      <c r="AK21" s="35"/>
      <c r="AL21" s="35"/>
      <c r="AM21" s="35"/>
      <c r="AN21" s="35"/>
      <c r="AO21" s="35"/>
      <c r="AP21" s="35"/>
      <c r="AQ21" s="35"/>
      <c r="AR21" s="36">
        <f t="shared" ref="AR21:AR31" si="7">SUM(AF68:AQ68)</f>
        <v>0</v>
      </c>
      <c r="AS21" s="35"/>
      <c r="AT21" s="35"/>
      <c r="AU21" s="35"/>
      <c r="AV21" s="35"/>
      <c r="AW21" s="35"/>
      <c r="AX21" s="35"/>
      <c r="AY21" s="35"/>
      <c r="AZ21" s="35"/>
      <c r="BA21" s="35"/>
      <c r="BB21" s="35"/>
      <c r="BC21" s="35"/>
      <c r="BD21" s="35"/>
      <c r="BE21" s="36">
        <f t="shared" ref="BE21:BE31" si="8">SUM(AS68:BD68)</f>
        <v>0</v>
      </c>
      <c r="BF21" s="35"/>
      <c r="BG21" s="35"/>
      <c r="BH21" s="35"/>
      <c r="BI21" s="35"/>
      <c r="BJ21" s="35"/>
      <c r="BK21" s="35"/>
      <c r="BL21" s="35"/>
      <c r="BM21" s="35"/>
      <c r="BN21" s="35"/>
      <c r="BO21" s="35"/>
      <c r="BP21" s="35"/>
      <c r="BQ21" s="35"/>
      <c r="BR21" s="36">
        <f t="shared" ref="BR21:BR31" si="9">SUM(BF68:BQ68)</f>
        <v>0</v>
      </c>
    </row>
    <row r="22" spans="1:70" ht="15">
      <c r="A22" s="27" t="s">
        <v>62</v>
      </c>
      <c r="F22" s="35"/>
      <c r="G22" s="35"/>
      <c r="H22" s="35"/>
      <c r="I22" s="35"/>
      <c r="J22" s="35"/>
      <c r="K22" s="35"/>
      <c r="L22" s="35"/>
      <c r="M22" s="35"/>
      <c r="N22" s="35"/>
      <c r="O22" s="35"/>
      <c r="P22" s="35"/>
      <c r="Q22" s="35"/>
      <c r="R22" s="36">
        <f t="shared" si="5"/>
        <v>0</v>
      </c>
      <c r="S22" s="35"/>
      <c r="T22" s="35"/>
      <c r="U22" s="35"/>
      <c r="V22" s="35"/>
      <c r="W22" s="35"/>
      <c r="X22" s="35"/>
      <c r="Y22" s="35"/>
      <c r="Z22" s="35"/>
      <c r="AA22" s="35"/>
      <c r="AB22" s="35"/>
      <c r="AC22" s="35"/>
      <c r="AD22" s="35"/>
      <c r="AE22" s="36">
        <f t="shared" si="6"/>
        <v>0</v>
      </c>
      <c r="AF22" s="35"/>
      <c r="AG22" s="35"/>
      <c r="AH22" s="35"/>
      <c r="AI22" s="35"/>
      <c r="AJ22" s="35"/>
      <c r="AK22" s="35"/>
      <c r="AL22" s="35"/>
      <c r="AM22" s="35"/>
      <c r="AN22" s="35"/>
      <c r="AO22" s="35"/>
      <c r="AP22" s="35"/>
      <c r="AQ22" s="35"/>
      <c r="AR22" s="36">
        <f t="shared" si="7"/>
        <v>0</v>
      </c>
      <c r="AS22" s="35"/>
      <c r="AT22" s="35"/>
      <c r="AU22" s="35"/>
      <c r="AV22" s="35"/>
      <c r="AW22" s="35"/>
      <c r="AX22" s="35"/>
      <c r="AY22" s="35"/>
      <c r="AZ22" s="35"/>
      <c r="BA22" s="35"/>
      <c r="BB22" s="35"/>
      <c r="BC22" s="35"/>
      <c r="BD22" s="35"/>
      <c r="BE22" s="36">
        <f t="shared" si="8"/>
        <v>0</v>
      </c>
      <c r="BF22" s="35"/>
      <c r="BG22" s="35"/>
      <c r="BH22" s="35"/>
      <c r="BI22" s="35"/>
      <c r="BJ22" s="35"/>
      <c r="BK22" s="35"/>
      <c r="BL22" s="35"/>
      <c r="BM22" s="35"/>
      <c r="BN22" s="35"/>
      <c r="BO22" s="35"/>
      <c r="BP22" s="35"/>
      <c r="BQ22" s="35"/>
      <c r="BR22" s="36">
        <f t="shared" si="9"/>
        <v>0</v>
      </c>
    </row>
    <row r="23" spans="1:70" ht="15">
      <c r="A23" s="27" t="s">
        <v>63</v>
      </c>
      <c r="F23" s="35"/>
      <c r="G23" s="35"/>
      <c r="H23" s="35"/>
      <c r="I23" s="35"/>
      <c r="J23" s="35"/>
      <c r="K23" s="35"/>
      <c r="L23" s="35"/>
      <c r="M23" s="35"/>
      <c r="N23" s="35"/>
      <c r="O23" s="35"/>
      <c r="P23" s="35"/>
      <c r="Q23" s="35"/>
      <c r="R23" s="36">
        <f t="shared" si="5"/>
        <v>0</v>
      </c>
      <c r="S23" s="35"/>
      <c r="T23" s="35"/>
      <c r="U23" s="35"/>
      <c r="V23" s="35"/>
      <c r="W23" s="35"/>
      <c r="X23" s="35"/>
      <c r="Y23" s="35"/>
      <c r="Z23" s="35"/>
      <c r="AA23" s="35"/>
      <c r="AB23" s="35"/>
      <c r="AC23" s="35"/>
      <c r="AD23" s="35"/>
      <c r="AE23" s="36">
        <f t="shared" si="6"/>
        <v>0</v>
      </c>
      <c r="AF23" s="35"/>
      <c r="AG23" s="35"/>
      <c r="AH23" s="35"/>
      <c r="AI23" s="35"/>
      <c r="AJ23" s="35"/>
      <c r="AK23" s="35"/>
      <c r="AL23" s="35"/>
      <c r="AM23" s="35"/>
      <c r="AN23" s="35"/>
      <c r="AO23" s="35"/>
      <c r="AP23" s="35"/>
      <c r="AQ23" s="35"/>
      <c r="AR23" s="36">
        <f t="shared" si="7"/>
        <v>0</v>
      </c>
      <c r="AS23" s="35"/>
      <c r="AT23" s="35"/>
      <c r="AU23" s="35"/>
      <c r="AV23" s="35"/>
      <c r="AW23" s="35"/>
      <c r="AX23" s="35"/>
      <c r="AY23" s="35"/>
      <c r="AZ23" s="35"/>
      <c r="BA23" s="35"/>
      <c r="BB23" s="35"/>
      <c r="BC23" s="35"/>
      <c r="BD23" s="35"/>
      <c r="BE23" s="36">
        <f t="shared" si="8"/>
        <v>0</v>
      </c>
      <c r="BF23" s="35"/>
      <c r="BG23" s="35"/>
      <c r="BH23" s="35"/>
      <c r="BI23" s="35"/>
      <c r="BJ23" s="35"/>
      <c r="BK23" s="35"/>
      <c r="BL23" s="35"/>
      <c r="BM23" s="35"/>
      <c r="BN23" s="35"/>
      <c r="BO23" s="35"/>
      <c r="BP23" s="35"/>
      <c r="BQ23" s="35"/>
      <c r="BR23" s="36">
        <f t="shared" si="9"/>
        <v>0</v>
      </c>
    </row>
    <row r="24" spans="1:70" ht="15">
      <c r="A24" s="27" t="s">
        <v>322</v>
      </c>
      <c r="F24" s="35"/>
      <c r="G24" s="35"/>
      <c r="H24" s="35"/>
      <c r="I24" s="35"/>
      <c r="J24" s="35"/>
      <c r="K24" s="35"/>
      <c r="L24" s="35"/>
      <c r="M24" s="35"/>
      <c r="N24" s="35"/>
      <c r="O24" s="35"/>
      <c r="P24" s="35"/>
      <c r="Q24" s="35"/>
      <c r="R24" s="36">
        <f t="shared" si="5"/>
        <v>0</v>
      </c>
      <c r="S24" s="35"/>
      <c r="T24" s="35"/>
      <c r="U24" s="35"/>
      <c r="V24" s="35"/>
      <c r="W24" s="35"/>
      <c r="X24" s="35"/>
      <c r="Y24" s="35"/>
      <c r="Z24" s="35"/>
      <c r="AA24" s="35"/>
      <c r="AB24" s="35"/>
      <c r="AC24" s="35"/>
      <c r="AD24" s="35"/>
      <c r="AE24" s="36">
        <f t="shared" si="6"/>
        <v>0</v>
      </c>
      <c r="AF24" s="35"/>
      <c r="AG24" s="35"/>
      <c r="AH24" s="35"/>
      <c r="AI24" s="35"/>
      <c r="AJ24" s="35"/>
      <c r="AK24" s="35"/>
      <c r="AL24" s="35"/>
      <c r="AM24" s="35"/>
      <c r="AN24" s="35"/>
      <c r="AO24" s="35"/>
      <c r="AP24" s="35"/>
      <c r="AQ24" s="35"/>
      <c r="AR24" s="36">
        <f t="shared" si="7"/>
        <v>0</v>
      </c>
      <c r="AS24" s="35"/>
      <c r="AT24" s="35"/>
      <c r="AU24" s="35"/>
      <c r="AV24" s="35"/>
      <c r="AW24" s="35"/>
      <c r="AX24" s="35"/>
      <c r="AY24" s="35"/>
      <c r="AZ24" s="35"/>
      <c r="BA24" s="35"/>
      <c r="BB24" s="35"/>
      <c r="BC24" s="35"/>
      <c r="BD24" s="35"/>
      <c r="BE24" s="36">
        <f t="shared" si="8"/>
        <v>0</v>
      </c>
      <c r="BF24" s="35"/>
      <c r="BG24" s="35"/>
      <c r="BH24" s="35"/>
      <c r="BI24" s="35"/>
      <c r="BJ24" s="35"/>
      <c r="BK24" s="35"/>
      <c r="BL24" s="35"/>
      <c r="BM24" s="35"/>
      <c r="BN24" s="35"/>
      <c r="BO24" s="35"/>
      <c r="BP24" s="35"/>
      <c r="BQ24" s="35"/>
      <c r="BR24" s="36">
        <f t="shared" si="9"/>
        <v>0</v>
      </c>
    </row>
    <row r="25" spans="1:70" ht="15">
      <c r="A25" s="27" t="s">
        <v>323</v>
      </c>
      <c r="F25" s="35"/>
      <c r="G25" s="35"/>
      <c r="H25" s="35"/>
      <c r="I25" s="35"/>
      <c r="J25" s="35"/>
      <c r="K25" s="35"/>
      <c r="L25" s="35"/>
      <c r="M25" s="35"/>
      <c r="N25" s="35"/>
      <c r="O25" s="35"/>
      <c r="P25" s="35"/>
      <c r="Q25" s="35"/>
      <c r="R25" s="36">
        <f t="shared" si="5"/>
        <v>0</v>
      </c>
      <c r="S25" s="35"/>
      <c r="T25" s="35"/>
      <c r="U25" s="35"/>
      <c r="V25" s="35"/>
      <c r="W25" s="35"/>
      <c r="X25" s="35"/>
      <c r="Y25" s="35"/>
      <c r="Z25" s="35"/>
      <c r="AA25" s="35"/>
      <c r="AB25" s="35"/>
      <c r="AC25" s="35"/>
      <c r="AD25" s="35"/>
      <c r="AE25" s="36">
        <f t="shared" si="6"/>
        <v>0</v>
      </c>
      <c r="AF25" s="35"/>
      <c r="AG25" s="35"/>
      <c r="AH25" s="35"/>
      <c r="AI25" s="35"/>
      <c r="AJ25" s="35"/>
      <c r="AK25" s="35"/>
      <c r="AL25" s="35"/>
      <c r="AM25" s="35"/>
      <c r="AN25" s="35"/>
      <c r="AO25" s="35"/>
      <c r="AP25" s="35"/>
      <c r="AQ25" s="35"/>
      <c r="AR25" s="36">
        <f t="shared" si="7"/>
        <v>0</v>
      </c>
      <c r="AS25" s="35"/>
      <c r="AT25" s="35"/>
      <c r="AU25" s="35"/>
      <c r="AV25" s="35"/>
      <c r="AW25" s="35"/>
      <c r="AX25" s="35"/>
      <c r="AY25" s="35"/>
      <c r="AZ25" s="35"/>
      <c r="BA25" s="35"/>
      <c r="BB25" s="35"/>
      <c r="BC25" s="35"/>
      <c r="BD25" s="35"/>
      <c r="BE25" s="36">
        <f t="shared" si="8"/>
        <v>0</v>
      </c>
      <c r="BF25" s="35"/>
      <c r="BG25" s="35"/>
      <c r="BH25" s="35"/>
      <c r="BI25" s="35"/>
      <c r="BJ25" s="35"/>
      <c r="BK25" s="35"/>
      <c r="BL25" s="35"/>
      <c r="BM25" s="35"/>
      <c r="BN25" s="35"/>
      <c r="BO25" s="35"/>
      <c r="BP25" s="35"/>
      <c r="BQ25" s="35"/>
      <c r="BR25" s="36">
        <f t="shared" si="9"/>
        <v>0</v>
      </c>
    </row>
    <row r="26" spans="1:70" ht="15">
      <c r="A26" s="27" t="s">
        <v>66</v>
      </c>
      <c r="F26" s="35"/>
      <c r="G26" s="35"/>
      <c r="H26" s="35"/>
      <c r="I26" s="35"/>
      <c r="J26" s="35"/>
      <c r="K26" s="35"/>
      <c r="L26" s="35"/>
      <c r="M26" s="35"/>
      <c r="N26" s="35"/>
      <c r="O26" s="35"/>
      <c r="P26" s="35"/>
      <c r="Q26" s="35"/>
      <c r="R26" s="36">
        <f t="shared" si="5"/>
        <v>0</v>
      </c>
      <c r="S26" s="35"/>
      <c r="T26" s="35"/>
      <c r="U26" s="35"/>
      <c r="V26" s="35"/>
      <c r="W26" s="35"/>
      <c r="X26" s="35"/>
      <c r="Y26" s="35"/>
      <c r="Z26" s="35"/>
      <c r="AA26" s="35"/>
      <c r="AB26" s="35"/>
      <c r="AC26" s="35"/>
      <c r="AD26" s="35"/>
      <c r="AE26" s="36">
        <f t="shared" si="6"/>
        <v>0</v>
      </c>
      <c r="AF26" s="35"/>
      <c r="AG26" s="35"/>
      <c r="AH26" s="35"/>
      <c r="AI26" s="35"/>
      <c r="AJ26" s="35"/>
      <c r="AK26" s="35"/>
      <c r="AL26" s="35"/>
      <c r="AM26" s="35"/>
      <c r="AN26" s="35"/>
      <c r="AO26" s="35"/>
      <c r="AP26" s="35"/>
      <c r="AQ26" s="35"/>
      <c r="AR26" s="36">
        <f t="shared" si="7"/>
        <v>0</v>
      </c>
      <c r="AS26" s="35"/>
      <c r="AT26" s="35"/>
      <c r="AU26" s="35"/>
      <c r="AV26" s="35"/>
      <c r="AW26" s="35"/>
      <c r="AX26" s="35"/>
      <c r="AY26" s="35"/>
      <c r="AZ26" s="35"/>
      <c r="BA26" s="35"/>
      <c r="BB26" s="35"/>
      <c r="BC26" s="35"/>
      <c r="BD26" s="35"/>
      <c r="BE26" s="36">
        <f t="shared" si="8"/>
        <v>0</v>
      </c>
      <c r="BF26" s="35"/>
      <c r="BG26" s="35"/>
      <c r="BH26" s="35"/>
      <c r="BI26" s="35"/>
      <c r="BJ26" s="35"/>
      <c r="BK26" s="35"/>
      <c r="BL26" s="35"/>
      <c r="BM26" s="35"/>
      <c r="BN26" s="35"/>
      <c r="BO26" s="35"/>
      <c r="BP26" s="35"/>
      <c r="BQ26" s="35"/>
      <c r="BR26" s="36">
        <f t="shared" si="9"/>
        <v>0</v>
      </c>
    </row>
    <row r="27" spans="1:70" ht="15">
      <c r="A27" s="27" t="s">
        <v>67</v>
      </c>
      <c r="F27" s="35"/>
      <c r="G27" s="35"/>
      <c r="H27" s="35"/>
      <c r="I27" s="35"/>
      <c r="J27" s="35"/>
      <c r="K27" s="35"/>
      <c r="L27" s="35"/>
      <c r="M27" s="35"/>
      <c r="N27" s="35"/>
      <c r="O27" s="35"/>
      <c r="P27" s="35"/>
      <c r="Q27" s="35"/>
      <c r="R27" s="36">
        <f t="shared" si="5"/>
        <v>0</v>
      </c>
      <c r="S27" s="35"/>
      <c r="T27" s="35"/>
      <c r="U27" s="35"/>
      <c r="V27" s="35"/>
      <c r="W27" s="35"/>
      <c r="X27" s="35"/>
      <c r="Y27" s="35"/>
      <c r="Z27" s="35"/>
      <c r="AA27" s="35"/>
      <c r="AB27" s="35"/>
      <c r="AC27" s="35"/>
      <c r="AD27" s="35"/>
      <c r="AE27" s="36">
        <f t="shared" si="6"/>
        <v>0</v>
      </c>
      <c r="AF27" s="35"/>
      <c r="AG27" s="35"/>
      <c r="AH27" s="35"/>
      <c r="AI27" s="35"/>
      <c r="AJ27" s="35"/>
      <c r="AK27" s="35"/>
      <c r="AL27" s="35"/>
      <c r="AM27" s="35"/>
      <c r="AN27" s="35"/>
      <c r="AO27" s="35"/>
      <c r="AP27" s="35"/>
      <c r="AQ27" s="35"/>
      <c r="AR27" s="36">
        <f t="shared" si="7"/>
        <v>0</v>
      </c>
      <c r="AS27" s="35"/>
      <c r="AT27" s="35"/>
      <c r="AU27" s="35"/>
      <c r="AV27" s="35"/>
      <c r="AW27" s="35"/>
      <c r="AX27" s="35"/>
      <c r="AY27" s="35"/>
      <c r="AZ27" s="35"/>
      <c r="BA27" s="35"/>
      <c r="BB27" s="35"/>
      <c r="BC27" s="35"/>
      <c r="BD27" s="35"/>
      <c r="BE27" s="36">
        <f t="shared" si="8"/>
        <v>0</v>
      </c>
      <c r="BF27" s="35"/>
      <c r="BG27" s="35"/>
      <c r="BH27" s="35"/>
      <c r="BI27" s="35"/>
      <c r="BJ27" s="35"/>
      <c r="BK27" s="35"/>
      <c r="BL27" s="35"/>
      <c r="BM27" s="35"/>
      <c r="BN27" s="35"/>
      <c r="BO27" s="35"/>
      <c r="BP27" s="35"/>
      <c r="BQ27" s="35"/>
      <c r="BR27" s="36">
        <f t="shared" si="9"/>
        <v>0</v>
      </c>
    </row>
    <row r="28" spans="1:70" ht="15">
      <c r="A28" s="27" t="s">
        <v>68</v>
      </c>
      <c r="F28" s="35"/>
      <c r="G28" s="35"/>
      <c r="H28" s="35"/>
      <c r="I28" s="35"/>
      <c r="J28" s="35"/>
      <c r="K28" s="35"/>
      <c r="L28" s="35"/>
      <c r="M28" s="35"/>
      <c r="N28" s="35"/>
      <c r="O28" s="35"/>
      <c r="P28" s="35"/>
      <c r="Q28" s="35"/>
      <c r="R28" s="36">
        <f t="shared" si="5"/>
        <v>0</v>
      </c>
      <c r="S28" s="35"/>
      <c r="T28" s="35"/>
      <c r="U28" s="35"/>
      <c r="V28" s="35"/>
      <c r="W28" s="35"/>
      <c r="X28" s="35"/>
      <c r="Y28" s="35"/>
      <c r="Z28" s="35"/>
      <c r="AA28" s="35"/>
      <c r="AB28" s="35"/>
      <c r="AC28" s="35"/>
      <c r="AD28" s="35"/>
      <c r="AE28" s="36">
        <f t="shared" si="6"/>
        <v>0</v>
      </c>
      <c r="AF28" s="35"/>
      <c r="AG28" s="35"/>
      <c r="AH28" s="35"/>
      <c r="AI28" s="35"/>
      <c r="AJ28" s="35"/>
      <c r="AK28" s="35"/>
      <c r="AL28" s="35"/>
      <c r="AM28" s="35"/>
      <c r="AN28" s="35"/>
      <c r="AO28" s="35"/>
      <c r="AP28" s="35"/>
      <c r="AQ28" s="35"/>
      <c r="AR28" s="36">
        <f t="shared" si="7"/>
        <v>0</v>
      </c>
      <c r="AS28" s="35"/>
      <c r="AT28" s="35"/>
      <c r="AU28" s="35"/>
      <c r="AV28" s="35"/>
      <c r="AW28" s="35"/>
      <c r="AX28" s="35"/>
      <c r="AY28" s="35"/>
      <c r="AZ28" s="35"/>
      <c r="BA28" s="35"/>
      <c r="BB28" s="35"/>
      <c r="BC28" s="35"/>
      <c r="BD28" s="35"/>
      <c r="BE28" s="36">
        <f t="shared" si="8"/>
        <v>0</v>
      </c>
      <c r="BF28" s="35"/>
      <c r="BG28" s="35"/>
      <c r="BH28" s="35"/>
      <c r="BI28" s="35"/>
      <c r="BJ28" s="35"/>
      <c r="BK28" s="35"/>
      <c r="BL28" s="35"/>
      <c r="BM28" s="35"/>
      <c r="BN28" s="35"/>
      <c r="BO28" s="35"/>
      <c r="BP28" s="35"/>
      <c r="BQ28" s="35"/>
      <c r="BR28" s="36">
        <f t="shared" si="9"/>
        <v>0</v>
      </c>
    </row>
    <row r="29" spans="1:70" ht="15">
      <c r="A29" s="27" t="s">
        <v>69</v>
      </c>
      <c r="F29" s="35"/>
      <c r="G29" s="35"/>
      <c r="H29" s="35"/>
      <c r="I29" s="35"/>
      <c r="J29" s="35"/>
      <c r="K29" s="35"/>
      <c r="L29" s="35"/>
      <c r="M29" s="35"/>
      <c r="N29" s="35"/>
      <c r="O29" s="35"/>
      <c r="P29" s="35"/>
      <c r="Q29" s="35"/>
      <c r="R29" s="36">
        <f t="shared" si="5"/>
        <v>0</v>
      </c>
      <c r="S29" s="35"/>
      <c r="T29" s="35"/>
      <c r="U29" s="35"/>
      <c r="V29" s="35"/>
      <c r="W29" s="35"/>
      <c r="X29" s="35"/>
      <c r="Y29" s="35"/>
      <c r="Z29" s="35"/>
      <c r="AA29" s="35"/>
      <c r="AB29" s="35"/>
      <c r="AC29" s="35"/>
      <c r="AD29" s="35"/>
      <c r="AE29" s="36">
        <f t="shared" si="6"/>
        <v>0</v>
      </c>
      <c r="AF29" s="35"/>
      <c r="AG29" s="35"/>
      <c r="AH29" s="35"/>
      <c r="AI29" s="35"/>
      <c r="AJ29" s="35"/>
      <c r="AK29" s="35"/>
      <c r="AL29" s="35"/>
      <c r="AM29" s="35"/>
      <c r="AN29" s="35"/>
      <c r="AO29" s="35"/>
      <c r="AP29" s="35"/>
      <c r="AQ29" s="35"/>
      <c r="AR29" s="36">
        <f t="shared" si="7"/>
        <v>0</v>
      </c>
      <c r="AS29" s="35"/>
      <c r="AT29" s="35"/>
      <c r="AU29" s="35"/>
      <c r="AV29" s="35"/>
      <c r="AW29" s="35"/>
      <c r="AX29" s="35"/>
      <c r="AY29" s="35"/>
      <c r="AZ29" s="35"/>
      <c r="BA29" s="35"/>
      <c r="BB29" s="35"/>
      <c r="BC29" s="35"/>
      <c r="BD29" s="35"/>
      <c r="BE29" s="36">
        <f t="shared" si="8"/>
        <v>0</v>
      </c>
      <c r="BF29" s="35"/>
      <c r="BG29" s="35"/>
      <c r="BH29" s="35"/>
      <c r="BI29" s="35"/>
      <c r="BJ29" s="35"/>
      <c r="BK29" s="35"/>
      <c r="BL29" s="35"/>
      <c r="BM29" s="35"/>
      <c r="BN29" s="35"/>
      <c r="BO29" s="35"/>
      <c r="BP29" s="35"/>
      <c r="BQ29" s="35"/>
      <c r="BR29" s="36">
        <f t="shared" si="9"/>
        <v>0</v>
      </c>
    </row>
    <row r="30" spans="1:70" ht="15">
      <c r="A30" s="27" t="s">
        <v>70</v>
      </c>
      <c r="F30" s="35"/>
      <c r="G30" s="35"/>
      <c r="H30" s="35"/>
      <c r="I30" s="35"/>
      <c r="J30" s="35"/>
      <c r="K30" s="35"/>
      <c r="L30" s="35"/>
      <c r="M30" s="35"/>
      <c r="N30" s="35"/>
      <c r="O30" s="35"/>
      <c r="P30" s="35"/>
      <c r="Q30" s="35"/>
      <c r="R30" s="36">
        <f t="shared" si="5"/>
        <v>0</v>
      </c>
      <c r="S30" s="35"/>
      <c r="T30" s="35"/>
      <c r="U30" s="35"/>
      <c r="V30" s="35"/>
      <c r="W30" s="35"/>
      <c r="X30" s="35"/>
      <c r="Y30" s="35"/>
      <c r="Z30" s="35"/>
      <c r="AA30" s="35"/>
      <c r="AB30" s="35"/>
      <c r="AC30" s="35"/>
      <c r="AD30" s="35"/>
      <c r="AE30" s="36">
        <f t="shared" si="6"/>
        <v>0</v>
      </c>
      <c r="AF30" s="35"/>
      <c r="AG30" s="35"/>
      <c r="AH30" s="35"/>
      <c r="AI30" s="35"/>
      <c r="AJ30" s="35"/>
      <c r="AK30" s="35"/>
      <c r="AL30" s="35"/>
      <c r="AM30" s="35"/>
      <c r="AN30" s="35"/>
      <c r="AO30" s="35"/>
      <c r="AP30" s="35"/>
      <c r="AQ30" s="35"/>
      <c r="AR30" s="36">
        <f t="shared" si="7"/>
        <v>0</v>
      </c>
      <c r="AS30" s="35"/>
      <c r="AT30" s="35"/>
      <c r="AU30" s="35"/>
      <c r="AV30" s="35"/>
      <c r="AW30" s="35"/>
      <c r="AX30" s="35"/>
      <c r="AY30" s="35"/>
      <c r="AZ30" s="35"/>
      <c r="BA30" s="35"/>
      <c r="BB30" s="35"/>
      <c r="BC30" s="35"/>
      <c r="BD30" s="35"/>
      <c r="BE30" s="36">
        <f t="shared" si="8"/>
        <v>0</v>
      </c>
      <c r="BF30" s="35"/>
      <c r="BG30" s="35"/>
      <c r="BH30" s="35"/>
      <c r="BI30" s="35"/>
      <c r="BJ30" s="35"/>
      <c r="BK30" s="35"/>
      <c r="BL30" s="35"/>
      <c r="BM30" s="35"/>
      <c r="BN30" s="35"/>
      <c r="BO30" s="35"/>
      <c r="BP30" s="35"/>
      <c r="BQ30" s="35"/>
      <c r="BR30" s="36">
        <f t="shared" si="9"/>
        <v>0</v>
      </c>
    </row>
    <row r="31" spans="1:70" ht="15">
      <c r="A31" s="44" t="s">
        <v>71</v>
      </c>
      <c r="B31" s="45"/>
      <c r="C31" s="45"/>
      <c r="D31" s="45"/>
      <c r="E31" s="45"/>
      <c r="F31" s="46"/>
      <c r="G31" s="46"/>
      <c r="H31" s="46"/>
      <c r="I31" s="46"/>
      <c r="J31" s="46"/>
      <c r="K31" s="46"/>
      <c r="L31" s="46"/>
      <c r="M31" s="46"/>
      <c r="N31" s="46"/>
      <c r="O31" s="46"/>
      <c r="P31" s="46"/>
      <c r="Q31" s="46"/>
      <c r="R31" s="47">
        <f t="shared" si="5"/>
        <v>0</v>
      </c>
      <c r="S31" s="46"/>
      <c r="T31" s="46"/>
      <c r="U31" s="46"/>
      <c r="V31" s="46"/>
      <c r="W31" s="46"/>
      <c r="X31" s="46"/>
      <c r="Y31" s="46"/>
      <c r="Z31" s="46"/>
      <c r="AA31" s="46"/>
      <c r="AB31" s="46"/>
      <c r="AC31" s="46"/>
      <c r="AD31" s="46"/>
      <c r="AE31" s="47">
        <f t="shared" si="6"/>
        <v>0</v>
      </c>
      <c r="AF31" s="46"/>
      <c r="AG31" s="46"/>
      <c r="AH31" s="46"/>
      <c r="AI31" s="46"/>
      <c r="AJ31" s="46"/>
      <c r="AK31" s="46"/>
      <c r="AL31" s="46"/>
      <c r="AM31" s="46"/>
      <c r="AN31" s="46"/>
      <c r="AO31" s="46"/>
      <c r="AP31" s="46"/>
      <c r="AQ31" s="46"/>
      <c r="AR31" s="47">
        <f t="shared" si="7"/>
        <v>0</v>
      </c>
      <c r="AS31" s="46"/>
      <c r="AT31" s="46"/>
      <c r="AU31" s="46"/>
      <c r="AV31" s="46"/>
      <c r="AW31" s="46"/>
      <c r="AX31" s="46"/>
      <c r="AY31" s="46"/>
      <c r="AZ31" s="46"/>
      <c r="BA31" s="46"/>
      <c r="BB31" s="46"/>
      <c r="BC31" s="46"/>
      <c r="BD31" s="46"/>
      <c r="BE31" s="47">
        <f t="shared" si="8"/>
        <v>0</v>
      </c>
      <c r="BF31" s="46"/>
      <c r="BG31" s="46"/>
      <c r="BH31" s="46"/>
      <c r="BI31" s="46"/>
      <c r="BJ31" s="46"/>
      <c r="BK31" s="46"/>
      <c r="BL31" s="46"/>
      <c r="BM31" s="46"/>
      <c r="BN31" s="46"/>
      <c r="BO31" s="46"/>
      <c r="BP31" s="46"/>
      <c r="BQ31" s="46"/>
      <c r="BR31" s="47">
        <f t="shared" si="9"/>
        <v>0</v>
      </c>
    </row>
    <row r="32" spans="1:70" ht="15">
      <c r="A32" s="48" t="s">
        <v>72</v>
      </c>
      <c r="F32" s="49"/>
      <c r="G32" s="49"/>
      <c r="H32" s="49"/>
      <c r="I32" s="49"/>
      <c r="J32" s="49"/>
      <c r="K32" s="49"/>
      <c r="L32" s="49"/>
      <c r="M32" s="49"/>
      <c r="N32" s="49"/>
      <c r="O32" s="49"/>
      <c r="P32" s="49"/>
      <c r="Q32" s="49"/>
      <c r="R32" s="50">
        <f>SUM(R21:R31)</f>
        <v>0</v>
      </c>
      <c r="S32" s="49"/>
      <c r="T32" s="49"/>
      <c r="U32" s="49"/>
      <c r="V32" s="49"/>
      <c r="W32" s="49"/>
      <c r="X32" s="49"/>
      <c r="Y32" s="49"/>
      <c r="Z32" s="49"/>
      <c r="AA32" s="49"/>
      <c r="AB32" s="49"/>
      <c r="AC32" s="49"/>
      <c r="AD32" s="49"/>
      <c r="AE32" s="50">
        <f>SUM(AE21:AE31)</f>
        <v>0</v>
      </c>
      <c r="AF32" s="49"/>
      <c r="AG32" s="49"/>
      <c r="AH32" s="49"/>
      <c r="AI32" s="49"/>
      <c r="AJ32" s="49"/>
      <c r="AK32" s="49"/>
      <c r="AL32" s="49"/>
      <c r="AM32" s="49"/>
      <c r="AN32" s="49"/>
      <c r="AO32" s="49"/>
      <c r="AP32" s="49"/>
      <c r="AQ32" s="49"/>
      <c r="AR32" s="50">
        <f>SUM(AR21:AR31)</f>
        <v>0</v>
      </c>
      <c r="AS32" s="49"/>
      <c r="AT32" s="49"/>
      <c r="AU32" s="49"/>
      <c r="AV32" s="49"/>
      <c r="AW32" s="49"/>
      <c r="AX32" s="49"/>
      <c r="AY32" s="49"/>
      <c r="AZ32" s="49"/>
      <c r="BA32" s="49"/>
      <c r="BB32" s="49"/>
      <c r="BC32" s="49"/>
      <c r="BD32" s="49"/>
      <c r="BE32" s="50">
        <f>SUM(BE21:BE31)</f>
        <v>0</v>
      </c>
      <c r="BF32" s="49"/>
      <c r="BG32" s="49"/>
      <c r="BH32" s="49"/>
      <c r="BI32" s="49"/>
      <c r="BJ32" s="49"/>
      <c r="BK32" s="49"/>
      <c r="BL32" s="49"/>
      <c r="BM32" s="49"/>
      <c r="BN32" s="49"/>
      <c r="BO32" s="49"/>
      <c r="BP32" s="49"/>
      <c r="BQ32" s="49"/>
      <c r="BR32" s="50">
        <f>SUM(BR21:BR31)</f>
        <v>0</v>
      </c>
    </row>
    <row r="33" spans="1:70" ht="6" customHeight="1">
      <c r="A33" s="31"/>
      <c r="F33" s="42"/>
      <c r="G33" s="42"/>
      <c r="H33" s="42"/>
      <c r="I33" s="42"/>
      <c r="J33" s="42"/>
      <c r="K33" s="42"/>
      <c r="L33" s="42"/>
      <c r="M33" s="42"/>
      <c r="N33" s="42"/>
      <c r="O33" s="42"/>
      <c r="P33" s="42"/>
      <c r="Q33" s="42"/>
      <c r="R33" s="43"/>
      <c r="S33" s="42"/>
      <c r="T33" s="42"/>
      <c r="U33" s="42"/>
      <c r="V33" s="42"/>
      <c r="W33" s="42"/>
      <c r="X33" s="42"/>
      <c r="Y33" s="42"/>
      <c r="Z33" s="42"/>
      <c r="AA33" s="42"/>
      <c r="AB33" s="42"/>
      <c r="AC33" s="42"/>
      <c r="AD33" s="42"/>
      <c r="AE33" s="43"/>
      <c r="AF33" s="42"/>
      <c r="AG33" s="42"/>
      <c r="AH33" s="42"/>
      <c r="AI33" s="42"/>
      <c r="AJ33" s="42"/>
      <c r="AK33" s="42"/>
      <c r="AL33" s="42"/>
      <c r="AM33" s="42"/>
      <c r="AN33" s="42"/>
      <c r="AO33" s="42"/>
      <c r="AP33" s="42"/>
      <c r="AQ33" s="42"/>
      <c r="AR33" s="43"/>
      <c r="AS33" s="42"/>
      <c r="AT33" s="42"/>
      <c r="AU33" s="42"/>
      <c r="AV33" s="42"/>
      <c r="AW33" s="42"/>
      <c r="AX33" s="42"/>
      <c r="AY33" s="42"/>
      <c r="AZ33" s="42"/>
      <c r="BA33" s="42"/>
      <c r="BB33" s="42"/>
      <c r="BC33" s="42"/>
      <c r="BD33" s="42"/>
      <c r="BE33" s="43"/>
      <c r="BF33" s="42"/>
      <c r="BG33" s="42"/>
      <c r="BH33" s="42"/>
      <c r="BI33" s="42"/>
      <c r="BJ33" s="42"/>
      <c r="BK33" s="42"/>
      <c r="BL33" s="42"/>
      <c r="BM33" s="42"/>
      <c r="BN33" s="42"/>
      <c r="BO33" s="42"/>
      <c r="BP33" s="42"/>
      <c r="BQ33" s="42"/>
      <c r="BR33" s="43"/>
    </row>
    <row r="34" spans="1:70" ht="15">
      <c r="A34" s="34" t="s">
        <v>324</v>
      </c>
      <c r="F34" s="35"/>
      <c r="G34" s="35"/>
      <c r="H34" s="35"/>
      <c r="I34" s="35"/>
      <c r="J34" s="35"/>
      <c r="K34" s="35"/>
      <c r="L34" s="35"/>
      <c r="M34" s="35"/>
      <c r="N34" s="35"/>
      <c r="O34" s="35"/>
      <c r="P34" s="35"/>
      <c r="Q34" s="35"/>
      <c r="R34" s="36">
        <f>R18+R32</f>
        <v>0</v>
      </c>
      <c r="S34" s="35"/>
      <c r="T34" s="35"/>
      <c r="U34" s="35"/>
      <c r="V34" s="35"/>
      <c r="W34" s="35"/>
      <c r="X34" s="35"/>
      <c r="Y34" s="35"/>
      <c r="Z34" s="35"/>
      <c r="AA34" s="35"/>
      <c r="AB34" s="35"/>
      <c r="AC34" s="35"/>
      <c r="AD34" s="35"/>
      <c r="AE34" s="36">
        <f>AE18+AE32</f>
        <v>0</v>
      </c>
      <c r="AF34" s="35"/>
      <c r="AG34" s="35"/>
      <c r="AH34" s="35"/>
      <c r="AI34" s="35"/>
      <c r="AJ34" s="35"/>
      <c r="AK34" s="35"/>
      <c r="AL34" s="35"/>
      <c r="AM34" s="35"/>
      <c r="AN34" s="35"/>
      <c r="AO34" s="35"/>
      <c r="AP34" s="35"/>
      <c r="AQ34" s="35"/>
      <c r="AR34" s="36">
        <f>AR18+AR32</f>
        <v>0</v>
      </c>
      <c r="AS34" s="35"/>
      <c r="AT34" s="35"/>
      <c r="AU34" s="35"/>
      <c r="AV34" s="35"/>
      <c r="AW34" s="35"/>
      <c r="AX34" s="35"/>
      <c r="AY34" s="35"/>
      <c r="AZ34" s="35"/>
      <c r="BA34" s="35"/>
      <c r="BB34" s="35"/>
      <c r="BC34" s="35"/>
      <c r="BD34" s="35"/>
      <c r="BE34" s="36">
        <f>BE18+BE32</f>
        <v>0</v>
      </c>
      <c r="BF34" s="35"/>
      <c r="BG34" s="35"/>
      <c r="BH34" s="35"/>
      <c r="BI34" s="35"/>
      <c r="BJ34" s="35"/>
      <c r="BK34" s="35"/>
      <c r="BL34" s="35"/>
      <c r="BM34" s="35"/>
      <c r="BN34" s="35"/>
      <c r="BO34" s="35"/>
      <c r="BP34" s="35"/>
      <c r="BQ34" s="35"/>
      <c r="BR34" s="36">
        <f>BR18+BR32</f>
        <v>0</v>
      </c>
    </row>
    <row r="35" spans="1:70" ht="15">
      <c r="A35" s="51" t="s">
        <v>74</v>
      </c>
      <c r="F35" s="52"/>
      <c r="G35" s="52"/>
      <c r="H35" s="52"/>
      <c r="I35" s="52"/>
      <c r="J35" s="52"/>
      <c r="K35" s="52"/>
      <c r="L35" s="52"/>
      <c r="M35" s="52"/>
      <c r="N35" s="52"/>
      <c r="O35" s="52"/>
      <c r="P35" s="52"/>
      <c r="Q35" s="52"/>
      <c r="R35" s="53">
        <f>IF(ISERROR(R34/R18),0,(R34/R18))</f>
        <v>0</v>
      </c>
      <c r="S35" s="52"/>
      <c r="T35" s="52"/>
      <c r="U35" s="52"/>
      <c r="V35" s="52"/>
      <c r="W35" s="52"/>
      <c r="X35" s="52"/>
      <c r="Y35" s="52"/>
      <c r="Z35" s="52"/>
      <c r="AA35" s="52"/>
      <c r="AB35" s="52"/>
      <c r="AC35" s="52"/>
      <c r="AD35" s="52"/>
      <c r="AE35" s="53">
        <f>IF(ISERROR(AE34/AE18),0,(AE34/AE18))</f>
        <v>0</v>
      </c>
      <c r="AF35" s="52"/>
      <c r="AG35" s="52"/>
      <c r="AH35" s="52"/>
      <c r="AI35" s="52"/>
      <c r="AJ35" s="52"/>
      <c r="AK35" s="52"/>
      <c r="AL35" s="52"/>
      <c r="AM35" s="52"/>
      <c r="AN35" s="52"/>
      <c r="AO35" s="52"/>
      <c r="AP35" s="52"/>
      <c r="AQ35" s="52"/>
      <c r="AR35" s="53">
        <f>IF(ISERROR(AR34/AR18),0,(AR34/AR18))</f>
        <v>0</v>
      </c>
      <c r="AS35" s="52"/>
      <c r="AT35" s="52"/>
      <c r="AU35" s="52"/>
      <c r="AV35" s="52"/>
      <c r="AW35" s="52"/>
      <c r="AX35" s="52"/>
      <c r="AY35" s="52"/>
      <c r="AZ35" s="52"/>
      <c r="BA35" s="52"/>
      <c r="BB35" s="52"/>
      <c r="BC35" s="52"/>
      <c r="BD35" s="52"/>
      <c r="BE35" s="53">
        <f>IF(ISERROR(BE34/BE18),0,(BE34/BE18))</f>
        <v>0</v>
      </c>
      <c r="BF35" s="52"/>
      <c r="BG35" s="52"/>
      <c r="BH35" s="52"/>
      <c r="BI35" s="52"/>
      <c r="BJ35" s="52"/>
      <c r="BK35" s="52"/>
      <c r="BL35" s="52"/>
      <c r="BM35" s="52"/>
      <c r="BN35" s="52"/>
      <c r="BO35" s="52"/>
      <c r="BP35" s="52"/>
      <c r="BQ35" s="52"/>
      <c r="BR35" s="53">
        <f>IF(ISERROR(BR34/BR18),0,(BR34/BR18))</f>
        <v>0</v>
      </c>
    </row>
    <row r="36" spans="1:70" ht="6.75" customHeight="1">
      <c r="A36" s="31"/>
      <c r="F36" s="42"/>
      <c r="G36" s="42"/>
      <c r="H36" s="42"/>
      <c r="I36" s="42"/>
      <c r="J36" s="42"/>
      <c r="K36" s="42"/>
      <c r="L36" s="42"/>
      <c r="M36" s="42"/>
      <c r="N36" s="42"/>
      <c r="O36" s="42"/>
      <c r="P36" s="42"/>
      <c r="Q36" s="42"/>
      <c r="R36" s="43"/>
      <c r="S36" s="42"/>
      <c r="T36" s="42"/>
      <c r="U36" s="42"/>
      <c r="V36" s="42"/>
      <c r="W36" s="42"/>
      <c r="X36" s="42"/>
      <c r="Y36" s="42"/>
      <c r="Z36" s="42"/>
      <c r="AA36" s="42"/>
      <c r="AB36" s="42"/>
      <c r="AC36" s="42"/>
      <c r="AD36" s="42"/>
      <c r="AE36" s="43"/>
      <c r="AF36" s="42"/>
      <c r="AG36" s="42"/>
      <c r="AH36" s="42"/>
      <c r="AI36" s="42"/>
      <c r="AJ36" s="42"/>
      <c r="AK36" s="42"/>
      <c r="AL36" s="42"/>
      <c r="AM36" s="42"/>
      <c r="AN36" s="42"/>
      <c r="AO36" s="42"/>
      <c r="AP36" s="42"/>
      <c r="AQ36" s="42"/>
      <c r="AR36" s="43"/>
      <c r="AS36" s="42"/>
      <c r="AT36" s="42"/>
      <c r="AU36" s="42"/>
      <c r="AV36" s="42"/>
      <c r="AW36" s="42"/>
      <c r="AX36" s="42"/>
      <c r="AY36" s="42"/>
      <c r="AZ36" s="42"/>
      <c r="BA36" s="42"/>
      <c r="BB36" s="42"/>
      <c r="BC36" s="42"/>
      <c r="BD36" s="42"/>
      <c r="BE36" s="43"/>
      <c r="BF36" s="42"/>
      <c r="BG36" s="42"/>
      <c r="BH36" s="42"/>
      <c r="BI36" s="42"/>
      <c r="BJ36" s="42"/>
      <c r="BK36" s="42"/>
      <c r="BL36" s="42"/>
      <c r="BM36" s="42"/>
      <c r="BN36" s="42"/>
      <c r="BO36" s="42"/>
      <c r="BP36" s="42"/>
      <c r="BQ36" s="42"/>
      <c r="BR36" s="43"/>
    </row>
    <row r="37" spans="1:70" ht="15">
      <c r="A37" s="34" t="s">
        <v>75</v>
      </c>
      <c r="F37" s="35"/>
      <c r="G37" s="35"/>
      <c r="H37" s="35"/>
      <c r="I37" s="35"/>
      <c r="J37" s="35"/>
      <c r="K37" s="35"/>
      <c r="L37" s="35"/>
      <c r="M37" s="35"/>
      <c r="N37" s="35"/>
      <c r="O37" s="35"/>
      <c r="P37" s="35"/>
      <c r="Q37" s="35"/>
      <c r="R37" s="36">
        <v>0</v>
      </c>
      <c r="S37" s="35"/>
      <c r="T37" s="35"/>
      <c r="U37" s="35"/>
      <c r="V37" s="35"/>
      <c r="W37" s="35"/>
      <c r="X37" s="35"/>
      <c r="Y37" s="35"/>
      <c r="Z37" s="35"/>
      <c r="AA37" s="35"/>
      <c r="AB37" s="35"/>
      <c r="AC37" s="35"/>
      <c r="AD37" s="35"/>
      <c r="AE37" s="36">
        <v>0</v>
      </c>
      <c r="AF37" s="35"/>
      <c r="AG37" s="35"/>
      <c r="AH37" s="35"/>
      <c r="AI37" s="35"/>
      <c r="AJ37" s="35"/>
      <c r="AK37" s="35"/>
      <c r="AL37" s="35"/>
      <c r="AM37" s="35"/>
      <c r="AN37" s="35"/>
      <c r="AO37" s="35"/>
      <c r="AP37" s="35"/>
      <c r="AQ37" s="35"/>
      <c r="AR37" s="36">
        <v>0</v>
      </c>
      <c r="AS37" s="35"/>
      <c r="AT37" s="35"/>
      <c r="AU37" s="35"/>
      <c r="AV37" s="35"/>
      <c r="AW37" s="35"/>
      <c r="AX37" s="35"/>
      <c r="AY37" s="35"/>
      <c r="AZ37" s="35"/>
      <c r="BA37" s="35"/>
      <c r="BB37" s="35"/>
      <c r="BC37" s="35"/>
      <c r="BD37" s="35"/>
      <c r="BE37" s="36">
        <v>0</v>
      </c>
      <c r="BF37" s="35"/>
      <c r="BG37" s="35"/>
      <c r="BH37" s="35"/>
      <c r="BI37" s="35"/>
      <c r="BJ37" s="35"/>
      <c r="BK37" s="35"/>
      <c r="BL37" s="35"/>
      <c r="BM37" s="35"/>
      <c r="BN37" s="35"/>
      <c r="BO37" s="35"/>
      <c r="BP37" s="35"/>
      <c r="BQ37" s="35"/>
      <c r="BR37" s="36">
        <v>0</v>
      </c>
    </row>
    <row r="38" spans="1:70" ht="7.5" customHeight="1">
      <c r="A38" s="31"/>
      <c r="F38" s="42"/>
      <c r="G38" s="42"/>
      <c r="H38" s="42"/>
      <c r="I38" s="42"/>
      <c r="J38" s="42"/>
      <c r="K38" s="42"/>
      <c r="L38" s="42"/>
      <c r="M38" s="42"/>
      <c r="N38" s="42"/>
      <c r="O38" s="42"/>
      <c r="P38" s="42"/>
      <c r="Q38" s="42"/>
      <c r="R38" s="43"/>
      <c r="S38" s="42"/>
      <c r="T38" s="42"/>
      <c r="U38" s="42"/>
      <c r="V38" s="42"/>
      <c r="W38" s="42"/>
      <c r="X38" s="42"/>
      <c r="Y38" s="42"/>
      <c r="Z38" s="42"/>
      <c r="AA38" s="42"/>
      <c r="AB38" s="42"/>
      <c r="AC38" s="42"/>
      <c r="AD38" s="42"/>
      <c r="AE38" s="43"/>
      <c r="AF38" s="42"/>
      <c r="AG38" s="42"/>
      <c r="AH38" s="42"/>
      <c r="AI38" s="42"/>
      <c r="AJ38" s="42"/>
      <c r="AK38" s="42"/>
      <c r="AL38" s="42"/>
      <c r="AM38" s="42"/>
      <c r="AN38" s="42"/>
      <c r="AO38" s="42"/>
      <c r="AP38" s="42"/>
      <c r="AQ38" s="42"/>
      <c r="AR38" s="43"/>
      <c r="AS38" s="42"/>
      <c r="AT38" s="42"/>
      <c r="AU38" s="42"/>
      <c r="AV38" s="42"/>
      <c r="AW38" s="42"/>
      <c r="AX38" s="42"/>
      <c r="AY38" s="42"/>
      <c r="AZ38" s="42"/>
      <c r="BA38" s="42"/>
      <c r="BB38" s="42"/>
      <c r="BC38" s="42"/>
      <c r="BD38" s="42"/>
      <c r="BE38" s="43"/>
      <c r="BF38" s="42"/>
      <c r="BG38" s="42"/>
      <c r="BH38" s="42"/>
      <c r="BI38" s="42"/>
      <c r="BJ38" s="42"/>
      <c r="BK38" s="42"/>
      <c r="BL38" s="42"/>
      <c r="BM38" s="42"/>
      <c r="BN38" s="42"/>
      <c r="BO38" s="42"/>
      <c r="BP38" s="42"/>
      <c r="BQ38" s="42"/>
      <c r="BR38" s="43"/>
    </row>
    <row r="39" spans="1:70" ht="15">
      <c r="A39" s="48" t="s">
        <v>76</v>
      </c>
      <c r="F39" s="49"/>
      <c r="G39" s="49"/>
      <c r="H39" s="49"/>
      <c r="I39" s="49"/>
      <c r="J39" s="49"/>
      <c r="K39" s="49"/>
      <c r="L39" s="49"/>
      <c r="M39" s="49"/>
      <c r="N39" s="49"/>
      <c r="O39" s="49"/>
      <c r="P39" s="49"/>
      <c r="Q39" s="49"/>
      <c r="R39" s="50">
        <f>R32+R37</f>
        <v>0</v>
      </c>
      <c r="S39" s="49"/>
      <c r="T39" s="49"/>
      <c r="U39" s="49"/>
      <c r="V39" s="49"/>
      <c r="W39" s="49"/>
      <c r="X39" s="49"/>
      <c r="Y39" s="49"/>
      <c r="Z39" s="49"/>
      <c r="AA39" s="49"/>
      <c r="AB39" s="49"/>
      <c r="AC39" s="49"/>
      <c r="AD39" s="49"/>
      <c r="AE39" s="50">
        <f>AE32+AE37</f>
        <v>0</v>
      </c>
      <c r="AF39" s="49"/>
      <c r="AG39" s="49"/>
      <c r="AH39" s="49"/>
      <c r="AI39" s="49"/>
      <c r="AJ39" s="49"/>
      <c r="AK39" s="49"/>
      <c r="AL39" s="49"/>
      <c r="AM39" s="49"/>
      <c r="AN39" s="49"/>
      <c r="AO39" s="49"/>
      <c r="AP39" s="49"/>
      <c r="AQ39" s="49"/>
      <c r="AR39" s="50">
        <f>AR32+AR37</f>
        <v>0</v>
      </c>
      <c r="AS39" s="49"/>
      <c r="AT39" s="49"/>
      <c r="AU39" s="49"/>
      <c r="AV39" s="49"/>
      <c r="AW39" s="49"/>
      <c r="AX39" s="49"/>
      <c r="AY39" s="49"/>
      <c r="AZ39" s="49"/>
      <c r="BA39" s="49"/>
      <c r="BB39" s="49"/>
      <c r="BC39" s="49"/>
      <c r="BD39" s="49"/>
      <c r="BE39" s="50">
        <f>BE32+BE37</f>
        <v>0</v>
      </c>
      <c r="BF39" s="49"/>
      <c r="BG39" s="49"/>
      <c r="BH39" s="49"/>
      <c r="BI39" s="49"/>
      <c r="BJ39" s="49"/>
      <c r="BK39" s="49"/>
      <c r="BL39" s="49"/>
      <c r="BM39" s="49"/>
      <c r="BN39" s="49"/>
      <c r="BO39" s="49"/>
      <c r="BP39" s="49"/>
      <c r="BQ39" s="49"/>
      <c r="BR39" s="50">
        <f>BR32+BR37</f>
        <v>0</v>
      </c>
    </row>
    <row r="40" spans="1:70" ht="15">
      <c r="A40" s="34" t="s">
        <v>77</v>
      </c>
      <c r="F40" s="52"/>
      <c r="G40" s="52"/>
      <c r="H40" s="52"/>
      <c r="I40" s="52"/>
      <c r="J40" s="52"/>
      <c r="K40" s="52"/>
      <c r="L40" s="52"/>
      <c r="M40" s="52"/>
      <c r="N40" s="52"/>
      <c r="O40" s="52"/>
      <c r="P40" s="52"/>
      <c r="Q40" s="52"/>
      <c r="R40" s="53">
        <f>IF(ISERROR(R39/R18),0,(R39/R18))</f>
        <v>0</v>
      </c>
      <c r="S40" s="52"/>
      <c r="T40" s="52"/>
      <c r="U40" s="52"/>
      <c r="V40" s="52"/>
      <c r="W40" s="52"/>
      <c r="X40" s="52"/>
      <c r="Y40" s="52"/>
      <c r="Z40" s="52"/>
      <c r="AA40" s="52"/>
      <c r="AB40" s="52"/>
      <c r="AC40" s="52"/>
      <c r="AD40" s="52"/>
      <c r="AE40" s="53">
        <f>IF(ISERROR(AE39/AE18),0,(AE39/AE18))</f>
        <v>0</v>
      </c>
      <c r="AF40" s="52"/>
      <c r="AG40" s="52"/>
      <c r="AH40" s="52"/>
      <c r="AI40" s="52"/>
      <c r="AJ40" s="52"/>
      <c r="AK40" s="52"/>
      <c r="AL40" s="52"/>
      <c r="AM40" s="52"/>
      <c r="AN40" s="52"/>
      <c r="AO40" s="52"/>
      <c r="AP40" s="52"/>
      <c r="AQ40" s="52"/>
      <c r="AR40" s="53">
        <f>IF(ISERROR(AR39/AR18),0,(AR39/AR18))</f>
        <v>0</v>
      </c>
      <c r="AS40" s="52"/>
      <c r="AT40" s="52"/>
      <c r="AU40" s="52"/>
      <c r="AV40" s="52"/>
      <c r="AW40" s="52"/>
      <c r="AX40" s="52"/>
      <c r="AY40" s="52"/>
      <c r="AZ40" s="52"/>
      <c r="BA40" s="52"/>
      <c r="BB40" s="52"/>
      <c r="BC40" s="52"/>
      <c r="BD40" s="52"/>
      <c r="BE40" s="53">
        <f>IF(ISERROR(BE39/BE18),0,(BE39/BE18))</f>
        <v>0</v>
      </c>
      <c r="BF40" s="52"/>
      <c r="BG40" s="52"/>
      <c r="BH40" s="52"/>
      <c r="BI40" s="52"/>
      <c r="BJ40" s="52"/>
      <c r="BK40" s="52"/>
      <c r="BL40" s="52"/>
      <c r="BM40" s="52"/>
      <c r="BN40" s="52"/>
      <c r="BO40" s="52"/>
      <c r="BP40" s="52"/>
      <c r="BQ40" s="52"/>
      <c r="BR40" s="53">
        <f>IF(ISERROR(BR39/BR18),0,(BR39/BR18))</f>
        <v>0</v>
      </c>
    </row>
    <row r="41" spans="1:70" ht="14.25">
      <c r="A41" s="31"/>
      <c r="F41" s="42"/>
      <c r="G41" s="42"/>
      <c r="H41" s="42"/>
      <c r="I41" s="42"/>
      <c r="J41" s="42"/>
      <c r="K41" s="42"/>
      <c r="L41" s="42"/>
      <c r="M41" s="42"/>
      <c r="N41" s="42"/>
      <c r="O41" s="42"/>
      <c r="P41" s="42"/>
      <c r="Q41" s="42"/>
      <c r="R41" s="43"/>
      <c r="S41" s="42"/>
      <c r="T41" s="42"/>
      <c r="U41" s="42"/>
      <c r="V41" s="42"/>
      <c r="W41" s="42"/>
      <c r="X41" s="42"/>
      <c r="Y41" s="42"/>
      <c r="Z41" s="42"/>
      <c r="AA41" s="42"/>
      <c r="AB41" s="42"/>
      <c r="AC41" s="42"/>
      <c r="AD41" s="42"/>
      <c r="AE41" s="43"/>
      <c r="AF41" s="42"/>
      <c r="AG41" s="42"/>
      <c r="AH41" s="42"/>
      <c r="AI41" s="42"/>
      <c r="AJ41" s="42"/>
      <c r="AK41" s="42"/>
      <c r="AL41" s="42"/>
      <c r="AM41" s="42"/>
      <c r="AN41" s="42"/>
      <c r="AO41" s="42"/>
      <c r="AP41" s="42"/>
      <c r="AQ41" s="42"/>
      <c r="AR41" s="43"/>
      <c r="AS41" s="42"/>
      <c r="AT41" s="42"/>
      <c r="AU41" s="42"/>
      <c r="AV41" s="42"/>
      <c r="AW41" s="42"/>
      <c r="AX41" s="42"/>
      <c r="AY41" s="42"/>
      <c r="AZ41" s="42"/>
      <c r="BA41" s="42"/>
      <c r="BB41" s="42"/>
      <c r="BC41" s="42"/>
      <c r="BD41" s="42"/>
      <c r="BE41" s="43"/>
      <c r="BF41" s="42"/>
      <c r="BG41" s="42"/>
      <c r="BH41" s="42"/>
      <c r="BI41" s="42"/>
      <c r="BJ41" s="42"/>
      <c r="BK41" s="42"/>
      <c r="BL41" s="42"/>
      <c r="BM41" s="42"/>
      <c r="BN41" s="42"/>
      <c r="BO41" s="42"/>
      <c r="BP41" s="42"/>
      <c r="BQ41" s="42"/>
      <c r="BR41" s="43"/>
    </row>
    <row r="42" spans="1:70" ht="15">
      <c r="A42" s="34" t="s">
        <v>78</v>
      </c>
      <c r="F42" s="35"/>
      <c r="G42" s="35"/>
      <c r="H42" s="35"/>
      <c r="I42" s="35"/>
      <c r="J42" s="35"/>
      <c r="K42" s="35"/>
      <c r="L42" s="35"/>
      <c r="M42" s="35"/>
      <c r="N42" s="35"/>
      <c r="O42" s="35"/>
      <c r="P42" s="35"/>
      <c r="Q42" s="35"/>
      <c r="R42" s="36">
        <v>0</v>
      </c>
      <c r="S42" s="35"/>
      <c r="T42" s="35"/>
      <c r="U42" s="35"/>
      <c r="V42" s="35"/>
      <c r="W42" s="35"/>
      <c r="X42" s="35"/>
      <c r="Y42" s="35"/>
      <c r="Z42" s="35"/>
      <c r="AA42" s="35"/>
      <c r="AB42" s="35"/>
      <c r="AC42" s="35"/>
      <c r="AD42" s="35"/>
      <c r="AE42" s="36">
        <v>0</v>
      </c>
      <c r="AF42" s="35"/>
      <c r="AG42" s="35"/>
      <c r="AH42" s="35"/>
      <c r="AI42" s="35"/>
      <c r="AJ42" s="35"/>
      <c r="AK42" s="35"/>
      <c r="AL42" s="35"/>
      <c r="AM42" s="35"/>
      <c r="AN42" s="35"/>
      <c r="AO42" s="35"/>
      <c r="AP42" s="35"/>
      <c r="AQ42" s="35"/>
      <c r="AR42" s="36">
        <v>0</v>
      </c>
      <c r="AS42" s="35"/>
      <c r="AT42" s="35"/>
      <c r="AU42" s="35"/>
      <c r="AV42" s="35"/>
      <c r="AW42" s="35"/>
      <c r="AX42" s="35"/>
      <c r="AY42" s="35"/>
      <c r="AZ42" s="35"/>
      <c r="BA42" s="35"/>
      <c r="BB42" s="35"/>
      <c r="BC42" s="35"/>
      <c r="BD42" s="35"/>
      <c r="BE42" s="36">
        <v>0</v>
      </c>
      <c r="BF42" s="35"/>
      <c r="BG42" s="35"/>
      <c r="BH42" s="35"/>
      <c r="BI42" s="35"/>
      <c r="BJ42" s="35"/>
      <c r="BK42" s="35"/>
      <c r="BL42" s="35"/>
      <c r="BM42" s="35"/>
      <c r="BN42" s="35"/>
      <c r="BO42" s="35"/>
      <c r="BP42" s="35"/>
      <c r="BQ42" s="35"/>
      <c r="BR42" s="36">
        <v>0</v>
      </c>
    </row>
    <row r="43" spans="1:70" ht="14.25">
      <c r="A43" s="31"/>
      <c r="F43" s="42"/>
      <c r="G43" s="42"/>
      <c r="H43" s="42"/>
      <c r="I43" s="42"/>
      <c r="J43" s="42"/>
      <c r="K43" s="42"/>
      <c r="L43" s="42"/>
      <c r="M43" s="42"/>
      <c r="N43" s="42"/>
      <c r="O43" s="42"/>
      <c r="P43" s="42"/>
      <c r="Q43" s="42"/>
      <c r="R43" s="43"/>
      <c r="S43" s="42"/>
      <c r="T43" s="42"/>
      <c r="U43" s="42"/>
      <c r="V43" s="42"/>
      <c r="W43" s="42"/>
      <c r="X43" s="42"/>
      <c r="Y43" s="42"/>
      <c r="Z43" s="42"/>
      <c r="AA43" s="42"/>
      <c r="AB43" s="42"/>
      <c r="AC43" s="42"/>
      <c r="AD43" s="42"/>
      <c r="AE43" s="43"/>
      <c r="AF43" s="42"/>
      <c r="AG43" s="42"/>
      <c r="AH43" s="42"/>
      <c r="AI43" s="42"/>
      <c r="AJ43" s="42"/>
      <c r="AK43" s="42"/>
      <c r="AL43" s="42"/>
      <c r="AM43" s="42"/>
      <c r="AN43" s="42"/>
      <c r="AO43" s="42"/>
      <c r="AP43" s="42"/>
      <c r="AQ43" s="42"/>
      <c r="AR43" s="43"/>
      <c r="AS43" s="42"/>
      <c r="AT43" s="42"/>
      <c r="AU43" s="42"/>
      <c r="AV43" s="42"/>
      <c r="AW43" s="42"/>
      <c r="AX43" s="42"/>
      <c r="AY43" s="42"/>
      <c r="AZ43" s="42"/>
      <c r="BA43" s="42"/>
      <c r="BB43" s="42"/>
      <c r="BC43" s="42"/>
      <c r="BD43" s="42"/>
      <c r="BE43" s="43"/>
      <c r="BF43" s="42"/>
      <c r="BG43" s="42"/>
      <c r="BH43" s="42"/>
      <c r="BI43" s="42"/>
      <c r="BJ43" s="42"/>
      <c r="BK43" s="42"/>
      <c r="BL43" s="42"/>
      <c r="BM43" s="42"/>
      <c r="BN43" s="42"/>
      <c r="BO43" s="42"/>
      <c r="BP43" s="42"/>
      <c r="BQ43" s="42"/>
      <c r="BR43" s="43"/>
    </row>
    <row r="44" spans="1:70" ht="15">
      <c r="A44" s="48" t="s">
        <v>407</v>
      </c>
      <c r="F44" s="49"/>
      <c r="G44" s="49"/>
      <c r="H44" s="49"/>
      <c r="I44" s="49"/>
      <c r="J44" s="49"/>
      <c r="K44" s="49"/>
      <c r="L44" s="49"/>
      <c r="M44" s="49"/>
      <c r="N44" s="49"/>
      <c r="O44" s="49"/>
      <c r="P44" s="49"/>
      <c r="Q44" s="49"/>
      <c r="R44" s="50">
        <f>R39+R42</f>
        <v>0</v>
      </c>
      <c r="S44" s="49"/>
      <c r="T44" s="49"/>
      <c r="U44" s="49"/>
      <c r="V44" s="49"/>
      <c r="W44" s="49"/>
      <c r="X44" s="49"/>
      <c r="Y44" s="49"/>
      <c r="Z44" s="49"/>
      <c r="AA44" s="49"/>
      <c r="AB44" s="49"/>
      <c r="AC44" s="49"/>
      <c r="AD44" s="49"/>
      <c r="AE44" s="50">
        <f>AE39+AE42</f>
        <v>0</v>
      </c>
      <c r="AF44" s="49"/>
      <c r="AG44" s="49"/>
      <c r="AH44" s="49"/>
      <c r="AI44" s="49"/>
      <c r="AJ44" s="49"/>
      <c r="AK44" s="49"/>
      <c r="AL44" s="49"/>
      <c r="AM44" s="49"/>
      <c r="AN44" s="49"/>
      <c r="AO44" s="49"/>
      <c r="AP44" s="49"/>
      <c r="AQ44" s="49"/>
      <c r="AR44" s="50">
        <f>AR39+AR42</f>
        <v>0</v>
      </c>
      <c r="AS44" s="49"/>
      <c r="AT44" s="49"/>
      <c r="AU44" s="49"/>
      <c r="AV44" s="49"/>
      <c r="AW44" s="49"/>
      <c r="AX44" s="49"/>
      <c r="AY44" s="49"/>
      <c r="AZ44" s="49"/>
      <c r="BA44" s="49"/>
      <c r="BB44" s="49"/>
      <c r="BC44" s="49"/>
      <c r="BD44" s="49"/>
      <c r="BE44" s="50">
        <f>BE39+BE42</f>
        <v>0</v>
      </c>
      <c r="BF44" s="49"/>
      <c r="BG44" s="49"/>
      <c r="BH44" s="49"/>
      <c r="BI44" s="49"/>
      <c r="BJ44" s="49"/>
      <c r="BK44" s="49"/>
      <c r="BL44" s="49"/>
      <c r="BM44" s="49"/>
      <c r="BN44" s="49"/>
      <c r="BO44" s="49"/>
      <c r="BP44" s="49"/>
      <c r="BQ44" s="49"/>
      <c r="BR44" s="50">
        <f>BR39+BR42</f>
        <v>0</v>
      </c>
    </row>
    <row r="45" spans="1:70" ht="15">
      <c r="A45" s="34" t="s">
        <v>325</v>
      </c>
      <c r="F45" s="42"/>
      <c r="G45" s="42"/>
      <c r="H45" s="42"/>
      <c r="I45" s="42"/>
      <c r="J45" s="42"/>
      <c r="K45" s="42"/>
      <c r="L45" s="42"/>
      <c r="M45" s="42"/>
      <c r="N45" s="42"/>
      <c r="O45" s="42"/>
      <c r="P45" s="42"/>
      <c r="Q45" s="42"/>
      <c r="R45" s="53">
        <f>IF(ISERROR(R44/R18),0,(R44/R18))</f>
        <v>0</v>
      </c>
      <c r="S45" s="42"/>
      <c r="T45" s="42"/>
      <c r="U45" s="42"/>
      <c r="V45" s="42"/>
      <c r="W45" s="42"/>
      <c r="X45" s="42"/>
      <c r="Y45" s="42"/>
      <c r="Z45" s="42"/>
      <c r="AA45" s="42"/>
      <c r="AB45" s="42"/>
      <c r="AC45" s="42"/>
      <c r="AD45" s="42"/>
      <c r="AE45" s="53">
        <f>IF(ISERROR(AE44/AE18),0,(AE44/AE18))</f>
        <v>0</v>
      </c>
      <c r="AF45" s="42"/>
      <c r="AG45" s="42"/>
      <c r="AH45" s="42"/>
      <c r="AI45" s="42"/>
      <c r="AJ45" s="42"/>
      <c r="AK45" s="42"/>
      <c r="AL45" s="42"/>
      <c r="AM45" s="42"/>
      <c r="AN45" s="42"/>
      <c r="AO45" s="42"/>
      <c r="AP45" s="42"/>
      <c r="AQ45" s="42"/>
      <c r="AR45" s="53">
        <f>IF(ISERROR(AR44/AR18),0,(AR44/AR18))</f>
        <v>0</v>
      </c>
      <c r="AS45" s="42"/>
      <c r="AT45" s="42"/>
      <c r="AU45" s="42"/>
      <c r="AV45" s="42"/>
      <c r="AW45" s="42"/>
      <c r="AX45" s="42"/>
      <c r="AY45" s="42"/>
      <c r="AZ45" s="42"/>
      <c r="BA45" s="42"/>
      <c r="BB45" s="42"/>
      <c r="BC45" s="42"/>
      <c r="BD45" s="42"/>
      <c r="BE45" s="53">
        <f>IF(ISERROR(BE44/BE18),0,(BE44/BE18))</f>
        <v>0</v>
      </c>
      <c r="BF45" s="42"/>
      <c r="BG45" s="42"/>
      <c r="BH45" s="42"/>
      <c r="BI45" s="42"/>
      <c r="BJ45" s="42"/>
      <c r="BK45" s="42"/>
      <c r="BL45" s="42"/>
      <c r="BM45" s="42"/>
      <c r="BN45" s="42"/>
      <c r="BO45" s="42"/>
      <c r="BP45" s="42"/>
      <c r="BQ45" s="42"/>
      <c r="BR45" s="53">
        <f>IF(ISERROR(BR44/BR18),0,(BR44/BR18))</f>
        <v>0</v>
      </c>
    </row>
    <row r="46" spans="1:70" ht="14.25">
      <c r="A46" s="31"/>
      <c r="F46" s="42"/>
      <c r="G46" s="42"/>
      <c r="H46" s="42"/>
      <c r="I46" s="42"/>
      <c r="J46" s="42"/>
      <c r="K46" s="42"/>
      <c r="L46" s="42"/>
      <c r="M46" s="42"/>
      <c r="N46" s="42"/>
      <c r="O46" s="42"/>
      <c r="P46" s="42"/>
      <c r="Q46" s="42"/>
      <c r="R46" s="43"/>
      <c r="S46" s="42"/>
      <c r="T46" s="42"/>
      <c r="U46" s="42"/>
      <c r="V46" s="42"/>
      <c r="W46" s="42"/>
      <c r="X46" s="42"/>
      <c r="Y46" s="42"/>
      <c r="Z46" s="42"/>
      <c r="AA46" s="42"/>
      <c r="AB46" s="42"/>
      <c r="AC46" s="42"/>
      <c r="AD46" s="42"/>
      <c r="AE46" s="43"/>
      <c r="AF46" s="42"/>
      <c r="AG46" s="42"/>
      <c r="AH46" s="42"/>
      <c r="AI46" s="42"/>
      <c r="AJ46" s="42"/>
      <c r="AK46" s="42"/>
      <c r="AL46" s="42"/>
      <c r="AM46" s="42"/>
      <c r="AN46" s="42"/>
      <c r="AO46" s="42"/>
      <c r="AP46" s="42"/>
      <c r="AQ46" s="42"/>
      <c r="AR46" s="43"/>
      <c r="AS46" s="42"/>
      <c r="AT46" s="42"/>
      <c r="AU46" s="42"/>
      <c r="AV46" s="42"/>
      <c r="AW46" s="42"/>
      <c r="AX46" s="42"/>
      <c r="AY46" s="42"/>
      <c r="AZ46" s="42"/>
      <c r="BA46" s="42"/>
      <c r="BB46" s="42"/>
      <c r="BC46" s="42"/>
      <c r="BD46" s="42"/>
      <c r="BE46" s="43"/>
      <c r="BF46" s="42"/>
      <c r="BG46" s="42"/>
      <c r="BH46" s="42"/>
      <c r="BI46" s="42"/>
      <c r="BJ46" s="42"/>
      <c r="BK46" s="42"/>
      <c r="BL46" s="42"/>
      <c r="BM46" s="42"/>
      <c r="BN46" s="42"/>
      <c r="BO46" s="42"/>
      <c r="BP46" s="42"/>
      <c r="BQ46" s="42"/>
      <c r="BR46" s="43"/>
    </row>
    <row r="47" spans="1:70" ht="15">
      <c r="A47" s="34" t="s">
        <v>81</v>
      </c>
      <c r="F47" s="42"/>
      <c r="G47" s="42"/>
      <c r="H47" s="42"/>
      <c r="I47" s="42"/>
      <c r="J47" s="42"/>
      <c r="K47" s="42"/>
      <c r="L47" s="42"/>
      <c r="M47" s="42"/>
      <c r="N47" s="42"/>
      <c r="O47" s="42"/>
      <c r="P47" s="42"/>
      <c r="Q47" s="42"/>
      <c r="R47" s="36">
        <v>0</v>
      </c>
      <c r="S47" s="42"/>
      <c r="T47" s="42"/>
      <c r="U47" s="42"/>
      <c r="V47" s="42"/>
      <c r="W47" s="42"/>
      <c r="X47" s="42"/>
      <c r="Y47" s="42"/>
      <c r="Z47" s="42"/>
      <c r="AA47" s="42"/>
      <c r="AB47" s="42"/>
      <c r="AC47" s="42"/>
      <c r="AD47" s="42"/>
      <c r="AE47" s="36">
        <v>0</v>
      </c>
      <c r="AF47" s="42"/>
      <c r="AG47" s="42"/>
      <c r="AH47" s="42"/>
      <c r="AI47" s="42"/>
      <c r="AJ47" s="42"/>
      <c r="AK47" s="42"/>
      <c r="AL47" s="42"/>
      <c r="AM47" s="42"/>
      <c r="AN47" s="42"/>
      <c r="AO47" s="42"/>
      <c r="AP47" s="42"/>
      <c r="AQ47" s="42"/>
      <c r="AR47" s="36">
        <v>0</v>
      </c>
      <c r="AS47" s="42"/>
      <c r="AT47" s="42"/>
      <c r="AU47" s="42"/>
      <c r="AV47" s="42"/>
      <c r="AW47" s="42"/>
      <c r="AX47" s="42"/>
      <c r="AY47" s="42"/>
      <c r="AZ47" s="42"/>
      <c r="BA47" s="42"/>
      <c r="BB47" s="42"/>
      <c r="BC47" s="42"/>
      <c r="BD47" s="42"/>
      <c r="BE47" s="36">
        <v>0</v>
      </c>
      <c r="BF47" s="42"/>
      <c r="BG47" s="42"/>
      <c r="BH47" s="42"/>
      <c r="BI47" s="42"/>
      <c r="BJ47" s="42"/>
      <c r="BK47" s="42"/>
      <c r="BL47" s="42"/>
      <c r="BM47" s="42"/>
      <c r="BN47" s="42"/>
      <c r="BO47" s="42"/>
      <c r="BP47" s="42"/>
      <c r="BQ47" s="42"/>
      <c r="BR47" s="36">
        <v>0</v>
      </c>
    </row>
    <row r="48" spans="1:70" ht="14.25">
      <c r="A48" s="31"/>
      <c r="F48" s="42"/>
      <c r="G48" s="42"/>
      <c r="H48" s="42"/>
      <c r="I48" s="42"/>
      <c r="J48" s="42"/>
      <c r="K48" s="42"/>
      <c r="L48" s="42"/>
      <c r="M48" s="42"/>
      <c r="N48" s="42"/>
      <c r="O48" s="42"/>
      <c r="P48" s="42"/>
      <c r="Q48" s="42"/>
      <c r="R48" s="43"/>
      <c r="S48" s="42"/>
      <c r="T48" s="42"/>
      <c r="U48" s="42"/>
      <c r="V48" s="42"/>
      <c r="W48" s="42"/>
      <c r="X48" s="42"/>
      <c r="Y48" s="42"/>
      <c r="Z48" s="42"/>
      <c r="AA48" s="42"/>
      <c r="AB48" s="42"/>
      <c r="AC48" s="42"/>
      <c r="AD48" s="42"/>
      <c r="AE48" s="43"/>
      <c r="AF48" s="42"/>
      <c r="AG48" s="42"/>
      <c r="AH48" s="42"/>
      <c r="AI48" s="42"/>
      <c r="AJ48" s="42"/>
      <c r="AK48" s="42"/>
      <c r="AL48" s="42"/>
      <c r="AM48" s="42"/>
      <c r="AN48" s="42"/>
      <c r="AO48" s="42"/>
      <c r="AP48" s="42"/>
      <c r="AQ48" s="42"/>
      <c r="AR48" s="43"/>
      <c r="AS48" s="42"/>
      <c r="AT48" s="42"/>
      <c r="AU48" s="42"/>
      <c r="AV48" s="42"/>
      <c r="AW48" s="42"/>
      <c r="AX48" s="42"/>
      <c r="AY48" s="42"/>
      <c r="AZ48" s="42"/>
      <c r="BA48" s="42"/>
      <c r="BB48" s="42"/>
      <c r="BC48" s="42"/>
      <c r="BD48" s="42"/>
      <c r="BE48" s="43"/>
      <c r="BF48" s="42"/>
      <c r="BG48" s="42"/>
      <c r="BH48" s="42"/>
      <c r="BI48" s="42"/>
      <c r="BJ48" s="42"/>
      <c r="BK48" s="42"/>
      <c r="BL48" s="42"/>
      <c r="BM48" s="42"/>
      <c r="BN48" s="42"/>
      <c r="BO48" s="42"/>
      <c r="BP48" s="42"/>
      <c r="BQ48" s="42"/>
      <c r="BR48" s="43"/>
    </row>
    <row r="49" spans="1:70" ht="15">
      <c r="A49" s="48" t="s">
        <v>408</v>
      </c>
      <c r="F49" s="49"/>
      <c r="G49" s="49"/>
      <c r="H49" s="49"/>
      <c r="I49" s="49"/>
      <c r="J49" s="49"/>
      <c r="K49" s="49"/>
      <c r="L49" s="49"/>
      <c r="M49" s="49"/>
      <c r="N49" s="49"/>
      <c r="O49" s="49"/>
      <c r="P49" s="49"/>
      <c r="Q49" s="49"/>
      <c r="R49" s="50">
        <f>R44+R47</f>
        <v>0</v>
      </c>
      <c r="S49" s="49"/>
      <c r="T49" s="49"/>
      <c r="U49" s="49"/>
      <c r="V49" s="49"/>
      <c r="W49" s="49"/>
      <c r="X49" s="49"/>
      <c r="Y49" s="49"/>
      <c r="Z49" s="49"/>
      <c r="AA49" s="49"/>
      <c r="AB49" s="49"/>
      <c r="AC49" s="49"/>
      <c r="AD49" s="49"/>
      <c r="AE49" s="50">
        <f>AE44+AE47</f>
        <v>0</v>
      </c>
      <c r="AF49" s="49"/>
      <c r="AG49" s="49"/>
      <c r="AH49" s="49"/>
      <c r="AI49" s="49"/>
      <c r="AJ49" s="49"/>
      <c r="AK49" s="49"/>
      <c r="AL49" s="49"/>
      <c r="AM49" s="49"/>
      <c r="AN49" s="49"/>
      <c r="AO49" s="49"/>
      <c r="AP49" s="49"/>
      <c r="AQ49" s="49"/>
      <c r="AR49" s="50">
        <f>AR44+AR47</f>
        <v>0</v>
      </c>
      <c r="AS49" s="49"/>
      <c r="AT49" s="49"/>
      <c r="AU49" s="49"/>
      <c r="AV49" s="49"/>
      <c r="AW49" s="49"/>
      <c r="AX49" s="49"/>
      <c r="AY49" s="49"/>
      <c r="AZ49" s="49"/>
      <c r="BA49" s="49"/>
      <c r="BB49" s="49"/>
      <c r="BC49" s="49"/>
      <c r="BD49" s="49"/>
      <c r="BE49" s="50">
        <f>BE44+BE47</f>
        <v>0</v>
      </c>
      <c r="BF49" s="49"/>
      <c r="BG49" s="49"/>
      <c r="BH49" s="49"/>
      <c r="BI49" s="49"/>
      <c r="BJ49" s="49"/>
      <c r="BK49" s="49"/>
      <c r="BL49" s="49"/>
      <c r="BM49" s="49"/>
      <c r="BN49" s="49"/>
      <c r="BO49" s="49"/>
      <c r="BP49" s="49"/>
      <c r="BQ49" s="49"/>
      <c r="BR49" s="50">
        <f>BR44+BR47</f>
        <v>0</v>
      </c>
    </row>
    <row r="50" spans="1:70" ht="15">
      <c r="A50" s="34" t="s">
        <v>326</v>
      </c>
      <c r="F50" s="42"/>
      <c r="G50" s="42"/>
      <c r="H50" s="42"/>
      <c r="I50" s="42"/>
      <c r="J50" s="42"/>
      <c r="K50" s="42"/>
      <c r="L50" s="42"/>
      <c r="M50" s="42"/>
      <c r="N50" s="42"/>
      <c r="O50" s="42"/>
      <c r="P50" s="42"/>
      <c r="Q50" s="42"/>
      <c r="R50" s="53">
        <f>IF(ISERROR(R49/R18),0,(R49/R18))</f>
        <v>0</v>
      </c>
      <c r="S50" s="42"/>
      <c r="T50" s="42"/>
      <c r="U50" s="42"/>
      <c r="V50" s="42"/>
      <c r="W50" s="42"/>
      <c r="X50" s="42"/>
      <c r="Y50" s="42"/>
      <c r="Z50" s="42"/>
      <c r="AA50" s="42"/>
      <c r="AB50" s="42"/>
      <c r="AC50" s="42"/>
      <c r="AD50" s="42"/>
      <c r="AE50" s="53">
        <f>IF(ISERROR(AE49/AE18),0,(AE49/AE18))</f>
        <v>0</v>
      </c>
      <c r="AF50" s="42"/>
      <c r="AG50" s="42"/>
      <c r="AH50" s="42"/>
      <c r="AI50" s="42"/>
      <c r="AJ50" s="42"/>
      <c r="AK50" s="42"/>
      <c r="AL50" s="42"/>
      <c r="AM50" s="42"/>
      <c r="AN50" s="42"/>
      <c r="AO50" s="42"/>
      <c r="AP50" s="42"/>
      <c r="AQ50" s="42"/>
      <c r="AR50" s="53">
        <f>IF(ISERROR(AR49/AR18),0,(AR49/AR18))</f>
        <v>0</v>
      </c>
      <c r="AS50" s="42"/>
      <c r="AT50" s="42"/>
      <c r="AU50" s="42"/>
      <c r="AV50" s="42"/>
      <c r="AW50" s="42"/>
      <c r="AX50" s="42"/>
      <c r="AY50" s="42"/>
      <c r="AZ50" s="42"/>
      <c r="BA50" s="42"/>
      <c r="BB50" s="42"/>
      <c r="BC50" s="42"/>
      <c r="BD50" s="42"/>
      <c r="BE50" s="53">
        <f>IF(ISERROR(BE49/BE18),0,(BE49/BE18))</f>
        <v>0</v>
      </c>
      <c r="BF50" s="42"/>
      <c r="BG50" s="42"/>
      <c r="BH50" s="42"/>
      <c r="BI50" s="42"/>
      <c r="BJ50" s="42"/>
      <c r="BK50" s="42"/>
      <c r="BL50" s="42"/>
      <c r="BM50" s="42"/>
      <c r="BN50" s="42"/>
      <c r="BO50" s="42"/>
      <c r="BP50" s="42"/>
      <c r="BQ50" s="42"/>
      <c r="BR50" s="53">
        <f>IF(ISERROR(BR49/BR18),0,(BR49/BR18))</f>
        <v>0</v>
      </c>
    </row>
    <row r="51" spans="1:70" ht="14.25">
      <c r="A51" s="31"/>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row>
    <row r="52" spans="1:70" ht="14.25">
      <c r="A52" s="31"/>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row>
    <row r="53" spans="1:70" ht="14.25">
      <c r="A53" s="29" t="s">
        <v>406</v>
      </c>
      <c r="B53" s="30"/>
      <c r="C53" s="30"/>
      <c r="D53" s="30"/>
      <c r="E53" s="30"/>
      <c r="F53" s="30"/>
      <c r="G53" s="30"/>
      <c r="H53" s="30"/>
      <c r="I53" s="30"/>
      <c r="J53" s="30"/>
      <c r="K53" s="30"/>
      <c r="L53" s="30"/>
      <c r="M53" s="30"/>
      <c r="N53" s="30"/>
      <c r="O53" s="30"/>
      <c r="P53" s="30"/>
      <c r="Q53" s="30"/>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54"/>
      <c r="BH53" s="54"/>
      <c r="BI53" s="54"/>
      <c r="BJ53" s="54"/>
      <c r="BK53" s="54"/>
      <c r="BL53" s="54"/>
      <c r="BM53" s="54"/>
      <c r="BN53" s="54"/>
      <c r="BO53" s="54"/>
      <c r="BP53" s="54"/>
      <c r="BQ53" s="54"/>
      <c r="BR53" s="54"/>
    </row>
    <row r="54" spans="1:70" ht="14.25" outlineLevel="1">
      <c r="A54" s="31"/>
      <c r="F54" s="59" t="s">
        <v>47</v>
      </c>
      <c r="G54" s="59" t="s">
        <v>47</v>
      </c>
      <c r="H54" s="59" t="s">
        <v>47</v>
      </c>
      <c r="I54" s="59" t="s">
        <v>47</v>
      </c>
      <c r="J54" s="59" t="s">
        <v>47</v>
      </c>
      <c r="K54" s="59" t="s">
        <v>47</v>
      </c>
      <c r="L54" s="59" t="s">
        <v>47</v>
      </c>
      <c r="M54" s="59" t="s">
        <v>47</v>
      </c>
      <c r="N54" s="59" t="s">
        <v>47</v>
      </c>
      <c r="O54" s="59" t="s">
        <v>47</v>
      </c>
      <c r="P54" s="59" t="s">
        <v>47</v>
      </c>
      <c r="Q54" s="59" t="s">
        <v>47</v>
      </c>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row>
    <row r="55" spans="1:70" ht="15" outlineLevel="1">
      <c r="A55" s="34" t="s">
        <v>52</v>
      </c>
      <c r="F55" s="59" t="s">
        <v>86</v>
      </c>
      <c r="G55" s="59" t="s">
        <v>87</v>
      </c>
      <c r="H55" s="59" t="s">
        <v>88</v>
      </c>
      <c r="I55" s="59" t="s">
        <v>89</v>
      </c>
      <c r="J55" s="59" t="s">
        <v>90</v>
      </c>
      <c r="K55" s="59" t="s">
        <v>91</v>
      </c>
      <c r="L55" s="59" t="s">
        <v>92</v>
      </c>
      <c r="M55" s="59" t="s">
        <v>93</v>
      </c>
      <c r="N55" s="59" t="s">
        <v>94</v>
      </c>
      <c r="O55" s="59" t="s">
        <v>95</v>
      </c>
      <c r="P55" s="59" t="s">
        <v>96</v>
      </c>
      <c r="Q55" s="59" t="s">
        <v>97</v>
      </c>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row>
    <row r="56" spans="1:70" ht="15" outlineLevel="1">
      <c r="A56" s="27" t="s">
        <v>53</v>
      </c>
      <c r="F56" s="36">
        <v>0</v>
      </c>
      <c r="G56" s="36">
        <v>0</v>
      </c>
      <c r="H56" s="36">
        <v>0</v>
      </c>
      <c r="I56" s="36">
        <v>0</v>
      </c>
      <c r="J56" s="36">
        <v>0</v>
      </c>
      <c r="K56" s="36">
        <v>0</v>
      </c>
      <c r="L56" s="36">
        <v>0</v>
      </c>
      <c r="M56" s="36">
        <v>0</v>
      </c>
      <c r="N56" s="36">
        <v>0</v>
      </c>
      <c r="O56" s="36">
        <v>0</v>
      </c>
      <c r="P56" s="36">
        <v>0</v>
      </c>
      <c r="Q56" s="36">
        <v>0</v>
      </c>
      <c r="R56" s="43"/>
      <c r="S56" s="36">
        <v>0</v>
      </c>
      <c r="T56" s="36">
        <v>0</v>
      </c>
      <c r="U56" s="36">
        <v>0</v>
      </c>
      <c r="V56" s="36">
        <v>0</v>
      </c>
      <c r="W56" s="36">
        <v>0</v>
      </c>
      <c r="X56" s="36">
        <v>0</v>
      </c>
      <c r="Y56" s="36">
        <v>0</v>
      </c>
      <c r="Z56" s="36">
        <v>0</v>
      </c>
      <c r="AA56" s="36">
        <v>0</v>
      </c>
      <c r="AB56" s="36">
        <v>0</v>
      </c>
      <c r="AC56" s="36">
        <v>0</v>
      </c>
      <c r="AD56" s="36">
        <v>0</v>
      </c>
      <c r="AE56" s="43"/>
      <c r="AF56" s="36">
        <v>0</v>
      </c>
      <c r="AG56" s="36">
        <v>0</v>
      </c>
      <c r="AH56" s="36">
        <v>0</v>
      </c>
      <c r="AI56" s="36">
        <v>0</v>
      </c>
      <c r="AJ56" s="36">
        <v>0</v>
      </c>
      <c r="AK56" s="36">
        <v>0</v>
      </c>
      <c r="AL56" s="36">
        <v>0</v>
      </c>
      <c r="AM56" s="36">
        <v>0</v>
      </c>
      <c r="AN56" s="36">
        <v>0</v>
      </c>
      <c r="AO56" s="36">
        <v>0</v>
      </c>
      <c r="AP56" s="36">
        <v>0</v>
      </c>
      <c r="AQ56" s="36">
        <v>0</v>
      </c>
      <c r="AR56" s="43"/>
      <c r="AS56" s="36">
        <v>0</v>
      </c>
      <c r="AT56" s="36">
        <v>0</v>
      </c>
      <c r="AU56" s="36">
        <v>0</v>
      </c>
      <c r="AV56" s="36">
        <v>0</v>
      </c>
      <c r="AW56" s="36">
        <v>0</v>
      </c>
      <c r="AX56" s="36">
        <v>0</v>
      </c>
      <c r="AY56" s="36">
        <v>0</v>
      </c>
      <c r="AZ56" s="36">
        <v>0</v>
      </c>
      <c r="BA56" s="36">
        <v>0</v>
      </c>
      <c r="BB56" s="36">
        <v>0</v>
      </c>
      <c r="BC56" s="36">
        <v>0</v>
      </c>
      <c r="BD56" s="36">
        <v>0</v>
      </c>
      <c r="BE56" s="43"/>
      <c r="BF56" s="36">
        <v>0</v>
      </c>
      <c r="BG56" s="36">
        <v>0</v>
      </c>
      <c r="BH56" s="36">
        <v>0</v>
      </c>
      <c r="BI56" s="36">
        <v>0</v>
      </c>
      <c r="BJ56" s="36">
        <v>0</v>
      </c>
      <c r="BK56" s="36">
        <v>0</v>
      </c>
      <c r="BL56" s="36">
        <v>0</v>
      </c>
      <c r="BM56" s="36">
        <v>0</v>
      </c>
      <c r="BN56" s="36">
        <v>0</v>
      </c>
      <c r="BO56" s="36">
        <v>0</v>
      </c>
      <c r="BP56" s="36">
        <v>0</v>
      </c>
      <c r="BQ56" s="36">
        <v>0</v>
      </c>
      <c r="BR56" s="43"/>
    </row>
    <row r="57" spans="1:70" ht="15" outlineLevel="1">
      <c r="A57" s="37" t="s">
        <v>54</v>
      </c>
      <c r="F57" s="36">
        <v>0</v>
      </c>
      <c r="G57" s="36">
        <v>0</v>
      </c>
      <c r="H57" s="36">
        <v>0</v>
      </c>
      <c r="I57" s="36">
        <v>0</v>
      </c>
      <c r="J57" s="36">
        <v>0</v>
      </c>
      <c r="K57" s="36">
        <v>0</v>
      </c>
      <c r="L57" s="36">
        <v>0</v>
      </c>
      <c r="M57" s="36">
        <v>0</v>
      </c>
      <c r="N57" s="36">
        <v>0</v>
      </c>
      <c r="O57" s="36">
        <v>0</v>
      </c>
      <c r="P57" s="36">
        <v>0</v>
      </c>
      <c r="Q57" s="36">
        <v>0</v>
      </c>
      <c r="R57" s="43"/>
      <c r="S57" s="36">
        <v>0</v>
      </c>
      <c r="T57" s="36">
        <v>0</v>
      </c>
      <c r="U57" s="36">
        <v>0</v>
      </c>
      <c r="V57" s="36">
        <v>0</v>
      </c>
      <c r="W57" s="36">
        <v>0</v>
      </c>
      <c r="X57" s="36">
        <v>0</v>
      </c>
      <c r="Y57" s="36">
        <v>0</v>
      </c>
      <c r="Z57" s="36">
        <v>0</v>
      </c>
      <c r="AA57" s="36">
        <v>0</v>
      </c>
      <c r="AB57" s="36">
        <v>0</v>
      </c>
      <c r="AC57" s="36">
        <v>0</v>
      </c>
      <c r="AD57" s="36">
        <v>0</v>
      </c>
      <c r="AE57" s="43"/>
      <c r="AF57" s="36">
        <v>0</v>
      </c>
      <c r="AG57" s="36">
        <v>0</v>
      </c>
      <c r="AH57" s="36">
        <v>0</v>
      </c>
      <c r="AI57" s="36">
        <v>0</v>
      </c>
      <c r="AJ57" s="36">
        <v>0</v>
      </c>
      <c r="AK57" s="36">
        <v>0</v>
      </c>
      <c r="AL57" s="36">
        <v>0</v>
      </c>
      <c r="AM57" s="36">
        <v>0</v>
      </c>
      <c r="AN57" s="36">
        <v>0</v>
      </c>
      <c r="AO57" s="36">
        <v>0</v>
      </c>
      <c r="AP57" s="36">
        <v>0</v>
      </c>
      <c r="AQ57" s="36">
        <v>0</v>
      </c>
      <c r="AR57" s="43"/>
      <c r="AS57" s="36">
        <v>0</v>
      </c>
      <c r="AT57" s="36">
        <v>0</v>
      </c>
      <c r="AU57" s="36">
        <v>0</v>
      </c>
      <c r="AV57" s="36">
        <v>0</v>
      </c>
      <c r="AW57" s="36">
        <v>0</v>
      </c>
      <c r="AX57" s="36">
        <v>0</v>
      </c>
      <c r="AY57" s="36">
        <v>0</v>
      </c>
      <c r="AZ57" s="36">
        <v>0</v>
      </c>
      <c r="BA57" s="36">
        <v>0</v>
      </c>
      <c r="BB57" s="36">
        <v>0</v>
      </c>
      <c r="BC57" s="36">
        <v>0</v>
      </c>
      <c r="BD57" s="36">
        <v>0</v>
      </c>
      <c r="BE57" s="43"/>
      <c r="BF57" s="36">
        <v>0</v>
      </c>
      <c r="BG57" s="36">
        <v>0</v>
      </c>
      <c r="BH57" s="36">
        <v>0</v>
      </c>
      <c r="BI57" s="36">
        <v>0</v>
      </c>
      <c r="BJ57" s="36">
        <v>0</v>
      </c>
      <c r="BK57" s="36">
        <v>0</v>
      </c>
      <c r="BL57" s="36">
        <v>0</v>
      </c>
      <c r="BM57" s="36">
        <v>0</v>
      </c>
      <c r="BN57" s="36">
        <v>0</v>
      </c>
      <c r="BO57" s="36">
        <v>0</v>
      </c>
      <c r="BP57" s="36">
        <v>0</v>
      </c>
      <c r="BQ57" s="36">
        <v>0</v>
      </c>
      <c r="BR57" s="43"/>
    </row>
    <row r="58" spans="1:70" ht="15" outlineLevel="1">
      <c r="A58" s="37" t="s">
        <v>55</v>
      </c>
      <c r="F58" s="36">
        <v>0</v>
      </c>
      <c r="G58" s="36">
        <v>0</v>
      </c>
      <c r="H58" s="36">
        <v>0</v>
      </c>
      <c r="I58" s="36">
        <v>0</v>
      </c>
      <c r="J58" s="36">
        <v>0</v>
      </c>
      <c r="K58" s="36">
        <v>0</v>
      </c>
      <c r="L58" s="36">
        <v>0</v>
      </c>
      <c r="M58" s="36">
        <v>0</v>
      </c>
      <c r="N58" s="36">
        <v>0</v>
      </c>
      <c r="O58" s="36">
        <v>0</v>
      </c>
      <c r="P58" s="36">
        <v>0</v>
      </c>
      <c r="Q58" s="36">
        <v>0</v>
      </c>
      <c r="R58" s="43"/>
      <c r="S58" s="36">
        <v>0</v>
      </c>
      <c r="T58" s="36">
        <v>0</v>
      </c>
      <c r="U58" s="36">
        <v>0</v>
      </c>
      <c r="V58" s="36">
        <v>0</v>
      </c>
      <c r="W58" s="36">
        <v>0</v>
      </c>
      <c r="X58" s="36">
        <v>0</v>
      </c>
      <c r="Y58" s="36">
        <v>0</v>
      </c>
      <c r="Z58" s="36">
        <v>0</v>
      </c>
      <c r="AA58" s="36">
        <v>0</v>
      </c>
      <c r="AB58" s="36">
        <v>0</v>
      </c>
      <c r="AC58" s="36">
        <v>0</v>
      </c>
      <c r="AD58" s="36">
        <v>0</v>
      </c>
      <c r="AE58" s="43"/>
      <c r="AF58" s="36">
        <v>0</v>
      </c>
      <c r="AG58" s="36">
        <v>0</v>
      </c>
      <c r="AH58" s="36">
        <v>0</v>
      </c>
      <c r="AI58" s="36">
        <v>0</v>
      </c>
      <c r="AJ58" s="36">
        <v>0</v>
      </c>
      <c r="AK58" s="36">
        <v>0</v>
      </c>
      <c r="AL58" s="36">
        <v>0</v>
      </c>
      <c r="AM58" s="36">
        <v>0</v>
      </c>
      <c r="AN58" s="36">
        <v>0</v>
      </c>
      <c r="AO58" s="36">
        <v>0</v>
      </c>
      <c r="AP58" s="36">
        <v>0</v>
      </c>
      <c r="AQ58" s="36">
        <v>0</v>
      </c>
      <c r="AR58" s="43"/>
      <c r="AS58" s="36">
        <v>0</v>
      </c>
      <c r="AT58" s="36">
        <v>0</v>
      </c>
      <c r="AU58" s="36">
        <v>0</v>
      </c>
      <c r="AV58" s="36">
        <v>0</v>
      </c>
      <c r="AW58" s="36">
        <v>0</v>
      </c>
      <c r="AX58" s="36">
        <v>0</v>
      </c>
      <c r="AY58" s="36">
        <v>0</v>
      </c>
      <c r="AZ58" s="36">
        <v>0</v>
      </c>
      <c r="BA58" s="36">
        <v>0</v>
      </c>
      <c r="BB58" s="36">
        <v>0</v>
      </c>
      <c r="BC58" s="36">
        <v>0</v>
      </c>
      <c r="BD58" s="36">
        <v>0</v>
      </c>
      <c r="BE58" s="43"/>
      <c r="BF58" s="36">
        <v>0</v>
      </c>
      <c r="BG58" s="36">
        <v>0</v>
      </c>
      <c r="BH58" s="36">
        <v>0</v>
      </c>
      <c r="BI58" s="36">
        <v>0</v>
      </c>
      <c r="BJ58" s="36">
        <v>0</v>
      </c>
      <c r="BK58" s="36">
        <v>0</v>
      </c>
      <c r="BL58" s="36">
        <v>0</v>
      </c>
      <c r="BM58" s="36">
        <v>0</v>
      </c>
      <c r="BN58" s="36">
        <v>0</v>
      </c>
      <c r="BO58" s="36">
        <v>0</v>
      </c>
      <c r="BP58" s="36">
        <v>0</v>
      </c>
      <c r="BQ58" s="36">
        <v>0</v>
      </c>
      <c r="BR58" s="43"/>
    </row>
    <row r="59" spans="1:70" ht="15" outlineLevel="1">
      <c r="A59" s="37" t="s">
        <v>56</v>
      </c>
      <c r="F59" s="36">
        <v>0</v>
      </c>
      <c r="G59" s="36">
        <v>0</v>
      </c>
      <c r="H59" s="36">
        <v>0</v>
      </c>
      <c r="I59" s="36">
        <v>0</v>
      </c>
      <c r="J59" s="36">
        <v>0</v>
      </c>
      <c r="K59" s="36">
        <v>0</v>
      </c>
      <c r="L59" s="36">
        <v>0</v>
      </c>
      <c r="M59" s="36">
        <v>0</v>
      </c>
      <c r="N59" s="36">
        <v>0</v>
      </c>
      <c r="O59" s="36">
        <v>0</v>
      </c>
      <c r="P59" s="36">
        <v>0</v>
      </c>
      <c r="Q59" s="36">
        <v>0</v>
      </c>
      <c r="R59" s="43"/>
      <c r="S59" s="36">
        <v>0</v>
      </c>
      <c r="T59" s="36">
        <v>0</v>
      </c>
      <c r="U59" s="36">
        <v>0</v>
      </c>
      <c r="V59" s="36">
        <v>0</v>
      </c>
      <c r="W59" s="36">
        <v>0</v>
      </c>
      <c r="X59" s="36">
        <v>0</v>
      </c>
      <c r="Y59" s="36">
        <v>0</v>
      </c>
      <c r="Z59" s="36">
        <v>0</v>
      </c>
      <c r="AA59" s="36">
        <v>0</v>
      </c>
      <c r="AB59" s="36">
        <v>0</v>
      </c>
      <c r="AC59" s="36">
        <v>0</v>
      </c>
      <c r="AD59" s="36">
        <v>0</v>
      </c>
      <c r="AE59" s="43"/>
      <c r="AF59" s="36">
        <v>0</v>
      </c>
      <c r="AG59" s="36">
        <v>0</v>
      </c>
      <c r="AH59" s="36">
        <v>0</v>
      </c>
      <c r="AI59" s="36">
        <v>0</v>
      </c>
      <c r="AJ59" s="36">
        <v>0</v>
      </c>
      <c r="AK59" s="36">
        <v>0</v>
      </c>
      <c r="AL59" s="36">
        <v>0</v>
      </c>
      <c r="AM59" s="36">
        <v>0</v>
      </c>
      <c r="AN59" s="36">
        <v>0</v>
      </c>
      <c r="AO59" s="36">
        <v>0</v>
      </c>
      <c r="AP59" s="36">
        <v>0</v>
      </c>
      <c r="AQ59" s="36">
        <v>0</v>
      </c>
      <c r="AR59" s="43"/>
      <c r="AS59" s="36">
        <v>0</v>
      </c>
      <c r="AT59" s="36">
        <v>0</v>
      </c>
      <c r="AU59" s="36">
        <v>0</v>
      </c>
      <c r="AV59" s="36">
        <v>0</v>
      </c>
      <c r="AW59" s="36">
        <v>0</v>
      </c>
      <c r="AX59" s="36">
        <v>0</v>
      </c>
      <c r="AY59" s="36">
        <v>0</v>
      </c>
      <c r="AZ59" s="36">
        <v>0</v>
      </c>
      <c r="BA59" s="36">
        <v>0</v>
      </c>
      <c r="BB59" s="36">
        <v>0</v>
      </c>
      <c r="BC59" s="36">
        <v>0</v>
      </c>
      <c r="BD59" s="36">
        <v>0</v>
      </c>
      <c r="BE59" s="43"/>
      <c r="BF59" s="36">
        <v>0</v>
      </c>
      <c r="BG59" s="36">
        <v>0</v>
      </c>
      <c r="BH59" s="36">
        <v>0</v>
      </c>
      <c r="BI59" s="36">
        <v>0</v>
      </c>
      <c r="BJ59" s="36">
        <v>0</v>
      </c>
      <c r="BK59" s="36">
        <v>0</v>
      </c>
      <c r="BL59" s="36">
        <v>0</v>
      </c>
      <c r="BM59" s="36">
        <v>0</v>
      </c>
      <c r="BN59" s="36">
        <v>0</v>
      </c>
      <c r="BO59" s="36">
        <v>0</v>
      </c>
      <c r="BP59" s="36">
        <v>0</v>
      </c>
      <c r="BQ59" s="36">
        <v>0</v>
      </c>
      <c r="BR59" s="43"/>
    </row>
    <row r="60" spans="1:70" ht="15" outlineLevel="1">
      <c r="A60" s="27" t="s">
        <v>57</v>
      </c>
      <c r="F60" s="36">
        <v>0</v>
      </c>
      <c r="G60" s="36">
        <v>0</v>
      </c>
      <c r="H60" s="36">
        <v>0</v>
      </c>
      <c r="I60" s="36">
        <v>0</v>
      </c>
      <c r="J60" s="36">
        <v>0</v>
      </c>
      <c r="K60" s="36">
        <v>0</v>
      </c>
      <c r="L60" s="36">
        <v>0</v>
      </c>
      <c r="M60" s="36">
        <v>0</v>
      </c>
      <c r="N60" s="36">
        <v>0</v>
      </c>
      <c r="O60" s="36">
        <v>0</v>
      </c>
      <c r="P60" s="36">
        <v>0</v>
      </c>
      <c r="Q60" s="36">
        <v>0</v>
      </c>
      <c r="R60" s="43"/>
      <c r="S60" s="36">
        <v>0</v>
      </c>
      <c r="T60" s="36">
        <v>0</v>
      </c>
      <c r="U60" s="36">
        <v>0</v>
      </c>
      <c r="V60" s="36">
        <v>0</v>
      </c>
      <c r="W60" s="36">
        <v>0</v>
      </c>
      <c r="X60" s="36">
        <v>0</v>
      </c>
      <c r="Y60" s="36">
        <v>0</v>
      </c>
      <c r="Z60" s="36">
        <v>0</v>
      </c>
      <c r="AA60" s="36">
        <v>0</v>
      </c>
      <c r="AB60" s="36">
        <v>0</v>
      </c>
      <c r="AC60" s="36">
        <v>0</v>
      </c>
      <c r="AD60" s="36">
        <v>0</v>
      </c>
      <c r="AE60" s="43"/>
      <c r="AF60" s="36">
        <v>0</v>
      </c>
      <c r="AG60" s="36">
        <v>0</v>
      </c>
      <c r="AH60" s="36">
        <v>0</v>
      </c>
      <c r="AI60" s="36">
        <v>0</v>
      </c>
      <c r="AJ60" s="36">
        <v>0</v>
      </c>
      <c r="AK60" s="36">
        <v>0</v>
      </c>
      <c r="AL60" s="36">
        <v>0</v>
      </c>
      <c r="AM60" s="36">
        <v>0</v>
      </c>
      <c r="AN60" s="36">
        <v>0</v>
      </c>
      <c r="AO60" s="36">
        <v>0</v>
      </c>
      <c r="AP60" s="36">
        <v>0</v>
      </c>
      <c r="AQ60" s="36">
        <v>0</v>
      </c>
      <c r="AR60" s="43"/>
      <c r="AS60" s="36">
        <v>0</v>
      </c>
      <c r="AT60" s="36">
        <v>0</v>
      </c>
      <c r="AU60" s="36">
        <v>0</v>
      </c>
      <c r="AV60" s="36">
        <v>0</v>
      </c>
      <c r="AW60" s="36">
        <v>0</v>
      </c>
      <c r="AX60" s="36">
        <v>0</v>
      </c>
      <c r="AY60" s="36">
        <v>0</v>
      </c>
      <c r="AZ60" s="36">
        <v>0</v>
      </c>
      <c r="BA60" s="36">
        <v>0</v>
      </c>
      <c r="BB60" s="36">
        <v>0</v>
      </c>
      <c r="BC60" s="36">
        <v>0</v>
      </c>
      <c r="BD60" s="36">
        <v>0</v>
      </c>
      <c r="BE60" s="43"/>
      <c r="BF60" s="36">
        <v>0</v>
      </c>
      <c r="BG60" s="36">
        <v>0</v>
      </c>
      <c r="BH60" s="36">
        <v>0</v>
      </c>
      <c r="BI60" s="36">
        <v>0</v>
      </c>
      <c r="BJ60" s="36">
        <v>0</v>
      </c>
      <c r="BK60" s="36">
        <v>0</v>
      </c>
      <c r="BL60" s="36">
        <v>0</v>
      </c>
      <c r="BM60" s="36">
        <v>0</v>
      </c>
      <c r="BN60" s="36">
        <v>0</v>
      </c>
      <c r="BO60" s="36">
        <v>0</v>
      </c>
      <c r="BP60" s="36">
        <v>0</v>
      </c>
      <c r="BQ60" s="36">
        <v>0</v>
      </c>
      <c r="BR60" s="43"/>
    </row>
    <row r="61" spans="1:70" ht="15" outlineLevel="1">
      <c r="A61" s="37" t="s">
        <v>54</v>
      </c>
      <c r="F61" s="36">
        <v>0</v>
      </c>
      <c r="G61" s="36">
        <v>0</v>
      </c>
      <c r="H61" s="36">
        <v>0</v>
      </c>
      <c r="I61" s="36">
        <v>0</v>
      </c>
      <c r="J61" s="36">
        <v>0</v>
      </c>
      <c r="K61" s="36">
        <v>0</v>
      </c>
      <c r="L61" s="36">
        <v>0</v>
      </c>
      <c r="M61" s="36">
        <v>0</v>
      </c>
      <c r="N61" s="36">
        <v>0</v>
      </c>
      <c r="O61" s="36">
        <v>0</v>
      </c>
      <c r="P61" s="36">
        <v>0</v>
      </c>
      <c r="Q61" s="36">
        <v>0</v>
      </c>
      <c r="R61" s="43"/>
      <c r="S61" s="36">
        <v>0</v>
      </c>
      <c r="T61" s="36">
        <v>0</v>
      </c>
      <c r="U61" s="36">
        <v>0</v>
      </c>
      <c r="V61" s="36">
        <v>0</v>
      </c>
      <c r="W61" s="36">
        <v>0</v>
      </c>
      <c r="X61" s="36">
        <v>0</v>
      </c>
      <c r="Y61" s="36">
        <v>0</v>
      </c>
      <c r="Z61" s="36">
        <v>0</v>
      </c>
      <c r="AA61" s="36">
        <v>0</v>
      </c>
      <c r="AB61" s="36">
        <v>0</v>
      </c>
      <c r="AC61" s="36">
        <v>0</v>
      </c>
      <c r="AD61" s="36">
        <v>0</v>
      </c>
      <c r="AE61" s="43"/>
      <c r="AF61" s="36">
        <v>0</v>
      </c>
      <c r="AG61" s="36">
        <v>0</v>
      </c>
      <c r="AH61" s="36">
        <v>0</v>
      </c>
      <c r="AI61" s="36">
        <v>0</v>
      </c>
      <c r="AJ61" s="36">
        <v>0</v>
      </c>
      <c r="AK61" s="36">
        <v>0</v>
      </c>
      <c r="AL61" s="36">
        <v>0</v>
      </c>
      <c r="AM61" s="36">
        <v>0</v>
      </c>
      <c r="AN61" s="36">
        <v>0</v>
      </c>
      <c r="AO61" s="36">
        <v>0</v>
      </c>
      <c r="AP61" s="36">
        <v>0</v>
      </c>
      <c r="AQ61" s="36">
        <v>0</v>
      </c>
      <c r="AR61" s="43"/>
      <c r="AS61" s="36">
        <v>0</v>
      </c>
      <c r="AT61" s="36">
        <v>0</v>
      </c>
      <c r="AU61" s="36">
        <v>0</v>
      </c>
      <c r="AV61" s="36">
        <v>0</v>
      </c>
      <c r="AW61" s="36">
        <v>0</v>
      </c>
      <c r="AX61" s="36">
        <v>0</v>
      </c>
      <c r="AY61" s="36">
        <v>0</v>
      </c>
      <c r="AZ61" s="36">
        <v>0</v>
      </c>
      <c r="BA61" s="36">
        <v>0</v>
      </c>
      <c r="BB61" s="36">
        <v>0</v>
      </c>
      <c r="BC61" s="36">
        <v>0</v>
      </c>
      <c r="BD61" s="36">
        <v>0</v>
      </c>
      <c r="BE61" s="43"/>
      <c r="BF61" s="36">
        <v>0</v>
      </c>
      <c r="BG61" s="36">
        <v>0</v>
      </c>
      <c r="BH61" s="36">
        <v>0</v>
      </c>
      <c r="BI61" s="36">
        <v>0</v>
      </c>
      <c r="BJ61" s="36">
        <v>0</v>
      </c>
      <c r="BK61" s="36">
        <v>0</v>
      </c>
      <c r="BL61" s="36">
        <v>0</v>
      </c>
      <c r="BM61" s="36">
        <v>0</v>
      </c>
      <c r="BN61" s="36">
        <v>0</v>
      </c>
      <c r="BO61" s="36">
        <v>0</v>
      </c>
      <c r="BP61" s="36">
        <v>0</v>
      </c>
      <c r="BQ61" s="36">
        <v>0</v>
      </c>
      <c r="BR61" s="43"/>
    </row>
    <row r="62" spans="1:70" ht="15" outlineLevel="1">
      <c r="A62" s="37" t="s">
        <v>55</v>
      </c>
      <c r="F62" s="36">
        <v>0</v>
      </c>
      <c r="G62" s="36">
        <v>0</v>
      </c>
      <c r="H62" s="36">
        <v>0</v>
      </c>
      <c r="I62" s="36">
        <v>0</v>
      </c>
      <c r="J62" s="36">
        <v>0</v>
      </c>
      <c r="K62" s="36">
        <v>0</v>
      </c>
      <c r="L62" s="36">
        <v>0</v>
      </c>
      <c r="M62" s="36">
        <v>0</v>
      </c>
      <c r="N62" s="36">
        <v>0</v>
      </c>
      <c r="O62" s="36">
        <v>0</v>
      </c>
      <c r="P62" s="36">
        <v>0</v>
      </c>
      <c r="Q62" s="36">
        <v>0</v>
      </c>
      <c r="R62" s="43"/>
      <c r="S62" s="36">
        <v>0</v>
      </c>
      <c r="T62" s="36">
        <v>0</v>
      </c>
      <c r="U62" s="36">
        <v>0</v>
      </c>
      <c r="V62" s="36">
        <v>0</v>
      </c>
      <c r="W62" s="36">
        <v>0</v>
      </c>
      <c r="X62" s="36">
        <v>0</v>
      </c>
      <c r="Y62" s="36">
        <v>0</v>
      </c>
      <c r="Z62" s="36">
        <v>0</v>
      </c>
      <c r="AA62" s="36">
        <v>0</v>
      </c>
      <c r="AB62" s="36">
        <v>0</v>
      </c>
      <c r="AC62" s="36">
        <v>0</v>
      </c>
      <c r="AD62" s="36">
        <v>0</v>
      </c>
      <c r="AE62" s="43"/>
      <c r="AF62" s="36">
        <v>0</v>
      </c>
      <c r="AG62" s="36">
        <v>0</v>
      </c>
      <c r="AH62" s="36">
        <v>0</v>
      </c>
      <c r="AI62" s="36">
        <v>0</v>
      </c>
      <c r="AJ62" s="36">
        <v>0</v>
      </c>
      <c r="AK62" s="36">
        <v>0</v>
      </c>
      <c r="AL62" s="36">
        <v>0</v>
      </c>
      <c r="AM62" s="36">
        <v>0</v>
      </c>
      <c r="AN62" s="36">
        <v>0</v>
      </c>
      <c r="AO62" s="36">
        <v>0</v>
      </c>
      <c r="AP62" s="36">
        <v>0</v>
      </c>
      <c r="AQ62" s="36">
        <v>0</v>
      </c>
      <c r="AR62" s="43"/>
      <c r="AS62" s="36">
        <v>0</v>
      </c>
      <c r="AT62" s="36">
        <v>0</v>
      </c>
      <c r="AU62" s="36">
        <v>0</v>
      </c>
      <c r="AV62" s="36">
        <v>0</v>
      </c>
      <c r="AW62" s="36">
        <v>0</v>
      </c>
      <c r="AX62" s="36">
        <v>0</v>
      </c>
      <c r="AY62" s="36">
        <v>0</v>
      </c>
      <c r="AZ62" s="36">
        <v>0</v>
      </c>
      <c r="BA62" s="36">
        <v>0</v>
      </c>
      <c r="BB62" s="36">
        <v>0</v>
      </c>
      <c r="BC62" s="36">
        <v>0</v>
      </c>
      <c r="BD62" s="36">
        <v>0</v>
      </c>
      <c r="BE62" s="43"/>
      <c r="BF62" s="36">
        <v>0</v>
      </c>
      <c r="BG62" s="36">
        <v>0</v>
      </c>
      <c r="BH62" s="36">
        <v>0</v>
      </c>
      <c r="BI62" s="36">
        <v>0</v>
      </c>
      <c r="BJ62" s="36">
        <v>0</v>
      </c>
      <c r="BK62" s="36">
        <v>0</v>
      </c>
      <c r="BL62" s="36">
        <v>0</v>
      </c>
      <c r="BM62" s="36">
        <v>0</v>
      </c>
      <c r="BN62" s="36">
        <v>0</v>
      </c>
      <c r="BO62" s="36">
        <v>0</v>
      </c>
      <c r="BP62" s="36">
        <v>0</v>
      </c>
      <c r="BQ62" s="36">
        <v>0</v>
      </c>
      <c r="BR62" s="43"/>
    </row>
    <row r="63" spans="1:70" ht="15" outlineLevel="1">
      <c r="A63" s="37" t="s">
        <v>56</v>
      </c>
      <c r="F63" s="36">
        <v>0</v>
      </c>
      <c r="G63" s="36">
        <v>0</v>
      </c>
      <c r="H63" s="36">
        <v>0</v>
      </c>
      <c r="I63" s="36">
        <v>0</v>
      </c>
      <c r="J63" s="36">
        <v>0</v>
      </c>
      <c r="K63" s="36">
        <v>0</v>
      </c>
      <c r="L63" s="36">
        <v>0</v>
      </c>
      <c r="M63" s="36">
        <v>0</v>
      </c>
      <c r="N63" s="36">
        <v>0</v>
      </c>
      <c r="O63" s="36">
        <v>0</v>
      </c>
      <c r="P63" s="36">
        <v>0</v>
      </c>
      <c r="Q63" s="36">
        <v>0</v>
      </c>
      <c r="R63" s="43"/>
      <c r="S63" s="36">
        <v>0</v>
      </c>
      <c r="T63" s="36">
        <v>0</v>
      </c>
      <c r="U63" s="36">
        <v>0</v>
      </c>
      <c r="V63" s="36">
        <v>0</v>
      </c>
      <c r="W63" s="36">
        <v>0</v>
      </c>
      <c r="X63" s="36">
        <v>0</v>
      </c>
      <c r="Y63" s="36">
        <v>0</v>
      </c>
      <c r="Z63" s="36">
        <v>0</v>
      </c>
      <c r="AA63" s="36">
        <v>0</v>
      </c>
      <c r="AB63" s="36">
        <v>0</v>
      </c>
      <c r="AC63" s="36">
        <v>0</v>
      </c>
      <c r="AD63" s="36">
        <v>0</v>
      </c>
      <c r="AE63" s="43"/>
      <c r="AF63" s="36">
        <v>0</v>
      </c>
      <c r="AG63" s="36">
        <v>0</v>
      </c>
      <c r="AH63" s="36">
        <v>0</v>
      </c>
      <c r="AI63" s="36">
        <v>0</v>
      </c>
      <c r="AJ63" s="36">
        <v>0</v>
      </c>
      <c r="AK63" s="36">
        <v>0</v>
      </c>
      <c r="AL63" s="36">
        <v>0</v>
      </c>
      <c r="AM63" s="36">
        <v>0</v>
      </c>
      <c r="AN63" s="36">
        <v>0</v>
      </c>
      <c r="AO63" s="36">
        <v>0</v>
      </c>
      <c r="AP63" s="36">
        <v>0</v>
      </c>
      <c r="AQ63" s="36">
        <v>0</v>
      </c>
      <c r="AR63" s="43"/>
      <c r="AS63" s="36">
        <v>0</v>
      </c>
      <c r="AT63" s="36">
        <v>0</v>
      </c>
      <c r="AU63" s="36">
        <v>0</v>
      </c>
      <c r="AV63" s="36">
        <v>0</v>
      </c>
      <c r="AW63" s="36">
        <v>0</v>
      </c>
      <c r="AX63" s="36">
        <v>0</v>
      </c>
      <c r="AY63" s="36">
        <v>0</v>
      </c>
      <c r="AZ63" s="36">
        <v>0</v>
      </c>
      <c r="BA63" s="36">
        <v>0</v>
      </c>
      <c r="BB63" s="36">
        <v>0</v>
      </c>
      <c r="BC63" s="36">
        <v>0</v>
      </c>
      <c r="BD63" s="36">
        <v>0</v>
      </c>
      <c r="BE63" s="43"/>
      <c r="BF63" s="36">
        <v>0</v>
      </c>
      <c r="BG63" s="36">
        <v>0</v>
      </c>
      <c r="BH63" s="36">
        <v>0</v>
      </c>
      <c r="BI63" s="36">
        <v>0</v>
      </c>
      <c r="BJ63" s="36">
        <v>0</v>
      </c>
      <c r="BK63" s="36">
        <v>0</v>
      </c>
      <c r="BL63" s="36">
        <v>0</v>
      </c>
      <c r="BM63" s="36">
        <v>0</v>
      </c>
      <c r="BN63" s="36">
        <v>0</v>
      </c>
      <c r="BO63" s="36">
        <v>0</v>
      </c>
      <c r="BP63" s="36">
        <v>0</v>
      </c>
      <c r="BQ63" s="36">
        <v>0</v>
      </c>
      <c r="BR63" s="43"/>
    </row>
    <row r="64" spans="1:70" ht="15" outlineLevel="1">
      <c r="A64" s="55" t="s">
        <v>58</v>
      </c>
      <c r="B64" s="56"/>
      <c r="C64" s="56"/>
      <c r="D64" s="56"/>
      <c r="E64" s="56"/>
      <c r="F64" s="47">
        <v>0</v>
      </c>
      <c r="G64" s="47">
        <v>0</v>
      </c>
      <c r="H64" s="47">
        <v>0</v>
      </c>
      <c r="I64" s="47">
        <v>0</v>
      </c>
      <c r="J64" s="47">
        <v>0</v>
      </c>
      <c r="K64" s="47">
        <v>0</v>
      </c>
      <c r="L64" s="47">
        <v>0</v>
      </c>
      <c r="M64" s="47">
        <v>0</v>
      </c>
      <c r="N64" s="47">
        <v>0</v>
      </c>
      <c r="O64" s="47">
        <v>0</v>
      </c>
      <c r="P64" s="47">
        <v>0</v>
      </c>
      <c r="Q64" s="47">
        <v>0</v>
      </c>
      <c r="R64" s="43"/>
      <c r="S64" s="47">
        <v>0</v>
      </c>
      <c r="T64" s="47">
        <v>0</v>
      </c>
      <c r="U64" s="47">
        <v>0</v>
      </c>
      <c r="V64" s="47">
        <v>0</v>
      </c>
      <c r="W64" s="47">
        <v>0</v>
      </c>
      <c r="X64" s="47">
        <v>0</v>
      </c>
      <c r="Y64" s="47">
        <v>0</v>
      </c>
      <c r="Z64" s="47">
        <v>0</v>
      </c>
      <c r="AA64" s="47">
        <v>0</v>
      </c>
      <c r="AB64" s="47">
        <v>0</v>
      </c>
      <c r="AC64" s="47">
        <v>0</v>
      </c>
      <c r="AD64" s="47">
        <v>0</v>
      </c>
      <c r="AE64" s="43"/>
      <c r="AF64" s="47">
        <v>0</v>
      </c>
      <c r="AG64" s="47">
        <v>0</v>
      </c>
      <c r="AH64" s="47">
        <v>0</v>
      </c>
      <c r="AI64" s="47">
        <v>0</v>
      </c>
      <c r="AJ64" s="47">
        <v>0</v>
      </c>
      <c r="AK64" s="47">
        <v>0</v>
      </c>
      <c r="AL64" s="47">
        <v>0</v>
      </c>
      <c r="AM64" s="47">
        <v>0</v>
      </c>
      <c r="AN64" s="47">
        <v>0</v>
      </c>
      <c r="AO64" s="47">
        <v>0</v>
      </c>
      <c r="AP64" s="47">
        <v>0</v>
      </c>
      <c r="AQ64" s="47">
        <v>0</v>
      </c>
      <c r="AR64" s="43"/>
      <c r="AS64" s="47">
        <v>0</v>
      </c>
      <c r="AT64" s="47">
        <v>0</v>
      </c>
      <c r="AU64" s="47">
        <v>0</v>
      </c>
      <c r="AV64" s="47">
        <v>0</v>
      </c>
      <c r="AW64" s="47">
        <v>0</v>
      </c>
      <c r="AX64" s="47">
        <v>0</v>
      </c>
      <c r="AY64" s="47">
        <v>0</v>
      </c>
      <c r="AZ64" s="47">
        <v>0</v>
      </c>
      <c r="BA64" s="47">
        <v>0</v>
      </c>
      <c r="BB64" s="47">
        <v>0</v>
      </c>
      <c r="BC64" s="47">
        <v>0</v>
      </c>
      <c r="BD64" s="47">
        <v>0</v>
      </c>
      <c r="BE64" s="43"/>
      <c r="BF64" s="47">
        <v>0</v>
      </c>
      <c r="BG64" s="47">
        <v>0</v>
      </c>
      <c r="BH64" s="47">
        <v>0</v>
      </c>
      <c r="BI64" s="47">
        <v>0</v>
      </c>
      <c r="BJ64" s="47">
        <v>0</v>
      </c>
      <c r="BK64" s="47">
        <v>0</v>
      </c>
      <c r="BL64" s="47">
        <v>0</v>
      </c>
      <c r="BM64" s="47">
        <v>0</v>
      </c>
      <c r="BN64" s="47">
        <v>0</v>
      </c>
      <c r="BO64" s="47">
        <v>0</v>
      </c>
      <c r="BP64" s="47">
        <v>0</v>
      </c>
      <c r="BQ64" s="47">
        <v>0</v>
      </c>
      <c r="BR64" s="43"/>
    </row>
    <row r="65" spans="1:70" ht="15" outlineLevel="1">
      <c r="A65" s="34" t="s">
        <v>59</v>
      </c>
      <c r="F65" s="36">
        <f>SUM(F56:F64)</f>
        <v>0</v>
      </c>
      <c r="G65" s="36">
        <f t="shared" ref="G65:P65" si="10">SUM(G56:G64)</f>
        <v>0</v>
      </c>
      <c r="H65" s="36">
        <f t="shared" si="10"/>
        <v>0</v>
      </c>
      <c r="I65" s="36">
        <f t="shared" si="10"/>
        <v>0</v>
      </c>
      <c r="J65" s="36">
        <f t="shared" si="10"/>
        <v>0</v>
      </c>
      <c r="K65" s="36">
        <f t="shared" si="10"/>
        <v>0</v>
      </c>
      <c r="L65" s="36">
        <f t="shared" si="10"/>
        <v>0</v>
      </c>
      <c r="M65" s="36">
        <f t="shared" si="10"/>
        <v>0</v>
      </c>
      <c r="N65" s="36">
        <f t="shared" si="10"/>
        <v>0</v>
      </c>
      <c r="O65" s="36">
        <f t="shared" si="10"/>
        <v>0</v>
      </c>
      <c r="P65" s="36">
        <f t="shared" si="10"/>
        <v>0</v>
      </c>
      <c r="Q65" s="36">
        <f>SUM(Q56:Q64)</f>
        <v>0</v>
      </c>
      <c r="R65" s="36"/>
      <c r="S65" s="36">
        <f>SUM(S56:S64)</f>
        <v>0</v>
      </c>
      <c r="T65" s="36">
        <f t="shared" ref="T65:AC65" si="11">SUM(T56:T64)</f>
        <v>0</v>
      </c>
      <c r="U65" s="36">
        <f t="shared" si="11"/>
        <v>0</v>
      </c>
      <c r="V65" s="36">
        <f t="shared" si="11"/>
        <v>0</v>
      </c>
      <c r="W65" s="36">
        <f t="shared" si="11"/>
        <v>0</v>
      </c>
      <c r="X65" s="36">
        <f t="shared" si="11"/>
        <v>0</v>
      </c>
      <c r="Y65" s="36">
        <f t="shared" si="11"/>
        <v>0</v>
      </c>
      <c r="Z65" s="36">
        <f t="shared" si="11"/>
        <v>0</v>
      </c>
      <c r="AA65" s="36">
        <f t="shared" si="11"/>
        <v>0</v>
      </c>
      <c r="AB65" s="36">
        <f t="shared" si="11"/>
        <v>0</v>
      </c>
      <c r="AC65" s="36">
        <f t="shared" si="11"/>
        <v>0</v>
      </c>
      <c r="AD65" s="36">
        <f>SUM(AD56:AD64)</f>
        <v>0</v>
      </c>
      <c r="AE65" s="43"/>
      <c r="AF65" s="36">
        <f>SUM(AF56:AF64)</f>
        <v>0</v>
      </c>
      <c r="AG65" s="36">
        <f t="shared" ref="AG65:AP65" si="12">SUM(AG56:AG64)</f>
        <v>0</v>
      </c>
      <c r="AH65" s="36">
        <f t="shared" si="12"/>
        <v>0</v>
      </c>
      <c r="AI65" s="36">
        <f t="shared" si="12"/>
        <v>0</v>
      </c>
      <c r="AJ65" s="36">
        <f t="shared" si="12"/>
        <v>0</v>
      </c>
      <c r="AK65" s="36">
        <f t="shared" si="12"/>
        <v>0</v>
      </c>
      <c r="AL65" s="36">
        <f t="shared" si="12"/>
        <v>0</v>
      </c>
      <c r="AM65" s="36">
        <f t="shared" si="12"/>
        <v>0</v>
      </c>
      <c r="AN65" s="36">
        <f t="shared" si="12"/>
        <v>0</v>
      </c>
      <c r="AO65" s="36">
        <f t="shared" si="12"/>
        <v>0</v>
      </c>
      <c r="AP65" s="36">
        <f t="shared" si="12"/>
        <v>0</v>
      </c>
      <c r="AQ65" s="36">
        <f>SUM(AQ56:AQ64)</f>
        <v>0</v>
      </c>
      <c r="AR65" s="43"/>
      <c r="AS65" s="36">
        <f>SUM(AS56:AS64)</f>
        <v>0</v>
      </c>
      <c r="AT65" s="36">
        <f t="shared" ref="AT65:BC65" si="13">SUM(AT56:AT64)</f>
        <v>0</v>
      </c>
      <c r="AU65" s="36">
        <f t="shared" si="13"/>
        <v>0</v>
      </c>
      <c r="AV65" s="36">
        <f t="shared" si="13"/>
        <v>0</v>
      </c>
      <c r="AW65" s="36">
        <f t="shared" si="13"/>
        <v>0</v>
      </c>
      <c r="AX65" s="36">
        <f t="shared" si="13"/>
        <v>0</v>
      </c>
      <c r="AY65" s="36">
        <f t="shared" si="13"/>
        <v>0</v>
      </c>
      <c r="AZ65" s="36">
        <f t="shared" si="13"/>
        <v>0</v>
      </c>
      <c r="BA65" s="36">
        <f t="shared" si="13"/>
        <v>0</v>
      </c>
      <c r="BB65" s="36">
        <f t="shared" si="13"/>
        <v>0</v>
      </c>
      <c r="BC65" s="36">
        <f t="shared" si="13"/>
        <v>0</v>
      </c>
      <c r="BD65" s="36">
        <f>SUM(BD56:BD64)</f>
        <v>0</v>
      </c>
      <c r="BE65" s="43"/>
      <c r="BF65" s="36">
        <f>SUM(BF56:BF64)</f>
        <v>0</v>
      </c>
      <c r="BG65" s="36">
        <f t="shared" ref="BG65:BP65" si="14">SUM(BG56:BG64)</f>
        <v>0</v>
      </c>
      <c r="BH65" s="36">
        <f t="shared" si="14"/>
        <v>0</v>
      </c>
      <c r="BI65" s="36">
        <f t="shared" si="14"/>
        <v>0</v>
      </c>
      <c r="BJ65" s="36">
        <f t="shared" si="14"/>
        <v>0</v>
      </c>
      <c r="BK65" s="36">
        <f t="shared" si="14"/>
        <v>0</v>
      </c>
      <c r="BL65" s="36">
        <f t="shared" si="14"/>
        <v>0</v>
      </c>
      <c r="BM65" s="36">
        <f t="shared" si="14"/>
        <v>0</v>
      </c>
      <c r="BN65" s="36">
        <f t="shared" si="14"/>
        <v>0</v>
      </c>
      <c r="BO65" s="36">
        <f t="shared" si="14"/>
        <v>0</v>
      </c>
      <c r="BP65" s="36">
        <f t="shared" si="14"/>
        <v>0</v>
      </c>
      <c r="BQ65" s="36">
        <f>SUM(BQ56:BQ64)</f>
        <v>0</v>
      </c>
      <c r="BR65" s="43"/>
    </row>
    <row r="66" spans="1:70" ht="14.25" outlineLevel="1">
      <c r="A66" s="31"/>
      <c r="R66" s="43"/>
      <c r="AE66" s="43"/>
      <c r="AR66" s="43"/>
      <c r="BE66" s="43"/>
      <c r="BR66" s="43"/>
    </row>
    <row r="67" spans="1:70" ht="15" outlineLevel="1">
      <c r="A67" s="34" t="s">
        <v>60</v>
      </c>
      <c r="R67" s="43"/>
      <c r="AE67" s="43"/>
      <c r="AR67" s="43"/>
      <c r="BE67" s="43"/>
      <c r="BR67" s="43"/>
    </row>
    <row r="68" spans="1:70" ht="15" outlineLevel="1">
      <c r="A68" s="27" t="s">
        <v>61</v>
      </c>
      <c r="F68" s="36">
        <v>0</v>
      </c>
      <c r="G68" s="36">
        <v>0</v>
      </c>
      <c r="H68" s="36">
        <v>0</v>
      </c>
      <c r="I68" s="36">
        <v>0</v>
      </c>
      <c r="J68" s="36">
        <v>0</v>
      </c>
      <c r="K68" s="36">
        <v>0</v>
      </c>
      <c r="L68" s="36">
        <v>0</v>
      </c>
      <c r="M68" s="36">
        <v>0</v>
      </c>
      <c r="N68" s="36">
        <v>0</v>
      </c>
      <c r="O68" s="36">
        <v>0</v>
      </c>
      <c r="P68" s="36">
        <v>0</v>
      </c>
      <c r="Q68" s="36">
        <v>0</v>
      </c>
      <c r="R68" s="43"/>
      <c r="S68" s="36">
        <v>0</v>
      </c>
      <c r="T68" s="36">
        <v>0</v>
      </c>
      <c r="U68" s="36">
        <v>0</v>
      </c>
      <c r="V68" s="36">
        <v>0</v>
      </c>
      <c r="W68" s="36">
        <v>0</v>
      </c>
      <c r="X68" s="36">
        <v>0</v>
      </c>
      <c r="Y68" s="36">
        <v>0</v>
      </c>
      <c r="Z68" s="36">
        <v>0</v>
      </c>
      <c r="AA68" s="36">
        <v>0</v>
      </c>
      <c r="AB68" s="36">
        <v>0</v>
      </c>
      <c r="AC68" s="36">
        <v>0</v>
      </c>
      <c r="AD68" s="36">
        <v>0</v>
      </c>
      <c r="AE68" s="43"/>
      <c r="AF68" s="36">
        <v>0</v>
      </c>
      <c r="AG68" s="36">
        <v>0</v>
      </c>
      <c r="AH68" s="36">
        <v>0</v>
      </c>
      <c r="AI68" s="36">
        <v>0</v>
      </c>
      <c r="AJ68" s="36">
        <v>0</v>
      </c>
      <c r="AK68" s="36">
        <v>0</v>
      </c>
      <c r="AL68" s="36">
        <v>0</v>
      </c>
      <c r="AM68" s="36">
        <v>0</v>
      </c>
      <c r="AN68" s="36">
        <v>0</v>
      </c>
      <c r="AO68" s="36">
        <v>0</v>
      </c>
      <c r="AP68" s="36">
        <v>0</v>
      </c>
      <c r="AQ68" s="36">
        <v>0</v>
      </c>
      <c r="AR68" s="43"/>
      <c r="AS68" s="36">
        <v>0</v>
      </c>
      <c r="AT68" s="36">
        <v>0</v>
      </c>
      <c r="AU68" s="36">
        <v>0</v>
      </c>
      <c r="AV68" s="36">
        <v>0</v>
      </c>
      <c r="AW68" s="36">
        <v>0</v>
      </c>
      <c r="AX68" s="36">
        <v>0</v>
      </c>
      <c r="AY68" s="36">
        <v>0</v>
      </c>
      <c r="AZ68" s="36">
        <v>0</v>
      </c>
      <c r="BA68" s="36">
        <v>0</v>
      </c>
      <c r="BB68" s="36">
        <v>0</v>
      </c>
      <c r="BC68" s="36">
        <v>0</v>
      </c>
      <c r="BD68" s="36">
        <v>0</v>
      </c>
      <c r="BE68" s="43"/>
      <c r="BF68" s="36">
        <v>0</v>
      </c>
      <c r="BG68" s="36">
        <v>0</v>
      </c>
      <c r="BH68" s="36">
        <v>0</v>
      </c>
      <c r="BI68" s="36">
        <v>0</v>
      </c>
      <c r="BJ68" s="36">
        <v>0</v>
      </c>
      <c r="BK68" s="36">
        <v>0</v>
      </c>
      <c r="BL68" s="36">
        <v>0</v>
      </c>
      <c r="BM68" s="36">
        <v>0</v>
      </c>
      <c r="BN68" s="36">
        <v>0</v>
      </c>
      <c r="BO68" s="36">
        <v>0</v>
      </c>
      <c r="BP68" s="36">
        <v>0</v>
      </c>
      <c r="BQ68" s="36">
        <v>0</v>
      </c>
      <c r="BR68" s="43"/>
    </row>
    <row r="69" spans="1:70" ht="15" outlineLevel="1">
      <c r="A69" s="27" t="s">
        <v>62</v>
      </c>
      <c r="F69" s="36">
        <v>0</v>
      </c>
      <c r="G69" s="36">
        <v>0</v>
      </c>
      <c r="H69" s="36">
        <v>0</v>
      </c>
      <c r="I69" s="36">
        <v>0</v>
      </c>
      <c r="J69" s="36">
        <v>0</v>
      </c>
      <c r="K69" s="36">
        <v>0</v>
      </c>
      <c r="L69" s="36">
        <v>0</v>
      </c>
      <c r="M69" s="36">
        <v>0</v>
      </c>
      <c r="N69" s="36">
        <v>0</v>
      </c>
      <c r="O69" s="36">
        <v>0</v>
      </c>
      <c r="P69" s="36">
        <v>0</v>
      </c>
      <c r="Q69" s="36">
        <v>0</v>
      </c>
      <c r="R69" s="43"/>
      <c r="S69" s="36">
        <v>0</v>
      </c>
      <c r="T69" s="36">
        <v>0</v>
      </c>
      <c r="U69" s="36">
        <v>0</v>
      </c>
      <c r="V69" s="36">
        <v>0</v>
      </c>
      <c r="W69" s="36">
        <v>0</v>
      </c>
      <c r="X69" s="36">
        <v>0</v>
      </c>
      <c r="Y69" s="36">
        <v>0</v>
      </c>
      <c r="Z69" s="36">
        <v>0</v>
      </c>
      <c r="AA69" s="36">
        <v>0</v>
      </c>
      <c r="AB69" s="36">
        <v>0</v>
      </c>
      <c r="AC69" s="36">
        <v>0</v>
      </c>
      <c r="AD69" s="36">
        <v>0</v>
      </c>
      <c r="AE69" s="43"/>
      <c r="AF69" s="36">
        <v>0</v>
      </c>
      <c r="AG69" s="36">
        <v>0</v>
      </c>
      <c r="AH69" s="36">
        <v>0</v>
      </c>
      <c r="AI69" s="36">
        <v>0</v>
      </c>
      <c r="AJ69" s="36">
        <v>0</v>
      </c>
      <c r="AK69" s="36">
        <v>0</v>
      </c>
      <c r="AL69" s="36">
        <v>0</v>
      </c>
      <c r="AM69" s="36">
        <v>0</v>
      </c>
      <c r="AN69" s="36">
        <v>0</v>
      </c>
      <c r="AO69" s="36">
        <v>0</v>
      </c>
      <c r="AP69" s="36">
        <v>0</v>
      </c>
      <c r="AQ69" s="36">
        <v>0</v>
      </c>
      <c r="AR69" s="43"/>
      <c r="AS69" s="36">
        <v>0</v>
      </c>
      <c r="AT69" s="36">
        <v>0</v>
      </c>
      <c r="AU69" s="36">
        <v>0</v>
      </c>
      <c r="AV69" s="36">
        <v>0</v>
      </c>
      <c r="AW69" s="36">
        <v>0</v>
      </c>
      <c r="AX69" s="36">
        <v>0</v>
      </c>
      <c r="AY69" s="36">
        <v>0</v>
      </c>
      <c r="AZ69" s="36">
        <v>0</v>
      </c>
      <c r="BA69" s="36">
        <v>0</v>
      </c>
      <c r="BB69" s="36">
        <v>0</v>
      </c>
      <c r="BC69" s="36">
        <v>0</v>
      </c>
      <c r="BD69" s="36">
        <v>0</v>
      </c>
      <c r="BE69" s="43"/>
      <c r="BF69" s="36">
        <v>0</v>
      </c>
      <c r="BG69" s="36">
        <v>0</v>
      </c>
      <c r="BH69" s="36">
        <v>0</v>
      </c>
      <c r="BI69" s="36">
        <v>0</v>
      </c>
      <c r="BJ69" s="36">
        <v>0</v>
      </c>
      <c r="BK69" s="36">
        <v>0</v>
      </c>
      <c r="BL69" s="36">
        <v>0</v>
      </c>
      <c r="BM69" s="36">
        <v>0</v>
      </c>
      <c r="BN69" s="36">
        <v>0</v>
      </c>
      <c r="BO69" s="36">
        <v>0</v>
      </c>
      <c r="BP69" s="36">
        <v>0</v>
      </c>
      <c r="BQ69" s="36">
        <v>0</v>
      </c>
      <c r="BR69" s="43"/>
    </row>
    <row r="70" spans="1:70" ht="15" outlineLevel="1">
      <c r="A70" s="27" t="s">
        <v>63</v>
      </c>
      <c r="F70" s="36">
        <v>0</v>
      </c>
      <c r="G70" s="36">
        <v>0</v>
      </c>
      <c r="H70" s="36">
        <v>0</v>
      </c>
      <c r="I70" s="36">
        <v>0</v>
      </c>
      <c r="J70" s="36">
        <v>0</v>
      </c>
      <c r="K70" s="36">
        <v>0</v>
      </c>
      <c r="L70" s="36">
        <v>0</v>
      </c>
      <c r="M70" s="36">
        <v>0</v>
      </c>
      <c r="N70" s="36">
        <v>0</v>
      </c>
      <c r="O70" s="36">
        <v>0</v>
      </c>
      <c r="P70" s="36">
        <v>0</v>
      </c>
      <c r="Q70" s="36">
        <v>0</v>
      </c>
      <c r="R70" s="43"/>
      <c r="S70" s="36">
        <v>0</v>
      </c>
      <c r="T70" s="36">
        <v>0</v>
      </c>
      <c r="U70" s="36">
        <v>0</v>
      </c>
      <c r="V70" s="36">
        <v>0</v>
      </c>
      <c r="W70" s="36">
        <v>0</v>
      </c>
      <c r="X70" s="36">
        <v>0</v>
      </c>
      <c r="Y70" s="36">
        <v>0</v>
      </c>
      <c r="Z70" s="36">
        <v>0</v>
      </c>
      <c r="AA70" s="36">
        <v>0</v>
      </c>
      <c r="AB70" s="36">
        <v>0</v>
      </c>
      <c r="AC70" s="36">
        <v>0</v>
      </c>
      <c r="AD70" s="36">
        <v>0</v>
      </c>
      <c r="AE70" s="43"/>
      <c r="AF70" s="36">
        <v>0</v>
      </c>
      <c r="AG70" s="36">
        <v>0</v>
      </c>
      <c r="AH70" s="36">
        <v>0</v>
      </c>
      <c r="AI70" s="36">
        <v>0</v>
      </c>
      <c r="AJ70" s="36">
        <v>0</v>
      </c>
      <c r="AK70" s="36">
        <v>0</v>
      </c>
      <c r="AL70" s="36">
        <v>0</v>
      </c>
      <c r="AM70" s="36">
        <v>0</v>
      </c>
      <c r="AN70" s="36">
        <v>0</v>
      </c>
      <c r="AO70" s="36">
        <v>0</v>
      </c>
      <c r="AP70" s="36">
        <v>0</v>
      </c>
      <c r="AQ70" s="36">
        <v>0</v>
      </c>
      <c r="AR70" s="43"/>
      <c r="AS70" s="36">
        <v>0</v>
      </c>
      <c r="AT70" s="36">
        <v>0</v>
      </c>
      <c r="AU70" s="36">
        <v>0</v>
      </c>
      <c r="AV70" s="36">
        <v>0</v>
      </c>
      <c r="AW70" s="36">
        <v>0</v>
      </c>
      <c r="AX70" s="36">
        <v>0</v>
      </c>
      <c r="AY70" s="36">
        <v>0</v>
      </c>
      <c r="AZ70" s="36">
        <v>0</v>
      </c>
      <c r="BA70" s="36">
        <v>0</v>
      </c>
      <c r="BB70" s="36">
        <v>0</v>
      </c>
      <c r="BC70" s="36">
        <v>0</v>
      </c>
      <c r="BD70" s="36">
        <v>0</v>
      </c>
      <c r="BE70" s="43"/>
      <c r="BF70" s="36">
        <v>0</v>
      </c>
      <c r="BG70" s="36">
        <v>0</v>
      </c>
      <c r="BH70" s="36">
        <v>0</v>
      </c>
      <c r="BI70" s="36">
        <v>0</v>
      </c>
      <c r="BJ70" s="36">
        <v>0</v>
      </c>
      <c r="BK70" s="36">
        <v>0</v>
      </c>
      <c r="BL70" s="36">
        <v>0</v>
      </c>
      <c r="BM70" s="36">
        <v>0</v>
      </c>
      <c r="BN70" s="36">
        <v>0</v>
      </c>
      <c r="BO70" s="36">
        <v>0</v>
      </c>
      <c r="BP70" s="36">
        <v>0</v>
      </c>
      <c r="BQ70" s="36">
        <v>0</v>
      </c>
      <c r="BR70" s="43"/>
    </row>
    <row r="71" spans="1:70" ht="15" outlineLevel="1">
      <c r="A71" s="27" t="s">
        <v>322</v>
      </c>
      <c r="F71" s="36">
        <v>0</v>
      </c>
      <c r="G71" s="36">
        <v>0</v>
      </c>
      <c r="H71" s="36">
        <v>0</v>
      </c>
      <c r="I71" s="36">
        <v>0</v>
      </c>
      <c r="J71" s="36">
        <v>0</v>
      </c>
      <c r="K71" s="36">
        <v>0</v>
      </c>
      <c r="L71" s="36">
        <v>0</v>
      </c>
      <c r="M71" s="36">
        <v>0</v>
      </c>
      <c r="N71" s="36">
        <v>0</v>
      </c>
      <c r="O71" s="36">
        <v>0</v>
      </c>
      <c r="P71" s="36">
        <v>0</v>
      </c>
      <c r="Q71" s="36">
        <v>0</v>
      </c>
      <c r="R71" s="43"/>
      <c r="S71" s="36">
        <v>0</v>
      </c>
      <c r="T71" s="36">
        <v>0</v>
      </c>
      <c r="U71" s="36">
        <v>0</v>
      </c>
      <c r="V71" s="36">
        <v>0</v>
      </c>
      <c r="W71" s="36">
        <v>0</v>
      </c>
      <c r="X71" s="36">
        <v>0</v>
      </c>
      <c r="Y71" s="36">
        <v>0</v>
      </c>
      <c r="Z71" s="36">
        <v>0</v>
      </c>
      <c r="AA71" s="36">
        <v>0</v>
      </c>
      <c r="AB71" s="36">
        <v>0</v>
      </c>
      <c r="AC71" s="36">
        <v>0</v>
      </c>
      <c r="AD71" s="36">
        <v>0</v>
      </c>
      <c r="AE71" s="43"/>
      <c r="AF71" s="36">
        <v>0</v>
      </c>
      <c r="AG71" s="36">
        <v>0</v>
      </c>
      <c r="AH71" s="36">
        <v>0</v>
      </c>
      <c r="AI71" s="36">
        <v>0</v>
      </c>
      <c r="AJ71" s="36">
        <v>0</v>
      </c>
      <c r="AK71" s="36">
        <v>0</v>
      </c>
      <c r="AL71" s="36">
        <v>0</v>
      </c>
      <c r="AM71" s="36">
        <v>0</v>
      </c>
      <c r="AN71" s="36">
        <v>0</v>
      </c>
      <c r="AO71" s="36">
        <v>0</v>
      </c>
      <c r="AP71" s="36">
        <v>0</v>
      </c>
      <c r="AQ71" s="36">
        <v>0</v>
      </c>
      <c r="AR71" s="43"/>
      <c r="AS71" s="36">
        <v>0</v>
      </c>
      <c r="AT71" s="36">
        <v>0</v>
      </c>
      <c r="AU71" s="36">
        <v>0</v>
      </c>
      <c r="AV71" s="36">
        <v>0</v>
      </c>
      <c r="AW71" s="36">
        <v>0</v>
      </c>
      <c r="AX71" s="36">
        <v>0</v>
      </c>
      <c r="AY71" s="36">
        <v>0</v>
      </c>
      <c r="AZ71" s="36">
        <v>0</v>
      </c>
      <c r="BA71" s="36">
        <v>0</v>
      </c>
      <c r="BB71" s="36">
        <v>0</v>
      </c>
      <c r="BC71" s="36">
        <v>0</v>
      </c>
      <c r="BD71" s="36">
        <v>0</v>
      </c>
      <c r="BE71" s="43"/>
      <c r="BF71" s="36">
        <v>0</v>
      </c>
      <c r="BG71" s="36">
        <v>0</v>
      </c>
      <c r="BH71" s="36">
        <v>0</v>
      </c>
      <c r="BI71" s="36">
        <v>0</v>
      </c>
      <c r="BJ71" s="36">
        <v>0</v>
      </c>
      <c r="BK71" s="36">
        <v>0</v>
      </c>
      <c r="BL71" s="36">
        <v>0</v>
      </c>
      <c r="BM71" s="36">
        <v>0</v>
      </c>
      <c r="BN71" s="36">
        <v>0</v>
      </c>
      <c r="BO71" s="36">
        <v>0</v>
      </c>
      <c r="BP71" s="36">
        <v>0</v>
      </c>
      <c r="BQ71" s="36">
        <v>0</v>
      </c>
      <c r="BR71" s="43"/>
    </row>
    <row r="72" spans="1:70" ht="15" outlineLevel="1">
      <c r="A72" s="27" t="s">
        <v>323</v>
      </c>
      <c r="F72" s="36">
        <v>0</v>
      </c>
      <c r="G72" s="36">
        <v>0</v>
      </c>
      <c r="H72" s="36">
        <v>0</v>
      </c>
      <c r="I72" s="36">
        <v>0</v>
      </c>
      <c r="J72" s="36">
        <v>0</v>
      </c>
      <c r="K72" s="36">
        <v>0</v>
      </c>
      <c r="L72" s="36">
        <v>0</v>
      </c>
      <c r="M72" s="36">
        <v>0</v>
      </c>
      <c r="N72" s="36">
        <v>0</v>
      </c>
      <c r="O72" s="36">
        <v>0</v>
      </c>
      <c r="P72" s="36">
        <v>0</v>
      </c>
      <c r="Q72" s="36">
        <v>0</v>
      </c>
      <c r="R72" s="43"/>
      <c r="S72" s="36">
        <v>0</v>
      </c>
      <c r="T72" s="36">
        <v>0</v>
      </c>
      <c r="U72" s="36">
        <v>0</v>
      </c>
      <c r="V72" s="36">
        <v>0</v>
      </c>
      <c r="W72" s="36">
        <v>0</v>
      </c>
      <c r="X72" s="36">
        <v>0</v>
      </c>
      <c r="Y72" s="36">
        <v>0</v>
      </c>
      <c r="Z72" s="36">
        <v>0</v>
      </c>
      <c r="AA72" s="36">
        <v>0</v>
      </c>
      <c r="AB72" s="36">
        <v>0</v>
      </c>
      <c r="AC72" s="36">
        <v>0</v>
      </c>
      <c r="AD72" s="36">
        <v>0</v>
      </c>
      <c r="AE72" s="43"/>
      <c r="AF72" s="36">
        <v>0</v>
      </c>
      <c r="AG72" s="36">
        <v>0</v>
      </c>
      <c r="AH72" s="36">
        <v>0</v>
      </c>
      <c r="AI72" s="36">
        <v>0</v>
      </c>
      <c r="AJ72" s="36">
        <v>0</v>
      </c>
      <c r="AK72" s="36">
        <v>0</v>
      </c>
      <c r="AL72" s="36">
        <v>0</v>
      </c>
      <c r="AM72" s="36">
        <v>0</v>
      </c>
      <c r="AN72" s="36">
        <v>0</v>
      </c>
      <c r="AO72" s="36">
        <v>0</v>
      </c>
      <c r="AP72" s="36">
        <v>0</v>
      </c>
      <c r="AQ72" s="36">
        <v>0</v>
      </c>
      <c r="AR72" s="43"/>
      <c r="AS72" s="36">
        <v>0</v>
      </c>
      <c r="AT72" s="36">
        <v>0</v>
      </c>
      <c r="AU72" s="36">
        <v>0</v>
      </c>
      <c r="AV72" s="36">
        <v>0</v>
      </c>
      <c r="AW72" s="36">
        <v>0</v>
      </c>
      <c r="AX72" s="36">
        <v>0</v>
      </c>
      <c r="AY72" s="36">
        <v>0</v>
      </c>
      <c r="AZ72" s="36">
        <v>0</v>
      </c>
      <c r="BA72" s="36">
        <v>0</v>
      </c>
      <c r="BB72" s="36">
        <v>0</v>
      </c>
      <c r="BC72" s="36">
        <v>0</v>
      </c>
      <c r="BD72" s="36">
        <v>0</v>
      </c>
      <c r="BE72" s="43"/>
      <c r="BF72" s="36">
        <v>0</v>
      </c>
      <c r="BG72" s="36">
        <v>0</v>
      </c>
      <c r="BH72" s="36">
        <v>0</v>
      </c>
      <c r="BI72" s="36">
        <v>0</v>
      </c>
      <c r="BJ72" s="36">
        <v>0</v>
      </c>
      <c r="BK72" s="36">
        <v>0</v>
      </c>
      <c r="BL72" s="36">
        <v>0</v>
      </c>
      <c r="BM72" s="36">
        <v>0</v>
      </c>
      <c r="BN72" s="36">
        <v>0</v>
      </c>
      <c r="BO72" s="36">
        <v>0</v>
      </c>
      <c r="BP72" s="36">
        <v>0</v>
      </c>
      <c r="BQ72" s="36">
        <v>0</v>
      </c>
      <c r="BR72" s="43"/>
    </row>
    <row r="73" spans="1:70" ht="15" outlineLevel="1">
      <c r="A73" s="27" t="s">
        <v>66</v>
      </c>
      <c r="F73" s="36">
        <v>0</v>
      </c>
      <c r="G73" s="36">
        <v>0</v>
      </c>
      <c r="H73" s="36">
        <v>0</v>
      </c>
      <c r="I73" s="36">
        <v>0</v>
      </c>
      <c r="J73" s="36">
        <v>0</v>
      </c>
      <c r="K73" s="36">
        <v>0</v>
      </c>
      <c r="L73" s="36">
        <v>0</v>
      </c>
      <c r="M73" s="36">
        <v>0</v>
      </c>
      <c r="N73" s="36">
        <v>0</v>
      </c>
      <c r="O73" s="36">
        <v>0</v>
      </c>
      <c r="P73" s="36">
        <v>0</v>
      </c>
      <c r="Q73" s="36">
        <v>0</v>
      </c>
      <c r="R73" s="43"/>
      <c r="S73" s="36">
        <v>0</v>
      </c>
      <c r="T73" s="36">
        <v>0</v>
      </c>
      <c r="U73" s="36">
        <v>0</v>
      </c>
      <c r="V73" s="36">
        <v>0</v>
      </c>
      <c r="W73" s="36">
        <v>0</v>
      </c>
      <c r="X73" s="36">
        <v>0</v>
      </c>
      <c r="Y73" s="36">
        <v>0</v>
      </c>
      <c r="Z73" s="36">
        <v>0</v>
      </c>
      <c r="AA73" s="36">
        <v>0</v>
      </c>
      <c r="AB73" s="36">
        <v>0</v>
      </c>
      <c r="AC73" s="36">
        <v>0</v>
      </c>
      <c r="AD73" s="36">
        <v>0</v>
      </c>
      <c r="AE73" s="43"/>
      <c r="AF73" s="36">
        <v>0</v>
      </c>
      <c r="AG73" s="36">
        <v>0</v>
      </c>
      <c r="AH73" s="36">
        <v>0</v>
      </c>
      <c r="AI73" s="36">
        <v>0</v>
      </c>
      <c r="AJ73" s="36">
        <v>0</v>
      </c>
      <c r="AK73" s="36">
        <v>0</v>
      </c>
      <c r="AL73" s="36">
        <v>0</v>
      </c>
      <c r="AM73" s="36">
        <v>0</v>
      </c>
      <c r="AN73" s="36">
        <v>0</v>
      </c>
      <c r="AO73" s="36">
        <v>0</v>
      </c>
      <c r="AP73" s="36">
        <v>0</v>
      </c>
      <c r="AQ73" s="36">
        <v>0</v>
      </c>
      <c r="AR73" s="43"/>
      <c r="AS73" s="36">
        <v>0</v>
      </c>
      <c r="AT73" s="36">
        <v>0</v>
      </c>
      <c r="AU73" s="36">
        <v>0</v>
      </c>
      <c r="AV73" s="36">
        <v>0</v>
      </c>
      <c r="AW73" s="36">
        <v>0</v>
      </c>
      <c r="AX73" s="36">
        <v>0</v>
      </c>
      <c r="AY73" s="36">
        <v>0</v>
      </c>
      <c r="AZ73" s="36">
        <v>0</v>
      </c>
      <c r="BA73" s="36">
        <v>0</v>
      </c>
      <c r="BB73" s="36">
        <v>0</v>
      </c>
      <c r="BC73" s="36">
        <v>0</v>
      </c>
      <c r="BD73" s="36">
        <v>0</v>
      </c>
      <c r="BE73" s="43"/>
      <c r="BF73" s="36">
        <v>0</v>
      </c>
      <c r="BG73" s="36">
        <v>0</v>
      </c>
      <c r="BH73" s="36">
        <v>0</v>
      </c>
      <c r="BI73" s="36">
        <v>0</v>
      </c>
      <c r="BJ73" s="36">
        <v>0</v>
      </c>
      <c r="BK73" s="36">
        <v>0</v>
      </c>
      <c r="BL73" s="36">
        <v>0</v>
      </c>
      <c r="BM73" s="36">
        <v>0</v>
      </c>
      <c r="BN73" s="36">
        <v>0</v>
      </c>
      <c r="BO73" s="36">
        <v>0</v>
      </c>
      <c r="BP73" s="36">
        <v>0</v>
      </c>
      <c r="BQ73" s="36">
        <v>0</v>
      </c>
      <c r="BR73" s="43"/>
    </row>
    <row r="74" spans="1:70" ht="15" outlineLevel="1">
      <c r="A74" s="27" t="s">
        <v>67</v>
      </c>
      <c r="F74" s="36">
        <v>0</v>
      </c>
      <c r="G74" s="36">
        <v>0</v>
      </c>
      <c r="H74" s="36">
        <v>0</v>
      </c>
      <c r="I74" s="36">
        <v>0</v>
      </c>
      <c r="J74" s="36">
        <v>0</v>
      </c>
      <c r="K74" s="36">
        <v>0</v>
      </c>
      <c r="L74" s="36">
        <v>0</v>
      </c>
      <c r="M74" s="36">
        <v>0</v>
      </c>
      <c r="N74" s="36">
        <v>0</v>
      </c>
      <c r="O74" s="36">
        <v>0</v>
      </c>
      <c r="P74" s="36">
        <v>0</v>
      </c>
      <c r="Q74" s="36">
        <v>0</v>
      </c>
      <c r="R74" s="43"/>
      <c r="S74" s="36">
        <v>0</v>
      </c>
      <c r="T74" s="36">
        <v>0</v>
      </c>
      <c r="U74" s="36">
        <v>0</v>
      </c>
      <c r="V74" s="36">
        <v>0</v>
      </c>
      <c r="W74" s="36">
        <v>0</v>
      </c>
      <c r="X74" s="36">
        <v>0</v>
      </c>
      <c r="Y74" s="36">
        <v>0</v>
      </c>
      <c r="Z74" s="36">
        <v>0</v>
      </c>
      <c r="AA74" s="36">
        <v>0</v>
      </c>
      <c r="AB74" s="36">
        <v>0</v>
      </c>
      <c r="AC74" s="36">
        <v>0</v>
      </c>
      <c r="AD74" s="36">
        <v>0</v>
      </c>
      <c r="AE74" s="43"/>
      <c r="AF74" s="36">
        <v>0</v>
      </c>
      <c r="AG74" s="36">
        <v>0</v>
      </c>
      <c r="AH74" s="36">
        <v>0</v>
      </c>
      <c r="AI74" s="36">
        <v>0</v>
      </c>
      <c r="AJ74" s="36">
        <v>0</v>
      </c>
      <c r="AK74" s="36">
        <v>0</v>
      </c>
      <c r="AL74" s="36">
        <v>0</v>
      </c>
      <c r="AM74" s="36">
        <v>0</v>
      </c>
      <c r="AN74" s="36">
        <v>0</v>
      </c>
      <c r="AO74" s="36">
        <v>0</v>
      </c>
      <c r="AP74" s="36">
        <v>0</v>
      </c>
      <c r="AQ74" s="36">
        <v>0</v>
      </c>
      <c r="AR74" s="43"/>
      <c r="AS74" s="36">
        <v>0</v>
      </c>
      <c r="AT74" s="36">
        <v>0</v>
      </c>
      <c r="AU74" s="36">
        <v>0</v>
      </c>
      <c r="AV74" s="36">
        <v>0</v>
      </c>
      <c r="AW74" s="36">
        <v>0</v>
      </c>
      <c r="AX74" s="36">
        <v>0</v>
      </c>
      <c r="AY74" s="36">
        <v>0</v>
      </c>
      <c r="AZ74" s="36">
        <v>0</v>
      </c>
      <c r="BA74" s="36">
        <v>0</v>
      </c>
      <c r="BB74" s="36">
        <v>0</v>
      </c>
      <c r="BC74" s="36">
        <v>0</v>
      </c>
      <c r="BD74" s="36">
        <v>0</v>
      </c>
      <c r="BE74" s="43"/>
      <c r="BF74" s="36">
        <v>0</v>
      </c>
      <c r="BG74" s="36">
        <v>0</v>
      </c>
      <c r="BH74" s="36">
        <v>0</v>
      </c>
      <c r="BI74" s="36">
        <v>0</v>
      </c>
      <c r="BJ74" s="36">
        <v>0</v>
      </c>
      <c r="BK74" s="36">
        <v>0</v>
      </c>
      <c r="BL74" s="36">
        <v>0</v>
      </c>
      <c r="BM74" s="36">
        <v>0</v>
      </c>
      <c r="BN74" s="36">
        <v>0</v>
      </c>
      <c r="BO74" s="36">
        <v>0</v>
      </c>
      <c r="BP74" s="36">
        <v>0</v>
      </c>
      <c r="BQ74" s="36">
        <v>0</v>
      </c>
      <c r="BR74" s="43"/>
    </row>
    <row r="75" spans="1:70" ht="15" outlineLevel="1">
      <c r="A75" s="27" t="s">
        <v>68</v>
      </c>
      <c r="F75" s="36">
        <v>0</v>
      </c>
      <c r="G75" s="36">
        <v>0</v>
      </c>
      <c r="H75" s="36">
        <v>0</v>
      </c>
      <c r="I75" s="36">
        <v>0</v>
      </c>
      <c r="J75" s="36">
        <v>0</v>
      </c>
      <c r="K75" s="36">
        <v>0</v>
      </c>
      <c r="L75" s="36">
        <v>0</v>
      </c>
      <c r="M75" s="36">
        <v>0</v>
      </c>
      <c r="N75" s="36">
        <v>0</v>
      </c>
      <c r="O75" s="36">
        <v>0</v>
      </c>
      <c r="P75" s="36">
        <v>0</v>
      </c>
      <c r="Q75" s="36">
        <v>0</v>
      </c>
      <c r="R75" s="43"/>
      <c r="S75" s="36">
        <v>0</v>
      </c>
      <c r="T75" s="36">
        <v>0</v>
      </c>
      <c r="U75" s="36">
        <v>0</v>
      </c>
      <c r="V75" s="36">
        <v>0</v>
      </c>
      <c r="W75" s="36">
        <v>0</v>
      </c>
      <c r="X75" s="36">
        <v>0</v>
      </c>
      <c r="Y75" s="36">
        <v>0</v>
      </c>
      <c r="Z75" s="36">
        <v>0</v>
      </c>
      <c r="AA75" s="36">
        <v>0</v>
      </c>
      <c r="AB75" s="36">
        <v>0</v>
      </c>
      <c r="AC75" s="36">
        <v>0</v>
      </c>
      <c r="AD75" s="36">
        <v>0</v>
      </c>
      <c r="AE75" s="43"/>
      <c r="AF75" s="36">
        <v>0</v>
      </c>
      <c r="AG75" s="36">
        <v>0</v>
      </c>
      <c r="AH75" s="36">
        <v>0</v>
      </c>
      <c r="AI75" s="36">
        <v>0</v>
      </c>
      <c r="AJ75" s="36">
        <v>0</v>
      </c>
      <c r="AK75" s="36">
        <v>0</v>
      </c>
      <c r="AL75" s="36">
        <v>0</v>
      </c>
      <c r="AM75" s="36">
        <v>0</v>
      </c>
      <c r="AN75" s="36">
        <v>0</v>
      </c>
      <c r="AO75" s="36">
        <v>0</v>
      </c>
      <c r="AP75" s="36">
        <v>0</v>
      </c>
      <c r="AQ75" s="36">
        <v>0</v>
      </c>
      <c r="AR75" s="43"/>
      <c r="AS75" s="36">
        <v>0</v>
      </c>
      <c r="AT75" s="36">
        <v>0</v>
      </c>
      <c r="AU75" s="36">
        <v>0</v>
      </c>
      <c r="AV75" s="36">
        <v>0</v>
      </c>
      <c r="AW75" s="36">
        <v>0</v>
      </c>
      <c r="AX75" s="36">
        <v>0</v>
      </c>
      <c r="AY75" s="36">
        <v>0</v>
      </c>
      <c r="AZ75" s="36">
        <v>0</v>
      </c>
      <c r="BA75" s="36">
        <v>0</v>
      </c>
      <c r="BB75" s="36">
        <v>0</v>
      </c>
      <c r="BC75" s="36">
        <v>0</v>
      </c>
      <c r="BD75" s="36">
        <v>0</v>
      </c>
      <c r="BE75" s="43"/>
      <c r="BF75" s="36">
        <v>0</v>
      </c>
      <c r="BG75" s="36">
        <v>0</v>
      </c>
      <c r="BH75" s="36">
        <v>0</v>
      </c>
      <c r="BI75" s="36">
        <v>0</v>
      </c>
      <c r="BJ75" s="36">
        <v>0</v>
      </c>
      <c r="BK75" s="36">
        <v>0</v>
      </c>
      <c r="BL75" s="36">
        <v>0</v>
      </c>
      <c r="BM75" s="36">
        <v>0</v>
      </c>
      <c r="BN75" s="36">
        <v>0</v>
      </c>
      <c r="BO75" s="36">
        <v>0</v>
      </c>
      <c r="BP75" s="36">
        <v>0</v>
      </c>
      <c r="BQ75" s="36">
        <v>0</v>
      </c>
      <c r="BR75" s="43"/>
    </row>
    <row r="76" spans="1:70" ht="15" outlineLevel="1">
      <c r="A76" s="27" t="s">
        <v>69</v>
      </c>
      <c r="F76" s="36">
        <v>0</v>
      </c>
      <c r="G76" s="36">
        <v>0</v>
      </c>
      <c r="H76" s="36">
        <v>0</v>
      </c>
      <c r="I76" s="36">
        <v>0</v>
      </c>
      <c r="J76" s="36">
        <v>0</v>
      </c>
      <c r="K76" s="36">
        <v>0</v>
      </c>
      <c r="L76" s="36">
        <v>0</v>
      </c>
      <c r="M76" s="36">
        <v>0</v>
      </c>
      <c r="N76" s="36">
        <v>0</v>
      </c>
      <c r="O76" s="36">
        <v>0</v>
      </c>
      <c r="P76" s="36">
        <v>0</v>
      </c>
      <c r="Q76" s="36">
        <v>0</v>
      </c>
      <c r="R76" s="43"/>
      <c r="S76" s="36">
        <v>0</v>
      </c>
      <c r="T76" s="36">
        <v>0</v>
      </c>
      <c r="U76" s="36">
        <v>0</v>
      </c>
      <c r="V76" s="36">
        <v>0</v>
      </c>
      <c r="W76" s="36">
        <v>0</v>
      </c>
      <c r="X76" s="36">
        <v>0</v>
      </c>
      <c r="Y76" s="36">
        <v>0</v>
      </c>
      <c r="Z76" s="36">
        <v>0</v>
      </c>
      <c r="AA76" s="36">
        <v>0</v>
      </c>
      <c r="AB76" s="36">
        <v>0</v>
      </c>
      <c r="AC76" s="36">
        <v>0</v>
      </c>
      <c r="AD76" s="36">
        <v>0</v>
      </c>
      <c r="AE76" s="43"/>
      <c r="AF76" s="36">
        <v>0</v>
      </c>
      <c r="AG76" s="36">
        <v>0</v>
      </c>
      <c r="AH76" s="36">
        <v>0</v>
      </c>
      <c r="AI76" s="36">
        <v>0</v>
      </c>
      <c r="AJ76" s="36">
        <v>0</v>
      </c>
      <c r="AK76" s="36">
        <v>0</v>
      </c>
      <c r="AL76" s="36">
        <v>0</v>
      </c>
      <c r="AM76" s="36">
        <v>0</v>
      </c>
      <c r="AN76" s="36">
        <v>0</v>
      </c>
      <c r="AO76" s="36">
        <v>0</v>
      </c>
      <c r="AP76" s="36">
        <v>0</v>
      </c>
      <c r="AQ76" s="36">
        <v>0</v>
      </c>
      <c r="AR76" s="43"/>
      <c r="AS76" s="36">
        <v>0</v>
      </c>
      <c r="AT76" s="36">
        <v>0</v>
      </c>
      <c r="AU76" s="36">
        <v>0</v>
      </c>
      <c r="AV76" s="36">
        <v>0</v>
      </c>
      <c r="AW76" s="36">
        <v>0</v>
      </c>
      <c r="AX76" s="36">
        <v>0</v>
      </c>
      <c r="AY76" s="36">
        <v>0</v>
      </c>
      <c r="AZ76" s="36">
        <v>0</v>
      </c>
      <c r="BA76" s="36">
        <v>0</v>
      </c>
      <c r="BB76" s="36">
        <v>0</v>
      </c>
      <c r="BC76" s="36">
        <v>0</v>
      </c>
      <c r="BD76" s="36">
        <v>0</v>
      </c>
      <c r="BE76" s="43"/>
      <c r="BF76" s="36">
        <v>0</v>
      </c>
      <c r="BG76" s="36">
        <v>0</v>
      </c>
      <c r="BH76" s="36">
        <v>0</v>
      </c>
      <c r="BI76" s="36">
        <v>0</v>
      </c>
      <c r="BJ76" s="36">
        <v>0</v>
      </c>
      <c r="BK76" s="36">
        <v>0</v>
      </c>
      <c r="BL76" s="36">
        <v>0</v>
      </c>
      <c r="BM76" s="36">
        <v>0</v>
      </c>
      <c r="BN76" s="36">
        <v>0</v>
      </c>
      <c r="BO76" s="36">
        <v>0</v>
      </c>
      <c r="BP76" s="36">
        <v>0</v>
      </c>
      <c r="BQ76" s="36">
        <v>0</v>
      </c>
      <c r="BR76" s="43"/>
    </row>
    <row r="77" spans="1:70" ht="15" outlineLevel="1">
      <c r="A77" s="27" t="s">
        <v>70</v>
      </c>
      <c r="F77" s="36">
        <v>0</v>
      </c>
      <c r="G77" s="36">
        <v>0</v>
      </c>
      <c r="H77" s="36">
        <v>0</v>
      </c>
      <c r="I77" s="36">
        <v>0</v>
      </c>
      <c r="J77" s="36">
        <v>0</v>
      </c>
      <c r="K77" s="36">
        <v>0</v>
      </c>
      <c r="L77" s="36">
        <v>0</v>
      </c>
      <c r="M77" s="36">
        <v>0</v>
      </c>
      <c r="N77" s="36">
        <v>0</v>
      </c>
      <c r="O77" s="36">
        <v>0</v>
      </c>
      <c r="P77" s="36">
        <v>0</v>
      </c>
      <c r="Q77" s="36">
        <v>0</v>
      </c>
      <c r="R77" s="43"/>
      <c r="S77" s="36">
        <v>0</v>
      </c>
      <c r="T77" s="36">
        <v>0</v>
      </c>
      <c r="U77" s="36">
        <v>0</v>
      </c>
      <c r="V77" s="36">
        <v>0</v>
      </c>
      <c r="W77" s="36">
        <v>0</v>
      </c>
      <c r="X77" s="36">
        <v>0</v>
      </c>
      <c r="Y77" s="36">
        <v>0</v>
      </c>
      <c r="Z77" s="36">
        <v>0</v>
      </c>
      <c r="AA77" s="36">
        <v>0</v>
      </c>
      <c r="AB77" s="36">
        <v>0</v>
      </c>
      <c r="AC77" s="36">
        <v>0</v>
      </c>
      <c r="AD77" s="36">
        <v>0</v>
      </c>
      <c r="AE77" s="43"/>
      <c r="AF77" s="36">
        <v>0</v>
      </c>
      <c r="AG77" s="36">
        <v>0</v>
      </c>
      <c r="AH77" s="36">
        <v>0</v>
      </c>
      <c r="AI77" s="36">
        <v>0</v>
      </c>
      <c r="AJ77" s="36">
        <v>0</v>
      </c>
      <c r="AK77" s="36">
        <v>0</v>
      </c>
      <c r="AL77" s="36">
        <v>0</v>
      </c>
      <c r="AM77" s="36">
        <v>0</v>
      </c>
      <c r="AN77" s="36">
        <v>0</v>
      </c>
      <c r="AO77" s="36">
        <v>0</v>
      </c>
      <c r="AP77" s="36">
        <v>0</v>
      </c>
      <c r="AQ77" s="36">
        <v>0</v>
      </c>
      <c r="AR77" s="43"/>
      <c r="AS77" s="36">
        <v>0</v>
      </c>
      <c r="AT77" s="36">
        <v>0</v>
      </c>
      <c r="AU77" s="36">
        <v>0</v>
      </c>
      <c r="AV77" s="36">
        <v>0</v>
      </c>
      <c r="AW77" s="36">
        <v>0</v>
      </c>
      <c r="AX77" s="36">
        <v>0</v>
      </c>
      <c r="AY77" s="36">
        <v>0</v>
      </c>
      <c r="AZ77" s="36">
        <v>0</v>
      </c>
      <c r="BA77" s="36">
        <v>0</v>
      </c>
      <c r="BB77" s="36">
        <v>0</v>
      </c>
      <c r="BC77" s="36">
        <v>0</v>
      </c>
      <c r="BD77" s="36">
        <v>0</v>
      </c>
      <c r="BE77" s="43"/>
      <c r="BF77" s="36">
        <v>0</v>
      </c>
      <c r="BG77" s="36">
        <v>0</v>
      </c>
      <c r="BH77" s="36">
        <v>0</v>
      </c>
      <c r="BI77" s="36">
        <v>0</v>
      </c>
      <c r="BJ77" s="36">
        <v>0</v>
      </c>
      <c r="BK77" s="36">
        <v>0</v>
      </c>
      <c r="BL77" s="36">
        <v>0</v>
      </c>
      <c r="BM77" s="36">
        <v>0</v>
      </c>
      <c r="BN77" s="36">
        <v>0</v>
      </c>
      <c r="BO77" s="36">
        <v>0</v>
      </c>
      <c r="BP77" s="36">
        <v>0</v>
      </c>
      <c r="BQ77" s="36">
        <v>0</v>
      </c>
      <c r="BR77" s="43"/>
    </row>
    <row r="78" spans="1:70" ht="15" outlineLevel="1">
      <c r="A78" s="57" t="s">
        <v>71</v>
      </c>
      <c r="B78" s="56"/>
      <c r="C78" s="56"/>
      <c r="D78" s="56"/>
      <c r="E78" s="56"/>
      <c r="F78" s="47">
        <v>0</v>
      </c>
      <c r="G78" s="47">
        <v>0</v>
      </c>
      <c r="H78" s="47">
        <v>0</v>
      </c>
      <c r="I78" s="47">
        <v>0</v>
      </c>
      <c r="J78" s="47">
        <v>0</v>
      </c>
      <c r="K78" s="47">
        <v>0</v>
      </c>
      <c r="L78" s="47">
        <v>0</v>
      </c>
      <c r="M78" s="47">
        <v>0</v>
      </c>
      <c r="N78" s="47">
        <v>0</v>
      </c>
      <c r="O78" s="47">
        <v>0</v>
      </c>
      <c r="P78" s="47">
        <v>0</v>
      </c>
      <c r="Q78" s="47">
        <v>0</v>
      </c>
      <c r="R78" s="43"/>
      <c r="S78" s="47">
        <v>0</v>
      </c>
      <c r="T78" s="47">
        <v>0</v>
      </c>
      <c r="U78" s="47">
        <v>0</v>
      </c>
      <c r="V78" s="47">
        <v>0</v>
      </c>
      <c r="W78" s="47">
        <v>0</v>
      </c>
      <c r="X78" s="47">
        <v>0</v>
      </c>
      <c r="Y78" s="47">
        <v>0</v>
      </c>
      <c r="Z78" s="47">
        <v>0</v>
      </c>
      <c r="AA78" s="47">
        <v>0</v>
      </c>
      <c r="AB78" s="47">
        <v>0</v>
      </c>
      <c r="AC78" s="47">
        <v>0</v>
      </c>
      <c r="AD78" s="47">
        <v>0</v>
      </c>
      <c r="AE78" s="43"/>
      <c r="AF78" s="47">
        <v>0</v>
      </c>
      <c r="AG78" s="47">
        <v>0</v>
      </c>
      <c r="AH78" s="47">
        <v>0</v>
      </c>
      <c r="AI78" s="47">
        <v>0</v>
      </c>
      <c r="AJ78" s="47">
        <v>0</v>
      </c>
      <c r="AK78" s="47">
        <v>0</v>
      </c>
      <c r="AL78" s="47">
        <v>0</v>
      </c>
      <c r="AM78" s="47">
        <v>0</v>
      </c>
      <c r="AN78" s="47">
        <v>0</v>
      </c>
      <c r="AO78" s="47">
        <v>0</v>
      </c>
      <c r="AP78" s="47">
        <v>0</v>
      </c>
      <c r="AQ78" s="47">
        <v>0</v>
      </c>
      <c r="AR78" s="43"/>
      <c r="AS78" s="47">
        <v>0</v>
      </c>
      <c r="AT78" s="47">
        <v>0</v>
      </c>
      <c r="AU78" s="47">
        <v>0</v>
      </c>
      <c r="AV78" s="47">
        <v>0</v>
      </c>
      <c r="AW78" s="47">
        <v>0</v>
      </c>
      <c r="AX78" s="47">
        <v>0</v>
      </c>
      <c r="AY78" s="47">
        <v>0</v>
      </c>
      <c r="AZ78" s="47">
        <v>0</v>
      </c>
      <c r="BA78" s="47">
        <v>0</v>
      </c>
      <c r="BB78" s="47">
        <v>0</v>
      </c>
      <c r="BC78" s="47">
        <v>0</v>
      </c>
      <c r="BD78" s="47">
        <v>0</v>
      </c>
      <c r="BE78" s="43"/>
      <c r="BF78" s="47">
        <v>0</v>
      </c>
      <c r="BG78" s="47">
        <v>0</v>
      </c>
      <c r="BH78" s="47">
        <v>0</v>
      </c>
      <c r="BI78" s="47">
        <v>0</v>
      </c>
      <c r="BJ78" s="47">
        <v>0</v>
      </c>
      <c r="BK78" s="47">
        <v>0</v>
      </c>
      <c r="BL78" s="47">
        <v>0</v>
      </c>
      <c r="BM78" s="47">
        <v>0</v>
      </c>
      <c r="BN78" s="47">
        <v>0</v>
      </c>
      <c r="BO78" s="47">
        <v>0</v>
      </c>
      <c r="BP78" s="47">
        <v>0</v>
      </c>
      <c r="BQ78" s="47">
        <v>0</v>
      </c>
      <c r="BR78" s="43"/>
    </row>
    <row r="79" spans="1:70" ht="15" outlineLevel="1">
      <c r="A79" s="34" t="s">
        <v>72</v>
      </c>
      <c r="F79" s="36">
        <f>SUM(F68:F78)</f>
        <v>0</v>
      </c>
      <c r="G79" s="36">
        <f t="shared" ref="G79:P79" si="15">SUM(G68:G78)</f>
        <v>0</v>
      </c>
      <c r="H79" s="36">
        <f t="shared" si="15"/>
        <v>0</v>
      </c>
      <c r="I79" s="36">
        <f t="shared" si="15"/>
        <v>0</v>
      </c>
      <c r="J79" s="36">
        <f t="shared" si="15"/>
        <v>0</v>
      </c>
      <c r="K79" s="36">
        <f t="shared" si="15"/>
        <v>0</v>
      </c>
      <c r="L79" s="36">
        <f t="shared" si="15"/>
        <v>0</v>
      </c>
      <c r="M79" s="36">
        <f t="shared" si="15"/>
        <v>0</v>
      </c>
      <c r="N79" s="36">
        <f t="shared" si="15"/>
        <v>0</v>
      </c>
      <c r="O79" s="36">
        <f t="shared" si="15"/>
        <v>0</v>
      </c>
      <c r="P79" s="36">
        <f t="shared" si="15"/>
        <v>0</v>
      </c>
      <c r="Q79" s="36">
        <f>SUM(Q68:Q78)</f>
        <v>0</v>
      </c>
      <c r="R79" s="43"/>
      <c r="S79" s="36">
        <f>SUM(S68:S78)</f>
        <v>0</v>
      </c>
      <c r="T79" s="36">
        <f t="shared" ref="T79:AC79" si="16">SUM(T68:T78)</f>
        <v>0</v>
      </c>
      <c r="U79" s="36">
        <f t="shared" si="16"/>
        <v>0</v>
      </c>
      <c r="V79" s="36">
        <f t="shared" si="16"/>
        <v>0</v>
      </c>
      <c r="W79" s="36">
        <f t="shared" si="16"/>
        <v>0</v>
      </c>
      <c r="X79" s="36">
        <f t="shared" si="16"/>
        <v>0</v>
      </c>
      <c r="Y79" s="36">
        <f t="shared" si="16"/>
        <v>0</v>
      </c>
      <c r="Z79" s="36">
        <f t="shared" si="16"/>
        <v>0</v>
      </c>
      <c r="AA79" s="36">
        <f t="shared" si="16"/>
        <v>0</v>
      </c>
      <c r="AB79" s="36">
        <f t="shared" si="16"/>
        <v>0</v>
      </c>
      <c r="AC79" s="36">
        <f t="shared" si="16"/>
        <v>0</v>
      </c>
      <c r="AD79" s="36">
        <f>SUM(AD68:AD78)</f>
        <v>0</v>
      </c>
      <c r="AE79" s="43"/>
      <c r="AF79" s="36">
        <f>SUM(AF68:AF78)</f>
        <v>0</v>
      </c>
      <c r="AG79" s="36">
        <f t="shared" ref="AG79:AP79" si="17">SUM(AG68:AG78)</f>
        <v>0</v>
      </c>
      <c r="AH79" s="36">
        <f t="shared" si="17"/>
        <v>0</v>
      </c>
      <c r="AI79" s="36">
        <f t="shared" si="17"/>
        <v>0</v>
      </c>
      <c r="AJ79" s="36">
        <f t="shared" si="17"/>
        <v>0</v>
      </c>
      <c r="AK79" s="36">
        <f t="shared" si="17"/>
        <v>0</v>
      </c>
      <c r="AL79" s="36">
        <f t="shared" si="17"/>
        <v>0</v>
      </c>
      <c r="AM79" s="36">
        <f t="shared" si="17"/>
        <v>0</v>
      </c>
      <c r="AN79" s="36">
        <f t="shared" si="17"/>
        <v>0</v>
      </c>
      <c r="AO79" s="36">
        <f t="shared" si="17"/>
        <v>0</v>
      </c>
      <c r="AP79" s="36">
        <f t="shared" si="17"/>
        <v>0</v>
      </c>
      <c r="AQ79" s="36">
        <f>SUM(AQ68:AQ78)</f>
        <v>0</v>
      </c>
      <c r="AR79" s="43"/>
      <c r="AS79" s="36">
        <f>SUM(AS68:AS78)</f>
        <v>0</v>
      </c>
      <c r="AT79" s="36">
        <f t="shared" ref="AT79:BC79" si="18">SUM(AT68:AT78)</f>
        <v>0</v>
      </c>
      <c r="AU79" s="36">
        <f t="shared" si="18"/>
        <v>0</v>
      </c>
      <c r="AV79" s="36">
        <f t="shared" si="18"/>
        <v>0</v>
      </c>
      <c r="AW79" s="36">
        <f t="shared" si="18"/>
        <v>0</v>
      </c>
      <c r="AX79" s="36">
        <f t="shared" si="18"/>
        <v>0</v>
      </c>
      <c r="AY79" s="36">
        <f t="shared" si="18"/>
        <v>0</v>
      </c>
      <c r="AZ79" s="36">
        <f t="shared" si="18"/>
        <v>0</v>
      </c>
      <c r="BA79" s="36">
        <f t="shared" si="18"/>
        <v>0</v>
      </c>
      <c r="BB79" s="36">
        <f t="shared" si="18"/>
        <v>0</v>
      </c>
      <c r="BC79" s="36">
        <f t="shared" si="18"/>
        <v>0</v>
      </c>
      <c r="BD79" s="36">
        <f>SUM(BD68:BD78)</f>
        <v>0</v>
      </c>
      <c r="BE79" s="43"/>
      <c r="BF79" s="36">
        <f>SUM(BF68:BF78)</f>
        <v>0</v>
      </c>
      <c r="BG79" s="36">
        <f t="shared" ref="BG79:BP79" si="19">SUM(BG68:BG78)</f>
        <v>0</v>
      </c>
      <c r="BH79" s="36">
        <f t="shared" si="19"/>
        <v>0</v>
      </c>
      <c r="BI79" s="36">
        <f t="shared" si="19"/>
        <v>0</v>
      </c>
      <c r="BJ79" s="36">
        <f t="shared" si="19"/>
        <v>0</v>
      </c>
      <c r="BK79" s="36">
        <f t="shared" si="19"/>
        <v>0</v>
      </c>
      <c r="BL79" s="36">
        <f t="shared" si="19"/>
        <v>0</v>
      </c>
      <c r="BM79" s="36">
        <f t="shared" si="19"/>
        <v>0</v>
      </c>
      <c r="BN79" s="36">
        <f t="shared" si="19"/>
        <v>0</v>
      </c>
      <c r="BO79" s="36">
        <f t="shared" si="19"/>
        <v>0</v>
      </c>
      <c r="BP79" s="36">
        <f t="shared" si="19"/>
        <v>0</v>
      </c>
      <c r="BQ79" s="36">
        <f>SUM(BQ68:BQ78)</f>
        <v>0</v>
      </c>
      <c r="BR79" s="43"/>
    </row>
    <row r="80" spans="1:70" ht="14.25" outlineLevel="1">
      <c r="A80" s="31"/>
      <c r="R80" s="43"/>
      <c r="AE80" s="43"/>
      <c r="AR80" s="43"/>
      <c r="BE80" s="43"/>
      <c r="BR80" s="43"/>
    </row>
    <row r="81" spans="1:70" ht="15" outlineLevel="1">
      <c r="A81" s="34" t="s">
        <v>73</v>
      </c>
      <c r="F81" s="36">
        <f>F65+F79</f>
        <v>0</v>
      </c>
      <c r="G81" s="36">
        <f t="shared" ref="G81:P81" si="20">G65+G79</f>
        <v>0</v>
      </c>
      <c r="H81" s="36">
        <f t="shared" si="20"/>
        <v>0</v>
      </c>
      <c r="I81" s="36">
        <f t="shared" si="20"/>
        <v>0</v>
      </c>
      <c r="J81" s="36">
        <f t="shared" si="20"/>
        <v>0</v>
      </c>
      <c r="K81" s="36">
        <f t="shared" si="20"/>
        <v>0</v>
      </c>
      <c r="L81" s="36">
        <f t="shared" si="20"/>
        <v>0</v>
      </c>
      <c r="M81" s="36">
        <f t="shared" si="20"/>
        <v>0</v>
      </c>
      <c r="N81" s="36">
        <f t="shared" si="20"/>
        <v>0</v>
      </c>
      <c r="O81" s="36">
        <f t="shared" si="20"/>
        <v>0</v>
      </c>
      <c r="P81" s="36">
        <f t="shared" si="20"/>
        <v>0</v>
      </c>
      <c r="Q81" s="36">
        <f>Q65+Q79</f>
        <v>0</v>
      </c>
      <c r="R81" s="43"/>
      <c r="S81" s="36">
        <f>S65+S79</f>
        <v>0</v>
      </c>
      <c r="T81" s="36">
        <f t="shared" ref="T81:AC81" si="21">T65+T79</f>
        <v>0</v>
      </c>
      <c r="U81" s="36">
        <f t="shared" si="21"/>
        <v>0</v>
      </c>
      <c r="V81" s="36">
        <f t="shared" si="21"/>
        <v>0</v>
      </c>
      <c r="W81" s="36">
        <f t="shared" si="21"/>
        <v>0</v>
      </c>
      <c r="X81" s="36">
        <f t="shared" si="21"/>
        <v>0</v>
      </c>
      <c r="Y81" s="36">
        <f t="shared" si="21"/>
        <v>0</v>
      </c>
      <c r="Z81" s="36">
        <f t="shared" si="21"/>
        <v>0</v>
      </c>
      <c r="AA81" s="36">
        <f t="shared" si="21"/>
        <v>0</v>
      </c>
      <c r="AB81" s="36">
        <f t="shared" si="21"/>
        <v>0</v>
      </c>
      <c r="AC81" s="36">
        <f t="shared" si="21"/>
        <v>0</v>
      </c>
      <c r="AD81" s="36">
        <f>AD65+AD79</f>
        <v>0</v>
      </c>
      <c r="AE81" s="43"/>
      <c r="AF81" s="36">
        <f>AF65+AF79</f>
        <v>0</v>
      </c>
      <c r="AG81" s="36">
        <f t="shared" ref="AG81:AP81" si="22">AG65+AG79</f>
        <v>0</v>
      </c>
      <c r="AH81" s="36">
        <f t="shared" si="22"/>
        <v>0</v>
      </c>
      <c r="AI81" s="36">
        <f t="shared" si="22"/>
        <v>0</v>
      </c>
      <c r="AJ81" s="36">
        <f t="shared" si="22"/>
        <v>0</v>
      </c>
      <c r="AK81" s="36">
        <f t="shared" si="22"/>
        <v>0</v>
      </c>
      <c r="AL81" s="36">
        <f t="shared" si="22"/>
        <v>0</v>
      </c>
      <c r="AM81" s="36">
        <f t="shared" si="22"/>
        <v>0</v>
      </c>
      <c r="AN81" s="36">
        <f t="shared" si="22"/>
        <v>0</v>
      </c>
      <c r="AO81" s="36">
        <f t="shared" si="22"/>
        <v>0</v>
      </c>
      <c r="AP81" s="36">
        <f t="shared" si="22"/>
        <v>0</v>
      </c>
      <c r="AQ81" s="36">
        <f>AQ65+AQ79</f>
        <v>0</v>
      </c>
      <c r="AR81" s="43"/>
      <c r="AS81" s="36">
        <f>AS65+AS79</f>
        <v>0</v>
      </c>
      <c r="AT81" s="36">
        <f t="shared" ref="AT81:BC81" si="23">AT65+AT79</f>
        <v>0</v>
      </c>
      <c r="AU81" s="36">
        <f t="shared" si="23"/>
        <v>0</v>
      </c>
      <c r="AV81" s="36">
        <f t="shared" si="23"/>
        <v>0</v>
      </c>
      <c r="AW81" s="36">
        <f t="shared" si="23"/>
        <v>0</v>
      </c>
      <c r="AX81" s="36">
        <f t="shared" si="23"/>
        <v>0</v>
      </c>
      <c r="AY81" s="36">
        <f t="shared" si="23"/>
        <v>0</v>
      </c>
      <c r="AZ81" s="36">
        <f t="shared" si="23"/>
        <v>0</v>
      </c>
      <c r="BA81" s="36">
        <f t="shared" si="23"/>
        <v>0</v>
      </c>
      <c r="BB81" s="36">
        <f t="shared" si="23"/>
        <v>0</v>
      </c>
      <c r="BC81" s="36">
        <f t="shared" si="23"/>
        <v>0</v>
      </c>
      <c r="BD81" s="36">
        <f>BD65+BD79</f>
        <v>0</v>
      </c>
      <c r="BE81" s="43"/>
      <c r="BF81" s="36">
        <f>BF65+BF79</f>
        <v>0</v>
      </c>
      <c r="BG81" s="36">
        <f t="shared" ref="BG81:BP81" si="24">BG65+BG79</f>
        <v>0</v>
      </c>
      <c r="BH81" s="36">
        <f t="shared" si="24"/>
        <v>0</v>
      </c>
      <c r="BI81" s="36">
        <f t="shared" si="24"/>
        <v>0</v>
      </c>
      <c r="BJ81" s="36">
        <f t="shared" si="24"/>
        <v>0</v>
      </c>
      <c r="BK81" s="36">
        <f t="shared" si="24"/>
        <v>0</v>
      </c>
      <c r="BL81" s="36">
        <f t="shared" si="24"/>
        <v>0</v>
      </c>
      <c r="BM81" s="36">
        <f t="shared" si="24"/>
        <v>0</v>
      </c>
      <c r="BN81" s="36">
        <f t="shared" si="24"/>
        <v>0</v>
      </c>
      <c r="BO81" s="36">
        <f t="shared" si="24"/>
        <v>0</v>
      </c>
      <c r="BP81" s="36">
        <f t="shared" si="24"/>
        <v>0</v>
      </c>
      <c r="BQ81" s="36">
        <f>BQ65+BQ79</f>
        <v>0</v>
      </c>
      <c r="BR81" s="43"/>
    </row>
    <row r="82" spans="1:70" ht="15" outlineLevel="1">
      <c r="A82" s="51" t="s">
        <v>74</v>
      </c>
      <c r="F82" s="53">
        <f>IF(ISERROR(F81/F65),0,(F81/F65))</f>
        <v>0</v>
      </c>
      <c r="G82" s="53">
        <f t="shared" ref="G82:P82" si="25">IF(ISERROR(G81/G65),0,(G81/G65))</f>
        <v>0</v>
      </c>
      <c r="H82" s="53">
        <f t="shared" si="25"/>
        <v>0</v>
      </c>
      <c r="I82" s="53">
        <f t="shared" si="25"/>
        <v>0</v>
      </c>
      <c r="J82" s="53">
        <f t="shared" si="25"/>
        <v>0</v>
      </c>
      <c r="K82" s="53">
        <f t="shared" si="25"/>
        <v>0</v>
      </c>
      <c r="L82" s="53">
        <f t="shared" si="25"/>
        <v>0</v>
      </c>
      <c r="M82" s="53">
        <f t="shared" si="25"/>
        <v>0</v>
      </c>
      <c r="N82" s="53">
        <f t="shared" si="25"/>
        <v>0</v>
      </c>
      <c r="O82" s="53">
        <f t="shared" si="25"/>
        <v>0</v>
      </c>
      <c r="P82" s="53">
        <f t="shared" si="25"/>
        <v>0</v>
      </c>
      <c r="Q82" s="53">
        <f>IF(ISERROR(Q81/Q65),0,(Q81/Q65))</f>
        <v>0</v>
      </c>
      <c r="R82" s="43"/>
      <c r="S82" s="53">
        <f>IF(ISERROR(S81/S65),0,(S81/S65))</f>
        <v>0</v>
      </c>
      <c r="T82" s="53">
        <f t="shared" ref="T82:AC82" si="26">IF(ISERROR(T81/T65),0,(T81/T65))</f>
        <v>0</v>
      </c>
      <c r="U82" s="53">
        <f t="shared" si="26"/>
        <v>0</v>
      </c>
      <c r="V82" s="53">
        <f t="shared" si="26"/>
        <v>0</v>
      </c>
      <c r="W82" s="53">
        <f t="shared" si="26"/>
        <v>0</v>
      </c>
      <c r="X82" s="53">
        <f t="shared" si="26"/>
        <v>0</v>
      </c>
      <c r="Y82" s="53">
        <f t="shared" si="26"/>
        <v>0</v>
      </c>
      <c r="Z82" s="53">
        <f t="shared" si="26"/>
        <v>0</v>
      </c>
      <c r="AA82" s="53">
        <f t="shared" si="26"/>
        <v>0</v>
      </c>
      <c r="AB82" s="53">
        <f t="shared" si="26"/>
        <v>0</v>
      </c>
      <c r="AC82" s="53">
        <f t="shared" si="26"/>
        <v>0</v>
      </c>
      <c r="AD82" s="53">
        <f>IF(ISERROR(AD81/AD65),0,(AD81/AD65))</f>
        <v>0</v>
      </c>
      <c r="AE82" s="43"/>
      <c r="AF82" s="53">
        <f>IF(ISERROR(AF81/AF65),0,(AF81/AF65))</f>
        <v>0</v>
      </c>
      <c r="AG82" s="53">
        <f t="shared" ref="AG82:AP82" si="27">IF(ISERROR(AG81/AG65),0,(AG81/AG65))</f>
        <v>0</v>
      </c>
      <c r="AH82" s="53">
        <f t="shared" si="27"/>
        <v>0</v>
      </c>
      <c r="AI82" s="53">
        <f t="shared" si="27"/>
        <v>0</v>
      </c>
      <c r="AJ82" s="53">
        <f t="shared" si="27"/>
        <v>0</v>
      </c>
      <c r="AK82" s="53">
        <f t="shared" si="27"/>
        <v>0</v>
      </c>
      <c r="AL82" s="53">
        <f t="shared" si="27"/>
        <v>0</v>
      </c>
      <c r="AM82" s="53">
        <f t="shared" si="27"/>
        <v>0</v>
      </c>
      <c r="AN82" s="53">
        <f t="shared" si="27"/>
        <v>0</v>
      </c>
      <c r="AO82" s="53">
        <f t="shared" si="27"/>
        <v>0</v>
      </c>
      <c r="AP82" s="53">
        <f t="shared" si="27"/>
        <v>0</v>
      </c>
      <c r="AQ82" s="53">
        <f>IF(ISERROR(AQ81/AQ65),0,(AQ81/AQ65))</f>
        <v>0</v>
      </c>
      <c r="AR82" s="43"/>
      <c r="AS82" s="53">
        <f>IF(ISERROR(AS81/AS65),0,(AS81/AS65))</f>
        <v>0</v>
      </c>
      <c r="AT82" s="53">
        <f t="shared" ref="AT82:BC82" si="28">IF(ISERROR(AT81/AT65),0,(AT81/AT65))</f>
        <v>0</v>
      </c>
      <c r="AU82" s="53">
        <f t="shared" si="28"/>
        <v>0</v>
      </c>
      <c r="AV82" s="53">
        <f t="shared" si="28"/>
        <v>0</v>
      </c>
      <c r="AW82" s="53">
        <f t="shared" si="28"/>
        <v>0</v>
      </c>
      <c r="AX82" s="53">
        <f t="shared" si="28"/>
        <v>0</v>
      </c>
      <c r="AY82" s="53">
        <f t="shared" si="28"/>
        <v>0</v>
      </c>
      <c r="AZ82" s="53">
        <f t="shared" si="28"/>
        <v>0</v>
      </c>
      <c r="BA82" s="53">
        <f t="shared" si="28"/>
        <v>0</v>
      </c>
      <c r="BB82" s="53">
        <f t="shared" si="28"/>
        <v>0</v>
      </c>
      <c r="BC82" s="53">
        <f t="shared" si="28"/>
        <v>0</v>
      </c>
      <c r="BD82" s="53">
        <f>IF(ISERROR(BD81/BD65),0,(BD81/BD65))</f>
        <v>0</v>
      </c>
      <c r="BE82" s="43"/>
      <c r="BF82" s="53">
        <f>IF(ISERROR(BF81/BF65),0,(BF81/BF65))</f>
        <v>0</v>
      </c>
      <c r="BG82" s="53">
        <f t="shared" ref="BG82:BP82" si="29">IF(ISERROR(BG81/BG65),0,(BG81/BG65))</f>
        <v>0</v>
      </c>
      <c r="BH82" s="53">
        <f t="shared" si="29"/>
        <v>0</v>
      </c>
      <c r="BI82" s="53">
        <f t="shared" si="29"/>
        <v>0</v>
      </c>
      <c r="BJ82" s="53">
        <f t="shared" si="29"/>
        <v>0</v>
      </c>
      <c r="BK82" s="53">
        <f t="shared" si="29"/>
        <v>0</v>
      </c>
      <c r="BL82" s="53">
        <f t="shared" si="29"/>
        <v>0</v>
      </c>
      <c r="BM82" s="53">
        <f t="shared" si="29"/>
        <v>0</v>
      </c>
      <c r="BN82" s="53">
        <f t="shared" si="29"/>
        <v>0</v>
      </c>
      <c r="BO82" s="53">
        <f t="shared" si="29"/>
        <v>0</v>
      </c>
      <c r="BP82" s="53">
        <f t="shared" si="29"/>
        <v>0</v>
      </c>
      <c r="BQ82" s="53">
        <f>IF(ISERROR(BQ81/BQ65),0,(BQ81/BQ65))</f>
        <v>0</v>
      </c>
      <c r="BR82" s="43"/>
    </row>
    <row r="83" spans="1:70" ht="14.25" outlineLevel="1">
      <c r="A83" s="31"/>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row>
    <row r="84" spans="1:70" ht="15" outlineLevel="1">
      <c r="A84" s="34" t="s">
        <v>75</v>
      </c>
      <c r="F84" s="36">
        <v>0</v>
      </c>
      <c r="G84" s="36">
        <v>0</v>
      </c>
      <c r="H84" s="36">
        <v>0</v>
      </c>
      <c r="I84" s="36">
        <v>0</v>
      </c>
      <c r="J84" s="36">
        <v>0</v>
      </c>
      <c r="K84" s="36">
        <v>0</v>
      </c>
      <c r="L84" s="36">
        <v>0</v>
      </c>
      <c r="M84" s="36">
        <v>0</v>
      </c>
      <c r="N84" s="36">
        <v>0</v>
      </c>
      <c r="O84" s="36">
        <v>0</v>
      </c>
      <c r="P84" s="36">
        <v>0</v>
      </c>
      <c r="Q84" s="36">
        <v>0</v>
      </c>
      <c r="R84" s="43"/>
      <c r="S84" s="36">
        <v>0</v>
      </c>
      <c r="T84" s="36">
        <v>0</v>
      </c>
      <c r="U84" s="36">
        <v>0</v>
      </c>
      <c r="V84" s="36">
        <v>0</v>
      </c>
      <c r="W84" s="36">
        <v>0</v>
      </c>
      <c r="X84" s="36">
        <v>0</v>
      </c>
      <c r="Y84" s="36">
        <v>0</v>
      </c>
      <c r="Z84" s="36">
        <v>0</v>
      </c>
      <c r="AA84" s="36">
        <v>0</v>
      </c>
      <c r="AB84" s="36">
        <v>0</v>
      </c>
      <c r="AC84" s="36">
        <v>0</v>
      </c>
      <c r="AD84" s="36">
        <v>0</v>
      </c>
      <c r="AE84" s="43"/>
      <c r="AF84" s="36">
        <v>0</v>
      </c>
      <c r="AG84" s="36">
        <v>0</v>
      </c>
      <c r="AH84" s="36">
        <v>0</v>
      </c>
      <c r="AI84" s="36">
        <v>0</v>
      </c>
      <c r="AJ84" s="36">
        <v>0</v>
      </c>
      <c r="AK84" s="36">
        <v>0</v>
      </c>
      <c r="AL84" s="36">
        <v>0</v>
      </c>
      <c r="AM84" s="36">
        <v>0</v>
      </c>
      <c r="AN84" s="36">
        <v>0</v>
      </c>
      <c r="AO84" s="36">
        <v>0</v>
      </c>
      <c r="AP84" s="36">
        <v>0</v>
      </c>
      <c r="AQ84" s="36">
        <v>0</v>
      </c>
      <c r="AR84" s="43"/>
      <c r="AS84" s="36">
        <v>0</v>
      </c>
      <c r="AT84" s="36">
        <v>0</v>
      </c>
      <c r="AU84" s="36">
        <v>0</v>
      </c>
      <c r="AV84" s="36">
        <v>0</v>
      </c>
      <c r="AW84" s="36">
        <v>0</v>
      </c>
      <c r="AX84" s="36">
        <v>0</v>
      </c>
      <c r="AY84" s="36">
        <v>0</v>
      </c>
      <c r="AZ84" s="36">
        <v>0</v>
      </c>
      <c r="BA84" s="36">
        <v>0</v>
      </c>
      <c r="BB84" s="36">
        <v>0</v>
      </c>
      <c r="BC84" s="36">
        <v>0</v>
      </c>
      <c r="BD84" s="36">
        <v>0</v>
      </c>
      <c r="BE84" s="43"/>
      <c r="BF84" s="36">
        <v>0</v>
      </c>
      <c r="BG84" s="36">
        <v>0</v>
      </c>
      <c r="BH84" s="36">
        <v>0</v>
      </c>
      <c r="BI84" s="36">
        <v>0</v>
      </c>
      <c r="BJ84" s="36">
        <v>0</v>
      </c>
      <c r="BK84" s="36">
        <v>0</v>
      </c>
      <c r="BL84" s="36">
        <v>0</v>
      </c>
      <c r="BM84" s="36">
        <v>0</v>
      </c>
      <c r="BN84" s="36">
        <v>0</v>
      </c>
      <c r="BO84" s="36">
        <v>0</v>
      </c>
      <c r="BP84" s="36">
        <v>0</v>
      </c>
      <c r="BQ84" s="36">
        <v>0</v>
      </c>
      <c r="BR84" s="43"/>
    </row>
    <row r="85" spans="1:70" ht="14.25" outlineLevel="1">
      <c r="A85" s="31"/>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row>
    <row r="86" spans="1:70" ht="15" outlineLevel="1">
      <c r="A86" s="34" t="s">
        <v>76</v>
      </c>
      <c r="F86" s="50">
        <f>F79+F84</f>
        <v>0</v>
      </c>
      <c r="G86" s="50">
        <f t="shared" ref="G86:P86" si="30">G79+G84</f>
        <v>0</v>
      </c>
      <c r="H86" s="50">
        <f t="shared" si="30"/>
        <v>0</v>
      </c>
      <c r="I86" s="50">
        <f t="shared" si="30"/>
        <v>0</v>
      </c>
      <c r="J86" s="50">
        <f t="shared" si="30"/>
        <v>0</v>
      </c>
      <c r="K86" s="50">
        <f t="shared" si="30"/>
        <v>0</v>
      </c>
      <c r="L86" s="50">
        <f t="shared" si="30"/>
        <v>0</v>
      </c>
      <c r="M86" s="50">
        <f t="shared" si="30"/>
        <v>0</v>
      </c>
      <c r="N86" s="50">
        <f t="shared" si="30"/>
        <v>0</v>
      </c>
      <c r="O86" s="50">
        <f t="shared" si="30"/>
        <v>0</v>
      </c>
      <c r="P86" s="50">
        <f t="shared" si="30"/>
        <v>0</v>
      </c>
      <c r="Q86" s="50">
        <f>Q79+Q84</f>
        <v>0</v>
      </c>
      <c r="R86" s="43"/>
      <c r="S86" s="50">
        <f>S79+S84</f>
        <v>0</v>
      </c>
      <c r="T86" s="50">
        <f t="shared" ref="T86:AC86" si="31">T79+T84</f>
        <v>0</v>
      </c>
      <c r="U86" s="50">
        <f t="shared" si="31"/>
        <v>0</v>
      </c>
      <c r="V86" s="50">
        <f t="shared" si="31"/>
        <v>0</v>
      </c>
      <c r="W86" s="50">
        <f t="shared" si="31"/>
        <v>0</v>
      </c>
      <c r="X86" s="50">
        <f t="shared" si="31"/>
        <v>0</v>
      </c>
      <c r="Y86" s="50">
        <f t="shared" si="31"/>
        <v>0</v>
      </c>
      <c r="Z86" s="50">
        <f t="shared" si="31"/>
        <v>0</v>
      </c>
      <c r="AA86" s="50">
        <f t="shared" si="31"/>
        <v>0</v>
      </c>
      <c r="AB86" s="50">
        <f t="shared" si="31"/>
        <v>0</v>
      </c>
      <c r="AC86" s="50">
        <f t="shared" si="31"/>
        <v>0</v>
      </c>
      <c r="AD86" s="50">
        <f>AD79+AD84</f>
        <v>0</v>
      </c>
      <c r="AE86" s="43"/>
      <c r="AF86" s="50">
        <f>AF79+AF84</f>
        <v>0</v>
      </c>
      <c r="AG86" s="50">
        <f t="shared" ref="AG86:AP86" si="32">AG79+AG84</f>
        <v>0</v>
      </c>
      <c r="AH86" s="50">
        <f t="shared" si="32"/>
        <v>0</v>
      </c>
      <c r="AI86" s="50">
        <f t="shared" si="32"/>
        <v>0</v>
      </c>
      <c r="AJ86" s="50">
        <f t="shared" si="32"/>
        <v>0</v>
      </c>
      <c r="AK86" s="50">
        <f t="shared" si="32"/>
        <v>0</v>
      </c>
      <c r="AL86" s="50">
        <f t="shared" si="32"/>
        <v>0</v>
      </c>
      <c r="AM86" s="50">
        <f t="shared" si="32"/>
        <v>0</v>
      </c>
      <c r="AN86" s="50">
        <f t="shared" si="32"/>
        <v>0</v>
      </c>
      <c r="AO86" s="50">
        <f t="shared" si="32"/>
        <v>0</v>
      </c>
      <c r="AP86" s="50">
        <f t="shared" si="32"/>
        <v>0</v>
      </c>
      <c r="AQ86" s="50">
        <f>AQ79+AQ84</f>
        <v>0</v>
      </c>
      <c r="AR86" s="43"/>
      <c r="AS86" s="50">
        <f>AS79+AS84</f>
        <v>0</v>
      </c>
      <c r="AT86" s="50">
        <f t="shared" ref="AT86:BC86" si="33">AT79+AT84</f>
        <v>0</v>
      </c>
      <c r="AU86" s="50">
        <f t="shared" si="33"/>
        <v>0</v>
      </c>
      <c r="AV86" s="50">
        <f t="shared" si="33"/>
        <v>0</v>
      </c>
      <c r="AW86" s="50">
        <f t="shared" si="33"/>
        <v>0</v>
      </c>
      <c r="AX86" s="50">
        <f t="shared" si="33"/>
        <v>0</v>
      </c>
      <c r="AY86" s="50">
        <f t="shared" si="33"/>
        <v>0</v>
      </c>
      <c r="AZ86" s="50">
        <f t="shared" si="33"/>
        <v>0</v>
      </c>
      <c r="BA86" s="50">
        <f t="shared" si="33"/>
        <v>0</v>
      </c>
      <c r="BB86" s="50">
        <f t="shared" si="33"/>
        <v>0</v>
      </c>
      <c r="BC86" s="50">
        <f t="shared" si="33"/>
        <v>0</v>
      </c>
      <c r="BD86" s="50">
        <f>BD79+BD84</f>
        <v>0</v>
      </c>
      <c r="BE86" s="43"/>
      <c r="BF86" s="50">
        <f>BF79+BF84</f>
        <v>0</v>
      </c>
      <c r="BG86" s="50">
        <f t="shared" ref="BG86:BP86" si="34">BG79+BG84</f>
        <v>0</v>
      </c>
      <c r="BH86" s="50">
        <f t="shared" si="34"/>
        <v>0</v>
      </c>
      <c r="BI86" s="50">
        <f t="shared" si="34"/>
        <v>0</v>
      </c>
      <c r="BJ86" s="50">
        <f t="shared" si="34"/>
        <v>0</v>
      </c>
      <c r="BK86" s="50">
        <f t="shared" si="34"/>
        <v>0</v>
      </c>
      <c r="BL86" s="50">
        <f t="shared" si="34"/>
        <v>0</v>
      </c>
      <c r="BM86" s="50">
        <f t="shared" si="34"/>
        <v>0</v>
      </c>
      <c r="BN86" s="50">
        <f t="shared" si="34"/>
        <v>0</v>
      </c>
      <c r="BO86" s="50">
        <f t="shared" si="34"/>
        <v>0</v>
      </c>
      <c r="BP86" s="50">
        <f t="shared" si="34"/>
        <v>0</v>
      </c>
      <c r="BQ86" s="50">
        <f>BQ79+BQ84</f>
        <v>0</v>
      </c>
      <c r="BR86" s="43"/>
    </row>
    <row r="87" spans="1:70" ht="15" outlineLevel="1">
      <c r="A87" s="34" t="s">
        <v>77</v>
      </c>
      <c r="F87" s="53">
        <f>IF(ISERROR(F86/F65),0,(F86/F65))</f>
        <v>0</v>
      </c>
      <c r="G87" s="53">
        <f t="shared" ref="G87:P87" si="35">IF(ISERROR(G86/G65),0,(G86/G65))</f>
        <v>0</v>
      </c>
      <c r="H87" s="53">
        <f t="shared" si="35"/>
        <v>0</v>
      </c>
      <c r="I87" s="53">
        <f t="shared" si="35"/>
        <v>0</v>
      </c>
      <c r="J87" s="53">
        <f t="shared" si="35"/>
        <v>0</v>
      </c>
      <c r="K87" s="53">
        <f t="shared" si="35"/>
        <v>0</v>
      </c>
      <c r="L87" s="53">
        <f t="shared" si="35"/>
        <v>0</v>
      </c>
      <c r="M87" s="53">
        <f t="shared" si="35"/>
        <v>0</v>
      </c>
      <c r="N87" s="53">
        <f t="shared" si="35"/>
        <v>0</v>
      </c>
      <c r="O87" s="53">
        <f t="shared" si="35"/>
        <v>0</v>
      </c>
      <c r="P87" s="53">
        <f t="shared" si="35"/>
        <v>0</v>
      </c>
      <c r="Q87" s="53">
        <f>IF(ISERROR(Q86/Q65),0,(Q86/Q65))</f>
        <v>0</v>
      </c>
      <c r="R87" s="43"/>
      <c r="S87" s="53">
        <f>IF(ISERROR(S86/S65),0,(S86/S65))</f>
        <v>0</v>
      </c>
      <c r="T87" s="53">
        <f t="shared" ref="T87:AC87" si="36">IF(ISERROR(T86/T65),0,(T86/T65))</f>
        <v>0</v>
      </c>
      <c r="U87" s="53">
        <f t="shared" si="36"/>
        <v>0</v>
      </c>
      <c r="V87" s="53">
        <f t="shared" si="36"/>
        <v>0</v>
      </c>
      <c r="W87" s="53">
        <f t="shared" si="36"/>
        <v>0</v>
      </c>
      <c r="X87" s="53">
        <f t="shared" si="36"/>
        <v>0</v>
      </c>
      <c r="Y87" s="53">
        <f t="shared" si="36"/>
        <v>0</v>
      </c>
      <c r="Z87" s="53">
        <f t="shared" si="36"/>
        <v>0</v>
      </c>
      <c r="AA87" s="53">
        <f t="shared" si="36"/>
        <v>0</v>
      </c>
      <c r="AB87" s="53">
        <f t="shared" si="36"/>
        <v>0</v>
      </c>
      <c r="AC87" s="53">
        <f t="shared" si="36"/>
        <v>0</v>
      </c>
      <c r="AD87" s="53">
        <f>IF(ISERROR(AD86/AD65),0,(AD86/AD65))</f>
        <v>0</v>
      </c>
      <c r="AE87" s="43"/>
      <c r="AF87" s="53">
        <f>IF(ISERROR(AF86/AF65),0,(AF86/AF65))</f>
        <v>0</v>
      </c>
      <c r="AG87" s="53">
        <f t="shared" ref="AG87:AP87" si="37">IF(ISERROR(AG86/AG65),0,(AG86/AG65))</f>
        <v>0</v>
      </c>
      <c r="AH87" s="53">
        <f t="shared" si="37"/>
        <v>0</v>
      </c>
      <c r="AI87" s="53">
        <f t="shared" si="37"/>
        <v>0</v>
      </c>
      <c r="AJ87" s="53">
        <f t="shared" si="37"/>
        <v>0</v>
      </c>
      <c r="AK87" s="53">
        <f t="shared" si="37"/>
        <v>0</v>
      </c>
      <c r="AL87" s="53">
        <f t="shared" si="37"/>
        <v>0</v>
      </c>
      <c r="AM87" s="53">
        <f t="shared" si="37"/>
        <v>0</v>
      </c>
      <c r="AN87" s="53">
        <f t="shared" si="37"/>
        <v>0</v>
      </c>
      <c r="AO87" s="53">
        <f t="shared" si="37"/>
        <v>0</v>
      </c>
      <c r="AP87" s="53">
        <f t="shared" si="37"/>
        <v>0</v>
      </c>
      <c r="AQ87" s="53">
        <f>IF(ISERROR(AQ86/AQ65),0,(AQ86/AQ65))</f>
        <v>0</v>
      </c>
      <c r="AR87" s="43"/>
      <c r="AS87" s="53">
        <f>IF(ISERROR(AS86/AS65),0,(AS86/AS65))</f>
        <v>0</v>
      </c>
      <c r="AT87" s="53">
        <f t="shared" ref="AT87:BC87" si="38">IF(ISERROR(AT86/AT65),0,(AT86/AT65))</f>
        <v>0</v>
      </c>
      <c r="AU87" s="53">
        <f t="shared" si="38"/>
        <v>0</v>
      </c>
      <c r="AV87" s="53">
        <f t="shared" si="38"/>
        <v>0</v>
      </c>
      <c r="AW87" s="53">
        <f t="shared" si="38"/>
        <v>0</v>
      </c>
      <c r="AX87" s="53">
        <f t="shared" si="38"/>
        <v>0</v>
      </c>
      <c r="AY87" s="53">
        <f t="shared" si="38"/>
        <v>0</v>
      </c>
      <c r="AZ87" s="53">
        <f t="shared" si="38"/>
        <v>0</v>
      </c>
      <c r="BA87" s="53">
        <f t="shared" si="38"/>
        <v>0</v>
      </c>
      <c r="BB87" s="53">
        <f t="shared" si="38"/>
        <v>0</v>
      </c>
      <c r="BC87" s="53">
        <f t="shared" si="38"/>
        <v>0</v>
      </c>
      <c r="BD87" s="53">
        <f>IF(ISERROR(BD86/BD65),0,(BD86/BD65))</f>
        <v>0</v>
      </c>
      <c r="BE87" s="43"/>
      <c r="BF87" s="53">
        <f>IF(ISERROR(BF86/BF65),0,(BF86/BF65))</f>
        <v>0</v>
      </c>
      <c r="BG87" s="53">
        <f t="shared" ref="BG87:BP87" si="39">IF(ISERROR(BG86/BG65),0,(BG86/BG65))</f>
        <v>0</v>
      </c>
      <c r="BH87" s="53">
        <f t="shared" si="39"/>
        <v>0</v>
      </c>
      <c r="BI87" s="53">
        <f t="shared" si="39"/>
        <v>0</v>
      </c>
      <c r="BJ87" s="53">
        <f t="shared" si="39"/>
        <v>0</v>
      </c>
      <c r="BK87" s="53">
        <f t="shared" si="39"/>
        <v>0</v>
      </c>
      <c r="BL87" s="53">
        <f t="shared" si="39"/>
        <v>0</v>
      </c>
      <c r="BM87" s="53">
        <f t="shared" si="39"/>
        <v>0</v>
      </c>
      <c r="BN87" s="53">
        <f t="shared" si="39"/>
        <v>0</v>
      </c>
      <c r="BO87" s="53">
        <f t="shared" si="39"/>
        <v>0</v>
      </c>
      <c r="BP87" s="53">
        <f t="shared" si="39"/>
        <v>0</v>
      </c>
      <c r="BQ87" s="53">
        <f>IF(ISERROR(BQ86/BQ65),0,(BQ86/BQ65))</f>
        <v>0</v>
      </c>
      <c r="BR87" s="43"/>
    </row>
    <row r="88" spans="1:70" ht="14.25" outlineLevel="1">
      <c r="A88" s="31"/>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row>
    <row r="89" spans="1:70" ht="15" outlineLevel="1">
      <c r="A89" s="34" t="s">
        <v>78</v>
      </c>
      <c r="F89" s="36">
        <v>0</v>
      </c>
      <c r="G89" s="36">
        <v>0</v>
      </c>
      <c r="H89" s="36">
        <v>0</v>
      </c>
      <c r="I89" s="36">
        <v>0</v>
      </c>
      <c r="J89" s="36">
        <v>0</v>
      </c>
      <c r="K89" s="36">
        <v>0</v>
      </c>
      <c r="L89" s="36">
        <v>0</v>
      </c>
      <c r="M89" s="36">
        <v>0</v>
      </c>
      <c r="N89" s="36">
        <v>0</v>
      </c>
      <c r="O89" s="36">
        <v>0</v>
      </c>
      <c r="P89" s="36">
        <v>0</v>
      </c>
      <c r="Q89" s="36">
        <v>0</v>
      </c>
      <c r="R89" s="43"/>
      <c r="S89" s="36">
        <v>0</v>
      </c>
      <c r="T89" s="36">
        <v>0</v>
      </c>
      <c r="U89" s="36">
        <v>0</v>
      </c>
      <c r="V89" s="36">
        <v>0</v>
      </c>
      <c r="W89" s="36">
        <v>0</v>
      </c>
      <c r="X89" s="36">
        <v>0</v>
      </c>
      <c r="Y89" s="36">
        <v>0</v>
      </c>
      <c r="Z89" s="36">
        <v>0</v>
      </c>
      <c r="AA89" s="36">
        <v>0</v>
      </c>
      <c r="AB89" s="36">
        <v>0</v>
      </c>
      <c r="AC89" s="36">
        <v>0</v>
      </c>
      <c r="AD89" s="36">
        <v>0</v>
      </c>
      <c r="AE89" s="43"/>
      <c r="AF89" s="36">
        <v>0</v>
      </c>
      <c r="AG89" s="36">
        <v>0</v>
      </c>
      <c r="AH89" s="36">
        <v>0</v>
      </c>
      <c r="AI89" s="36">
        <v>0</v>
      </c>
      <c r="AJ89" s="36">
        <v>0</v>
      </c>
      <c r="AK89" s="36">
        <v>0</v>
      </c>
      <c r="AL89" s="36">
        <v>0</v>
      </c>
      <c r="AM89" s="36">
        <v>0</v>
      </c>
      <c r="AN89" s="36">
        <v>0</v>
      </c>
      <c r="AO89" s="36">
        <v>0</v>
      </c>
      <c r="AP89" s="36">
        <v>0</v>
      </c>
      <c r="AQ89" s="36">
        <v>0</v>
      </c>
      <c r="AR89" s="43"/>
      <c r="AS89" s="36">
        <v>0</v>
      </c>
      <c r="AT89" s="36">
        <v>0</v>
      </c>
      <c r="AU89" s="36">
        <v>0</v>
      </c>
      <c r="AV89" s="36">
        <v>0</v>
      </c>
      <c r="AW89" s="36">
        <v>0</v>
      </c>
      <c r="AX89" s="36">
        <v>0</v>
      </c>
      <c r="AY89" s="36">
        <v>0</v>
      </c>
      <c r="AZ89" s="36">
        <v>0</v>
      </c>
      <c r="BA89" s="36">
        <v>0</v>
      </c>
      <c r="BB89" s="36">
        <v>0</v>
      </c>
      <c r="BC89" s="36">
        <v>0</v>
      </c>
      <c r="BD89" s="36">
        <v>0</v>
      </c>
      <c r="BE89" s="43"/>
      <c r="BF89" s="36">
        <v>0</v>
      </c>
      <c r="BG89" s="36">
        <v>0</v>
      </c>
      <c r="BH89" s="36">
        <v>0</v>
      </c>
      <c r="BI89" s="36">
        <v>0</v>
      </c>
      <c r="BJ89" s="36">
        <v>0</v>
      </c>
      <c r="BK89" s="36">
        <v>0</v>
      </c>
      <c r="BL89" s="36">
        <v>0</v>
      </c>
      <c r="BM89" s="36">
        <v>0</v>
      </c>
      <c r="BN89" s="36">
        <v>0</v>
      </c>
      <c r="BO89" s="36">
        <v>0</v>
      </c>
      <c r="BP89" s="36">
        <v>0</v>
      </c>
      <c r="BQ89" s="36">
        <v>0</v>
      </c>
      <c r="BR89" s="43"/>
    </row>
    <row r="90" spans="1:70" ht="14.25" outlineLevel="1">
      <c r="A90" s="31"/>
      <c r="F90" s="43"/>
      <c r="G90" s="43"/>
      <c r="H90" s="43"/>
      <c r="I90" s="43"/>
      <c r="J90" s="43"/>
      <c r="K90" s="43"/>
      <c r="L90" s="43"/>
      <c r="M90" s="43"/>
      <c r="N90" s="43"/>
      <c r="O90" s="43"/>
      <c r="P90" s="43"/>
      <c r="Q90" s="43"/>
      <c r="R90" s="43"/>
      <c r="S90" s="43"/>
      <c r="T90" s="43"/>
      <c r="U90" s="43"/>
      <c r="V90" s="43"/>
      <c r="W90" s="43"/>
      <c r="X90" s="43"/>
      <c r="Y90" s="43"/>
      <c r="Z90" s="43"/>
      <c r="AA90" s="43"/>
      <c r="AB90" s="43"/>
      <c r="AC90" s="43"/>
      <c r="AD90" s="43"/>
      <c r="AE90" s="43"/>
      <c r="AF90" s="43"/>
      <c r="AG90" s="43"/>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row>
    <row r="91" spans="1:70" ht="15" outlineLevel="1">
      <c r="A91" s="34" t="s">
        <v>79</v>
      </c>
      <c r="F91" s="50">
        <f>F86+F89</f>
        <v>0</v>
      </c>
      <c r="G91" s="50">
        <f t="shared" ref="G91:P91" si="40">G86+G89</f>
        <v>0</v>
      </c>
      <c r="H91" s="50">
        <f t="shared" si="40"/>
        <v>0</v>
      </c>
      <c r="I91" s="50">
        <f t="shared" si="40"/>
        <v>0</v>
      </c>
      <c r="J91" s="50">
        <f t="shared" si="40"/>
        <v>0</v>
      </c>
      <c r="K91" s="50">
        <f t="shared" si="40"/>
        <v>0</v>
      </c>
      <c r="L91" s="50">
        <f t="shared" si="40"/>
        <v>0</v>
      </c>
      <c r="M91" s="50">
        <f t="shared" si="40"/>
        <v>0</v>
      </c>
      <c r="N91" s="50">
        <f t="shared" si="40"/>
        <v>0</v>
      </c>
      <c r="O91" s="50">
        <f t="shared" si="40"/>
        <v>0</v>
      </c>
      <c r="P91" s="50">
        <f t="shared" si="40"/>
        <v>0</v>
      </c>
      <c r="Q91" s="50">
        <f>Q86+Q89</f>
        <v>0</v>
      </c>
      <c r="R91" s="43"/>
      <c r="S91" s="50">
        <f>S86+S89</f>
        <v>0</v>
      </c>
      <c r="T91" s="50">
        <f t="shared" ref="T91:AC91" si="41">T86+T89</f>
        <v>0</v>
      </c>
      <c r="U91" s="50">
        <f t="shared" si="41"/>
        <v>0</v>
      </c>
      <c r="V91" s="50">
        <f t="shared" si="41"/>
        <v>0</v>
      </c>
      <c r="W91" s="50">
        <f t="shared" si="41"/>
        <v>0</v>
      </c>
      <c r="X91" s="50">
        <f t="shared" si="41"/>
        <v>0</v>
      </c>
      <c r="Y91" s="50">
        <f t="shared" si="41"/>
        <v>0</v>
      </c>
      <c r="Z91" s="50">
        <f t="shared" si="41"/>
        <v>0</v>
      </c>
      <c r="AA91" s="50">
        <f t="shared" si="41"/>
        <v>0</v>
      </c>
      <c r="AB91" s="50">
        <f t="shared" si="41"/>
        <v>0</v>
      </c>
      <c r="AC91" s="50">
        <f t="shared" si="41"/>
        <v>0</v>
      </c>
      <c r="AD91" s="50">
        <f>AD86+AD89</f>
        <v>0</v>
      </c>
      <c r="AE91" s="43"/>
      <c r="AF91" s="50">
        <f>AF86+AF89</f>
        <v>0</v>
      </c>
      <c r="AG91" s="50">
        <f t="shared" ref="AG91:AP91" si="42">AG86+AG89</f>
        <v>0</v>
      </c>
      <c r="AH91" s="50">
        <f t="shared" si="42"/>
        <v>0</v>
      </c>
      <c r="AI91" s="50">
        <f t="shared" si="42"/>
        <v>0</v>
      </c>
      <c r="AJ91" s="50">
        <f t="shared" si="42"/>
        <v>0</v>
      </c>
      <c r="AK91" s="50">
        <f t="shared" si="42"/>
        <v>0</v>
      </c>
      <c r="AL91" s="50">
        <f t="shared" si="42"/>
        <v>0</v>
      </c>
      <c r="AM91" s="50">
        <f t="shared" si="42"/>
        <v>0</v>
      </c>
      <c r="AN91" s="50">
        <f t="shared" si="42"/>
        <v>0</v>
      </c>
      <c r="AO91" s="50">
        <f t="shared" si="42"/>
        <v>0</v>
      </c>
      <c r="AP91" s="50">
        <f t="shared" si="42"/>
        <v>0</v>
      </c>
      <c r="AQ91" s="50">
        <f>AQ86+AQ89</f>
        <v>0</v>
      </c>
      <c r="AR91" s="43"/>
      <c r="AS91" s="50">
        <f>AS86+AS89</f>
        <v>0</v>
      </c>
      <c r="AT91" s="50">
        <f t="shared" ref="AT91:BC91" si="43">AT86+AT89</f>
        <v>0</v>
      </c>
      <c r="AU91" s="50">
        <f t="shared" si="43"/>
        <v>0</v>
      </c>
      <c r="AV91" s="50">
        <f t="shared" si="43"/>
        <v>0</v>
      </c>
      <c r="AW91" s="50">
        <f t="shared" si="43"/>
        <v>0</v>
      </c>
      <c r="AX91" s="50">
        <f t="shared" si="43"/>
        <v>0</v>
      </c>
      <c r="AY91" s="50">
        <f t="shared" si="43"/>
        <v>0</v>
      </c>
      <c r="AZ91" s="50">
        <f t="shared" si="43"/>
        <v>0</v>
      </c>
      <c r="BA91" s="50">
        <f t="shared" si="43"/>
        <v>0</v>
      </c>
      <c r="BB91" s="50">
        <f t="shared" si="43"/>
        <v>0</v>
      </c>
      <c r="BC91" s="50">
        <f t="shared" si="43"/>
        <v>0</v>
      </c>
      <c r="BD91" s="50">
        <f>BD86+BD89</f>
        <v>0</v>
      </c>
      <c r="BE91" s="43"/>
      <c r="BF91" s="50">
        <f>BF86+BF89</f>
        <v>0</v>
      </c>
      <c r="BG91" s="50">
        <f t="shared" ref="BG91:BP91" si="44">BG86+BG89</f>
        <v>0</v>
      </c>
      <c r="BH91" s="50">
        <f t="shared" si="44"/>
        <v>0</v>
      </c>
      <c r="BI91" s="50">
        <f t="shared" si="44"/>
        <v>0</v>
      </c>
      <c r="BJ91" s="50">
        <f t="shared" si="44"/>
        <v>0</v>
      </c>
      <c r="BK91" s="50">
        <f t="shared" si="44"/>
        <v>0</v>
      </c>
      <c r="BL91" s="50">
        <f t="shared" si="44"/>
        <v>0</v>
      </c>
      <c r="BM91" s="50">
        <f t="shared" si="44"/>
        <v>0</v>
      </c>
      <c r="BN91" s="50">
        <f t="shared" si="44"/>
        <v>0</v>
      </c>
      <c r="BO91" s="50">
        <f t="shared" si="44"/>
        <v>0</v>
      </c>
      <c r="BP91" s="50">
        <f t="shared" si="44"/>
        <v>0</v>
      </c>
      <c r="BQ91" s="50">
        <f>BQ86+BQ89</f>
        <v>0</v>
      </c>
      <c r="BR91" s="43"/>
    </row>
    <row r="92" spans="1:70" ht="15" outlineLevel="1">
      <c r="A92" s="34" t="s">
        <v>80</v>
      </c>
      <c r="F92" s="53">
        <f>IF(ISERROR(F91/F65),0,(F91/F65))</f>
        <v>0</v>
      </c>
      <c r="G92" s="53">
        <f t="shared" ref="G92:P92" si="45">IF(ISERROR(G91/G65),0,(G91/G65))</f>
        <v>0</v>
      </c>
      <c r="H92" s="53">
        <f t="shared" si="45"/>
        <v>0</v>
      </c>
      <c r="I92" s="53">
        <f t="shared" si="45"/>
        <v>0</v>
      </c>
      <c r="J92" s="53">
        <f t="shared" si="45"/>
        <v>0</v>
      </c>
      <c r="K92" s="53">
        <f t="shared" si="45"/>
        <v>0</v>
      </c>
      <c r="L92" s="53">
        <f t="shared" si="45"/>
        <v>0</v>
      </c>
      <c r="M92" s="53">
        <f t="shared" si="45"/>
        <v>0</v>
      </c>
      <c r="N92" s="53">
        <f t="shared" si="45"/>
        <v>0</v>
      </c>
      <c r="O92" s="53">
        <f t="shared" si="45"/>
        <v>0</v>
      </c>
      <c r="P92" s="53">
        <f t="shared" si="45"/>
        <v>0</v>
      </c>
      <c r="Q92" s="53">
        <f>IF(ISERROR(Q91/Q65),0,(Q91/Q65))</f>
        <v>0</v>
      </c>
      <c r="R92" s="43"/>
      <c r="S92" s="53">
        <f>IF(ISERROR(S91/S65),0,(S91/S65))</f>
        <v>0</v>
      </c>
      <c r="T92" s="53">
        <f t="shared" ref="T92:AC92" si="46">IF(ISERROR(T91/T65),0,(T91/T65))</f>
        <v>0</v>
      </c>
      <c r="U92" s="53">
        <f t="shared" si="46"/>
        <v>0</v>
      </c>
      <c r="V92" s="53">
        <f t="shared" si="46"/>
        <v>0</v>
      </c>
      <c r="W92" s="53">
        <f t="shared" si="46"/>
        <v>0</v>
      </c>
      <c r="X92" s="53">
        <f t="shared" si="46"/>
        <v>0</v>
      </c>
      <c r="Y92" s="53">
        <f t="shared" si="46"/>
        <v>0</v>
      </c>
      <c r="Z92" s="53">
        <f t="shared" si="46"/>
        <v>0</v>
      </c>
      <c r="AA92" s="53">
        <f t="shared" si="46"/>
        <v>0</v>
      </c>
      <c r="AB92" s="53">
        <f t="shared" si="46"/>
        <v>0</v>
      </c>
      <c r="AC92" s="53">
        <f t="shared" si="46"/>
        <v>0</v>
      </c>
      <c r="AD92" s="53">
        <f>IF(ISERROR(AD91/AD65),0,(AD91/AD65))</f>
        <v>0</v>
      </c>
      <c r="AE92" s="43"/>
      <c r="AF92" s="53">
        <f>IF(ISERROR(AF91/AF65),0,(AF91/AF65))</f>
        <v>0</v>
      </c>
      <c r="AG92" s="53">
        <f t="shared" ref="AG92:AP92" si="47">IF(ISERROR(AG91/AG65),0,(AG91/AG65))</f>
        <v>0</v>
      </c>
      <c r="AH92" s="53">
        <f t="shared" si="47"/>
        <v>0</v>
      </c>
      <c r="AI92" s="53">
        <f t="shared" si="47"/>
        <v>0</v>
      </c>
      <c r="AJ92" s="53">
        <f t="shared" si="47"/>
        <v>0</v>
      </c>
      <c r="AK92" s="53">
        <f t="shared" si="47"/>
        <v>0</v>
      </c>
      <c r="AL92" s="53">
        <f t="shared" si="47"/>
        <v>0</v>
      </c>
      <c r="AM92" s="53">
        <f t="shared" si="47"/>
        <v>0</v>
      </c>
      <c r="AN92" s="53">
        <f t="shared" si="47"/>
        <v>0</v>
      </c>
      <c r="AO92" s="53">
        <f t="shared" si="47"/>
        <v>0</v>
      </c>
      <c r="AP92" s="53">
        <f t="shared" si="47"/>
        <v>0</v>
      </c>
      <c r="AQ92" s="53">
        <f>IF(ISERROR(AQ91/AQ65),0,(AQ91/AQ65))</f>
        <v>0</v>
      </c>
      <c r="AR92" s="43"/>
      <c r="AS92" s="53">
        <f>IF(ISERROR(AS91/AS65),0,(AS91/AS65))</f>
        <v>0</v>
      </c>
      <c r="AT92" s="53">
        <f t="shared" ref="AT92:BC92" si="48">IF(ISERROR(AT91/AT65),0,(AT91/AT65))</f>
        <v>0</v>
      </c>
      <c r="AU92" s="53">
        <f t="shared" si="48"/>
        <v>0</v>
      </c>
      <c r="AV92" s="53">
        <f t="shared" si="48"/>
        <v>0</v>
      </c>
      <c r="AW92" s="53">
        <f t="shared" si="48"/>
        <v>0</v>
      </c>
      <c r="AX92" s="53">
        <f t="shared" si="48"/>
        <v>0</v>
      </c>
      <c r="AY92" s="53">
        <f t="shared" si="48"/>
        <v>0</v>
      </c>
      <c r="AZ92" s="53">
        <f t="shared" si="48"/>
        <v>0</v>
      </c>
      <c r="BA92" s="53">
        <f t="shared" si="48"/>
        <v>0</v>
      </c>
      <c r="BB92" s="53">
        <f t="shared" si="48"/>
        <v>0</v>
      </c>
      <c r="BC92" s="53">
        <f t="shared" si="48"/>
        <v>0</v>
      </c>
      <c r="BD92" s="53">
        <f>IF(ISERROR(BD91/BD65),0,(BD91/BD65))</f>
        <v>0</v>
      </c>
      <c r="BE92" s="43"/>
      <c r="BF92" s="53">
        <f>IF(ISERROR(BF91/BF65),0,(BF91/BF65))</f>
        <v>0</v>
      </c>
      <c r="BG92" s="53">
        <f t="shared" ref="BG92:BP92" si="49">IF(ISERROR(BG91/BG65),0,(BG91/BG65))</f>
        <v>0</v>
      </c>
      <c r="BH92" s="53">
        <f t="shared" si="49"/>
        <v>0</v>
      </c>
      <c r="BI92" s="53">
        <f t="shared" si="49"/>
        <v>0</v>
      </c>
      <c r="BJ92" s="53">
        <f t="shared" si="49"/>
        <v>0</v>
      </c>
      <c r="BK92" s="53">
        <f t="shared" si="49"/>
        <v>0</v>
      </c>
      <c r="BL92" s="53">
        <f t="shared" si="49"/>
        <v>0</v>
      </c>
      <c r="BM92" s="53">
        <f t="shared" si="49"/>
        <v>0</v>
      </c>
      <c r="BN92" s="53">
        <f t="shared" si="49"/>
        <v>0</v>
      </c>
      <c r="BO92" s="53">
        <f t="shared" si="49"/>
        <v>0</v>
      </c>
      <c r="BP92" s="53">
        <f t="shared" si="49"/>
        <v>0</v>
      </c>
      <c r="BQ92" s="53">
        <f>IF(ISERROR(BQ91/BQ65),0,(BQ91/BQ65))</f>
        <v>0</v>
      </c>
      <c r="BR92" s="43"/>
    </row>
    <row r="93" spans="1:70" ht="14.25" outlineLevel="1">
      <c r="A93" s="31"/>
      <c r="F93" s="43"/>
      <c r="G93" s="43"/>
      <c r="H93" s="43"/>
      <c r="I93" s="43"/>
      <c r="J93" s="43"/>
      <c r="K93" s="43"/>
      <c r="L93" s="43"/>
      <c r="M93" s="43"/>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row>
    <row r="94" spans="1:70" ht="15" outlineLevel="1">
      <c r="A94" s="34" t="s">
        <v>81</v>
      </c>
      <c r="F94" s="36">
        <v>0</v>
      </c>
      <c r="G94" s="36">
        <v>0</v>
      </c>
      <c r="H94" s="36">
        <v>0</v>
      </c>
      <c r="I94" s="36">
        <v>0</v>
      </c>
      <c r="J94" s="36">
        <v>0</v>
      </c>
      <c r="K94" s="36">
        <v>0</v>
      </c>
      <c r="L94" s="36">
        <v>0</v>
      </c>
      <c r="M94" s="36">
        <v>0</v>
      </c>
      <c r="N94" s="36">
        <v>0</v>
      </c>
      <c r="O94" s="36">
        <v>0</v>
      </c>
      <c r="P94" s="36">
        <v>0</v>
      </c>
      <c r="Q94" s="36">
        <v>0</v>
      </c>
      <c r="R94" s="43"/>
      <c r="S94" s="36">
        <v>0</v>
      </c>
      <c r="T94" s="36">
        <v>0</v>
      </c>
      <c r="U94" s="36">
        <v>0</v>
      </c>
      <c r="V94" s="36">
        <v>0</v>
      </c>
      <c r="W94" s="36">
        <v>0</v>
      </c>
      <c r="X94" s="36">
        <v>0</v>
      </c>
      <c r="Y94" s="36">
        <v>0</v>
      </c>
      <c r="Z94" s="36">
        <v>0</v>
      </c>
      <c r="AA94" s="36">
        <v>0</v>
      </c>
      <c r="AB94" s="36">
        <v>0</v>
      </c>
      <c r="AC94" s="36">
        <v>0</v>
      </c>
      <c r="AD94" s="36">
        <v>0</v>
      </c>
      <c r="AE94" s="43"/>
      <c r="AF94" s="36">
        <v>0</v>
      </c>
      <c r="AG94" s="36">
        <v>0</v>
      </c>
      <c r="AH94" s="36">
        <v>0</v>
      </c>
      <c r="AI94" s="36">
        <v>0</v>
      </c>
      <c r="AJ94" s="36">
        <v>0</v>
      </c>
      <c r="AK94" s="36">
        <v>0</v>
      </c>
      <c r="AL94" s="36">
        <v>0</v>
      </c>
      <c r="AM94" s="36">
        <v>0</v>
      </c>
      <c r="AN94" s="36">
        <v>0</v>
      </c>
      <c r="AO94" s="36">
        <v>0</v>
      </c>
      <c r="AP94" s="36">
        <v>0</v>
      </c>
      <c r="AQ94" s="36">
        <v>0</v>
      </c>
      <c r="AR94" s="43"/>
      <c r="AS94" s="36">
        <v>0</v>
      </c>
      <c r="AT94" s="36">
        <v>0</v>
      </c>
      <c r="AU94" s="36">
        <v>0</v>
      </c>
      <c r="AV94" s="36">
        <v>0</v>
      </c>
      <c r="AW94" s="36">
        <v>0</v>
      </c>
      <c r="AX94" s="36">
        <v>0</v>
      </c>
      <c r="AY94" s="36">
        <v>0</v>
      </c>
      <c r="AZ94" s="36">
        <v>0</v>
      </c>
      <c r="BA94" s="36">
        <v>0</v>
      </c>
      <c r="BB94" s="36">
        <v>0</v>
      </c>
      <c r="BC94" s="36">
        <v>0</v>
      </c>
      <c r="BD94" s="36">
        <v>0</v>
      </c>
      <c r="BE94" s="43"/>
      <c r="BF94" s="36">
        <v>0</v>
      </c>
      <c r="BG94" s="36">
        <v>0</v>
      </c>
      <c r="BH94" s="36">
        <v>0</v>
      </c>
      <c r="BI94" s="36">
        <v>0</v>
      </c>
      <c r="BJ94" s="36">
        <v>0</v>
      </c>
      <c r="BK94" s="36">
        <v>0</v>
      </c>
      <c r="BL94" s="36">
        <v>0</v>
      </c>
      <c r="BM94" s="36">
        <v>0</v>
      </c>
      <c r="BN94" s="36">
        <v>0</v>
      </c>
      <c r="BO94" s="36">
        <v>0</v>
      </c>
      <c r="BP94" s="36">
        <v>0</v>
      </c>
      <c r="BQ94" s="36">
        <v>0</v>
      </c>
      <c r="BR94" s="43"/>
    </row>
    <row r="95" spans="1:70" ht="14.25" outlineLevel="1">
      <c r="A95" s="31"/>
      <c r="F95" s="43"/>
      <c r="G95" s="43"/>
      <c r="H95" s="43"/>
      <c r="I95" s="43"/>
      <c r="J95" s="43"/>
      <c r="K95" s="43"/>
      <c r="L95" s="43"/>
      <c r="M95" s="43"/>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row>
    <row r="96" spans="1:70" ht="15" outlineLevel="1">
      <c r="A96" s="34" t="s">
        <v>82</v>
      </c>
      <c r="F96" s="50">
        <f>F91+F94</f>
        <v>0</v>
      </c>
      <c r="G96" s="50">
        <f t="shared" ref="G96:P96" si="50">G91+G94</f>
        <v>0</v>
      </c>
      <c r="H96" s="50">
        <f t="shared" si="50"/>
        <v>0</v>
      </c>
      <c r="I96" s="50">
        <f t="shared" si="50"/>
        <v>0</v>
      </c>
      <c r="J96" s="50">
        <f t="shared" si="50"/>
        <v>0</v>
      </c>
      <c r="K96" s="50">
        <f t="shared" si="50"/>
        <v>0</v>
      </c>
      <c r="L96" s="50">
        <f t="shared" si="50"/>
        <v>0</v>
      </c>
      <c r="M96" s="50">
        <f t="shared" si="50"/>
        <v>0</v>
      </c>
      <c r="N96" s="50">
        <f t="shared" si="50"/>
        <v>0</v>
      </c>
      <c r="O96" s="50">
        <f t="shared" si="50"/>
        <v>0</v>
      </c>
      <c r="P96" s="50">
        <f t="shared" si="50"/>
        <v>0</v>
      </c>
      <c r="Q96" s="50">
        <f>Q91+Q94</f>
        <v>0</v>
      </c>
      <c r="S96" s="50">
        <f>S91+S94</f>
        <v>0</v>
      </c>
      <c r="T96" s="50">
        <f t="shared" ref="T96:AC96" si="51">T91+T94</f>
        <v>0</v>
      </c>
      <c r="U96" s="50">
        <f t="shared" si="51"/>
        <v>0</v>
      </c>
      <c r="V96" s="50">
        <f t="shared" si="51"/>
        <v>0</v>
      </c>
      <c r="W96" s="50">
        <f t="shared" si="51"/>
        <v>0</v>
      </c>
      <c r="X96" s="50">
        <f t="shared" si="51"/>
        <v>0</v>
      </c>
      <c r="Y96" s="50">
        <f t="shared" si="51"/>
        <v>0</v>
      </c>
      <c r="Z96" s="50">
        <f t="shared" si="51"/>
        <v>0</v>
      </c>
      <c r="AA96" s="50">
        <f t="shared" si="51"/>
        <v>0</v>
      </c>
      <c r="AB96" s="50">
        <f t="shared" si="51"/>
        <v>0</v>
      </c>
      <c r="AC96" s="50">
        <f t="shared" si="51"/>
        <v>0</v>
      </c>
      <c r="AD96" s="50">
        <f>AD91+AD94</f>
        <v>0</v>
      </c>
      <c r="AF96" s="50">
        <f>AF91+AF94</f>
        <v>0</v>
      </c>
      <c r="AG96" s="50">
        <f t="shared" ref="AG96:AP96" si="52">AG91+AG94</f>
        <v>0</v>
      </c>
      <c r="AH96" s="50">
        <f t="shared" si="52"/>
        <v>0</v>
      </c>
      <c r="AI96" s="50">
        <f t="shared" si="52"/>
        <v>0</v>
      </c>
      <c r="AJ96" s="50">
        <f t="shared" si="52"/>
        <v>0</v>
      </c>
      <c r="AK96" s="50">
        <f t="shared" si="52"/>
        <v>0</v>
      </c>
      <c r="AL96" s="50">
        <f t="shared" si="52"/>
        <v>0</v>
      </c>
      <c r="AM96" s="50">
        <f t="shared" si="52"/>
        <v>0</v>
      </c>
      <c r="AN96" s="50">
        <f t="shared" si="52"/>
        <v>0</v>
      </c>
      <c r="AO96" s="50">
        <f t="shared" si="52"/>
        <v>0</v>
      </c>
      <c r="AP96" s="50">
        <f t="shared" si="52"/>
        <v>0</v>
      </c>
      <c r="AQ96" s="50">
        <f>AQ91+AQ94</f>
        <v>0</v>
      </c>
      <c r="AS96" s="50">
        <f>AS91+AS94</f>
        <v>0</v>
      </c>
      <c r="AT96" s="50">
        <f t="shared" ref="AT96:BC96" si="53">AT91+AT94</f>
        <v>0</v>
      </c>
      <c r="AU96" s="50">
        <f t="shared" si="53"/>
        <v>0</v>
      </c>
      <c r="AV96" s="50">
        <f t="shared" si="53"/>
        <v>0</v>
      </c>
      <c r="AW96" s="50">
        <f t="shared" si="53"/>
        <v>0</v>
      </c>
      <c r="AX96" s="50">
        <f t="shared" si="53"/>
        <v>0</v>
      </c>
      <c r="AY96" s="50">
        <f t="shared" si="53"/>
        <v>0</v>
      </c>
      <c r="AZ96" s="50">
        <f t="shared" si="53"/>
        <v>0</v>
      </c>
      <c r="BA96" s="50">
        <f t="shared" si="53"/>
        <v>0</v>
      </c>
      <c r="BB96" s="50">
        <f t="shared" si="53"/>
        <v>0</v>
      </c>
      <c r="BC96" s="50">
        <f t="shared" si="53"/>
        <v>0</v>
      </c>
      <c r="BD96" s="50">
        <f>BD91+BD94</f>
        <v>0</v>
      </c>
      <c r="BF96" s="50">
        <f>BF91+BF94</f>
        <v>0</v>
      </c>
      <c r="BG96" s="50">
        <f t="shared" ref="BG96:BP96" si="54">BG91+BG94</f>
        <v>0</v>
      </c>
      <c r="BH96" s="50">
        <f t="shared" si="54"/>
        <v>0</v>
      </c>
      <c r="BI96" s="50">
        <f t="shared" si="54"/>
        <v>0</v>
      </c>
      <c r="BJ96" s="50">
        <f t="shared" si="54"/>
        <v>0</v>
      </c>
      <c r="BK96" s="50">
        <f t="shared" si="54"/>
        <v>0</v>
      </c>
      <c r="BL96" s="50">
        <f t="shared" si="54"/>
        <v>0</v>
      </c>
      <c r="BM96" s="50">
        <f t="shared" si="54"/>
        <v>0</v>
      </c>
      <c r="BN96" s="50">
        <f t="shared" si="54"/>
        <v>0</v>
      </c>
      <c r="BO96" s="50">
        <f t="shared" si="54"/>
        <v>0</v>
      </c>
      <c r="BP96" s="50">
        <f t="shared" si="54"/>
        <v>0</v>
      </c>
      <c r="BQ96" s="50">
        <f>BQ91+BQ94</f>
        <v>0</v>
      </c>
    </row>
    <row r="97" spans="1:69" ht="15" outlineLevel="1">
      <c r="A97" s="34" t="s">
        <v>83</v>
      </c>
      <c r="F97" s="53">
        <f>IF(ISERROR(F96/F65),0,(F96/F65))</f>
        <v>0</v>
      </c>
      <c r="G97" s="53">
        <f t="shared" ref="G97:P97" si="55">IF(ISERROR(G96/G65),0,(G96/G65))</f>
        <v>0</v>
      </c>
      <c r="H97" s="53">
        <f t="shared" si="55"/>
        <v>0</v>
      </c>
      <c r="I97" s="53">
        <f t="shared" si="55"/>
        <v>0</v>
      </c>
      <c r="J97" s="53">
        <f t="shared" si="55"/>
        <v>0</v>
      </c>
      <c r="K97" s="53">
        <f t="shared" si="55"/>
        <v>0</v>
      </c>
      <c r="L97" s="53">
        <f t="shared" si="55"/>
        <v>0</v>
      </c>
      <c r="M97" s="53">
        <f t="shared" si="55"/>
        <v>0</v>
      </c>
      <c r="N97" s="53">
        <f t="shared" si="55"/>
        <v>0</v>
      </c>
      <c r="O97" s="53">
        <f t="shared" si="55"/>
        <v>0</v>
      </c>
      <c r="P97" s="53">
        <f t="shared" si="55"/>
        <v>0</v>
      </c>
      <c r="Q97" s="53">
        <f>IF(ISERROR(Q96/Q65),0,(Q96/Q65))</f>
        <v>0</v>
      </c>
      <c r="S97" s="53">
        <f>IF(ISERROR(S96/S65),0,(S96/S65))</f>
        <v>0</v>
      </c>
      <c r="T97" s="53">
        <f t="shared" ref="T97:AC97" si="56">IF(ISERROR(T96/T65),0,(T96/T65))</f>
        <v>0</v>
      </c>
      <c r="U97" s="53">
        <f t="shared" si="56"/>
        <v>0</v>
      </c>
      <c r="V97" s="53">
        <f t="shared" si="56"/>
        <v>0</v>
      </c>
      <c r="W97" s="53">
        <f t="shared" si="56"/>
        <v>0</v>
      </c>
      <c r="X97" s="53">
        <f t="shared" si="56"/>
        <v>0</v>
      </c>
      <c r="Y97" s="53">
        <f t="shared" si="56"/>
        <v>0</v>
      </c>
      <c r="Z97" s="53">
        <f t="shared" si="56"/>
        <v>0</v>
      </c>
      <c r="AA97" s="53">
        <f t="shared" si="56"/>
        <v>0</v>
      </c>
      <c r="AB97" s="53">
        <f t="shared" si="56"/>
        <v>0</v>
      </c>
      <c r="AC97" s="53">
        <f t="shared" si="56"/>
        <v>0</v>
      </c>
      <c r="AD97" s="53">
        <f>IF(ISERROR(AD96/AD65),0,(AD96/AD65))</f>
        <v>0</v>
      </c>
      <c r="AF97" s="53">
        <f>IF(ISERROR(AF96/AF65),0,(AF96/AF65))</f>
        <v>0</v>
      </c>
      <c r="AG97" s="53">
        <f t="shared" ref="AG97:AP97" si="57">IF(ISERROR(AG96/AG65),0,(AG96/AG65))</f>
        <v>0</v>
      </c>
      <c r="AH97" s="53">
        <f t="shared" si="57"/>
        <v>0</v>
      </c>
      <c r="AI97" s="53">
        <f t="shared" si="57"/>
        <v>0</v>
      </c>
      <c r="AJ97" s="53">
        <f t="shared" si="57"/>
        <v>0</v>
      </c>
      <c r="AK97" s="53">
        <f t="shared" si="57"/>
        <v>0</v>
      </c>
      <c r="AL97" s="53">
        <f t="shared" si="57"/>
        <v>0</v>
      </c>
      <c r="AM97" s="53">
        <f t="shared" si="57"/>
        <v>0</v>
      </c>
      <c r="AN97" s="53">
        <f t="shared" si="57"/>
        <v>0</v>
      </c>
      <c r="AO97" s="53">
        <f t="shared" si="57"/>
        <v>0</v>
      </c>
      <c r="AP97" s="53">
        <f t="shared" si="57"/>
        <v>0</v>
      </c>
      <c r="AQ97" s="53">
        <f>IF(ISERROR(AQ96/AQ65),0,(AQ96/AQ65))</f>
        <v>0</v>
      </c>
      <c r="AS97" s="53">
        <f>IF(ISERROR(AS96/AS65),0,(AS96/AS65))</f>
        <v>0</v>
      </c>
      <c r="AT97" s="53">
        <f t="shared" ref="AT97:BC97" si="58">IF(ISERROR(AT96/AT65),0,(AT96/AT65))</f>
        <v>0</v>
      </c>
      <c r="AU97" s="53">
        <f t="shared" si="58"/>
        <v>0</v>
      </c>
      <c r="AV97" s="53">
        <f t="shared" si="58"/>
        <v>0</v>
      </c>
      <c r="AW97" s="53">
        <f t="shared" si="58"/>
        <v>0</v>
      </c>
      <c r="AX97" s="53">
        <f t="shared" si="58"/>
        <v>0</v>
      </c>
      <c r="AY97" s="53">
        <f t="shared" si="58"/>
        <v>0</v>
      </c>
      <c r="AZ97" s="53">
        <f t="shared" si="58"/>
        <v>0</v>
      </c>
      <c r="BA97" s="53">
        <f t="shared" si="58"/>
        <v>0</v>
      </c>
      <c r="BB97" s="53">
        <f t="shared" si="58"/>
        <v>0</v>
      </c>
      <c r="BC97" s="53">
        <f t="shared" si="58"/>
        <v>0</v>
      </c>
      <c r="BD97" s="53">
        <f>IF(ISERROR(BD96/BD65),0,(BD96/BD65))</f>
        <v>0</v>
      </c>
      <c r="BF97" s="53">
        <f>IF(ISERROR(BF96/BF65),0,(BF96/BF65))</f>
        <v>0</v>
      </c>
      <c r="BG97" s="53">
        <f t="shared" ref="BG97:BP97" si="59">IF(ISERROR(BG96/BG65),0,(BG96/BG65))</f>
        <v>0</v>
      </c>
      <c r="BH97" s="53">
        <f t="shared" si="59"/>
        <v>0</v>
      </c>
      <c r="BI97" s="53">
        <f t="shared" si="59"/>
        <v>0</v>
      </c>
      <c r="BJ97" s="53">
        <f t="shared" si="59"/>
        <v>0</v>
      </c>
      <c r="BK97" s="53">
        <f t="shared" si="59"/>
        <v>0</v>
      </c>
      <c r="BL97" s="53">
        <f t="shared" si="59"/>
        <v>0</v>
      </c>
      <c r="BM97" s="53">
        <f t="shared" si="59"/>
        <v>0</v>
      </c>
      <c r="BN97" s="53">
        <f t="shared" si="59"/>
        <v>0</v>
      </c>
      <c r="BO97" s="53">
        <f t="shared" si="59"/>
        <v>0</v>
      </c>
      <c r="BP97" s="53">
        <f t="shared" si="59"/>
        <v>0</v>
      </c>
      <c r="BQ97" s="53">
        <f>IF(ISERROR(BQ96/BQ65),0,(BQ96/BQ65))</f>
        <v>0</v>
      </c>
    </row>
    <row r="98" spans="1:69" outlineLevel="1"/>
    <row r="99" spans="1:69">
      <c r="A99" s="58"/>
    </row>
  </sheetData>
  <conditionalFormatting sqref="A5:BR5">
    <cfRule type="expression" dxfId="299" priority="3" stopIfTrue="1">
      <formula>ErrorsPresent&gt;0</formula>
    </cfRule>
    <cfRule type="expression" dxfId="298" priority="4" stopIfTrue="1">
      <formula>ErrorsPresent&lt;0</formula>
    </cfRule>
  </conditionalFormatting>
  <conditionalFormatting sqref="A1">
    <cfRule type="expression" dxfId="297" priority="11" stopIfTrue="1">
      <formula>ErrorsPresent&gt;0</formula>
    </cfRule>
    <cfRule type="expression" dxfId="296" priority="12" stopIfTrue="1">
      <formula>ErrorsPresent&lt;0</formula>
    </cfRule>
  </conditionalFormatting>
  <conditionalFormatting sqref="A1">
    <cfRule type="expression" dxfId="295" priority="9" stopIfTrue="1">
      <formula>Error_Error&lt;0</formula>
    </cfRule>
    <cfRule type="expression" dxfId="294" priority="10" stopIfTrue="1">
      <formula>Error_Error&gt;0</formula>
    </cfRule>
  </conditionalFormatting>
  <conditionalFormatting sqref="B1:BR1">
    <cfRule type="expression" dxfId="293" priority="7" stopIfTrue="1">
      <formula>ErrorsPresent&gt;0</formula>
    </cfRule>
    <cfRule type="expression" dxfId="292" priority="8" stopIfTrue="1">
      <formula>ErrorsPresent&lt;0</formula>
    </cfRule>
  </conditionalFormatting>
  <conditionalFormatting sqref="B1:BR1">
    <cfRule type="expression" dxfId="291" priority="5" stopIfTrue="1">
      <formula>Error_Error&lt;0</formula>
    </cfRule>
    <cfRule type="expression" dxfId="290" priority="6" stopIfTrue="1">
      <formula>Error_Error&gt;0</formula>
    </cfRule>
  </conditionalFormatting>
  <conditionalFormatting sqref="A53:BR53">
    <cfRule type="expression" dxfId="289" priority="1" stopIfTrue="1">
      <formula>ErrorsPresent&gt;0</formula>
    </cfRule>
    <cfRule type="expression" dxfId="288" priority="2" stopIfTrue="1">
      <formula>ErrorsPresent&lt;0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R117"/>
  <sheetViews>
    <sheetView showGridLines="0" zoomScale="90" zoomScaleNormal="90" workbookViewId="0">
      <selection activeCell="BR29" sqref="BR29"/>
    </sheetView>
  </sheetViews>
  <sheetFormatPr defaultRowHeight="12.75" outlineLevelRow="1" outlineLevelCol="1"/>
  <cols>
    <col min="1" max="1" width="33.42578125" style="24" customWidth="1"/>
    <col min="2" max="2" width="19.85546875" style="24" customWidth="1"/>
    <col min="3" max="3" width="8.140625" style="24" hidden="1" customWidth="1" outlineLevel="1"/>
    <col min="4" max="4" width="6.42578125" style="24" hidden="1" customWidth="1" outlineLevel="1"/>
    <col min="5" max="5" width="13.28515625" style="24" hidden="1" customWidth="1" outlineLevel="1"/>
    <col min="6" max="6" width="9.140625" style="24" hidden="1" customWidth="1" outlineLevel="1"/>
    <col min="7" max="17" width="10.5703125" style="24" hidden="1" customWidth="1" outlineLevel="1"/>
    <col min="18" max="18" width="12.140625" style="24" bestFit="1" customWidth="1" collapsed="1"/>
    <col min="19" max="30" width="10.5703125" style="24" hidden="1" customWidth="1" outlineLevel="1"/>
    <col min="31" max="31" width="11.7109375" style="24" customWidth="1" collapsed="1"/>
    <col min="32" max="43" width="10.5703125" style="24" hidden="1" customWidth="1" outlineLevel="1"/>
    <col min="44" max="44" width="13" style="24" customWidth="1" collapsed="1"/>
    <col min="45" max="56" width="10.5703125" style="24" hidden="1" customWidth="1" outlineLevel="1"/>
    <col min="57" max="57" width="12.85546875" style="24" customWidth="1" collapsed="1"/>
    <col min="58" max="61" width="10.5703125" style="24" hidden="1" customWidth="1" outlineLevel="1"/>
    <col min="62" max="69" width="11.5703125" style="24" hidden="1" customWidth="1" outlineLevel="1"/>
    <col min="70" max="70" width="14.7109375" style="24" customWidth="1" collapsed="1"/>
    <col min="71" max="72" width="9.140625" style="24"/>
    <col min="73" max="73" width="12.140625" style="24" bestFit="1" customWidth="1"/>
    <col min="74" max="16384" width="9.140625" style="24"/>
  </cols>
  <sheetData>
    <row r="1" spans="1:70">
      <c r="A1" s="23" t="s">
        <v>206</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row>
    <row r="2" spans="1:70">
      <c r="A2" s="60" t="s">
        <v>98</v>
      </c>
    </row>
    <row r="3" spans="1:70">
      <c r="A3" s="61"/>
    </row>
    <row r="4" spans="1:70">
      <c r="A4" s="62" t="s">
        <v>99</v>
      </c>
    </row>
    <row r="6" spans="1:70">
      <c r="A6" s="63" t="s">
        <v>46</v>
      </c>
      <c r="B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row>
    <row r="7" spans="1:70">
      <c r="A7" s="30" t="s">
        <v>100</v>
      </c>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row>
    <row r="9" spans="1:70">
      <c r="Q9" s="32"/>
      <c r="R9" s="32" t="s">
        <v>47</v>
      </c>
      <c r="S9" s="32"/>
      <c r="T9" s="32"/>
      <c r="U9" s="32"/>
      <c r="V9" s="32"/>
      <c r="W9" s="32"/>
      <c r="X9" s="32"/>
      <c r="Y9" s="32"/>
      <c r="Z9" s="32"/>
      <c r="AA9" s="32"/>
      <c r="AB9" s="32"/>
      <c r="AC9" s="32"/>
      <c r="AD9" s="32"/>
      <c r="AE9" s="32" t="s">
        <v>48</v>
      </c>
      <c r="AF9" s="32"/>
      <c r="AG9" s="32"/>
      <c r="AH9" s="32"/>
      <c r="AI9" s="32"/>
      <c r="AJ9" s="32"/>
      <c r="AK9" s="32"/>
      <c r="AL9" s="32"/>
      <c r="AM9" s="32"/>
      <c r="AN9" s="32"/>
      <c r="AO9" s="32"/>
      <c r="AP9" s="32"/>
      <c r="AQ9" s="32"/>
      <c r="AR9" s="32" t="s">
        <v>49</v>
      </c>
      <c r="AS9" s="32"/>
      <c r="AT9" s="32"/>
      <c r="AU9" s="32"/>
      <c r="AV9" s="32"/>
      <c r="AW9" s="32"/>
      <c r="AX9" s="32"/>
      <c r="AY9" s="32"/>
      <c r="AZ9" s="32"/>
      <c r="BA9" s="32"/>
      <c r="BB9" s="32"/>
      <c r="BC9" s="32"/>
      <c r="BD9" s="32"/>
      <c r="BE9" s="32" t="s">
        <v>50</v>
      </c>
      <c r="BF9" s="32"/>
      <c r="BG9" s="32"/>
      <c r="BH9" s="32"/>
      <c r="BI9" s="32"/>
      <c r="BJ9" s="32"/>
      <c r="BK9" s="32"/>
      <c r="BL9" s="32"/>
      <c r="BM9" s="32"/>
      <c r="BN9" s="32"/>
      <c r="BO9" s="32"/>
      <c r="BP9" s="32"/>
      <c r="BQ9" s="32"/>
      <c r="BR9" s="32" t="s">
        <v>51</v>
      </c>
    </row>
    <row r="10" spans="1:70" ht="15">
      <c r="A10" s="64" t="s">
        <v>331</v>
      </c>
      <c r="F10" s="65"/>
      <c r="G10" s="65"/>
      <c r="H10" s="65"/>
      <c r="I10" s="65"/>
      <c r="J10" s="65"/>
      <c r="K10" s="65"/>
      <c r="L10" s="65"/>
      <c r="M10" s="65"/>
      <c r="N10" s="65"/>
      <c r="O10" s="65"/>
      <c r="P10" s="65"/>
      <c r="Q10" s="65"/>
      <c r="R10" s="36">
        <f>F41</f>
        <v>0</v>
      </c>
      <c r="S10" s="65"/>
      <c r="T10" s="65"/>
      <c r="U10" s="65"/>
      <c r="V10" s="65"/>
      <c r="W10" s="65"/>
      <c r="X10" s="65"/>
      <c r="Y10" s="65"/>
      <c r="Z10" s="65"/>
      <c r="AA10" s="65"/>
      <c r="AB10" s="65"/>
      <c r="AC10" s="65"/>
      <c r="AD10" s="65"/>
      <c r="AE10" s="36">
        <f>S41</f>
        <v>0</v>
      </c>
      <c r="AF10" s="65"/>
      <c r="AG10" s="65"/>
      <c r="AH10" s="65"/>
      <c r="AI10" s="65"/>
      <c r="AJ10" s="65"/>
      <c r="AK10" s="65"/>
      <c r="AL10" s="65"/>
      <c r="AM10" s="65"/>
      <c r="AN10" s="65"/>
      <c r="AO10" s="65"/>
      <c r="AP10" s="65"/>
      <c r="AQ10" s="65"/>
      <c r="AR10" s="36">
        <f>AF41</f>
        <v>0</v>
      </c>
      <c r="AS10" s="65"/>
      <c r="AT10" s="65"/>
      <c r="AU10" s="65"/>
      <c r="AV10" s="65"/>
      <c r="AW10" s="65"/>
      <c r="AX10" s="65"/>
      <c r="AY10" s="65"/>
      <c r="AZ10" s="65"/>
      <c r="BA10" s="65"/>
      <c r="BB10" s="65"/>
      <c r="BC10" s="65"/>
      <c r="BD10" s="65"/>
      <c r="BE10" s="36">
        <f>AS41</f>
        <v>0</v>
      </c>
      <c r="BF10" s="65"/>
      <c r="BG10" s="65"/>
      <c r="BH10" s="65"/>
      <c r="BI10" s="65"/>
      <c r="BJ10" s="65"/>
      <c r="BK10" s="65"/>
      <c r="BL10" s="65"/>
      <c r="BM10" s="65"/>
      <c r="BN10" s="65"/>
      <c r="BO10" s="65"/>
      <c r="BP10" s="65"/>
      <c r="BQ10" s="65"/>
      <c r="BR10" s="36">
        <f>BF41</f>
        <v>0</v>
      </c>
    </row>
    <row r="11" spans="1:70" ht="15">
      <c r="A11" s="48" t="s">
        <v>330</v>
      </c>
      <c r="F11" s="65"/>
      <c r="G11" s="65"/>
      <c r="H11" s="65"/>
      <c r="I11" s="65"/>
      <c r="J11" s="65"/>
      <c r="K11" s="65"/>
      <c r="L11" s="65"/>
      <c r="M11" s="65"/>
      <c r="N11" s="65"/>
      <c r="O11" s="65"/>
      <c r="P11" s="65"/>
      <c r="Q11" s="65"/>
      <c r="R11" s="36"/>
      <c r="S11" s="65"/>
      <c r="T11" s="65"/>
      <c r="U11" s="65"/>
      <c r="V11" s="65"/>
      <c r="W11" s="65"/>
      <c r="X11" s="65"/>
      <c r="Y11" s="65"/>
      <c r="Z11" s="65"/>
      <c r="AA11" s="65"/>
      <c r="AB11" s="65"/>
      <c r="AC11" s="65"/>
      <c r="AD11" s="65"/>
      <c r="AE11" s="36"/>
      <c r="AF11" s="65"/>
      <c r="AG11" s="65"/>
      <c r="AH11" s="65"/>
      <c r="AI11" s="65"/>
      <c r="AJ11" s="65"/>
      <c r="AK11" s="65"/>
      <c r="AL11" s="65"/>
      <c r="AM11" s="65"/>
      <c r="AN11" s="65"/>
      <c r="AO11" s="65"/>
      <c r="AP11" s="65"/>
      <c r="AQ11" s="65"/>
      <c r="AR11" s="36"/>
      <c r="AS11" s="65"/>
      <c r="AT11" s="65"/>
      <c r="AU11" s="65"/>
      <c r="AV11" s="65"/>
      <c r="AW11" s="65"/>
      <c r="AX11" s="65"/>
      <c r="AY11" s="65"/>
      <c r="AZ11" s="65"/>
      <c r="BA11" s="65"/>
      <c r="BB11" s="65"/>
      <c r="BC11" s="65"/>
      <c r="BD11" s="65"/>
      <c r="BE11" s="36"/>
      <c r="BF11" s="65"/>
      <c r="BG11" s="65"/>
      <c r="BH11" s="65"/>
      <c r="BI11" s="65"/>
      <c r="BJ11" s="65"/>
      <c r="BK11" s="65"/>
      <c r="BL11" s="65"/>
      <c r="BM11" s="65"/>
      <c r="BN11" s="65"/>
      <c r="BO11" s="65"/>
      <c r="BP11" s="65"/>
      <c r="BQ11" s="65"/>
      <c r="BR11" s="36"/>
    </row>
    <row r="12" spans="1:70">
      <c r="A12" s="63" t="s">
        <v>103</v>
      </c>
      <c r="F12" s="65"/>
      <c r="G12" s="65"/>
      <c r="H12" s="65"/>
      <c r="I12" s="65"/>
      <c r="J12" s="65"/>
      <c r="K12" s="65"/>
      <c r="L12" s="65"/>
      <c r="M12" s="65"/>
      <c r="N12" s="65"/>
      <c r="O12" s="65"/>
      <c r="P12" s="65"/>
      <c r="Q12" s="65"/>
      <c r="R12" s="36">
        <f>SUM(F43:Q43)</f>
        <v>0</v>
      </c>
      <c r="S12" s="65"/>
      <c r="T12" s="65"/>
      <c r="U12" s="65"/>
      <c r="V12" s="65"/>
      <c r="W12" s="65"/>
      <c r="X12" s="65"/>
      <c r="Y12" s="65"/>
      <c r="Z12" s="65"/>
      <c r="AA12" s="65"/>
      <c r="AB12" s="65"/>
      <c r="AC12" s="65"/>
      <c r="AD12" s="65"/>
      <c r="AE12" s="36">
        <f>SUM(S43:AD43)</f>
        <v>0</v>
      </c>
      <c r="AF12" s="65"/>
      <c r="AG12" s="65"/>
      <c r="AH12" s="65"/>
      <c r="AI12" s="65"/>
      <c r="AJ12" s="65"/>
      <c r="AK12" s="65"/>
      <c r="AL12" s="65"/>
      <c r="AM12" s="65"/>
      <c r="AN12" s="65"/>
      <c r="AO12" s="65"/>
      <c r="AP12" s="65"/>
      <c r="AQ12" s="65"/>
      <c r="AR12" s="36">
        <f>SUM(AF43:AQ43)</f>
        <v>0</v>
      </c>
      <c r="AS12" s="65"/>
      <c r="AT12" s="65"/>
      <c r="AU12" s="65"/>
      <c r="AV12" s="65"/>
      <c r="AW12" s="65"/>
      <c r="AX12" s="65"/>
      <c r="AY12" s="65"/>
      <c r="AZ12" s="65"/>
      <c r="BA12" s="65"/>
      <c r="BB12" s="65"/>
      <c r="BC12" s="65"/>
      <c r="BD12" s="65"/>
      <c r="BE12" s="36">
        <f>SUM(AS43:BD43)</f>
        <v>0</v>
      </c>
      <c r="BF12" s="65"/>
      <c r="BG12" s="65"/>
      <c r="BH12" s="65"/>
      <c r="BI12" s="65"/>
      <c r="BJ12" s="65"/>
      <c r="BK12" s="65"/>
      <c r="BL12" s="65"/>
      <c r="BM12" s="65"/>
      <c r="BN12" s="65"/>
      <c r="BO12" s="65"/>
      <c r="BP12" s="65"/>
      <c r="BQ12" s="65"/>
      <c r="BR12" s="36">
        <f>SUM(BF43:BQ43)</f>
        <v>0</v>
      </c>
    </row>
    <row r="13" spans="1:70">
      <c r="A13" s="63" t="s">
        <v>332</v>
      </c>
      <c r="F13" s="65"/>
      <c r="G13" s="65"/>
      <c r="H13" s="65"/>
      <c r="I13" s="65"/>
      <c r="J13" s="65"/>
      <c r="K13" s="65"/>
      <c r="L13" s="65"/>
      <c r="M13" s="65"/>
      <c r="N13" s="65"/>
      <c r="O13" s="65"/>
      <c r="P13" s="65"/>
      <c r="Q13" s="65"/>
      <c r="R13" s="36">
        <f>SUM(F44:Q44)</f>
        <v>0</v>
      </c>
      <c r="S13" s="65"/>
      <c r="T13" s="65"/>
      <c r="U13" s="65"/>
      <c r="V13" s="65"/>
      <c r="W13" s="65"/>
      <c r="X13" s="65"/>
      <c r="Y13" s="65"/>
      <c r="Z13" s="65"/>
      <c r="AA13" s="65"/>
      <c r="AB13" s="65"/>
      <c r="AC13" s="65"/>
      <c r="AD13" s="65"/>
      <c r="AE13" s="36">
        <f>SUM(S44:AD44)</f>
        <v>0</v>
      </c>
      <c r="AF13" s="65"/>
      <c r="AG13" s="65"/>
      <c r="AH13" s="65"/>
      <c r="AI13" s="65"/>
      <c r="AJ13" s="65"/>
      <c r="AK13" s="65"/>
      <c r="AL13" s="65"/>
      <c r="AM13" s="65"/>
      <c r="AN13" s="65"/>
      <c r="AO13" s="65"/>
      <c r="AP13" s="65"/>
      <c r="AQ13" s="65"/>
      <c r="AR13" s="36">
        <f>SUM(AF44:AQ44)</f>
        <v>0</v>
      </c>
      <c r="AS13" s="65"/>
      <c r="AT13" s="65"/>
      <c r="AU13" s="65"/>
      <c r="AV13" s="65"/>
      <c r="AW13" s="65"/>
      <c r="AX13" s="65"/>
      <c r="AY13" s="65"/>
      <c r="AZ13" s="65"/>
      <c r="BA13" s="65"/>
      <c r="BB13" s="65"/>
      <c r="BC13" s="65"/>
      <c r="BD13" s="65"/>
      <c r="BE13" s="36">
        <f>SUM(AS44:BD44)</f>
        <v>0</v>
      </c>
      <c r="BF13" s="65"/>
      <c r="BG13" s="65"/>
      <c r="BH13" s="65"/>
      <c r="BI13" s="65"/>
      <c r="BJ13" s="65"/>
      <c r="BK13" s="65"/>
      <c r="BL13" s="65"/>
      <c r="BM13" s="65"/>
      <c r="BN13" s="65"/>
      <c r="BO13" s="65"/>
      <c r="BP13" s="65"/>
      <c r="BQ13" s="65"/>
      <c r="BR13" s="36">
        <f>SUM(BF44:BQ44)</f>
        <v>0</v>
      </c>
    </row>
    <row r="14" spans="1:70" ht="15">
      <c r="A14" s="66" t="s">
        <v>335</v>
      </c>
      <c r="F14" s="65"/>
      <c r="G14" s="65"/>
      <c r="H14" s="65"/>
      <c r="I14" s="65"/>
      <c r="J14" s="65"/>
      <c r="K14" s="65"/>
      <c r="L14" s="65"/>
      <c r="M14" s="65"/>
      <c r="N14" s="65"/>
      <c r="O14" s="65"/>
      <c r="P14" s="65"/>
      <c r="Q14" s="65"/>
      <c r="R14" s="67">
        <f>SUM(R12:R13)</f>
        <v>0</v>
      </c>
      <c r="S14" s="65"/>
      <c r="T14" s="65"/>
      <c r="U14" s="65"/>
      <c r="V14" s="65"/>
      <c r="W14" s="65"/>
      <c r="X14" s="65"/>
      <c r="Y14" s="65"/>
      <c r="Z14" s="65"/>
      <c r="AA14" s="65"/>
      <c r="AB14" s="65"/>
      <c r="AC14" s="65"/>
      <c r="AD14" s="65"/>
      <c r="AE14" s="67">
        <f>SUM(AE12:AE13)</f>
        <v>0</v>
      </c>
      <c r="AF14" s="65"/>
      <c r="AG14" s="65"/>
      <c r="AH14" s="65"/>
      <c r="AI14" s="65"/>
      <c r="AJ14" s="65"/>
      <c r="AK14" s="65"/>
      <c r="AL14" s="65"/>
      <c r="AM14" s="65"/>
      <c r="AN14" s="65"/>
      <c r="AO14" s="65"/>
      <c r="AP14" s="65"/>
      <c r="AQ14" s="65"/>
      <c r="AR14" s="67">
        <f>SUM(AR12:AR13)</f>
        <v>0</v>
      </c>
      <c r="AS14" s="65"/>
      <c r="AT14" s="65"/>
      <c r="AU14" s="65"/>
      <c r="AV14" s="65"/>
      <c r="AW14" s="65"/>
      <c r="AX14" s="65"/>
      <c r="AY14" s="65"/>
      <c r="AZ14" s="65"/>
      <c r="BA14" s="65"/>
      <c r="BB14" s="65"/>
      <c r="BC14" s="65"/>
      <c r="BD14" s="65"/>
      <c r="BE14" s="67">
        <f>SUM(BE12:BE13)</f>
        <v>0</v>
      </c>
      <c r="BF14" s="65"/>
      <c r="BG14" s="65"/>
      <c r="BH14" s="65"/>
      <c r="BI14" s="65"/>
      <c r="BJ14" s="65"/>
      <c r="BK14" s="65"/>
      <c r="BL14" s="65"/>
      <c r="BM14" s="65"/>
      <c r="BN14" s="65"/>
      <c r="BO14" s="65"/>
      <c r="BP14" s="65"/>
      <c r="BQ14" s="65"/>
      <c r="BR14" s="67">
        <f>SUM(BR12:BR13)</f>
        <v>0</v>
      </c>
    </row>
    <row r="15" spans="1:70" ht="17.25">
      <c r="A15" s="68"/>
      <c r="F15" s="65"/>
      <c r="G15" s="65"/>
      <c r="H15" s="65"/>
      <c r="I15" s="65"/>
      <c r="J15" s="65"/>
      <c r="K15" s="65"/>
      <c r="L15" s="65"/>
      <c r="M15" s="65"/>
      <c r="N15" s="65"/>
      <c r="O15" s="65"/>
      <c r="P15" s="65"/>
      <c r="Q15" s="65"/>
      <c r="S15" s="65"/>
      <c r="T15" s="65"/>
      <c r="U15" s="65"/>
      <c r="V15" s="65"/>
      <c r="W15" s="65"/>
      <c r="X15" s="65"/>
      <c r="Y15" s="65"/>
      <c r="Z15" s="65"/>
      <c r="AA15" s="65"/>
      <c r="AB15" s="65"/>
      <c r="AC15" s="65"/>
      <c r="AD15" s="65"/>
      <c r="AF15" s="65"/>
      <c r="AG15" s="65"/>
      <c r="AH15" s="65"/>
      <c r="AI15" s="65"/>
      <c r="AJ15" s="65"/>
      <c r="AK15" s="65"/>
      <c r="AL15" s="65"/>
      <c r="AM15" s="65"/>
      <c r="AN15" s="65"/>
      <c r="AO15" s="65"/>
      <c r="AP15" s="65"/>
      <c r="AQ15" s="65"/>
      <c r="AS15" s="65"/>
      <c r="AT15" s="65"/>
      <c r="AU15" s="65"/>
      <c r="AV15" s="65"/>
      <c r="AW15" s="65"/>
      <c r="AX15" s="65"/>
      <c r="AY15" s="65"/>
      <c r="AZ15" s="65"/>
      <c r="BA15" s="65"/>
      <c r="BB15" s="65"/>
      <c r="BC15" s="65"/>
      <c r="BD15" s="65"/>
      <c r="BF15" s="65"/>
      <c r="BG15" s="65"/>
      <c r="BH15" s="65"/>
      <c r="BI15" s="65"/>
      <c r="BJ15" s="65"/>
      <c r="BK15" s="65"/>
      <c r="BL15" s="65"/>
      <c r="BM15" s="65"/>
      <c r="BN15" s="65"/>
      <c r="BO15" s="65"/>
      <c r="BP15" s="65"/>
      <c r="BQ15" s="65"/>
    </row>
    <row r="16" spans="1:70" ht="15">
      <c r="A16" s="48" t="s">
        <v>333</v>
      </c>
      <c r="F16" s="65"/>
      <c r="G16" s="65"/>
      <c r="H16" s="65"/>
      <c r="I16" s="65"/>
      <c r="J16" s="65"/>
      <c r="K16" s="65"/>
      <c r="L16" s="65"/>
      <c r="M16" s="65"/>
      <c r="N16" s="65"/>
      <c r="O16" s="65"/>
      <c r="P16" s="65"/>
      <c r="Q16" s="65"/>
      <c r="S16" s="65"/>
      <c r="T16" s="65"/>
      <c r="U16" s="65"/>
      <c r="V16" s="65"/>
      <c r="W16" s="65"/>
      <c r="X16" s="65"/>
      <c r="Y16" s="65"/>
      <c r="Z16" s="65"/>
      <c r="AA16" s="65"/>
      <c r="AB16" s="65"/>
      <c r="AC16" s="65"/>
      <c r="AD16" s="65"/>
      <c r="AF16" s="65"/>
      <c r="AG16" s="65"/>
      <c r="AH16" s="65"/>
      <c r="AI16" s="65"/>
      <c r="AJ16" s="65"/>
      <c r="AK16" s="65"/>
      <c r="AL16" s="65"/>
      <c r="AM16" s="65"/>
      <c r="AN16" s="65"/>
      <c r="AO16" s="65"/>
      <c r="AP16" s="65"/>
      <c r="AQ16" s="65"/>
      <c r="AS16" s="65"/>
      <c r="AT16" s="65"/>
      <c r="AU16" s="65"/>
      <c r="AV16" s="65"/>
      <c r="AW16" s="65"/>
      <c r="AX16" s="65"/>
      <c r="AY16" s="65"/>
      <c r="AZ16" s="65"/>
      <c r="BA16" s="65"/>
      <c r="BB16" s="65"/>
      <c r="BC16" s="65"/>
      <c r="BD16" s="65"/>
      <c r="BF16" s="65"/>
      <c r="BG16" s="65"/>
      <c r="BH16" s="65"/>
      <c r="BI16" s="65"/>
      <c r="BJ16" s="65"/>
      <c r="BK16" s="65"/>
      <c r="BL16" s="65"/>
      <c r="BM16" s="65"/>
      <c r="BN16" s="65"/>
      <c r="BO16" s="65"/>
      <c r="BP16" s="65"/>
      <c r="BQ16" s="65"/>
    </row>
    <row r="17" spans="1:70">
      <c r="A17" s="63" t="s">
        <v>409</v>
      </c>
      <c r="F17" s="65"/>
      <c r="G17" s="65"/>
      <c r="H17" s="65"/>
      <c r="I17" s="65"/>
      <c r="J17" s="65"/>
      <c r="K17" s="65"/>
      <c r="L17" s="65"/>
      <c r="M17" s="65"/>
      <c r="N17" s="65"/>
      <c r="O17" s="65"/>
      <c r="P17" s="65"/>
      <c r="Q17" s="65"/>
      <c r="S17" s="65"/>
      <c r="T17" s="65"/>
      <c r="U17" s="65"/>
      <c r="V17" s="65"/>
      <c r="W17" s="65"/>
      <c r="X17" s="65"/>
      <c r="Y17" s="65"/>
      <c r="Z17" s="65"/>
      <c r="AA17" s="65"/>
      <c r="AB17" s="65"/>
      <c r="AC17" s="65"/>
      <c r="AD17" s="65"/>
      <c r="AF17" s="65"/>
      <c r="AG17" s="65"/>
      <c r="AH17" s="65"/>
      <c r="AI17" s="65"/>
      <c r="AJ17" s="65"/>
      <c r="AK17" s="65"/>
      <c r="AL17" s="65"/>
      <c r="AM17" s="65"/>
      <c r="AN17" s="65"/>
      <c r="AO17" s="65"/>
      <c r="AP17" s="65"/>
      <c r="AQ17" s="65"/>
      <c r="AS17" s="65"/>
      <c r="AT17" s="65"/>
      <c r="AU17" s="65"/>
      <c r="AV17" s="65"/>
      <c r="AW17" s="65"/>
      <c r="AX17" s="65"/>
      <c r="AY17" s="65"/>
      <c r="AZ17" s="65"/>
      <c r="BA17" s="65"/>
      <c r="BB17" s="65"/>
      <c r="BC17" s="65"/>
      <c r="BD17" s="65"/>
      <c r="BF17" s="65"/>
      <c r="BG17" s="65"/>
      <c r="BH17" s="65"/>
      <c r="BI17" s="65"/>
      <c r="BJ17" s="65"/>
      <c r="BK17" s="65"/>
      <c r="BL17" s="65"/>
      <c r="BM17" s="65"/>
      <c r="BN17" s="65"/>
      <c r="BO17" s="65"/>
      <c r="BP17" s="65"/>
      <c r="BQ17" s="65"/>
    </row>
    <row r="18" spans="1:70">
      <c r="A18" s="69" t="s">
        <v>61</v>
      </c>
      <c r="F18" s="65"/>
      <c r="G18" s="65"/>
      <c r="H18" s="65"/>
      <c r="I18" s="65"/>
      <c r="J18" s="65"/>
      <c r="K18" s="65"/>
      <c r="L18" s="65"/>
      <c r="M18" s="65"/>
      <c r="N18" s="65"/>
      <c r="O18" s="65"/>
      <c r="P18" s="65"/>
      <c r="Q18" s="65"/>
      <c r="R18" s="36">
        <f t="shared" ref="R18:R26" si="0">SUM(F49:Q49)</f>
        <v>0</v>
      </c>
      <c r="S18" s="65"/>
      <c r="T18" s="65"/>
      <c r="U18" s="65"/>
      <c r="V18" s="65"/>
      <c r="W18" s="65"/>
      <c r="X18" s="65"/>
      <c r="Y18" s="65"/>
      <c r="Z18" s="65"/>
      <c r="AA18" s="65"/>
      <c r="AB18" s="65"/>
      <c r="AC18" s="65"/>
      <c r="AD18" s="65"/>
      <c r="AE18" s="36">
        <f t="shared" ref="AE18:AE26" si="1">SUM(S49:AD49)</f>
        <v>0</v>
      </c>
      <c r="AF18" s="65"/>
      <c r="AG18" s="65"/>
      <c r="AH18" s="65"/>
      <c r="AI18" s="65"/>
      <c r="AJ18" s="65"/>
      <c r="AK18" s="65"/>
      <c r="AL18" s="65"/>
      <c r="AM18" s="65"/>
      <c r="AN18" s="65"/>
      <c r="AO18" s="65"/>
      <c r="AP18" s="65"/>
      <c r="AQ18" s="65"/>
      <c r="AR18" s="36">
        <f t="shared" ref="AR18:AR26" si="2">SUM(AF49:AQ49)</f>
        <v>0</v>
      </c>
      <c r="AS18" s="65"/>
      <c r="AT18" s="65"/>
      <c r="AU18" s="65"/>
      <c r="AV18" s="65"/>
      <c r="AW18" s="65"/>
      <c r="AX18" s="65"/>
      <c r="AY18" s="65"/>
      <c r="AZ18" s="65"/>
      <c r="BA18" s="65"/>
      <c r="BB18" s="65"/>
      <c r="BC18" s="65"/>
      <c r="BD18" s="65"/>
      <c r="BE18" s="36">
        <f t="shared" ref="BE18:BE26" si="3">SUM(AS49:BD49)</f>
        <v>0</v>
      </c>
      <c r="BF18" s="65"/>
      <c r="BG18" s="65"/>
      <c r="BH18" s="65"/>
      <c r="BI18" s="65"/>
      <c r="BJ18" s="65"/>
      <c r="BK18" s="65"/>
      <c r="BL18" s="65"/>
      <c r="BM18" s="65"/>
      <c r="BN18" s="65"/>
      <c r="BO18" s="65"/>
      <c r="BP18" s="65"/>
      <c r="BQ18" s="65"/>
      <c r="BR18" s="36">
        <f t="shared" ref="BR18:BR26" si="4">SUM(BF49:BQ49)</f>
        <v>0</v>
      </c>
    </row>
    <row r="19" spans="1:70">
      <c r="A19" s="69" t="s">
        <v>323</v>
      </c>
      <c r="F19" s="65"/>
      <c r="G19" s="65"/>
      <c r="H19" s="65"/>
      <c r="I19" s="65"/>
      <c r="J19" s="65"/>
      <c r="K19" s="65"/>
      <c r="L19" s="65"/>
      <c r="M19" s="65"/>
      <c r="N19" s="65"/>
      <c r="O19" s="65"/>
      <c r="P19" s="65"/>
      <c r="Q19" s="65"/>
      <c r="R19" s="36">
        <f t="shared" si="0"/>
        <v>0</v>
      </c>
      <c r="S19" s="65"/>
      <c r="T19" s="65"/>
      <c r="U19" s="65"/>
      <c r="V19" s="65"/>
      <c r="W19" s="65"/>
      <c r="X19" s="65"/>
      <c r="Y19" s="65"/>
      <c r="Z19" s="65"/>
      <c r="AA19" s="65"/>
      <c r="AB19" s="65"/>
      <c r="AC19" s="65"/>
      <c r="AD19" s="65"/>
      <c r="AE19" s="36">
        <f t="shared" si="1"/>
        <v>0</v>
      </c>
      <c r="AF19" s="65"/>
      <c r="AG19" s="65"/>
      <c r="AH19" s="65"/>
      <c r="AI19" s="65"/>
      <c r="AJ19" s="65"/>
      <c r="AK19" s="65"/>
      <c r="AL19" s="65"/>
      <c r="AM19" s="65"/>
      <c r="AN19" s="65"/>
      <c r="AO19" s="65"/>
      <c r="AP19" s="65"/>
      <c r="AQ19" s="65"/>
      <c r="AR19" s="36">
        <f t="shared" si="2"/>
        <v>0</v>
      </c>
      <c r="AS19" s="65"/>
      <c r="AT19" s="65"/>
      <c r="AU19" s="65"/>
      <c r="AV19" s="65"/>
      <c r="AW19" s="65"/>
      <c r="AX19" s="65"/>
      <c r="AY19" s="65"/>
      <c r="AZ19" s="65"/>
      <c r="BA19" s="65"/>
      <c r="BB19" s="65"/>
      <c r="BC19" s="65"/>
      <c r="BD19" s="65"/>
      <c r="BE19" s="36">
        <f t="shared" si="3"/>
        <v>0</v>
      </c>
      <c r="BF19" s="65"/>
      <c r="BG19" s="65"/>
      <c r="BH19" s="65"/>
      <c r="BI19" s="65"/>
      <c r="BJ19" s="65"/>
      <c r="BK19" s="65"/>
      <c r="BL19" s="65"/>
      <c r="BM19" s="65"/>
      <c r="BN19" s="65"/>
      <c r="BO19" s="65"/>
      <c r="BP19" s="65"/>
      <c r="BQ19" s="65"/>
      <c r="BR19" s="36">
        <f t="shared" si="4"/>
        <v>0</v>
      </c>
    </row>
    <row r="20" spans="1:70">
      <c r="A20" s="69" t="s">
        <v>66</v>
      </c>
      <c r="F20" s="65"/>
      <c r="G20" s="65"/>
      <c r="H20" s="65"/>
      <c r="I20" s="65"/>
      <c r="J20" s="65"/>
      <c r="K20" s="65"/>
      <c r="L20" s="65"/>
      <c r="M20" s="65"/>
      <c r="N20" s="65"/>
      <c r="O20" s="65"/>
      <c r="P20" s="65"/>
      <c r="Q20" s="65"/>
      <c r="R20" s="36">
        <f t="shared" si="0"/>
        <v>0</v>
      </c>
      <c r="S20" s="65"/>
      <c r="T20" s="65"/>
      <c r="U20" s="65"/>
      <c r="V20" s="65"/>
      <c r="W20" s="65"/>
      <c r="X20" s="65"/>
      <c r="Y20" s="65"/>
      <c r="Z20" s="65"/>
      <c r="AA20" s="65"/>
      <c r="AB20" s="65"/>
      <c r="AC20" s="65"/>
      <c r="AD20" s="65"/>
      <c r="AE20" s="36">
        <f t="shared" si="1"/>
        <v>0</v>
      </c>
      <c r="AF20" s="65"/>
      <c r="AG20" s="65"/>
      <c r="AH20" s="65"/>
      <c r="AI20" s="65"/>
      <c r="AJ20" s="65"/>
      <c r="AK20" s="65"/>
      <c r="AL20" s="65"/>
      <c r="AM20" s="65"/>
      <c r="AN20" s="65"/>
      <c r="AO20" s="65"/>
      <c r="AP20" s="65"/>
      <c r="AQ20" s="65"/>
      <c r="AR20" s="36">
        <f t="shared" si="2"/>
        <v>0</v>
      </c>
      <c r="AS20" s="65"/>
      <c r="AT20" s="65"/>
      <c r="AU20" s="65"/>
      <c r="AV20" s="65"/>
      <c r="AW20" s="65"/>
      <c r="AX20" s="65"/>
      <c r="AY20" s="65"/>
      <c r="AZ20" s="65"/>
      <c r="BA20" s="65"/>
      <c r="BB20" s="65"/>
      <c r="BC20" s="65"/>
      <c r="BD20" s="65"/>
      <c r="BE20" s="36">
        <f t="shared" si="3"/>
        <v>0</v>
      </c>
      <c r="BF20" s="65"/>
      <c r="BG20" s="65"/>
      <c r="BH20" s="65"/>
      <c r="BI20" s="65"/>
      <c r="BJ20" s="65"/>
      <c r="BK20" s="65"/>
      <c r="BL20" s="65"/>
      <c r="BM20" s="65"/>
      <c r="BN20" s="65"/>
      <c r="BO20" s="65"/>
      <c r="BP20" s="65"/>
      <c r="BQ20" s="65"/>
      <c r="BR20" s="36">
        <f t="shared" si="4"/>
        <v>0</v>
      </c>
    </row>
    <row r="21" spans="1:70">
      <c r="A21" s="69" t="s">
        <v>67</v>
      </c>
      <c r="F21" s="65"/>
      <c r="G21" s="65"/>
      <c r="H21" s="65"/>
      <c r="I21" s="65"/>
      <c r="J21" s="65"/>
      <c r="K21" s="65"/>
      <c r="L21" s="65"/>
      <c r="M21" s="65"/>
      <c r="N21" s="65"/>
      <c r="O21" s="65"/>
      <c r="P21" s="65"/>
      <c r="Q21" s="65"/>
      <c r="R21" s="36">
        <f t="shared" si="0"/>
        <v>0</v>
      </c>
      <c r="S21" s="65"/>
      <c r="T21" s="65"/>
      <c r="U21" s="65"/>
      <c r="V21" s="65"/>
      <c r="W21" s="65"/>
      <c r="X21" s="65"/>
      <c r="Y21" s="65"/>
      <c r="Z21" s="65"/>
      <c r="AA21" s="65"/>
      <c r="AB21" s="65"/>
      <c r="AC21" s="65"/>
      <c r="AD21" s="65"/>
      <c r="AE21" s="36">
        <f t="shared" si="1"/>
        <v>0</v>
      </c>
      <c r="AF21" s="65"/>
      <c r="AG21" s="65"/>
      <c r="AH21" s="65"/>
      <c r="AI21" s="65"/>
      <c r="AJ21" s="65"/>
      <c r="AK21" s="65"/>
      <c r="AL21" s="65"/>
      <c r="AM21" s="65"/>
      <c r="AN21" s="65"/>
      <c r="AO21" s="65"/>
      <c r="AP21" s="65"/>
      <c r="AQ21" s="65"/>
      <c r="AR21" s="36">
        <f t="shared" si="2"/>
        <v>0</v>
      </c>
      <c r="AS21" s="65"/>
      <c r="AT21" s="65"/>
      <c r="AU21" s="65"/>
      <c r="AV21" s="65"/>
      <c r="AW21" s="65"/>
      <c r="AX21" s="65"/>
      <c r="AY21" s="65"/>
      <c r="AZ21" s="65"/>
      <c r="BA21" s="65"/>
      <c r="BB21" s="65"/>
      <c r="BC21" s="65"/>
      <c r="BD21" s="65"/>
      <c r="BE21" s="36">
        <f t="shared" si="3"/>
        <v>0</v>
      </c>
      <c r="BF21" s="65"/>
      <c r="BG21" s="65"/>
      <c r="BH21" s="65"/>
      <c r="BI21" s="65"/>
      <c r="BJ21" s="65"/>
      <c r="BK21" s="65"/>
      <c r="BL21" s="65"/>
      <c r="BM21" s="65"/>
      <c r="BN21" s="65"/>
      <c r="BO21" s="65"/>
      <c r="BP21" s="65"/>
      <c r="BQ21" s="65"/>
      <c r="BR21" s="36">
        <f t="shared" si="4"/>
        <v>0</v>
      </c>
    </row>
    <row r="22" spans="1:70">
      <c r="A22" s="69" t="s">
        <v>68</v>
      </c>
      <c r="F22" s="65"/>
      <c r="G22" s="65"/>
      <c r="H22" s="65"/>
      <c r="I22" s="65"/>
      <c r="J22" s="65"/>
      <c r="K22" s="65"/>
      <c r="L22" s="65"/>
      <c r="M22" s="65"/>
      <c r="N22" s="65"/>
      <c r="O22" s="65"/>
      <c r="P22" s="65"/>
      <c r="Q22" s="65"/>
      <c r="R22" s="36">
        <f t="shared" si="0"/>
        <v>0</v>
      </c>
      <c r="S22" s="65"/>
      <c r="T22" s="65"/>
      <c r="U22" s="65"/>
      <c r="V22" s="65"/>
      <c r="W22" s="65"/>
      <c r="X22" s="65"/>
      <c r="Y22" s="65"/>
      <c r="Z22" s="65"/>
      <c r="AA22" s="65"/>
      <c r="AB22" s="65"/>
      <c r="AC22" s="65"/>
      <c r="AD22" s="65"/>
      <c r="AE22" s="36">
        <f t="shared" si="1"/>
        <v>0</v>
      </c>
      <c r="AF22" s="65"/>
      <c r="AG22" s="65"/>
      <c r="AH22" s="65"/>
      <c r="AI22" s="65"/>
      <c r="AJ22" s="65"/>
      <c r="AK22" s="65"/>
      <c r="AL22" s="65"/>
      <c r="AM22" s="65"/>
      <c r="AN22" s="65"/>
      <c r="AO22" s="65"/>
      <c r="AP22" s="65"/>
      <c r="AQ22" s="65"/>
      <c r="AR22" s="36">
        <f t="shared" si="2"/>
        <v>0</v>
      </c>
      <c r="AS22" s="65"/>
      <c r="AT22" s="65"/>
      <c r="AU22" s="65"/>
      <c r="AV22" s="65"/>
      <c r="AW22" s="65"/>
      <c r="AX22" s="65"/>
      <c r="AY22" s="65"/>
      <c r="AZ22" s="65"/>
      <c r="BA22" s="65"/>
      <c r="BB22" s="65"/>
      <c r="BC22" s="65"/>
      <c r="BD22" s="65"/>
      <c r="BE22" s="36">
        <f t="shared" si="3"/>
        <v>0</v>
      </c>
      <c r="BF22" s="65"/>
      <c r="BG22" s="65"/>
      <c r="BH22" s="65"/>
      <c r="BI22" s="65"/>
      <c r="BJ22" s="65"/>
      <c r="BK22" s="65"/>
      <c r="BL22" s="65"/>
      <c r="BM22" s="65"/>
      <c r="BN22" s="65"/>
      <c r="BO22" s="65"/>
      <c r="BP22" s="65"/>
      <c r="BQ22" s="65"/>
      <c r="BR22" s="36">
        <f t="shared" si="4"/>
        <v>0</v>
      </c>
    </row>
    <row r="23" spans="1:70">
      <c r="A23" s="69" t="s">
        <v>327</v>
      </c>
      <c r="F23" s="65"/>
      <c r="G23" s="65"/>
      <c r="H23" s="65"/>
      <c r="I23" s="65"/>
      <c r="J23" s="65"/>
      <c r="K23" s="65"/>
      <c r="L23" s="65"/>
      <c r="M23" s="65"/>
      <c r="N23" s="65"/>
      <c r="O23" s="65"/>
      <c r="P23" s="65"/>
      <c r="Q23" s="65"/>
      <c r="R23" s="36">
        <f t="shared" si="0"/>
        <v>0</v>
      </c>
      <c r="S23" s="65"/>
      <c r="T23" s="65"/>
      <c r="U23" s="65"/>
      <c r="V23" s="65"/>
      <c r="W23" s="65"/>
      <c r="X23" s="65"/>
      <c r="Y23" s="65"/>
      <c r="Z23" s="65"/>
      <c r="AA23" s="65"/>
      <c r="AB23" s="65"/>
      <c r="AC23" s="65"/>
      <c r="AD23" s="65"/>
      <c r="AE23" s="36">
        <f t="shared" si="1"/>
        <v>0</v>
      </c>
      <c r="AF23" s="65"/>
      <c r="AG23" s="65"/>
      <c r="AH23" s="65"/>
      <c r="AI23" s="65"/>
      <c r="AJ23" s="65"/>
      <c r="AK23" s="65"/>
      <c r="AL23" s="65"/>
      <c r="AM23" s="65"/>
      <c r="AN23" s="65"/>
      <c r="AO23" s="65"/>
      <c r="AP23" s="65"/>
      <c r="AQ23" s="65"/>
      <c r="AR23" s="36">
        <f t="shared" si="2"/>
        <v>0</v>
      </c>
      <c r="AS23" s="65"/>
      <c r="AT23" s="65"/>
      <c r="AU23" s="65"/>
      <c r="AV23" s="65"/>
      <c r="AW23" s="65"/>
      <c r="AX23" s="65"/>
      <c r="AY23" s="65"/>
      <c r="AZ23" s="65"/>
      <c r="BA23" s="65"/>
      <c r="BB23" s="65"/>
      <c r="BC23" s="65"/>
      <c r="BD23" s="65"/>
      <c r="BE23" s="36">
        <f t="shared" si="3"/>
        <v>0</v>
      </c>
      <c r="BF23" s="65"/>
      <c r="BG23" s="65"/>
      <c r="BH23" s="65"/>
      <c r="BI23" s="65"/>
      <c r="BJ23" s="65"/>
      <c r="BK23" s="65"/>
      <c r="BL23" s="65"/>
      <c r="BM23" s="65"/>
      <c r="BN23" s="65"/>
      <c r="BO23" s="65"/>
      <c r="BP23" s="65"/>
      <c r="BQ23" s="65"/>
      <c r="BR23" s="36">
        <f t="shared" si="4"/>
        <v>0</v>
      </c>
    </row>
    <row r="24" spans="1:70">
      <c r="A24" s="69" t="s">
        <v>328</v>
      </c>
      <c r="F24" s="65"/>
      <c r="G24" s="65"/>
      <c r="H24" s="65"/>
      <c r="I24" s="65"/>
      <c r="J24" s="65"/>
      <c r="K24" s="65"/>
      <c r="L24" s="65"/>
      <c r="M24" s="65"/>
      <c r="N24" s="65"/>
      <c r="O24" s="65"/>
      <c r="P24" s="65"/>
      <c r="Q24" s="65"/>
      <c r="R24" s="36">
        <f t="shared" si="0"/>
        <v>0</v>
      </c>
      <c r="S24" s="65"/>
      <c r="T24" s="65"/>
      <c r="U24" s="65"/>
      <c r="V24" s="65"/>
      <c r="W24" s="65"/>
      <c r="X24" s="65"/>
      <c r="Y24" s="65"/>
      <c r="Z24" s="65"/>
      <c r="AA24" s="65"/>
      <c r="AB24" s="65"/>
      <c r="AC24" s="65"/>
      <c r="AD24" s="65"/>
      <c r="AE24" s="36">
        <f t="shared" si="1"/>
        <v>0</v>
      </c>
      <c r="AF24" s="65"/>
      <c r="AG24" s="65"/>
      <c r="AH24" s="65"/>
      <c r="AI24" s="65"/>
      <c r="AJ24" s="65"/>
      <c r="AK24" s="65"/>
      <c r="AL24" s="65"/>
      <c r="AM24" s="65"/>
      <c r="AN24" s="65"/>
      <c r="AO24" s="65"/>
      <c r="AP24" s="65"/>
      <c r="AQ24" s="65"/>
      <c r="AR24" s="36">
        <f t="shared" si="2"/>
        <v>0</v>
      </c>
      <c r="AS24" s="65"/>
      <c r="AT24" s="65"/>
      <c r="AU24" s="65"/>
      <c r="AV24" s="65"/>
      <c r="AW24" s="65"/>
      <c r="AX24" s="65"/>
      <c r="AY24" s="65"/>
      <c r="AZ24" s="65"/>
      <c r="BA24" s="65"/>
      <c r="BB24" s="65"/>
      <c r="BC24" s="65"/>
      <c r="BD24" s="65"/>
      <c r="BE24" s="36">
        <f t="shared" si="3"/>
        <v>0</v>
      </c>
      <c r="BF24" s="65"/>
      <c r="BG24" s="65"/>
      <c r="BH24" s="65"/>
      <c r="BI24" s="65"/>
      <c r="BJ24" s="65"/>
      <c r="BK24" s="65"/>
      <c r="BL24" s="65"/>
      <c r="BM24" s="65"/>
      <c r="BN24" s="65"/>
      <c r="BO24" s="65"/>
      <c r="BP24" s="65"/>
      <c r="BQ24" s="65"/>
      <c r="BR24" s="36">
        <f t="shared" si="4"/>
        <v>0</v>
      </c>
    </row>
    <row r="25" spans="1:70">
      <c r="A25" s="69" t="s">
        <v>71</v>
      </c>
      <c r="F25" s="65"/>
      <c r="G25" s="65"/>
      <c r="H25" s="65"/>
      <c r="I25" s="65"/>
      <c r="J25" s="65"/>
      <c r="K25" s="65"/>
      <c r="L25" s="65"/>
      <c r="M25" s="65"/>
      <c r="N25" s="65"/>
      <c r="O25" s="65"/>
      <c r="P25" s="65"/>
      <c r="Q25" s="65"/>
      <c r="R25" s="36">
        <f t="shared" si="0"/>
        <v>0</v>
      </c>
      <c r="S25" s="65"/>
      <c r="T25" s="65"/>
      <c r="U25" s="65"/>
      <c r="V25" s="65"/>
      <c r="W25" s="65"/>
      <c r="X25" s="65"/>
      <c r="Y25" s="65"/>
      <c r="Z25" s="65"/>
      <c r="AA25" s="65"/>
      <c r="AB25" s="65"/>
      <c r="AC25" s="65"/>
      <c r="AD25" s="65"/>
      <c r="AE25" s="36">
        <f t="shared" si="1"/>
        <v>0</v>
      </c>
      <c r="AF25" s="65"/>
      <c r="AG25" s="65"/>
      <c r="AH25" s="65"/>
      <c r="AI25" s="65"/>
      <c r="AJ25" s="65"/>
      <c r="AK25" s="65"/>
      <c r="AL25" s="65"/>
      <c r="AM25" s="65"/>
      <c r="AN25" s="65"/>
      <c r="AO25" s="65"/>
      <c r="AP25" s="65"/>
      <c r="AQ25" s="65"/>
      <c r="AR25" s="36">
        <f t="shared" si="2"/>
        <v>0</v>
      </c>
      <c r="AS25" s="65"/>
      <c r="AT25" s="65"/>
      <c r="AU25" s="65"/>
      <c r="AV25" s="65"/>
      <c r="AW25" s="65"/>
      <c r="AX25" s="65"/>
      <c r="AY25" s="65"/>
      <c r="AZ25" s="65"/>
      <c r="BA25" s="65"/>
      <c r="BB25" s="65"/>
      <c r="BC25" s="65"/>
      <c r="BD25" s="65"/>
      <c r="BE25" s="36">
        <f t="shared" si="3"/>
        <v>0</v>
      </c>
      <c r="BF25" s="65"/>
      <c r="BG25" s="65"/>
      <c r="BH25" s="65"/>
      <c r="BI25" s="65"/>
      <c r="BJ25" s="65"/>
      <c r="BK25" s="65"/>
      <c r="BL25" s="65"/>
      <c r="BM25" s="65"/>
      <c r="BN25" s="65"/>
      <c r="BO25" s="65"/>
      <c r="BP25" s="65"/>
      <c r="BQ25" s="65"/>
      <c r="BR25" s="36">
        <f t="shared" si="4"/>
        <v>0</v>
      </c>
    </row>
    <row r="26" spans="1:70">
      <c r="A26" s="69" t="s">
        <v>329</v>
      </c>
      <c r="F26" s="65"/>
      <c r="G26" s="65"/>
      <c r="H26" s="65"/>
      <c r="I26" s="65"/>
      <c r="J26" s="65"/>
      <c r="K26" s="65"/>
      <c r="L26" s="65"/>
      <c r="M26" s="65"/>
      <c r="N26" s="65"/>
      <c r="O26" s="65"/>
      <c r="P26" s="65"/>
      <c r="Q26" s="65"/>
      <c r="R26" s="36">
        <f t="shared" si="0"/>
        <v>0</v>
      </c>
      <c r="S26" s="65"/>
      <c r="T26" s="65"/>
      <c r="U26" s="65"/>
      <c r="V26" s="65"/>
      <c r="W26" s="65"/>
      <c r="X26" s="65"/>
      <c r="Y26" s="65"/>
      <c r="Z26" s="65"/>
      <c r="AA26" s="65"/>
      <c r="AB26" s="65"/>
      <c r="AC26" s="65"/>
      <c r="AD26" s="65"/>
      <c r="AE26" s="36">
        <f t="shared" si="1"/>
        <v>0</v>
      </c>
      <c r="AF26" s="65"/>
      <c r="AG26" s="65"/>
      <c r="AH26" s="65"/>
      <c r="AI26" s="65"/>
      <c r="AJ26" s="65"/>
      <c r="AK26" s="65"/>
      <c r="AL26" s="65"/>
      <c r="AM26" s="65"/>
      <c r="AN26" s="65"/>
      <c r="AO26" s="65"/>
      <c r="AP26" s="65"/>
      <c r="AQ26" s="65"/>
      <c r="AR26" s="36">
        <f t="shared" si="2"/>
        <v>0</v>
      </c>
      <c r="AS26" s="65"/>
      <c r="AT26" s="65"/>
      <c r="AU26" s="65"/>
      <c r="AV26" s="65"/>
      <c r="AW26" s="65"/>
      <c r="AX26" s="65"/>
      <c r="AY26" s="65"/>
      <c r="AZ26" s="65"/>
      <c r="BA26" s="65"/>
      <c r="BB26" s="65"/>
      <c r="BC26" s="65"/>
      <c r="BD26" s="65"/>
      <c r="BE26" s="36">
        <f t="shared" si="3"/>
        <v>0</v>
      </c>
      <c r="BF26" s="65"/>
      <c r="BG26" s="65"/>
      <c r="BH26" s="65"/>
      <c r="BI26" s="65"/>
      <c r="BJ26" s="65"/>
      <c r="BK26" s="65"/>
      <c r="BL26" s="65"/>
      <c r="BM26" s="65"/>
      <c r="BN26" s="65"/>
      <c r="BO26" s="65"/>
      <c r="BP26" s="65"/>
      <c r="BQ26" s="65"/>
      <c r="BR26" s="36">
        <f t="shared" si="4"/>
        <v>0</v>
      </c>
    </row>
    <row r="27" spans="1:70" ht="15">
      <c r="A27" s="66" t="s">
        <v>334</v>
      </c>
      <c r="F27" s="65"/>
      <c r="G27" s="65"/>
      <c r="H27" s="65"/>
      <c r="I27" s="65"/>
      <c r="J27" s="65"/>
      <c r="K27" s="65"/>
      <c r="L27" s="65"/>
      <c r="M27" s="65"/>
      <c r="N27" s="65"/>
      <c r="O27" s="65"/>
      <c r="P27" s="65"/>
      <c r="Q27" s="65"/>
      <c r="R27" s="67">
        <f>SUM(R18:R26)</f>
        <v>0</v>
      </c>
      <c r="S27" s="65"/>
      <c r="T27" s="65"/>
      <c r="U27" s="65"/>
      <c r="V27" s="65"/>
      <c r="W27" s="65"/>
      <c r="X27" s="65"/>
      <c r="Y27" s="65"/>
      <c r="Z27" s="65"/>
      <c r="AA27" s="65"/>
      <c r="AB27" s="65"/>
      <c r="AC27" s="65"/>
      <c r="AD27" s="65"/>
      <c r="AE27" s="67">
        <f>SUM(AE18:AE26)</f>
        <v>0</v>
      </c>
      <c r="AF27" s="65"/>
      <c r="AG27" s="65"/>
      <c r="AH27" s="65"/>
      <c r="AI27" s="65"/>
      <c r="AJ27" s="65"/>
      <c r="AK27" s="65"/>
      <c r="AL27" s="65"/>
      <c r="AM27" s="65"/>
      <c r="AN27" s="65"/>
      <c r="AO27" s="65"/>
      <c r="AP27" s="65"/>
      <c r="AQ27" s="65"/>
      <c r="AR27" s="67">
        <f>SUM(AR18:AR26)</f>
        <v>0</v>
      </c>
      <c r="AS27" s="65"/>
      <c r="AT27" s="65"/>
      <c r="AU27" s="65"/>
      <c r="AV27" s="65"/>
      <c r="AW27" s="65"/>
      <c r="AX27" s="65"/>
      <c r="AY27" s="65"/>
      <c r="AZ27" s="65"/>
      <c r="BA27" s="65"/>
      <c r="BB27" s="65"/>
      <c r="BC27" s="65"/>
      <c r="BD27" s="65"/>
      <c r="BE27" s="67">
        <f>SUM(BE18:BE26)</f>
        <v>0</v>
      </c>
      <c r="BF27" s="65"/>
      <c r="BG27" s="65"/>
      <c r="BH27" s="65"/>
      <c r="BI27" s="65"/>
      <c r="BJ27" s="65"/>
      <c r="BK27" s="65"/>
      <c r="BL27" s="65"/>
      <c r="BM27" s="65"/>
      <c r="BN27" s="65"/>
      <c r="BO27" s="65"/>
      <c r="BP27" s="65"/>
      <c r="BQ27" s="65"/>
      <c r="BR27" s="67">
        <f>SUM(BR18:BR26)</f>
        <v>0</v>
      </c>
    </row>
    <row r="28" spans="1:70" ht="17.25">
      <c r="A28" s="68"/>
      <c r="F28" s="65"/>
      <c r="G28" s="65"/>
      <c r="H28" s="65"/>
      <c r="I28" s="65"/>
      <c r="J28" s="65"/>
      <c r="K28" s="65"/>
      <c r="L28" s="65"/>
      <c r="M28" s="65"/>
      <c r="N28" s="65"/>
      <c r="O28" s="65"/>
      <c r="P28" s="65"/>
      <c r="Q28" s="65"/>
      <c r="S28" s="65"/>
      <c r="T28" s="65"/>
      <c r="U28" s="65"/>
      <c r="V28" s="65"/>
      <c r="W28" s="65"/>
      <c r="X28" s="65"/>
      <c r="Y28" s="65"/>
      <c r="Z28" s="65"/>
      <c r="AA28" s="65"/>
      <c r="AB28" s="65"/>
      <c r="AC28" s="65"/>
      <c r="AD28" s="65"/>
      <c r="AF28" s="65"/>
      <c r="AG28" s="65"/>
      <c r="AH28" s="65"/>
      <c r="AI28" s="65"/>
      <c r="AJ28" s="65"/>
      <c r="AK28" s="65"/>
      <c r="AL28" s="65"/>
      <c r="AM28" s="65"/>
      <c r="AN28" s="65"/>
      <c r="AO28" s="65"/>
      <c r="AP28" s="65"/>
      <c r="AQ28" s="65"/>
      <c r="AS28" s="65"/>
      <c r="AT28" s="65"/>
      <c r="AU28" s="65"/>
      <c r="AV28" s="65"/>
      <c r="AW28" s="65"/>
      <c r="AX28" s="65"/>
      <c r="AY28" s="65"/>
      <c r="AZ28" s="65"/>
      <c r="BA28" s="65"/>
      <c r="BB28" s="65"/>
      <c r="BC28" s="65"/>
      <c r="BD28" s="65"/>
      <c r="BF28" s="65"/>
      <c r="BG28" s="65"/>
      <c r="BH28" s="65"/>
      <c r="BI28" s="65"/>
      <c r="BJ28" s="65"/>
      <c r="BK28" s="65"/>
      <c r="BL28" s="65"/>
      <c r="BM28" s="65"/>
      <c r="BN28" s="65"/>
      <c r="BO28" s="65"/>
      <c r="BP28" s="65"/>
      <c r="BQ28" s="65"/>
    </row>
    <row r="29" spans="1:70" ht="15">
      <c r="A29" s="66" t="s">
        <v>107</v>
      </c>
      <c r="F29" s="65"/>
      <c r="G29" s="65"/>
      <c r="H29" s="65"/>
      <c r="I29" s="65"/>
      <c r="J29" s="65"/>
      <c r="K29" s="65"/>
      <c r="L29" s="65"/>
      <c r="M29" s="65"/>
      <c r="N29" s="65"/>
      <c r="O29" s="65"/>
      <c r="P29" s="65"/>
      <c r="Q29" s="65"/>
      <c r="R29" s="67">
        <f>R27+R14</f>
        <v>0</v>
      </c>
      <c r="S29" s="65"/>
      <c r="T29" s="65"/>
      <c r="U29" s="65"/>
      <c r="V29" s="65"/>
      <c r="W29" s="65"/>
      <c r="X29" s="65"/>
      <c r="Y29" s="65"/>
      <c r="Z29" s="65"/>
      <c r="AA29" s="65"/>
      <c r="AB29" s="65"/>
      <c r="AC29" s="65"/>
      <c r="AD29" s="65"/>
      <c r="AE29" s="67">
        <f>AE27+AE14</f>
        <v>0</v>
      </c>
      <c r="AF29" s="65"/>
      <c r="AG29" s="65"/>
      <c r="AH29" s="65"/>
      <c r="AI29" s="65"/>
      <c r="AJ29" s="65"/>
      <c r="AK29" s="65"/>
      <c r="AL29" s="65"/>
      <c r="AM29" s="65"/>
      <c r="AN29" s="65"/>
      <c r="AO29" s="65"/>
      <c r="AP29" s="65"/>
      <c r="AQ29" s="65"/>
      <c r="AR29" s="67">
        <f>AR27+AR14</f>
        <v>0</v>
      </c>
      <c r="AS29" s="65"/>
      <c r="AT29" s="65"/>
      <c r="AU29" s="65"/>
      <c r="AV29" s="65"/>
      <c r="AW29" s="65"/>
      <c r="AX29" s="65"/>
      <c r="AY29" s="65"/>
      <c r="AZ29" s="65"/>
      <c r="BA29" s="65"/>
      <c r="BB29" s="65"/>
      <c r="BC29" s="65"/>
      <c r="BD29" s="65"/>
      <c r="BE29" s="67">
        <f>BE27+BE14</f>
        <v>0</v>
      </c>
      <c r="BF29" s="65"/>
      <c r="BG29" s="65"/>
      <c r="BH29" s="65"/>
      <c r="BI29" s="65"/>
      <c r="BJ29" s="65"/>
      <c r="BK29" s="65"/>
      <c r="BL29" s="65"/>
      <c r="BM29" s="65"/>
      <c r="BN29" s="65"/>
      <c r="BO29" s="65"/>
      <c r="BP29" s="65"/>
      <c r="BQ29" s="65"/>
      <c r="BR29" s="67">
        <f>BR27+BR14</f>
        <v>0</v>
      </c>
    </row>
    <row r="30" spans="1:70" ht="17.25">
      <c r="A30" s="68"/>
      <c r="F30" s="65"/>
      <c r="G30" s="65"/>
      <c r="H30" s="65"/>
      <c r="I30" s="65"/>
      <c r="J30" s="65"/>
      <c r="K30" s="65"/>
      <c r="L30" s="65"/>
      <c r="M30" s="65"/>
      <c r="N30" s="65"/>
      <c r="O30" s="65"/>
      <c r="P30" s="65"/>
      <c r="Q30" s="65"/>
      <c r="R30" s="70"/>
      <c r="S30" s="65"/>
      <c r="T30" s="65"/>
      <c r="U30" s="65"/>
      <c r="V30" s="65"/>
      <c r="W30" s="65"/>
      <c r="X30" s="65"/>
      <c r="Y30" s="65"/>
      <c r="Z30" s="65"/>
      <c r="AA30" s="65"/>
      <c r="AB30" s="65"/>
      <c r="AC30" s="65"/>
      <c r="AD30" s="65"/>
      <c r="AE30" s="70"/>
      <c r="AF30" s="65"/>
      <c r="AG30" s="65"/>
      <c r="AH30" s="65"/>
      <c r="AI30" s="65"/>
      <c r="AJ30" s="65"/>
      <c r="AK30" s="65"/>
      <c r="AL30" s="65"/>
      <c r="AM30" s="65"/>
      <c r="AN30" s="65"/>
      <c r="AO30" s="65"/>
      <c r="AP30" s="65"/>
      <c r="AQ30" s="65"/>
      <c r="AR30" s="70"/>
      <c r="AS30" s="65"/>
      <c r="AT30" s="65"/>
      <c r="AU30" s="65"/>
      <c r="AV30" s="65"/>
      <c r="AW30" s="65"/>
      <c r="AX30" s="65"/>
      <c r="AY30" s="65"/>
      <c r="AZ30" s="65"/>
      <c r="BA30" s="65"/>
      <c r="BB30" s="65"/>
      <c r="BC30" s="65"/>
      <c r="BD30" s="65"/>
      <c r="BE30" s="70"/>
      <c r="BF30" s="65"/>
      <c r="BG30" s="65"/>
      <c r="BH30" s="65"/>
      <c r="BI30" s="65"/>
      <c r="BJ30" s="65"/>
      <c r="BK30" s="65"/>
      <c r="BL30" s="65"/>
      <c r="BM30" s="65"/>
      <c r="BN30" s="65"/>
      <c r="BO30" s="65"/>
      <c r="BP30" s="65"/>
      <c r="BQ30" s="65"/>
      <c r="BR30" s="70"/>
    </row>
    <row r="31" spans="1:70">
      <c r="A31" s="63" t="s">
        <v>78</v>
      </c>
      <c r="F31" s="65"/>
      <c r="G31" s="65"/>
      <c r="H31" s="65"/>
      <c r="I31" s="65"/>
      <c r="J31" s="65"/>
      <c r="K31" s="65"/>
      <c r="L31" s="65"/>
      <c r="M31" s="65"/>
      <c r="N31" s="65"/>
      <c r="O31" s="65"/>
      <c r="P31" s="65"/>
      <c r="Q31" s="65"/>
      <c r="R31" s="36">
        <f t="shared" ref="R31:R33" si="5">SUM(F62:Q62)</f>
        <v>0</v>
      </c>
      <c r="S31" s="65"/>
      <c r="T31" s="65"/>
      <c r="U31" s="65"/>
      <c r="V31" s="65"/>
      <c r="W31" s="65"/>
      <c r="X31" s="65"/>
      <c r="Y31" s="65"/>
      <c r="Z31" s="65"/>
      <c r="AA31" s="65"/>
      <c r="AB31" s="65"/>
      <c r="AC31" s="65"/>
      <c r="AD31" s="65"/>
      <c r="AE31" s="36">
        <f t="shared" ref="AE31:AE33" si="6">SUM(S62:AD62)</f>
        <v>0</v>
      </c>
      <c r="AF31" s="65"/>
      <c r="AG31" s="65"/>
      <c r="AH31" s="65"/>
      <c r="AI31" s="65"/>
      <c r="AJ31" s="65"/>
      <c r="AK31" s="65"/>
      <c r="AL31" s="65"/>
      <c r="AM31" s="65"/>
      <c r="AN31" s="65"/>
      <c r="AO31" s="65"/>
      <c r="AP31" s="65"/>
      <c r="AQ31" s="65"/>
      <c r="AR31" s="36">
        <f t="shared" ref="AR31:AR33" si="7">SUM(AF62:AQ62)</f>
        <v>0</v>
      </c>
      <c r="AS31" s="65"/>
      <c r="AT31" s="65"/>
      <c r="AU31" s="65"/>
      <c r="AV31" s="65"/>
      <c r="AW31" s="65"/>
      <c r="AX31" s="65"/>
      <c r="AY31" s="65"/>
      <c r="AZ31" s="65"/>
      <c r="BA31" s="65"/>
      <c r="BB31" s="65"/>
      <c r="BC31" s="65"/>
      <c r="BD31" s="65"/>
      <c r="BE31" s="36">
        <f t="shared" ref="BE31:BE33" si="8">SUM(AS62:BD62)</f>
        <v>0</v>
      </c>
      <c r="BF31" s="65"/>
      <c r="BG31" s="65"/>
      <c r="BH31" s="65"/>
      <c r="BI31" s="65"/>
      <c r="BJ31" s="65"/>
      <c r="BK31" s="65"/>
      <c r="BL31" s="65"/>
      <c r="BM31" s="65"/>
      <c r="BN31" s="65"/>
      <c r="BO31" s="65"/>
      <c r="BP31" s="65"/>
      <c r="BQ31" s="65"/>
      <c r="BR31" s="36">
        <f t="shared" ref="BR31:BR33" si="9">SUM(BF62:BQ62)</f>
        <v>0</v>
      </c>
    </row>
    <row r="32" spans="1:70">
      <c r="A32" s="63" t="s">
        <v>108</v>
      </c>
      <c r="F32" s="65"/>
      <c r="G32" s="65"/>
      <c r="H32" s="65"/>
      <c r="I32" s="65"/>
      <c r="J32" s="65"/>
      <c r="K32" s="65"/>
      <c r="L32" s="65"/>
      <c r="M32" s="65"/>
      <c r="N32" s="65"/>
      <c r="O32" s="65"/>
      <c r="P32" s="65"/>
      <c r="Q32" s="65"/>
      <c r="R32" s="36">
        <f t="shared" si="5"/>
        <v>0</v>
      </c>
      <c r="S32" s="65"/>
      <c r="T32" s="65"/>
      <c r="U32" s="65"/>
      <c r="V32" s="65"/>
      <c r="W32" s="65"/>
      <c r="X32" s="65"/>
      <c r="Y32" s="65"/>
      <c r="Z32" s="65"/>
      <c r="AA32" s="65"/>
      <c r="AB32" s="65"/>
      <c r="AC32" s="65"/>
      <c r="AD32" s="65"/>
      <c r="AE32" s="36">
        <f t="shared" si="6"/>
        <v>0</v>
      </c>
      <c r="AF32" s="65"/>
      <c r="AG32" s="65"/>
      <c r="AH32" s="65"/>
      <c r="AI32" s="65"/>
      <c r="AJ32" s="65"/>
      <c r="AK32" s="65"/>
      <c r="AL32" s="65"/>
      <c r="AM32" s="65"/>
      <c r="AN32" s="65"/>
      <c r="AO32" s="65"/>
      <c r="AP32" s="65"/>
      <c r="AQ32" s="65"/>
      <c r="AR32" s="36">
        <f t="shared" si="7"/>
        <v>0</v>
      </c>
      <c r="AS32" s="65"/>
      <c r="AT32" s="65"/>
      <c r="AU32" s="65"/>
      <c r="AV32" s="65"/>
      <c r="AW32" s="65"/>
      <c r="AX32" s="65"/>
      <c r="AY32" s="65"/>
      <c r="AZ32" s="65"/>
      <c r="BA32" s="65"/>
      <c r="BB32" s="65"/>
      <c r="BC32" s="65"/>
      <c r="BD32" s="65"/>
      <c r="BE32" s="36">
        <f t="shared" si="8"/>
        <v>0</v>
      </c>
      <c r="BF32" s="65"/>
      <c r="BG32" s="65"/>
      <c r="BH32" s="65"/>
      <c r="BI32" s="65"/>
      <c r="BJ32" s="65"/>
      <c r="BK32" s="65"/>
      <c r="BL32" s="65"/>
      <c r="BM32" s="65"/>
      <c r="BN32" s="65"/>
      <c r="BO32" s="65"/>
      <c r="BP32" s="65"/>
      <c r="BQ32" s="65"/>
      <c r="BR32" s="36">
        <f t="shared" si="9"/>
        <v>0</v>
      </c>
    </row>
    <row r="33" spans="1:70">
      <c r="A33" s="63" t="s">
        <v>81</v>
      </c>
      <c r="F33" s="65"/>
      <c r="G33" s="65"/>
      <c r="H33" s="65"/>
      <c r="I33" s="65"/>
      <c r="J33" s="65"/>
      <c r="K33" s="65"/>
      <c r="L33" s="65"/>
      <c r="M33" s="65"/>
      <c r="N33" s="65"/>
      <c r="O33" s="65"/>
      <c r="P33" s="65"/>
      <c r="Q33" s="65"/>
      <c r="R33" s="36">
        <f t="shared" si="5"/>
        <v>0</v>
      </c>
      <c r="S33" s="65"/>
      <c r="T33" s="65"/>
      <c r="U33" s="65"/>
      <c r="V33" s="65"/>
      <c r="W33" s="65"/>
      <c r="X33" s="65"/>
      <c r="Y33" s="65"/>
      <c r="Z33" s="65"/>
      <c r="AA33" s="65"/>
      <c r="AB33" s="65"/>
      <c r="AC33" s="65"/>
      <c r="AD33" s="65"/>
      <c r="AE33" s="36">
        <f t="shared" si="6"/>
        <v>0</v>
      </c>
      <c r="AF33" s="65"/>
      <c r="AG33" s="65"/>
      <c r="AH33" s="65"/>
      <c r="AI33" s="65"/>
      <c r="AJ33" s="65"/>
      <c r="AK33" s="65"/>
      <c r="AL33" s="65"/>
      <c r="AM33" s="65"/>
      <c r="AN33" s="65"/>
      <c r="AO33" s="65"/>
      <c r="AP33" s="65"/>
      <c r="AQ33" s="65"/>
      <c r="AR33" s="36">
        <f t="shared" si="7"/>
        <v>0</v>
      </c>
      <c r="AS33" s="65"/>
      <c r="AT33" s="65"/>
      <c r="AU33" s="65"/>
      <c r="AV33" s="65"/>
      <c r="AW33" s="65"/>
      <c r="AX33" s="65"/>
      <c r="AY33" s="65"/>
      <c r="AZ33" s="65"/>
      <c r="BA33" s="65"/>
      <c r="BB33" s="65"/>
      <c r="BC33" s="65"/>
      <c r="BD33" s="65"/>
      <c r="BE33" s="36">
        <f t="shared" si="8"/>
        <v>0</v>
      </c>
      <c r="BF33" s="65"/>
      <c r="BG33" s="65"/>
      <c r="BH33" s="65"/>
      <c r="BI33" s="65"/>
      <c r="BJ33" s="65"/>
      <c r="BK33" s="65"/>
      <c r="BL33" s="65"/>
      <c r="BM33" s="65"/>
      <c r="BN33" s="65"/>
      <c r="BO33" s="65"/>
      <c r="BP33" s="65"/>
      <c r="BQ33" s="65"/>
      <c r="BR33" s="36">
        <f t="shared" si="9"/>
        <v>0</v>
      </c>
    </row>
    <row r="34" spans="1:70" ht="15">
      <c r="A34" s="66" t="s">
        <v>109</v>
      </c>
      <c r="F34" s="65"/>
      <c r="G34" s="65"/>
      <c r="H34" s="65"/>
      <c r="I34" s="65"/>
      <c r="J34" s="65"/>
      <c r="K34" s="65"/>
      <c r="L34" s="65"/>
      <c r="M34" s="65"/>
      <c r="N34" s="65"/>
      <c r="O34" s="65"/>
      <c r="P34" s="65"/>
      <c r="Q34" s="65"/>
      <c r="R34" s="67">
        <f>R14+R29-SUM(R31:R33)</f>
        <v>0</v>
      </c>
      <c r="S34" s="65"/>
      <c r="T34" s="65"/>
      <c r="U34" s="65"/>
      <c r="V34" s="65"/>
      <c r="W34" s="65"/>
      <c r="X34" s="65"/>
      <c r="Y34" s="65"/>
      <c r="Z34" s="65"/>
      <c r="AA34" s="65"/>
      <c r="AB34" s="65"/>
      <c r="AC34" s="65"/>
      <c r="AD34" s="65"/>
      <c r="AE34" s="67">
        <f>AE14+AE29-SUM(AE31:AE33)</f>
        <v>0</v>
      </c>
      <c r="AF34" s="65"/>
      <c r="AG34" s="65"/>
      <c r="AH34" s="65"/>
      <c r="AI34" s="65"/>
      <c r="AJ34" s="65"/>
      <c r="AK34" s="65"/>
      <c r="AL34" s="65"/>
      <c r="AM34" s="65"/>
      <c r="AN34" s="65"/>
      <c r="AO34" s="65"/>
      <c r="AP34" s="65"/>
      <c r="AQ34" s="65"/>
      <c r="AR34" s="67">
        <f>AR14+AR29-SUM(AR31:AR33)</f>
        <v>0</v>
      </c>
      <c r="AS34" s="65"/>
      <c r="AT34" s="65"/>
      <c r="AU34" s="65"/>
      <c r="AV34" s="65"/>
      <c r="AW34" s="65"/>
      <c r="AX34" s="65"/>
      <c r="AY34" s="65"/>
      <c r="AZ34" s="65"/>
      <c r="BA34" s="65"/>
      <c r="BB34" s="65"/>
      <c r="BC34" s="65"/>
      <c r="BD34" s="65"/>
      <c r="BE34" s="67">
        <f>BE14+BE29-SUM(BE31:BE33)</f>
        <v>0</v>
      </c>
      <c r="BF34" s="65"/>
      <c r="BG34" s="65"/>
      <c r="BH34" s="65"/>
      <c r="BI34" s="65"/>
      <c r="BJ34" s="65"/>
      <c r="BK34" s="65"/>
      <c r="BL34" s="65"/>
      <c r="BM34" s="65"/>
      <c r="BN34" s="65"/>
      <c r="BO34" s="65"/>
      <c r="BP34" s="65"/>
      <c r="BQ34" s="65"/>
      <c r="BR34" s="67">
        <f>BR14+BR29-SUM(BR31:BR33)</f>
        <v>0</v>
      </c>
    </row>
    <row r="37" spans="1:70">
      <c r="A37" s="30" t="s">
        <v>110</v>
      </c>
      <c r="B37" s="30"/>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row>
    <row r="39" spans="1:70">
      <c r="F39" s="32" t="s">
        <v>47</v>
      </c>
      <c r="G39" s="32" t="s">
        <v>47</v>
      </c>
      <c r="H39" s="32" t="s">
        <v>47</v>
      </c>
      <c r="I39" s="32" t="s">
        <v>47</v>
      </c>
      <c r="J39" s="32" t="s">
        <v>47</v>
      </c>
      <c r="K39" s="32" t="s">
        <v>47</v>
      </c>
      <c r="L39" s="32" t="s">
        <v>47</v>
      </c>
      <c r="M39" s="32" t="s">
        <v>47</v>
      </c>
      <c r="N39" s="32" t="s">
        <v>47</v>
      </c>
      <c r="O39" s="32" t="s">
        <v>47</v>
      </c>
      <c r="P39" s="32" t="s">
        <v>47</v>
      </c>
      <c r="Q39" s="32" t="s">
        <v>47</v>
      </c>
      <c r="R39" s="32"/>
      <c r="S39" s="32" t="s">
        <v>48</v>
      </c>
      <c r="T39" s="32" t="s">
        <v>48</v>
      </c>
      <c r="U39" s="32" t="s">
        <v>48</v>
      </c>
      <c r="V39" s="32" t="s">
        <v>48</v>
      </c>
      <c r="W39" s="32" t="s">
        <v>48</v>
      </c>
      <c r="X39" s="32" t="s">
        <v>48</v>
      </c>
      <c r="Y39" s="32" t="s">
        <v>48</v>
      </c>
      <c r="Z39" s="32" t="s">
        <v>48</v>
      </c>
      <c r="AA39" s="32" t="s">
        <v>48</v>
      </c>
      <c r="AB39" s="32" t="s">
        <v>48</v>
      </c>
      <c r="AC39" s="32" t="s">
        <v>48</v>
      </c>
      <c r="AD39" s="32" t="s">
        <v>48</v>
      </c>
      <c r="AE39" s="32"/>
      <c r="AF39" s="32" t="s">
        <v>49</v>
      </c>
      <c r="AG39" s="32" t="s">
        <v>49</v>
      </c>
      <c r="AH39" s="32" t="s">
        <v>49</v>
      </c>
      <c r="AI39" s="32" t="s">
        <v>49</v>
      </c>
      <c r="AJ39" s="32" t="s">
        <v>49</v>
      </c>
      <c r="AK39" s="32" t="s">
        <v>49</v>
      </c>
      <c r="AL39" s="32" t="s">
        <v>49</v>
      </c>
      <c r="AM39" s="32" t="s">
        <v>49</v>
      </c>
      <c r="AN39" s="32" t="s">
        <v>49</v>
      </c>
      <c r="AO39" s="32" t="s">
        <v>49</v>
      </c>
      <c r="AP39" s="32" t="s">
        <v>49</v>
      </c>
      <c r="AQ39" s="32" t="s">
        <v>49</v>
      </c>
      <c r="AR39" s="32"/>
      <c r="AS39" s="32" t="s">
        <v>50</v>
      </c>
      <c r="AT39" s="32" t="s">
        <v>50</v>
      </c>
      <c r="AU39" s="32" t="s">
        <v>50</v>
      </c>
      <c r="AV39" s="32" t="s">
        <v>50</v>
      </c>
      <c r="AW39" s="32" t="s">
        <v>50</v>
      </c>
      <c r="AX39" s="32" t="s">
        <v>50</v>
      </c>
      <c r="AY39" s="32" t="s">
        <v>50</v>
      </c>
      <c r="AZ39" s="32" t="s">
        <v>50</v>
      </c>
      <c r="BA39" s="32" t="s">
        <v>50</v>
      </c>
      <c r="BB39" s="32" t="s">
        <v>50</v>
      </c>
      <c r="BC39" s="32" t="s">
        <v>50</v>
      </c>
      <c r="BD39" s="32" t="s">
        <v>50</v>
      </c>
      <c r="BE39" s="32"/>
      <c r="BF39" s="32" t="s">
        <v>51</v>
      </c>
      <c r="BG39" s="32" t="s">
        <v>51</v>
      </c>
      <c r="BH39" s="32" t="s">
        <v>51</v>
      </c>
      <c r="BI39" s="32" t="s">
        <v>51</v>
      </c>
      <c r="BJ39" s="32" t="s">
        <v>51</v>
      </c>
      <c r="BK39" s="32" t="s">
        <v>51</v>
      </c>
      <c r="BL39" s="32" t="s">
        <v>51</v>
      </c>
      <c r="BM39" s="32" t="s">
        <v>51</v>
      </c>
      <c r="BN39" s="32" t="s">
        <v>51</v>
      </c>
      <c r="BO39" s="32" t="s">
        <v>51</v>
      </c>
      <c r="BP39" s="32" t="s">
        <v>51</v>
      </c>
      <c r="BQ39" s="32" t="s">
        <v>51</v>
      </c>
      <c r="BR39" s="32"/>
    </row>
    <row r="40" spans="1:70">
      <c r="F40" s="32" t="s">
        <v>86</v>
      </c>
      <c r="G40" s="32" t="s">
        <v>87</v>
      </c>
      <c r="H40" s="32" t="s">
        <v>88</v>
      </c>
      <c r="I40" s="32" t="s">
        <v>89</v>
      </c>
      <c r="J40" s="32" t="s">
        <v>90</v>
      </c>
      <c r="K40" s="32" t="s">
        <v>91</v>
      </c>
      <c r="L40" s="32" t="s">
        <v>92</v>
      </c>
      <c r="M40" s="32" t="s">
        <v>93</v>
      </c>
      <c r="N40" s="32" t="s">
        <v>94</v>
      </c>
      <c r="O40" s="32" t="s">
        <v>95</v>
      </c>
      <c r="P40" s="32" t="s">
        <v>96</v>
      </c>
      <c r="Q40" s="32" t="s">
        <v>97</v>
      </c>
      <c r="R40" s="32"/>
      <c r="S40" s="32" t="s">
        <v>86</v>
      </c>
      <c r="T40" s="32" t="s">
        <v>87</v>
      </c>
      <c r="U40" s="32" t="s">
        <v>88</v>
      </c>
      <c r="V40" s="32" t="s">
        <v>89</v>
      </c>
      <c r="W40" s="32" t="s">
        <v>90</v>
      </c>
      <c r="X40" s="32" t="s">
        <v>91</v>
      </c>
      <c r="Y40" s="32" t="s">
        <v>92</v>
      </c>
      <c r="Z40" s="32" t="s">
        <v>93</v>
      </c>
      <c r="AA40" s="32" t="s">
        <v>94</v>
      </c>
      <c r="AB40" s="32" t="s">
        <v>95</v>
      </c>
      <c r="AC40" s="32" t="s">
        <v>96</v>
      </c>
      <c r="AD40" s="32" t="s">
        <v>97</v>
      </c>
      <c r="AE40" s="32"/>
      <c r="AF40" s="32" t="s">
        <v>86</v>
      </c>
      <c r="AG40" s="32" t="s">
        <v>87</v>
      </c>
      <c r="AH40" s="32" t="s">
        <v>88</v>
      </c>
      <c r="AI40" s="32" t="s">
        <v>89</v>
      </c>
      <c r="AJ40" s="32" t="s">
        <v>90</v>
      </c>
      <c r="AK40" s="32" t="s">
        <v>91</v>
      </c>
      <c r="AL40" s="32" t="s">
        <v>92</v>
      </c>
      <c r="AM40" s="32" t="s">
        <v>93</v>
      </c>
      <c r="AN40" s="32" t="s">
        <v>94</v>
      </c>
      <c r="AO40" s="32" t="s">
        <v>95</v>
      </c>
      <c r="AP40" s="32" t="s">
        <v>96</v>
      </c>
      <c r="AQ40" s="32" t="s">
        <v>97</v>
      </c>
      <c r="AR40" s="32"/>
      <c r="AS40" s="32" t="s">
        <v>86</v>
      </c>
      <c r="AT40" s="32" t="s">
        <v>87</v>
      </c>
      <c r="AU40" s="32" t="s">
        <v>88</v>
      </c>
      <c r="AV40" s="32" t="s">
        <v>89</v>
      </c>
      <c r="AW40" s="32" t="s">
        <v>90</v>
      </c>
      <c r="AX40" s="32" t="s">
        <v>91</v>
      </c>
      <c r="AY40" s="32" t="s">
        <v>92</v>
      </c>
      <c r="AZ40" s="32" t="s">
        <v>93</v>
      </c>
      <c r="BA40" s="32" t="s">
        <v>94</v>
      </c>
      <c r="BB40" s="32" t="s">
        <v>95</v>
      </c>
      <c r="BC40" s="32" t="s">
        <v>96</v>
      </c>
      <c r="BD40" s="32" t="s">
        <v>97</v>
      </c>
      <c r="BE40" s="32"/>
      <c r="BF40" s="32" t="s">
        <v>86</v>
      </c>
      <c r="BG40" s="32" t="s">
        <v>87</v>
      </c>
      <c r="BH40" s="32" t="s">
        <v>88</v>
      </c>
      <c r="BI40" s="32" t="s">
        <v>89</v>
      </c>
      <c r="BJ40" s="32" t="s">
        <v>90</v>
      </c>
      <c r="BK40" s="32" t="s">
        <v>91</v>
      </c>
      <c r="BL40" s="32" t="s">
        <v>92</v>
      </c>
      <c r="BM40" s="32" t="s">
        <v>93</v>
      </c>
      <c r="BN40" s="32" t="s">
        <v>94</v>
      </c>
      <c r="BO40" s="32" t="s">
        <v>95</v>
      </c>
      <c r="BP40" s="32" t="s">
        <v>96</v>
      </c>
      <c r="BQ40" s="32" t="s">
        <v>97</v>
      </c>
      <c r="BR40" s="32"/>
    </row>
    <row r="41" spans="1:70" ht="15">
      <c r="A41" s="64" t="s">
        <v>101</v>
      </c>
      <c r="F41" s="36">
        <v>0</v>
      </c>
      <c r="G41" s="36">
        <v>0</v>
      </c>
      <c r="H41" s="36">
        <v>0</v>
      </c>
      <c r="I41" s="36">
        <v>0</v>
      </c>
      <c r="J41" s="36">
        <v>0</v>
      </c>
      <c r="K41" s="36">
        <v>0</v>
      </c>
      <c r="L41" s="36">
        <v>0</v>
      </c>
      <c r="M41" s="36">
        <v>0</v>
      </c>
      <c r="N41" s="36">
        <v>0</v>
      </c>
      <c r="O41" s="36">
        <v>0</v>
      </c>
      <c r="P41" s="36">
        <v>0</v>
      </c>
      <c r="Q41" s="36">
        <v>0</v>
      </c>
      <c r="S41" s="36">
        <v>0</v>
      </c>
      <c r="T41" s="36">
        <v>0</v>
      </c>
      <c r="U41" s="36">
        <v>0</v>
      </c>
      <c r="V41" s="36">
        <v>0</v>
      </c>
      <c r="W41" s="36">
        <v>0</v>
      </c>
      <c r="X41" s="36">
        <v>0</v>
      </c>
      <c r="Y41" s="36">
        <v>0</v>
      </c>
      <c r="Z41" s="36">
        <v>0</v>
      </c>
      <c r="AA41" s="36">
        <v>0</v>
      </c>
      <c r="AB41" s="36">
        <v>0</v>
      </c>
      <c r="AC41" s="36">
        <v>0</v>
      </c>
      <c r="AD41" s="36">
        <v>0</v>
      </c>
      <c r="AF41" s="36">
        <v>0</v>
      </c>
      <c r="AG41" s="36">
        <v>0</v>
      </c>
      <c r="AH41" s="36">
        <v>0</v>
      </c>
      <c r="AI41" s="36">
        <v>0</v>
      </c>
      <c r="AJ41" s="36">
        <v>0</v>
      </c>
      <c r="AK41" s="36">
        <v>0</v>
      </c>
      <c r="AL41" s="36">
        <v>0</v>
      </c>
      <c r="AM41" s="36">
        <v>0</v>
      </c>
      <c r="AN41" s="36">
        <v>0</v>
      </c>
      <c r="AO41" s="36">
        <v>0</v>
      </c>
      <c r="AP41" s="36">
        <v>0</v>
      </c>
      <c r="AQ41" s="36">
        <v>0</v>
      </c>
      <c r="AS41" s="36">
        <v>0</v>
      </c>
      <c r="AT41" s="36">
        <v>0</v>
      </c>
      <c r="AU41" s="36">
        <v>0</v>
      </c>
      <c r="AV41" s="36">
        <v>0</v>
      </c>
      <c r="AW41" s="36">
        <v>0</v>
      </c>
      <c r="AX41" s="36">
        <v>0</v>
      </c>
      <c r="AY41" s="36">
        <v>0</v>
      </c>
      <c r="AZ41" s="36">
        <v>0</v>
      </c>
      <c r="BA41" s="36">
        <v>0</v>
      </c>
      <c r="BB41" s="36">
        <v>0</v>
      </c>
      <c r="BC41" s="36">
        <v>0</v>
      </c>
      <c r="BD41" s="36">
        <v>0</v>
      </c>
      <c r="BF41" s="36">
        <v>0</v>
      </c>
      <c r="BG41" s="36">
        <v>0</v>
      </c>
      <c r="BH41" s="36">
        <v>0</v>
      </c>
      <c r="BI41" s="36">
        <v>0</v>
      </c>
      <c r="BJ41" s="36">
        <v>0</v>
      </c>
      <c r="BK41" s="36">
        <v>0</v>
      </c>
      <c r="BL41" s="36">
        <v>0</v>
      </c>
      <c r="BM41" s="36">
        <v>0</v>
      </c>
      <c r="BN41" s="36">
        <v>0</v>
      </c>
      <c r="BO41" s="36">
        <v>0</v>
      </c>
      <c r="BP41" s="36">
        <v>0</v>
      </c>
      <c r="BQ41" s="36">
        <v>0</v>
      </c>
    </row>
    <row r="42" spans="1:70" ht="15">
      <c r="A42" s="48" t="s">
        <v>102</v>
      </c>
      <c r="F42" s="36"/>
      <c r="G42" s="36"/>
      <c r="H42" s="36"/>
      <c r="I42" s="36"/>
      <c r="J42" s="36"/>
      <c r="K42" s="36"/>
      <c r="L42" s="36"/>
      <c r="M42" s="36"/>
      <c r="N42" s="36"/>
      <c r="O42" s="36"/>
      <c r="P42" s="36"/>
      <c r="Q42" s="36"/>
      <c r="S42" s="36"/>
      <c r="T42" s="36"/>
      <c r="U42" s="36"/>
      <c r="V42" s="36"/>
      <c r="W42" s="36"/>
      <c r="X42" s="36"/>
      <c r="Y42" s="36"/>
      <c r="Z42" s="36"/>
      <c r="AA42" s="36"/>
      <c r="AB42" s="36"/>
      <c r="AC42" s="36"/>
      <c r="AD42" s="36"/>
      <c r="AF42" s="36"/>
      <c r="AG42" s="36"/>
      <c r="AH42" s="36"/>
      <c r="AI42" s="36"/>
      <c r="AJ42" s="36"/>
      <c r="AK42" s="36"/>
      <c r="AL42" s="36"/>
      <c r="AM42" s="36"/>
      <c r="AN42" s="36"/>
      <c r="AO42" s="36"/>
      <c r="AP42" s="36"/>
      <c r="AQ42" s="36"/>
      <c r="AS42" s="36"/>
      <c r="AT42" s="36"/>
      <c r="AU42" s="36"/>
      <c r="AV42" s="36"/>
      <c r="AW42" s="36"/>
      <c r="AX42" s="36"/>
      <c r="AY42" s="36"/>
      <c r="AZ42" s="36"/>
      <c r="BA42" s="36"/>
      <c r="BB42" s="36"/>
      <c r="BC42" s="36"/>
      <c r="BD42" s="36"/>
      <c r="BF42" s="36"/>
      <c r="BG42" s="36"/>
      <c r="BH42" s="36"/>
      <c r="BI42" s="36"/>
      <c r="BJ42" s="36"/>
      <c r="BK42" s="36"/>
      <c r="BL42" s="36"/>
      <c r="BM42" s="36"/>
      <c r="BN42" s="36"/>
      <c r="BO42" s="36"/>
      <c r="BP42" s="36"/>
      <c r="BQ42" s="36"/>
    </row>
    <row r="43" spans="1:70">
      <c r="A43" s="63" t="s">
        <v>103</v>
      </c>
      <c r="F43" s="36">
        <v>0</v>
      </c>
      <c r="G43" s="36">
        <v>0</v>
      </c>
      <c r="H43" s="36">
        <v>0</v>
      </c>
      <c r="I43" s="36">
        <v>0</v>
      </c>
      <c r="J43" s="36">
        <v>0</v>
      </c>
      <c r="K43" s="36">
        <v>0</v>
      </c>
      <c r="L43" s="36">
        <v>0</v>
      </c>
      <c r="M43" s="36">
        <v>0</v>
      </c>
      <c r="N43" s="36">
        <v>0</v>
      </c>
      <c r="O43" s="36">
        <v>0</v>
      </c>
      <c r="P43" s="36">
        <v>0</v>
      </c>
      <c r="Q43" s="36">
        <v>0</v>
      </c>
      <c r="S43" s="36">
        <v>0</v>
      </c>
      <c r="T43" s="36">
        <v>0</v>
      </c>
      <c r="U43" s="36">
        <v>0</v>
      </c>
      <c r="V43" s="36">
        <v>0</v>
      </c>
      <c r="W43" s="36">
        <v>0</v>
      </c>
      <c r="X43" s="36">
        <v>0</v>
      </c>
      <c r="Y43" s="36">
        <v>0</v>
      </c>
      <c r="Z43" s="36">
        <v>0</v>
      </c>
      <c r="AA43" s="36">
        <v>0</v>
      </c>
      <c r="AB43" s="36">
        <v>0</v>
      </c>
      <c r="AC43" s="36">
        <v>0</v>
      </c>
      <c r="AD43" s="36">
        <v>0</v>
      </c>
      <c r="AF43" s="36">
        <v>0</v>
      </c>
      <c r="AG43" s="36">
        <v>0</v>
      </c>
      <c r="AH43" s="36">
        <v>0</v>
      </c>
      <c r="AI43" s="36">
        <v>0</v>
      </c>
      <c r="AJ43" s="36">
        <v>0</v>
      </c>
      <c r="AK43" s="36">
        <v>0</v>
      </c>
      <c r="AL43" s="36">
        <v>0</v>
      </c>
      <c r="AM43" s="36">
        <v>0</v>
      </c>
      <c r="AN43" s="36">
        <v>0</v>
      </c>
      <c r="AO43" s="36">
        <v>0</v>
      </c>
      <c r="AP43" s="36">
        <v>0</v>
      </c>
      <c r="AQ43" s="36">
        <v>0</v>
      </c>
      <c r="AS43" s="36">
        <v>0</v>
      </c>
      <c r="AT43" s="36">
        <v>0</v>
      </c>
      <c r="AU43" s="36">
        <v>0</v>
      </c>
      <c r="AV43" s="36">
        <v>0</v>
      </c>
      <c r="AW43" s="36">
        <v>0</v>
      </c>
      <c r="AX43" s="36">
        <v>0</v>
      </c>
      <c r="AY43" s="36">
        <v>0</v>
      </c>
      <c r="AZ43" s="36">
        <v>0</v>
      </c>
      <c r="BA43" s="36">
        <v>0</v>
      </c>
      <c r="BB43" s="36">
        <v>0</v>
      </c>
      <c r="BC43" s="36">
        <v>0</v>
      </c>
      <c r="BD43" s="36">
        <v>0</v>
      </c>
      <c r="BF43" s="36">
        <v>0</v>
      </c>
      <c r="BG43" s="36">
        <v>0</v>
      </c>
      <c r="BH43" s="36">
        <v>0</v>
      </c>
      <c r="BI43" s="36">
        <v>0</v>
      </c>
      <c r="BJ43" s="36">
        <v>0</v>
      </c>
      <c r="BK43" s="36">
        <v>0</v>
      </c>
      <c r="BL43" s="36">
        <v>0</v>
      </c>
      <c r="BM43" s="36">
        <v>0</v>
      </c>
      <c r="BN43" s="36">
        <v>0</v>
      </c>
      <c r="BO43" s="36">
        <v>0</v>
      </c>
      <c r="BP43" s="36">
        <v>0</v>
      </c>
      <c r="BQ43" s="36">
        <v>0</v>
      </c>
    </row>
    <row r="44" spans="1:70">
      <c r="A44" s="63" t="s">
        <v>104</v>
      </c>
      <c r="F44" s="36">
        <v>0</v>
      </c>
      <c r="G44" s="36">
        <v>0</v>
      </c>
      <c r="H44" s="36">
        <v>0</v>
      </c>
      <c r="I44" s="36">
        <v>0</v>
      </c>
      <c r="J44" s="36">
        <v>0</v>
      </c>
      <c r="K44" s="36">
        <v>0</v>
      </c>
      <c r="L44" s="36">
        <v>0</v>
      </c>
      <c r="M44" s="36">
        <v>0</v>
      </c>
      <c r="N44" s="36">
        <v>0</v>
      </c>
      <c r="O44" s="36">
        <v>0</v>
      </c>
      <c r="P44" s="36">
        <v>0</v>
      </c>
      <c r="Q44" s="36">
        <v>0</v>
      </c>
      <c r="S44" s="36">
        <v>0</v>
      </c>
      <c r="T44" s="36">
        <v>0</v>
      </c>
      <c r="U44" s="36">
        <v>0</v>
      </c>
      <c r="V44" s="36">
        <v>0</v>
      </c>
      <c r="W44" s="36">
        <v>0</v>
      </c>
      <c r="X44" s="36">
        <v>0</v>
      </c>
      <c r="Y44" s="36">
        <v>0</v>
      </c>
      <c r="Z44" s="36">
        <v>0</v>
      </c>
      <c r="AA44" s="36">
        <v>0</v>
      </c>
      <c r="AB44" s="36">
        <v>0</v>
      </c>
      <c r="AC44" s="36">
        <v>0</v>
      </c>
      <c r="AD44" s="36">
        <v>0</v>
      </c>
      <c r="AF44" s="36">
        <v>0</v>
      </c>
      <c r="AG44" s="36">
        <v>0</v>
      </c>
      <c r="AH44" s="36">
        <v>0</v>
      </c>
      <c r="AI44" s="36">
        <v>0</v>
      </c>
      <c r="AJ44" s="36">
        <v>0</v>
      </c>
      <c r="AK44" s="36">
        <v>0</v>
      </c>
      <c r="AL44" s="36">
        <v>0</v>
      </c>
      <c r="AM44" s="36">
        <v>0</v>
      </c>
      <c r="AN44" s="36">
        <v>0</v>
      </c>
      <c r="AO44" s="36">
        <v>0</v>
      </c>
      <c r="AP44" s="36">
        <v>0</v>
      </c>
      <c r="AQ44" s="36">
        <v>0</v>
      </c>
      <c r="AS44" s="36">
        <v>0</v>
      </c>
      <c r="AT44" s="36">
        <v>0</v>
      </c>
      <c r="AU44" s="36">
        <v>0</v>
      </c>
      <c r="AV44" s="36">
        <v>0</v>
      </c>
      <c r="AW44" s="36">
        <v>0</v>
      </c>
      <c r="AX44" s="36">
        <v>0</v>
      </c>
      <c r="AY44" s="36">
        <v>0</v>
      </c>
      <c r="AZ44" s="36">
        <v>0</v>
      </c>
      <c r="BA44" s="36">
        <v>0</v>
      </c>
      <c r="BB44" s="36">
        <v>0</v>
      </c>
      <c r="BC44" s="36">
        <v>0</v>
      </c>
      <c r="BD44" s="36">
        <v>0</v>
      </c>
      <c r="BF44" s="36">
        <v>0</v>
      </c>
      <c r="BG44" s="36">
        <v>0</v>
      </c>
      <c r="BH44" s="36">
        <v>0</v>
      </c>
      <c r="BI44" s="36">
        <v>0</v>
      </c>
      <c r="BJ44" s="36">
        <v>0</v>
      </c>
      <c r="BK44" s="36">
        <v>0</v>
      </c>
      <c r="BL44" s="36">
        <v>0</v>
      </c>
      <c r="BM44" s="36">
        <v>0</v>
      </c>
      <c r="BN44" s="36">
        <v>0</v>
      </c>
      <c r="BO44" s="36">
        <v>0</v>
      </c>
      <c r="BP44" s="36">
        <v>0</v>
      </c>
      <c r="BQ44" s="36">
        <v>0</v>
      </c>
    </row>
    <row r="45" spans="1:70" ht="15">
      <c r="A45" s="66" t="s">
        <v>105</v>
      </c>
      <c r="B45" s="66"/>
      <c r="C45" s="66"/>
      <c r="F45" s="67">
        <f>SUM(F43:F44)</f>
        <v>0</v>
      </c>
      <c r="G45" s="67">
        <f t="shared" ref="G45:Q45" si="10">SUM(G43:G44)</f>
        <v>0</v>
      </c>
      <c r="H45" s="67">
        <f t="shared" si="10"/>
        <v>0</v>
      </c>
      <c r="I45" s="67">
        <f t="shared" si="10"/>
        <v>0</v>
      </c>
      <c r="J45" s="67">
        <f t="shared" si="10"/>
        <v>0</v>
      </c>
      <c r="K45" s="67">
        <f t="shared" si="10"/>
        <v>0</v>
      </c>
      <c r="L45" s="67">
        <f t="shared" si="10"/>
        <v>0</v>
      </c>
      <c r="M45" s="67">
        <f t="shared" si="10"/>
        <v>0</v>
      </c>
      <c r="N45" s="67">
        <f t="shared" si="10"/>
        <v>0</v>
      </c>
      <c r="O45" s="67">
        <f t="shared" si="10"/>
        <v>0</v>
      </c>
      <c r="P45" s="67">
        <f t="shared" si="10"/>
        <v>0</v>
      </c>
      <c r="Q45" s="67">
        <f t="shared" si="10"/>
        <v>0</v>
      </c>
      <c r="S45" s="67">
        <f>SUM(S43:S44)</f>
        <v>0</v>
      </c>
      <c r="T45" s="67">
        <f t="shared" ref="T45:AD45" si="11">SUM(T43:T44)</f>
        <v>0</v>
      </c>
      <c r="U45" s="67">
        <f t="shared" si="11"/>
        <v>0</v>
      </c>
      <c r="V45" s="67">
        <f t="shared" si="11"/>
        <v>0</v>
      </c>
      <c r="W45" s="67">
        <f t="shared" si="11"/>
        <v>0</v>
      </c>
      <c r="X45" s="67">
        <f t="shared" si="11"/>
        <v>0</v>
      </c>
      <c r="Y45" s="67">
        <f t="shared" si="11"/>
        <v>0</v>
      </c>
      <c r="Z45" s="67">
        <f t="shared" si="11"/>
        <v>0</v>
      </c>
      <c r="AA45" s="67">
        <f t="shared" si="11"/>
        <v>0</v>
      </c>
      <c r="AB45" s="67">
        <f t="shared" si="11"/>
        <v>0</v>
      </c>
      <c r="AC45" s="67">
        <f t="shared" si="11"/>
        <v>0</v>
      </c>
      <c r="AD45" s="67">
        <f t="shared" si="11"/>
        <v>0</v>
      </c>
      <c r="AF45" s="67">
        <f>SUM(AF43:AF44)</f>
        <v>0</v>
      </c>
      <c r="AG45" s="67">
        <f t="shared" ref="AG45:AQ45" si="12">SUM(AG43:AG44)</f>
        <v>0</v>
      </c>
      <c r="AH45" s="67">
        <f t="shared" si="12"/>
        <v>0</v>
      </c>
      <c r="AI45" s="67">
        <f t="shared" si="12"/>
        <v>0</v>
      </c>
      <c r="AJ45" s="67">
        <f t="shared" si="12"/>
        <v>0</v>
      </c>
      <c r="AK45" s="67">
        <f t="shared" si="12"/>
        <v>0</v>
      </c>
      <c r="AL45" s="67">
        <f t="shared" si="12"/>
        <v>0</v>
      </c>
      <c r="AM45" s="67">
        <f t="shared" si="12"/>
        <v>0</v>
      </c>
      <c r="AN45" s="67">
        <f t="shared" si="12"/>
        <v>0</v>
      </c>
      <c r="AO45" s="67">
        <f t="shared" si="12"/>
        <v>0</v>
      </c>
      <c r="AP45" s="67">
        <f t="shared" si="12"/>
        <v>0</v>
      </c>
      <c r="AQ45" s="67">
        <f t="shared" si="12"/>
        <v>0</v>
      </c>
      <c r="AS45" s="67">
        <f>SUM(AS43:AS44)</f>
        <v>0</v>
      </c>
      <c r="AT45" s="67">
        <f t="shared" ref="AT45:BD45" si="13">SUM(AT43:AT44)</f>
        <v>0</v>
      </c>
      <c r="AU45" s="67">
        <f t="shared" si="13"/>
        <v>0</v>
      </c>
      <c r="AV45" s="67">
        <f t="shared" si="13"/>
        <v>0</v>
      </c>
      <c r="AW45" s="67">
        <f t="shared" si="13"/>
        <v>0</v>
      </c>
      <c r="AX45" s="67">
        <f t="shared" si="13"/>
        <v>0</v>
      </c>
      <c r="AY45" s="67">
        <f t="shared" si="13"/>
        <v>0</v>
      </c>
      <c r="AZ45" s="67">
        <f t="shared" si="13"/>
        <v>0</v>
      </c>
      <c r="BA45" s="67">
        <f t="shared" si="13"/>
        <v>0</v>
      </c>
      <c r="BB45" s="67">
        <f t="shared" si="13"/>
        <v>0</v>
      </c>
      <c r="BC45" s="67">
        <f t="shared" si="13"/>
        <v>0</v>
      </c>
      <c r="BD45" s="67">
        <f t="shared" si="13"/>
        <v>0</v>
      </c>
      <c r="BF45" s="67">
        <f>SUM(BF43:BF44)</f>
        <v>0</v>
      </c>
      <c r="BG45" s="67">
        <f t="shared" ref="BG45:BQ45" si="14">SUM(BG43:BG44)</f>
        <v>0</v>
      </c>
      <c r="BH45" s="67">
        <f t="shared" si="14"/>
        <v>0</v>
      </c>
      <c r="BI45" s="67">
        <f t="shared" si="14"/>
        <v>0</v>
      </c>
      <c r="BJ45" s="67">
        <f t="shared" si="14"/>
        <v>0</v>
      </c>
      <c r="BK45" s="67">
        <f t="shared" si="14"/>
        <v>0</v>
      </c>
      <c r="BL45" s="67">
        <f t="shared" si="14"/>
        <v>0</v>
      </c>
      <c r="BM45" s="67">
        <f t="shared" si="14"/>
        <v>0</v>
      </c>
      <c r="BN45" s="67">
        <f t="shared" si="14"/>
        <v>0</v>
      </c>
      <c r="BO45" s="67">
        <f t="shared" si="14"/>
        <v>0</v>
      </c>
      <c r="BP45" s="67">
        <f t="shared" si="14"/>
        <v>0</v>
      </c>
      <c r="BQ45" s="67">
        <f t="shared" si="14"/>
        <v>0</v>
      </c>
    </row>
    <row r="46" spans="1:70" ht="17.25">
      <c r="A46" s="68"/>
    </row>
    <row r="47" spans="1:70" ht="15">
      <c r="A47" s="48" t="s">
        <v>106</v>
      </c>
    </row>
    <row r="48" spans="1:70">
      <c r="A48" s="63" t="s">
        <v>409</v>
      </c>
    </row>
    <row r="49" spans="1:69">
      <c r="A49" s="69" t="s">
        <v>61</v>
      </c>
      <c r="F49" s="36">
        <v>0</v>
      </c>
      <c r="G49" s="36">
        <v>0</v>
      </c>
      <c r="H49" s="36">
        <v>0</v>
      </c>
      <c r="I49" s="36">
        <v>0</v>
      </c>
      <c r="J49" s="36">
        <v>0</v>
      </c>
      <c r="K49" s="36">
        <v>0</v>
      </c>
      <c r="L49" s="36">
        <v>0</v>
      </c>
      <c r="M49" s="36">
        <v>0</v>
      </c>
      <c r="N49" s="36">
        <v>0</v>
      </c>
      <c r="O49" s="36">
        <v>0</v>
      </c>
      <c r="P49" s="36">
        <v>0</v>
      </c>
      <c r="Q49" s="36">
        <v>0</v>
      </c>
      <c r="S49" s="36">
        <v>0</v>
      </c>
      <c r="T49" s="36">
        <v>0</v>
      </c>
      <c r="U49" s="36">
        <v>0</v>
      </c>
      <c r="V49" s="36">
        <v>0</v>
      </c>
      <c r="W49" s="36">
        <v>0</v>
      </c>
      <c r="X49" s="36">
        <v>0</v>
      </c>
      <c r="Y49" s="36">
        <v>0</v>
      </c>
      <c r="Z49" s="36">
        <v>0</v>
      </c>
      <c r="AA49" s="36">
        <v>0</v>
      </c>
      <c r="AB49" s="36">
        <v>0</v>
      </c>
      <c r="AC49" s="36">
        <v>0</v>
      </c>
      <c r="AD49" s="36">
        <v>0</v>
      </c>
      <c r="AF49" s="36">
        <v>0</v>
      </c>
      <c r="AG49" s="36">
        <v>0</v>
      </c>
      <c r="AH49" s="36">
        <v>0</v>
      </c>
      <c r="AI49" s="36">
        <v>0</v>
      </c>
      <c r="AJ49" s="36">
        <v>0</v>
      </c>
      <c r="AK49" s="36">
        <v>0</v>
      </c>
      <c r="AL49" s="36">
        <v>0</v>
      </c>
      <c r="AM49" s="36">
        <v>0</v>
      </c>
      <c r="AN49" s="36">
        <v>0</v>
      </c>
      <c r="AO49" s="36">
        <v>0</v>
      </c>
      <c r="AP49" s="36">
        <v>0</v>
      </c>
      <c r="AQ49" s="36">
        <v>0</v>
      </c>
      <c r="AS49" s="36">
        <v>0</v>
      </c>
      <c r="AT49" s="36">
        <v>0</v>
      </c>
      <c r="AU49" s="36">
        <v>0</v>
      </c>
      <c r="AV49" s="36">
        <v>0</v>
      </c>
      <c r="AW49" s="36">
        <v>0</v>
      </c>
      <c r="AX49" s="36">
        <v>0</v>
      </c>
      <c r="AY49" s="36">
        <v>0</v>
      </c>
      <c r="AZ49" s="36">
        <v>0</v>
      </c>
      <c r="BA49" s="36">
        <v>0</v>
      </c>
      <c r="BB49" s="36">
        <v>0</v>
      </c>
      <c r="BC49" s="36">
        <v>0</v>
      </c>
      <c r="BD49" s="36">
        <v>0</v>
      </c>
      <c r="BF49" s="36">
        <v>0</v>
      </c>
      <c r="BG49" s="36">
        <v>0</v>
      </c>
      <c r="BH49" s="36">
        <v>0</v>
      </c>
      <c r="BI49" s="36">
        <v>0</v>
      </c>
      <c r="BJ49" s="36">
        <v>0</v>
      </c>
      <c r="BK49" s="36">
        <v>0</v>
      </c>
      <c r="BL49" s="36">
        <v>0</v>
      </c>
      <c r="BM49" s="36">
        <v>0</v>
      </c>
      <c r="BN49" s="36">
        <v>0</v>
      </c>
      <c r="BO49" s="36">
        <v>0</v>
      </c>
      <c r="BP49" s="36">
        <v>0</v>
      </c>
      <c r="BQ49" s="36">
        <v>0</v>
      </c>
    </row>
    <row r="50" spans="1:69">
      <c r="A50" s="69" t="s">
        <v>323</v>
      </c>
      <c r="F50" s="36">
        <v>0</v>
      </c>
      <c r="G50" s="36">
        <v>0</v>
      </c>
      <c r="H50" s="36">
        <v>0</v>
      </c>
      <c r="I50" s="36">
        <v>0</v>
      </c>
      <c r="J50" s="36">
        <v>0</v>
      </c>
      <c r="K50" s="36">
        <v>0</v>
      </c>
      <c r="L50" s="36">
        <v>0</v>
      </c>
      <c r="M50" s="36">
        <v>0</v>
      </c>
      <c r="N50" s="36">
        <v>0</v>
      </c>
      <c r="O50" s="36">
        <v>0</v>
      </c>
      <c r="P50" s="36">
        <v>0</v>
      </c>
      <c r="Q50" s="36">
        <v>0</v>
      </c>
      <c r="S50" s="36">
        <v>0</v>
      </c>
      <c r="T50" s="36">
        <v>0</v>
      </c>
      <c r="U50" s="36">
        <v>0</v>
      </c>
      <c r="V50" s="36">
        <v>0</v>
      </c>
      <c r="W50" s="36">
        <v>0</v>
      </c>
      <c r="X50" s="36">
        <v>0</v>
      </c>
      <c r="Y50" s="36">
        <v>0</v>
      </c>
      <c r="Z50" s="36">
        <v>0</v>
      </c>
      <c r="AA50" s="36">
        <v>0</v>
      </c>
      <c r="AB50" s="36">
        <v>0</v>
      </c>
      <c r="AC50" s="36">
        <v>0</v>
      </c>
      <c r="AD50" s="36">
        <v>0</v>
      </c>
      <c r="AF50" s="36">
        <v>0</v>
      </c>
      <c r="AG50" s="36">
        <v>0</v>
      </c>
      <c r="AH50" s="36">
        <v>0</v>
      </c>
      <c r="AI50" s="36">
        <v>0</v>
      </c>
      <c r="AJ50" s="36">
        <v>0</v>
      </c>
      <c r="AK50" s="36">
        <v>0</v>
      </c>
      <c r="AL50" s="36">
        <v>0</v>
      </c>
      <c r="AM50" s="36">
        <v>0</v>
      </c>
      <c r="AN50" s="36">
        <v>0</v>
      </c>
      <c r="AO50" s="36">
        <v>0</v>
      </c>
      <c r="AP50" s="36">
        <v>0</v>
      </c>
      <c r="AQ50" s="36">
        <v>0</v>
      </c>
      <c r="AS50" s="36">
        <v>0</v>
      </c>
      <c r="AT50" s="36">
        <v>0</v>
      </c>
      <c r="AU50" s="36">
        <v>0</v>
      </c>
      <c r="AV50" s="36">
        <v>0</v>
      </c>
      <c r="AW50" s="36">
        <v>0</v>
      </c>
      <c r="AX50" s="36">
        <v>0</v>
      </c>
      <c r="AY50" s="36">
        <v>0</v>
      </c>
      <c r="AZ50" s="36">
        <v>0</v>
      </c>
      <c r="BA50" s="36">
        <v>0</v>
      </c>
      <c r="BB50" s="36">
        <v>0</v>
      </c>
      <c r="BC50" s="36">
        <v>0</v>
      </c>
      <c r="BD50" s="36">
        <v>0</v>
      </c>
      <c r="BF50" s="36">
        <v>0</v>
      </c>
      <c r="BG50" s="36">
        <v>0</v>
      </c>
      <c r="BH50" s="36">
        <v>0</v>
      </c>
      <c r="BI50" s="36">
        <v>0</v>
      </c>
      <c r="BJ50" s="36">
        <v>0</v>
      </c>
      <c r="BK50" s="36">
        <v>0</v>
      </c>
      <c r="BL50" s="36">
        <v>0</v>
      </c>
      <c r="BM50" s="36">
        <v>0</v>
      </c>
      <c r="BN50" s="36">
        <v>0</v>
      </c>
      <c r="BO50" s="36">
        <v>0</v>
      </c>
      <c r="BP50" s="36">
        <v>0</v>
      </c>
      <c r="BQ50" s="36">
        <v>0</v>
      </c>
    </row>
    <row r="51" spans="1:69">
      <c r="A51" s="69" t="s">
        <v>66</v>
      </c>
      <c r="F51" s="36">
        <v>0</v>
      </c>
      <c r="G51" s="36">
        <v>0</v>
      </c>
      <c r="H51" s="36">
        <v>0</v>
      </c>
      <c r="I51" s="36">
        <v>0</v>
      </c>
      <c r="J51" s="36">
        <v>0</v>
      </c>
      <c r="K51" s="36">
        <v>0</v>
      </c>
      <c r="L51" s="36">
        <v>0</v>
      </c>
      <c r="M51" s="36">
        <v>0</v>
      </c>
      <c r="N51" s="36">
        <v>0</v>
      </c>
      <c r="O51" s="36">
        <v>0</v>
      </c>
      <c r="P51" s="36">
        <v>0</v>
      </c>
      <c r="Q51" s="36">
        <v>0</v>
      </c>
      <c r="S51" s="36">
        <v>0</v>
      </c>
      <c r="T51" s="36">
        <v>0</v>
      </c>
      <c r="U51" s="36">
        <v>0</v>
      </c>
      <c r="V51" s="36">
        <v>0</v>
      </c>
      <c r="W51" s="36">
        <v>0</v>
      </c>
      <c r="X51" s="36">
        <v>0</v>
      </c>
      <c r="Y51" s="36">
        <v>0</v>
      </c>
      <c r="Z51" s="36">
        <v>0</v>
      </c>
      <c r="AA51" s="36">
        <v>0</v>
      </c>
      <c r="AB51" s="36">
        <v>0</v>
      </c>
      <c r="AC51" s="36">
        <v>0</v>
      </c>
      <c r="AD51" s="36">
        <v>0</v>
      </c>
      <c r="AF51" s="36">
        <v>0</v>
      </c>
      <c r="AG51" s="36">
        <v>0</v>
      </c>
      <c r="AH51" s="36">
        <v>0</v>
      </c>
      <c r="AI51" s="36">
        <v>0</v>
      </c>
      <c r="AJ51" s="36">
        <v>0</v>
      </c>
      <c r="AK51" s="36">
        <v>0</v>
      </c>
      <c r="AL51" s="36">
        <v>0</v>
      </c>
      <c r="AM51" s="36">
        <v>0</v>
      </c>
      <c r="AN51" s="36">
        <v>0</v>
      </c>
      <c r="AO51" s="36">
        <v>0</v>
      </c>
      <c r="AP51" s="36">
        <v>0</v>
      </c>
      <c r="AQ51" s="36">
        <v>0</v>
      </c>
      <c r="AS51" s="36">
        <v>0</v>
      </c>
      <c r="AT51" s="36">
        <v>0</v>
      </c>
      <c r="AU51" s="36">
        <v>0</v>
      </c>
      <c r="AV51" s="36">
        <v>0</v>
      </c>
      <c r="AW51" s="36">
        <v>0</v>
      </c>
      <c r="AX51" s="36">
        <v>0</v>
      </c>
      <c r="AY51" s="36">
        <v>0</v>
      </c>
      <c r="AZ51" s="36">
        <v>0</v>
      </c>
      <c r="BA51" s="36">
        <v>0</v>
      </c>
      <c r="BB51" s="36">
        <v>0</v>
      </c>
      <c r="BC51" s="36">
        <v>0</v>
      </c>
      <c r="BD51" s="36">
        <v>0</v>
      </c>
      <c r="BF51" s="36">
        <v>0</v>
      </c>
      <c r="BG51" s="36">
        <v>0</v>
      </c>
      <c r="BH51" s="36">
        <v>0</v>
      </c>
      <c r="BI51" s="36">
        <v>0</v>
      </c>
      <c r="BJ51" s="36">
        <v>0</v>
      </c>
      <c r="BK51" s="36">
        <v>0</v>
      </c>
      <c r="BL51" s="36">
        <v>0</v>
      </c>
      <c r="BM51" s="36">
        <v>0</v>
      </c>
      <c r="BN51" s="36">
        <v>0</v>
      </c>
      <c r="BO51" s="36">
        <v>0</v>
      </c>
      <c r="BP51" s="36">
        <v>0</v>
      </c>
      <c r="BQ51" s="36">
        <v>0</v>
      </c>
    </row>
    <row r="52" spans="1:69">
      <c r="A52" s="69" t="s">
        <v>67</v>
      </c>
      <c r="F52" s="36">
        <v>0</v>
      </c>
      <c r="G52" s="36">
        <v>0</v>
      </c>
      <c r="H52" s="36">
        <v>0</v>
      </c>
      <c r="I52" s="36">
        <v>0</v>
      </c>
      <c r="J52" s="36">
        <v>0</v>
      </c>
      <c r="K52" s="36">
        <v>0</v>
      </c>
      <c r="L52" s="36">
        <v>0</v>
      </c>
      <c r="M52" s="36">
        <v>0</v>
      </c>
      <c r="N52" s="36">
        <v>0</v>
      </c>
      <c r="O52" s="36">
        <v>0</v>
      </c>
      <c r="P52" s="36">
        <v>0</v>
      </c>
      <c r="Q52" s="36">
        <v>0</v>
      </c>
      <c r="S52" s="36">
        <v>0</v>
      </c>
      <c r="T52" s="36">
        <v>0</v>
      </c>
      <c r="U52" s="36">
        <v>0</v>
      </c>
      <c r="V52" s="36">
        <v>0</v>
      </c>
      <c r="W52" s="36">
        <v>0</v>
      </c>
      <c r="X52" s="36">
        <v>0</v>
      </c>
      <c r="Y52" s="36">
        <v>0</v>
      </c>
      <c r="Z52" s="36">
        <v>0</v>
      </c>
      <c r="AA52" s="36">
        <v>0</v>
      </c>
      <c r="AB52" s="36">
        <v>0</v>
      </c>
      <c r="AC52" s="36">
        <v>0</v>
      </c>
      <c r="AD52" s="36">
        <v>0</v>
      </c>
      <c r="AF52" s="36">
        <v>0</v>
      </c>
      <c r="AG52" s="36">
        <v>0</v>
      </c>
      <c r="AH52" s="36">
        <v>0</v>
      </c>
      <c r="AI52" s="36">
        <v>0</v>
      </c>
      <c r="AJ52" s="36">
        <v>0</v>
      </c>
      <c r="AK52" s="36">
        <v>0</v>
      </c>
      <c r="AL52" s="36">
        <v>0</v>
      </c>
      <c r="AM52" s="36">
        <v>0</v>
      </c>
      <c r="AN52" s="36">
        <v>0</v>
      </c>
      <c r="AO52" s="36">
        <v>0</v>
      </c>
      <c r="AP52" s="36">
        <v>0</v>
      </c>
      <c r="AQ52" s="36">
        <v>0</v>
      </c>
      <c r="AS52" s="36">
        <v>0</v>
      </c>
      <c r="AT52" s="36">
        <v>0</v>
      </c>
      <c r="AU52" s="36">
        <v>0</v>
      </c>
      <c r="AV52" s="36">
        <v>0</v>
      </c>
      <c r="AW52" s="36">
        <v>0</v>
      </c>
      <c r="AX52" s="36">
        <v>0</v>
      </c>
      <c r="AY52" s="36">
        <v>0</v>
      </c>
      <c r="AZ52" s="36">
        <v>0</v>
      </c>
      <c r="BA52" s="36">
        <v>0</v>
      </c>
      <c r="BB52" s="36">
        <v>0</v>
      </c>
      <c r="BC52" s="36">
        <v>0</v>
      </c>
      <c r="BD52" s="36">
        <v>0</v>
      </c>
      <c r="BF52" s="36">
        <v>0</v>
      </c>
      <c r="BG52" s="36">
        <v>0</v>
      </c>
      <c r="BH52" s="36">
        <v>0</v>
      </c>
      <c r="BI52" s="36">
        <v>0</v>
      </c>
      <c r="BJ52" s="36">
        <v>0</v>
      </c>
      <c r="BK52" s="36">
        <v>0</v>
      </c>
      <c r="BL52" s="36">
        <v>0</v>
      </c>
      <c r="BM52" s="36">
        <v>0</v>
      </c>
      <c r="BN52" s="36">
        <v>0</v>
      </c>
      <c r="BO52" s="36">
        <v>0</v>
      </c>
      <c r="BP52" s="36">
        <v>0</v>
      </c>
      <c r="BQ52" s="36">
        <v>0</v>
      </c>
    </row>
    <row r="53" spans="1:69">
      <c r="A53" s="69" t="s">
        <v>68</v>
      </c>
      <c r="F53" s="36">
        <v>0</v>
      </c>
      <c r="G53" s="36">
        <v>0</v>
      </c>
      <c r="H53" s="36">
        <v>0</v>
      </c>
      <c r="I53" s="36">
        <v>0</v>
      </c>
      <c r="J53" s="36">
        <v>0</v>
      </c>
      <c r="K53" s="36">
        <v>0</v>
      </c>
      <c r="L53" s="36">
        <v>0</v>
      </c>
      <c r="M53" s="36">
        <v>0</v>
      </c>
      <c r="N53" s="36">
        <v>0</v>
      </c>
      <c r="O53" s="36">
        <v>0</v>
      </c>
      <c r="P53" s="36">
        <v>0</v>
      </c>
      <c r="Q53" s="36">
        <v>0</v>
      </c>
      <c r="S53" s="36">
        <v>0</v>
      </c>
      <c r="T53" s="36">
        <v>0</v>
      </c>
      <c r="U53" s="36">
        <v>0</v>
      </c>
      <c r="V53" s="36">
        <v>0</v>
      </c>
      <c r="W53" s="36">
        <v>0</v>
      </c>
      <c r="X53" s="36">
        <v>0</v>
      </c>
      <c r="Y53" s="36">
        <v>0</v>
      </c>
      <c r="Z53" s="36">
        <v>0</v>
      </c>
      <c r="AA53" s="36">
        <v>0</v>
      </c>
      <c r="AB53" s="36">
        <v>0</v>
      </c>
      <c r="AC53" s="36">
        <v>0</v>
      </c>
      <c r="AD53" s="36">
        <v>0</v>
      </c>
      <c r="AF53" s="36">
        <v>0</v>
      </c>
      <c r="AG53" s="36">
        <v>0</v>
      </c>
      <c r="AH53" s="36">
        <v>0</v>
      </c>
      <c r="AI53" s="36">
        <v>0</v>
      </c>
      <c r="AJ53" s="36">
        <v>0</v>
      </c>
      <c r="AK53" s="36">
        <v>0</v>
      </c>
      <c r="AL53" s="36">
        <v>0</v>
      </c>
      <c r="AM53" s="36">
        <v>0</v>
      </c>
      <c r="AN53" s="36">
        <v>0</v>
      </c>
      <c r="AO53" s="36">
        <v>0</v>
      </c>
      <c r="AP53" s="36">
        <v>0</v>
      </c>
      <c r="AQ53" s="36">
        <v>0</v>
      </c>
      <c r="AS53" s="36">
        <v>0</v>
      </c>
      <c r="AT53" s="36">
        <v>0</v>
      </c>
      <c r="AU53" s="36">
        <v>0</v>
      </c>
      <c r="AV53" s="36">
        <v>0</v>
      </c>
      <c r="AW53" s="36">
        <v>0</v>
      </c>
      <c r="AX53" s="36">
        <v>0</v>
      </c>
      <c r="AY53" s="36">
        <v>0</v>
      </c>
      <c r="AZ53" s="36">
        <v>0</v>
      </c>
      <c r="BA53" s="36">
        <v>0</v>
      </c>
      <c r="BB53" s="36">
        <v>0</v>
      </c>
      <c r="BC53" s="36">
        <v>0</v>
      </c>
      <c r="BD53" s="36">
        <v>0</v>
      </c>
      <c r="BF53" s="36">
        <v>0</v>
      </c>
      <c r="BG53" s="36">
        <v>0</v>
      </c>
      <c r="BH53" s="36">
        <v>0</v>
      </c>
      <c r="BI53" s="36">
        <v>0</v>
      </c>
      <c r="BJ53" s="36">
        <v>0</v>
      </c>
      <c r="BK53" s="36">
        <v>0</v>
      </c>
      <c r="BL53" s="36">
        <v>0</v>
      </c>
      <c r="BM53" s="36">
        <v>0</v>
      </c>
      <c r="BN53" s="36">
        <v>0</v>
      </c>
      <c r="BO53" s="36">
        <v>0</v>
      </c>
      <c r="BP53" s="36">
        <v>0</v>
      </c>
      <c r="BQ53" s="36">
        <v>0</v>
      </c>
    </row>
    <row r="54" spans="1:69">
      <c r="A54" s="69" t="s">
        <v>327</v>
      </c>
      <c r="F54" s="36">
        <v>0</v>
      </c>
      <c r="G54" s="36">
        <v>0</v>
      </c>
      <c r="H54" s="36">
        <v>0</v>
      </c>
      <c r="I54" s="36">
        <v>0</v>
      </c>
      <c r="J54" s="36">
        <v>0</v>
      </c>
      <c r="K54" s="36">
        <v>0</v>
      </c>
      <c r="L54" s="36">
        <v>0</v>
      </c>
      <c r="M54" s="36">
        <v>0</v>
      </c>
      <c r="N54" s="36">
        <v>0</v>
      </c>
      <c r="O54" s="36">
        <v>0</v>
      </c>
      <c r="P54" s="36">
        <v>0</v>
      </c>
      <c r="Q54" s="36">
        <v>0</v>
      </c>
      <c r="S54" s="36">
        <v>0</v>
      </c>
      <c r="T54" s="36">
        <v>0</v>
      </c>
      <c r="U54" s="36">
        <v>0</v>
      </c>
      <c r="V54" s="36">
        <v>0</v>
      </c>
      <c r="W54" s="36">
        <v>0</v>
      </c>
      <c r="X54" s="36">
        <v>0</v>
      </c>
      <c r="Y54" s="36">
        <v>0</v>
      </c>
      <c r="Z54" s="36">
        <v>0</v>
      </c>
      <c r="AA54" s="36">
        <v>0</v>
      </c>
      <c r="AB54" s="36">
        <v>0</v>
      </c>
      <c r="AC54" s="36">
        <v>0</v>
      </c>
      <c r="AD54" s="36">
        <v>0</v>
      </c>
      <c r="AF54" s="36">
        <v>0</v>
      </c>
      <c r="AG54" s="36">
        <v>0</v>
      </c>
      <c r="AH54" s="36">
        <v>0</v>
      </c>
      <c r="AI54" s="36">
        <v>0</v>
      </c>
      <c r="AJ54" s="36">
        <v>0</v>
      </c>
      <c r="AK54" s="36">
        <v>0</v>
      </c>
      <c r="AL54" s="36">
        <v>0</v>
      </c>
      <c r="AM54" s="36">
        <v>0</v>
      </c>
      <c r="AN54" s="36">
        <v>0</v>
      </c>
      <c r="AO54" s="36">
        <v>0</v>
      </c>
      <c r="AP54" s="36">
        <v>0</v>
      </c>
      <c r="AQ54" s="36">
        <v>0</v>
      </c>
      <c r="AS54" s="36">
        <v>0</v>
      </c>
      <c r="AT54" s="36">
        <v>0</v>
      </c>
      <c r="AU54" s="36">
        <v>0</v>
      </c>
      <c r="AV54" s="36">
        <v>0</v>
      </c>
      <c r="AW54" s="36">
        <v>0</v>
      </c>
      <c r="AX54" s="36">
        <v>0</v>
      </c>
      <c r="AY54" s="36">
        <v>0</v>
      </c>
      <c r="AZ54" s="36">
        <v>0</v>
      </c>
      <c r="BA54" s="36">
        <v>0</v>
      </c>
      <c r="BB54" s="36">
        <v>0</v>
      </c>
      <c r="BC54" s="36">
        <v>0</v>
      </c>
      <c r="BD54" s="36">
        <v>0</v>
      </c>
      <c r="BF54" s="36">
        <v>0</v>
      </c>
      <c r="BG54" s="36">
        <v>0</v>
      </c>
      <c r="BH54" s="36">
        <v>0</v>
      </c>
      <c r="BI54" s="36">
        <v>0</v>
      </c>
      <c r="BJ54" s="36">
        <v>0</v>
      </c>
      <c r="BK54" s="36">
        <v>0</v>
      </c>
      <c r="BL54" s="36">
        <v>0</v>
      </c>
      <c r="BM54" s="36">
        <v>0</v>
      </c>
      <c r="BN54" s="36">
        <v>0</v>
      </c>
      <c r="BO54" s="36">
        <v>0</v>
      </c>
      <c r="BP54" s="36">
        <v>0</v>
      </c>
      <c r="BQ54" s="36">
        <v>0</v>
      </c>
    </row>
    <row r="55" spans="1:69">
      <c r="A55" s="69" t="s">
        <v>328</v>
      </c>
      <c r="F55" s="36">
        <v>0</v>
      </c>
      <c r="G55" s="36">
        <v>0</v>
      </c>
      <c r="H55" s="36">
        <v>0</v>
      </c>
      <c r="I55" s="36">
        <v>0</v>
      </c>
      <c r="J55" s="36">
        <v>0</v>
      </c>
      <c r="K55" s="36">
        <v>0</v>
      </c>
      <c r="L55" s="36">
        <v>0</v>
      </c>
      <c r="M55" s="36">
        <v>0</v>
      </c>
      <c r="N55" s="36">
        <v>0</v>
      </c>
      <c r="O55" s="36">
        <v>0</v>
      </c>
      <c r="P55" s="36">
        <v>0</v>
      </c>
      <c r="Q55" s="36">
        <v>0</v>
      </c>
      <c r="S55" s="36">
        <v>0</v>
      </c>
      <c r="T55" s="36">
        <v>0</v>
      </c>
      <c r="U55" s="36">
        <v>0</v>
      </c>
      <c r="V55" s="36">
        <v>0</v>
      </c>
      <c r="W55" s="36">
        <v>0</v>
      </c>
      <c r="X55" s="36">
        <v>0</v>
      </c>
      <c r="Y55" s="36">
        <v>0</v>
      </c>
      <c r="Z55" s="36">
        <v>0</v>
      </c>
      <c r="AA55" s="36">
        <v>0</v>
      </c>
      <c r="AB55" s="36">
        <v>0</v>
      </c>
      <c r="AC55" s="36">
        <v>0</v>
      </c>
      <c r="AD55" s="36">
        <v>0</v>
      </c>
      <c r="AF55" s="36">
        <v>0</v>
      </c>
      <c r="AG55" s="36">
        <v>0</v>
      </c>
      <c r="AH55" s="36">
        <v>0</v>
      </c>
      <c r="AI55" s="36">
        <v>0</v>
      </c>
      <c r="AJ55" s="36">
        <v>0</v>
      </c>
      <c r="AK55" s="36">
        <v>0</v>
      </c>
      <c r="AL55" s="36">
        <v>0</v>
      </c>
      <c r="AM55" s="36">
        <v>0</v>
      </c>
      <c r="AN55" s="36">
        <v>0</v>
      </c>
      <c r="AO55" s="36">
        <v>0</v>
      </c>
      <c r="AP55" s="36">
        <v>0</v>
      </c>
      <c r="AQ55" s="36">
        <v>0</v>
      </c>
      <c r="AS55" s="36">
        <v>0</v>
      </c>
      <c r="AT55" s="36">
        <v>0</v>
      </c>
      <c r="AU55" s="36">
        <v>0</v>
      </c>
      <c r="AV55" s="36">
        <v>0</v>
      </c>
      <c r="AW55" s="36">
        <v>0</v>
      </c>
      <c r="AX55" s="36">
        <v>0</v>
      </c>
      <c r="AY55" s="36">
        <v>0</v>
      </c>
      <c r="AZ55" s="36">
        <v>0</v>
      </c>
      <c r="BA55" s="36">
        <v>0</v>
      </c>
      <c r="BB55" s="36">
        <v>0</v>
      </c>
      <c r="BC55" s="36">
        <v>0</v>
      </c>
      <c r="BD55" s="36">
        <v>0</v>
      </c>
      <c r="BF55" s="36">
        <v>0</v>
      </c>
      <c r="BG55" s="36">
        <v>0</v>
      </c>
      <c r="BH55" s="36">
        <v>0</v>
      </c>
      <c r="BI55" s="36">
        <v>0</v>
      </c>
      <c r="BJ55" s="36">
        <v>0</v>
      </c>
      <c r="BK55" s="36">
        <v>0</v>
      </c>
      <c r="BL55" s="36">
        <v>0</v>
      </c>
      <c r="BM55" s="36">
        <v>0</v>
      </c>
      <c r="BN55" s="36">
        <v>0</v>
      </c>
      <c r="BO55" s="36">
        <v>0</v>
      </c>
      <c r="BP55" s="36">
        <v>0</v>
      </c>
      <c r="BQ55" s="36">
        <v>0</v>
      </c>
    </row>
    <row r="56" spans="1:69">
      <c r="A56" s="69" t="s">
        <v>71</v>
      </c>
      <c r="F56" s="36">
        <v>0</v>
      </c>
      <c r="G56" s="36">
        <v>0</v>
      </c>
      <c r="H56" s="36">
        <v>0</v>
      </c>
      <c r="I56" s="36">
        <v>0</v>
      </c>
      <c r="J56" s="36">
        <v>0</v>
      </c>
      <c r="K56" s="36">
        <v>0</v>
      </c>
      <c r="L56" s="36">
        <v>0</v>
      </c>
      <c r="M56" s="36">
        <v>0</v>
      </c>
      <c r="N56" s="36">
        <v>0</v>
      </c>
      <c r="O56" s="36">
        <v>0</v>
      </c>
      <c r="P56" s="36">
        <v>0</v>
      </c>
      <c r="Q56" s="36">
        <v>0</v>
      </c>
      <c r="S56" s="36">
        <v>0</v>
      </c>
      <c r="T56" s="36">
        <v>0</v>
      </c>
      <c r="U56" s="36">
        <v>0</v>
      </c>
      <c r="V56" s="36">
        <v>0</v>
      </c>
      <c r="W56" s="36">
        <v>0</v>
      </c>
      <c r="X56" s="36">
        <v>0</v>
      </c>
      <c r="Y56" s="36">
        <v>0</v>
      </c>
      <c r="Z56" s="36">
        <v>0</v>
      </c>
      <c r="AA56" s="36">
        <v>0</v>
      </c>
      <c r="AB56" s="36">
        <v>0</v>
      </c>
      <c r="AC56" s="36">
        <v>0</v>
      </c>
      <c r="AD56" s="36">
        <v>0</v>
      </c>
      <c r="AF56" s="36">
        <v>0</v>
      </c>
      <c r="AG56" s="36">
        <v>0</v>
      </c>
      <c r="AH56" s="36">
        <v>0</v>
      </c>
      <c r="AI56" s="36">
        <v>0</v>
      </c>
      <c r="AJ56" s="36">
        <v>0</v>
      </c>
      <c r="AK56" s="36">
        <v>0</v>
      </c>
      <c r="AL56" s="36">
        <v>0</v>
      </c>
      <c r="AM56" s="36">
        <v>0</v>
      </c>
      <c r="AN56" s="36">
        <v>0</v>
      </c>
      <c r="AO56" s="36">
        <v>0</v>
      </c>
      <c r="AP56" s="36">
        <v>0</v>
      </c>
      <c r="AQ56" s="36">
        <v>0</v>
      </c>
      <c r="AS56" s="36">
        <v>0</v>
      </c>
      <c r="AT56" s="36">
        <v>0</v>
      </c>
      <c r="AU56" s="36">
        <v>0</v>
      </c>
      <c r="AV56" s="36">
        <v>0</v>
      </c>
      <c r="AW56" s="36">
        <v>0</v>
      </c>
      <c r="AX56" s="36">
        <v>0</v>
      </c>
      <c r="AY56" s="36">
        <v>0</v>
      </c>
      <c r="AZ56" s="36">
        <v>0</v>
      </c>
      <c r="BA56" s="36">
        <v>0</v>
      </c>
      <c r="BB56" s="36">
        <v>0</v>
      </c>
      <c r="BC56" s="36">
        <v>0</v>
      </c>
      <c r="BD56" s="36">
        <v>0</v>
      </c>
      <c r="BF56" s="36">
        <v>0</v>
      </c>
      <c r="BG56" s="36">
        <v>0</v>
      </c>
      <c r="BH56" s="36">
        <v>0</v>
      </c>
      <c r="BI56" s="36">
        <v>0</v>
      </c>
      <c r="BJ56" s="36">
        <v>0</v>
      </c>
      <c r="BK56" s="36">
        <v>0</v>
      </c>
      <c r="BL56" s="36">
        <v>0</v>
      </c>
      <c r="BM56" s="36">
        <v>0</v>
      </c>
      <c r="BN56" s="36">
        <v>0</v>
      </c>
      <c r="BO56" s="36">
        <v>0</v>
      </c>
      <c r="BP56" s="36">
        <v>0</v>
      </c>
      <c r="BQ56" s="36">
        <v>0</v>
      </c>
    </row>
    <row r="57" spans="1:69">
      <c r="A57" s="69" t="s">
        <v>329</v>
      </c>
      <c r="F57" s="36">
        <v>0</v>
      </c>
      <c r="G57" s="36">
        <v>0</v>
      </c>
      <c r="H57" s="36">
        <v>0</v>
      </c>
      <c r="I57" s="36">
        <v>0</v>
      </c>
      <c r="J57" s="36">
        <v>0</v>
      </c>
      <c r="K57" s="36">
        <v>0</v>
      </c>
      <c r="L57" s="36">
        <v>0</v>
      </c>
      <c r="M57" s="36">
        <v>0</v>
      </c>
      <c r="N57" s="36">
        <v>0</v>
      </c>
      <c r="O57" s="36">
        <v>0</v>
      </c>
      <c r="P57" s="36">
        <v>0</v>
      </c>
      <c r="Q57" s="36">
        <v>0</v>
      </c>
      <c r="S57" s="36">
        <v>0</v>
      </c>
      <c r="T57" s="36">
        <v>0</v>
      </c>
      <c r="U57" s="36">
        <v>0</v>
      </c>
      <c r="V57" s="36">
        <v>0</v>
      </c>
      <c r="W57" s="36">
        <v>0</v>
      </c>
      <c r="X57" s="36">
        <v>0</v>
      </c>
      <c r="Y57" s="36">
        <v>0</v>
      </c>
      <c r="Z57" s="36">
        <v>0</v>
      </c>
      <c r="AA57" s="36">
        <v>0</v>
      </c>
      <c r="AB57" s="36">
        <v>0</v>
      </c>
      <c r="AC57" s="36">
        <v>0</v>
      </c>
      <c r="AD57" s="36">
        <v>0</v>
      </c>
      <c r="AF57" s="36">
        <v>0</v>
      </c>
      <c r="AG57" s="36">
        <v>0</v>
      </c>
      <c r="AH57" s="36">
        <v>0</v>
      </c>
      <c r="AI57" s="36">
        <v>0</v>
      </c>
      <c r="AJ57" s="36">
        <v>0</v>
      </c>
      <c r="AK57" s="36">
        <v>0</v>
      </c>
      <c r="AL57" s="36">
        <v>0</v>
      </c>
      <c r="AM57" s="36">
        <v>0</v>
      </c>
      <c r="AN57" s="36">
        <v>0</v>
      </c>
      <c r="AO57" s="36">
        <v>0</v>
      </c>
      <c r="AP57" s="36">
        <v>0</v>
      </c>
      <c r="AQ57" s="36">
        <v>0</v>
      </c>
      <c r="AS57" s="36">
        <v>0</v>
      </c>
      <c r="AT57" s="36">
        <v>0</v>
      </c>
      <c r="AU57" s="36">
        <v>0</v>
      </c>
      <c r="AV57" s="36">
        <v>0</v>
      </c>
      <c r="AW57" s="36">
        <v>0</v>
      </c>
      <c r="AX57" s="36">
        <v>0</v>
      </c>
      <c r="AY57" s="36">
        <v>0</v>
      </c>
      <c r="AZ57" s="36">
        <v>0</v>
      </c>
      <c r="BA57" s="36">
        <v>0</v>
      </c>
      <c r="BB57" s="36">
        <v>0</v>
      </c>
      <c r="BC57" s="36">
        <v>0</v>
      </c>
      <c r="BD57" s="36">
        <v>0</v>
      </c>
      <c r="BF57" s="36">
        <v>0</v>
      </c>
      <c r="BG57" s="36">
        <v>0</v>
      </c>
      <c r="BH57" s="36">
        <v>0</v>
      </c>
      <c r="BI57" s="36">
        <v>0</v>
      </c>
      <c r="BJ57" s="36">
        <v>0</v>
      </c>
      <c r="BK57" s="36">
        <v>0</v>
      </c>
      <c r="BL57" s="36">
        <v>0</v>
      </c>
      <c r="BM57" s="36">
        <v>0</v>
      </c>
      <c r="BN57" s="36">
        <v>0</v>
      </c>
      <c r="BO57" s="36">
        <v>0</v>
      </c>
      <c r="BP57" s="36">
        <v>0</v>
      </c>
      <c r="BQ57" s="36">
        <v>0</v>
      </c>
    </row>
    <row r="58" spans="1:69" ht="15">
      <c r="A58" s="66" t="s">
        <v>334</v>
      </c>
      <c r="B58" s="66"/>
      <c r="C58" s="66"/>
      <c r="F58" s="67">
        <f>SUM(F49:F57)</f>
        <v>0</v>
      </c>
      <c r="G58" s="67">
        <f t="shared" ref="G58:Q58" si="15">SUM(G49:G57)</f>
        <v>0</v>
      </c>
      <c r="H58" s="67">
        <f t="shared" si="15"/>
        <v>0</v>
      </c>
      <c r="I58" s="67">
        <f t="shared" si="15"/>
        <v>0</v>
      </c>
      <c r="J58" s="67">
        <f t="shared" si="15"/>
        <v>0</v>
      </c>
      <c r="K58" s="67">
        <f t="shared" si="15"/>
        <v>0</v>
      </c>
      <c r="L58" s="67">
        <f t="shared" si="15"/>
        <v>0</v>
      </c>
      <c r="M58" s="67">
        <f t="shared" si="15"/>
        <v>0</v>
      </c>
      <c r="N58" s="67">
        <f t="shared" si="15"/>
        <v>0</v>
      </c>
      <c r="O58" s="67">
        <f t="shared" si="15"/>
        <v>0</v>
      </c>
      <c r="P58" s="67">
        <f t="shared" si="15"/>
        <v>0</v>
      </c>
      <c r="Q58" s="67">
        <f t="shared" si="15"/>
        <v>0</v>
      </c>
      <c r="S58" s="67">
        <f>SUM(S49:S57)</f>
        <v>0</v>
      </c>
      <c r="T58" s="67">
        <f t="shared" ref="T58:AD58" si="16">SUM(T49:T57)</f>
        <v>0</v>
      </c>
      <c r="U58" s="67">
        <f t="shared" si="16"/>
        <v>0</v>
      </c>
      <c r="V58" s="67">
        <f t="shared" si="16"/>
        <v>0</v>
      </c>
      <c r="W58" s="67">
        <f t="shared" si="16"/>
        <v>0</v>
      </c>
      <c r="X58" s="67">
        <f t="shared" si="16"/>
        <v>0</v>
      </c>
      <c r="Y58" s="67">
        <f t="shared" si="16"/>
        <v>0</v>
      </c>
      <c r="Z58" s="67">
        <f t="shared" si="16"/>
        <v>0</v>
      </c>
      <c r="AA58" s="67">
        <f t="shared" si="16"/>
        <v>0</v>
      </c>
      <c r="AB58" s="67">
        <f t="shared" si="16"/>
        <v>0</v>
      </c>
      <c r="AC58" s="67">
        <f t="shared" si="16"/>
        <v>0</v>
      </c>
      <c r="AD58" s="67">
        <f t="shared" si="16"/>
        <v>0</v>
      </c>
      <c r="AF58" s="67">
        <f>SUM(AF49:AF57)</f>
        <v>0</v>
      </c>
      <c r="AG58" s="67">
        <f t="shared" ref="AG58:AQ58" si="17">SUM(AG49:AG57)</f>
        <v>0</v>
      </c>
      <c r="AH58" s="67">
        <f t="shared" si="17"/>
        <v>0</v>
      </c>
      <c r="AI58" s="67">
        <f t="shared" si="17"/>
        <v>0</v>
      </c>
      <c r="AJ58" s="67">
        <f t="shared" si="17"/>
        <v>0</v>
      </c>
      <c r="AK58" s="67">
        <f t="shared" si="17"/>
        <v>0</v>
      </c>
      <c r="AL58" s="67">
        <f t="shared" si="17"/>
        <v>0</v>
      </c>
      <c r="AM58" s="67">
        <f t="shared" si="17"/>
        <v>0</v>
      </c>
      <c r="AN58" s="67">
        <f t="shared" si="17"/>
        <v>0</v>
      </c>
      <c r="AO58" s="67">
        <f t="shared" si="17"/>
        <v>0</v>
      </c>
      <c r="AP58" s="67">
        <f t="shared" si="17"/>
        <v>0</v>
      </c>
      <c r="AQ58" s="67">
        <f t="shared" si="17"/>
        <v>0</v>
      </c>
      <c r="AS58" s="67">
        <f>SUM(AS49:AS57)</f>
        <v>0</v>
      </c>
      <c r="AT58" s="67">
        <f t="shared" ref="AT58:BD58" si="18">SUM(AT49:AT57)</f>
        <v>0</v>
      </c>
      <c r="AU58" s="67">
        <f t="shared" si="18"/>
        <v>0</v>
      </c>
      <c r="AV58" s="67">
        <f t="shared" si="18"/>
        <v>0</v>
      </c>
      <c r="AW58" s="67">
        <f t="shared" si="18"/>
        <v>0</v>
      </c>
      <c r="AX58" s="67">
        <f t="shared" si="18"/>
        <v>0</v>
      </c>
      <c r="AY58" s="67">
        <f t="shared" si="18"/>
        <v>0</v>
      </c>
      <c r="AZ58" s="67">
        <f t="shared" si="18"/>
        <v>0</v>
      </c>
      <c r="BA58" s="67">
        <f t="shared" si="18"/>
        <v>0</v>
      </c>
      <c r="BB58" s="67">
        <f t="shared" si="18"/>
        <v>0</v>
      </c>
      <c r="BC58" s="67">
        <f t="shared" si="18"/>
        <v>0</v>
      </c>
      <c r="BD58" s="67">
        <f t="shared" si="18"/>
        <v>0</v>
      </c>
      <c r="BF58" s="67">
        <f>SUM(BF49:BF57)</f>
        <v>0</v>
      </c>
      <c r="BG58" s="67">
        <f t="shared" ref="BG58:BQ58" si="19">SUM(BG49:BG57)</f>
        <v>0</v>
      </c>
      <c r="BH58" s="67">
        <f t="shared" si="19"/>
        <v>0</v>
      </c>
      <c r="BI58" s="67">
        <f t="shared" si="19"/>
        <v>0</v>
      </c>
      <c r="BJ58" s="67">
        <f t="shared" si="19"/>
        <v>0</v>
      </c>
      <c r="BK58" s="67">
        <f t="shared" si="19"/>
        <v>0</v>
      </c>
      <c r="BL58" s="67">
        <f t="shared" si="19"/>
        <v>0</v>
      </c>
      <c r="BM58" s="67">
        <f t="shared" si="19"/>
        <v>0</v>
      </c>
      <c r="BN58" s="67">
        <f t="shared" si="19"/>
        <v>0</v>
      </c>
      <c r="BO58" s="67">
        <f t="shared" si="19"/>
        <v>0</v>
      </c>
      <c r="BP58" s="67">
        <f t="shared" si="19"/>
        <v>0</v>
      </c>
      <c r="BQ58" s="67">
        <f t="shared" si="19"/>
        <v>0</v>
      </c>
    </row>
    <row r="59" spans="1:69" ht="17.25">
      <c r="A59" s="68"/>
    </row>
    <row r="60" spans="1:69" ht="15">
      <c r="A60" s="66" t="s">
        <v>107</v>
      </c>
      <c r="B60" s="66"/>
      <c r="C60" s="66"/>
      <c r="F60" s="67">
        <f>F58+F45</f>
        <v>0</v>
      </c>
      <c r="G60" s="67">
        <f t="shared" ref="G60:Q60" si="20">G58+G45</f>
        <v>0</v>
      </c>
      <c r="H60" s="67">
        <f t="shared" si="20"/>
        <v>0</v>
      </c>
      <c r="I60" s="67">
        <f t="shared" si="20"/>
        <v>0</v>
      </c>
      <c r="J60" s="67">
        <f t="shared" si="20"/>
        <v>0</v>
      </c>
      <c r="K60" s="67">
        <f t="shared" si="20"/>
        <v>0</v>
      </c>
      <c r="L60" s="67">
        <f t="shared" si="20"/>
        <v>0</v>
      </c>
      <c r="M60" s="67">
        <f t="shared" si="20"/>
        <v>0</v>
      </c>
      <c r="N60" s="67">
        <f t="shared" si="20"/>
        <v>0</v>
      </c>
      <c r="O60" s="67">
        <f t="shared" si="20"/>
        <v>0</v>
      </c>
      <c r="P60" s="67">
        <f t="shared" si="20"/>
        <v>0</v>
      </c>
      <c r="Q60" s="67">
        <f t="shared" si="20"/>
        <v>0</v>
      </c>
      <c r="S60" s="67">
        <f>S58+S45</f>
        <v>0</v>
      </c>
      <c r="T60" s="67">
        <f t="shared" ref="T60:AD60" si="21">T58+T45</f>
        <v>0</v>
      </c>
      <c r="U60" s="67">
        <f t="shared" si="21"/>
        <v>0</v>
      </c>
      <c r="V60" s="67">
        <f t="shared" si="21"/>
        <v>0</v>
      </c>
      <c r="W60" s="67">
        <f t="shared" si="21"/>
        <v>0</v>
      </c>
      <c r="X60" s="67">
        <f t="shared" si="21"/>
        <v>0</v>
      </c>
      <c r="Y60" s="67">
        <f t="shared" si="21"/>
        <v>0</v>
      </c>
      <c r="Z60" s="67">
        <f t="shared" si="21"/>
        <v>0</v>
      </c>
      <c r="AA60" s="67">
        <f t="shared" si="21"/>
        <v>0</v>
      </c>
      <c r="AB60" s="67">
        <f t="shared" si="21"/>
        <v>0</v>
      </c>
      <c r="AC60" s="67">
        <f t="shared" si="21"/>
        <v>0</v>
      </c>
      <c r="AD60" s="67">
        <f t="shared" si="21"/>
        <v>0</v>
      </c>
      <c r="AF60" s="67">
        <f>AF58+AF45</f>
        <v>0</v>
      </c>
      <c r="AG60" s="67">
        <f t="shared" ref="AG60:AQ60" si="22">AG58+AG45</f>
        <v>0</v>
      </c>
      <c r="AH60" s="67">
        <f t="shared" si="22"/>
        <v>0</v>
      </c>
      <c r="AI60" s="67">
        <f t="shared" si="22"/>
        <v>0</v>
      </c>
      <c r="AJ60" s="67">
        <f t="shared" si="22"/>
        <v>0</v>
      </c>
      <c r="AK60" s="67">
        <f t="shared" si="22"/>
        <v>0</v>
      </c>
      <c r="AL60" s="67">
        <f t="shared" si="22"/>
        <v>0</v>
      </c>
      <c r="AM60" s="67">
        <f t="shared" si="22"/>
        <v>0</v>
      </c>
      <c r="AN60" s="67">
        <f t="shared" si="22"/>
        <v>0</v>
      </c>
      <c r="AO60" s="67">
        <f t="shared" si="22"/>
        <v>0</v>
      </c>
      <c r="AP60" s="67">
        <f t="shared" si="22"/>
        <v>0</v>
      </c>
      <c r="AQ60" s="67">
        <f t="shared" si="22"/>
        <v>0</v>
      </c>
      <c r="AS60" s="67">
        <f>AS58+AS45</f>
        <v>0</v>
      </c>
      <c r="AT60" s="67">
        <f t="shared" ref="AT60:BD60" si="23">AT58+AT45</f>
        <v>0</v>
      </c>
      <c r="AU60" s="67">
        <f t="shared" si="23"/>
        <v>0</v>
      </c>
      <c r="AV60" s="67">
        <f t="shared" si="23"/>
        <v>0</v>
      </c>
      <c r="AW60" s="67">
        <f t="shared" si="23"/>
        <v>0</v>
      </c>
      <c r="AX60" s="67">
        <f t="shared" si="23"/>
        <v>0</v>
      </c>
      <c r="AY60" s="67">
        <f t="shared" si="23"/>
        <v>0</v>
      </c>
      <c r="AZ60" s="67">
        <f t="shared" si="23"/>
        <v>0</v>
      </c>
      <c r="BA60" s="67">
        <f t="shared" si="23"/>
        <v>0</v>
      </c>
      <c r="BB60" s="67">
        <f t="shared" si="23"/>
        <v>0</v>
      </c>
      <c r="BC60" s="67">
        <f t="shared" si="23"/>
        <v>0</v>
      </c>
      <c r="BD60" s="67">
        <f t="shared" si="23"/>
        <v>0</v>
      </c>
      <c r="BF60" s="67">
        <f>BF58+BF45</f>
        <v>0</v>
      </c>
      <c r="BG60" s="67">
        <f t="shared" ref="BG60:BQ60" si="24">BG58+BG45</f>
        <v>0</v>
      </c>
      <c r="BH60" s="67">
        <f t="shared" si="24"/>
        <v>0</v>
      </c>
      <c r="BI60" s="67">
        <f t="shared" si="24"/>
        <v>0</v>
      </c>
      <c r="BJ60" s="67">
        <f t="shared" si="24"/>
        <v>0</v>
      </c>
      <c r="BK60" s="67">
        <f t="shared" si="24"/>
        <v>0</v>
      </c>
      <c r="BL60" s="67">
        <f t="shared" si="24"/>
        <v>0</v>
      </c>
      <c r="BM60" s="67">
        <f t="shared" si="24"/>
        <v>0</v>
      </c>
      <c r="BN60" s="67">
        <f t="shared" si="24"/>
        <v>0</v>
      </c>
      <c r="BO60" s="67">
        <f t="shared" si="24"/>
        <v>0</v>
      </c>
      <c r="BP60" s="67">
        <f t="shared" si="24"/>
        <v>0</v>
      </c>
      <c r="BQ60" s="67">
        <f t="shared" si="24"/>
        <v>0</v>
      </c>
    </row>
    <row r="61" spans="1:69" ht="17.25">
      <c r="A61" s="68"/>
      <c r="F61" s="70"/>
      <c r="S61" s="70"/>
      <c r="AF61" s="70"/>
      <c r="AS61" s="70"/>
      <c r="BF61" s="70"/>
    </row>
    <row r="62" spans="1:69">
      <c r="A62" s="63" t="s">
        <v>78</v>
      </c>
      <c r="F62" s="36">
        <v>0</v>
      </c>
      <c r="G62" s="36">
        <v>0</v>
      </c>
      <c r="H62" s="36">
        <v>0</v>
      </c>
      <c r="I62" s="36">
        <v>0</v>
      </c>
      <c r="J62" s="36">
        <v>0</v>
      </c>
      <c r="K62" s="36">
        <v>0</v>
      </c>
      <c r="L62" s="36">
        <v>0</v>
      </c>
      <c r="M62" s="36">
        <v>0</v>
      </c>
      <c r="N62" s="36">
        <v>0</v>
      </c>
      <c r="O62" s="36">
        <v>0</v>
      </c>
      <c r="P62" s="36">
        <v>0</v>
      </c>
      <c r="Q62" s="36">
        <v>0</v>
      </c>
      <c r="S62" s="36">
        <v>0</v>
      </c>
      <c r="T62" s="36">
        <v>0</v>
      </c>
      <c r="U62" s="36">
        <v>0</v>
      </c>
      <c r="V62" s="36">
        <v>0</v>
      </c>
      <c r="W62" s="36">
        <v>0</v>
      </c>
      <c r="X62" s="36">
        <v>0</v>
      </c>
      <c r="Y62" s="36">
        <v>0</v>
      </c>
      <c r="Z62" s="36">
        <v>0</v>
      </c>
      <c r="AA62" s="36">
        <v>0</v>
      </c>
      <c r="AB62" s="36">
        <v>0</v>
      </c>
      <c r="AC62" s="36">
        <v>0</v>
      </c>
      <c r="AD62" s="36">
        <v>0</v>
      </c>
      <c r="AF62" s="36">
        <v>0</v>
      </c>
      <c r="AG62" s="36">
        <v>0</v>
      </c>
      <c r="AH62" s="36">
        <v>0</v>
      </c>
      <c r="AI62" s="36">
        <v>0</v>
      </c>
      <c r="AJ62" s="36">
        <v>0</v>
      </c>
      <c r="AK62" s="36">
        <v>0</v>
      </c>
      <c r="AL62" s="36">
        <v>0</v>
      </c>
      <c r="AM62" s="36">
        <v>0</v>
      </c>
      <c r="AN62" s="36">
        <v>0</v>
      </c>
      <c r="AO62" s="36">
        <v>0</v>
      </c>
      <c r="AP62" s="36">
        <v>0</v>
      </c>
      <c r="AQ62" s="36">
        <v>0</v>
      </c>
      <c r="AS62" s="36">
        <v>0</v>
      </c>
      <c r="AT62" s="36">
        <v>0</v>
      </c>
      <c r="AU62" s="36">
        <v>0</v>
      </c>
      <c r="AV62" s="36">
        <v>0</v>
      </c>
      <c r="AW62" s="36">
        <v>0</v>
      </c>
      <c r="AX62" s="36">
        <v>0</v>
      </c>
      <c r="AY62" s="36">
        <v>0</v>
      </c>
      <c r="AZ62" s="36">
        <v>0</v>
      </c>
      <c r="BA62" s="36">
        <v>0</v>
      </c>
      <c r="BB62" s="36">
        <v>0</v>
      </c>
      <c r="BC62" s="36">
        <v>0</v>
      </c>
      <c r="BD62" s="36">
        <v>0</v>
      </c>
      <c r="BF62" s="36">
        <v>0</v>
      </c>
      <c r="BG62" s="36">
        <v>0</v>
      </c>
      <c r="BH62" s="36">
        <v>0</v>
      </c>
      <c r="BI62" s="36">
        <v>0</v>
      </c>
      <c r="BJ62" s="36">
        <v>0</v>
      </c>
      <c r="BK62" s="36">
        <v>0</v>
      </c>
      <c r="BL62" s="36">
        <v>0</v>
      </c>
      <c r="BM62" s="36">
        <v>0</v>
      </c>
      <c r="BN62" s="36">
        <v>0</v>
      </c>
      <c r="BO62" s="36">
        <v>0</v>
      </c>
      <c r="BP62" s="36">
        <v>0</v>
      </c>
      <c r="BQ62" s="36">
        <v>0</v>
      </c>
    </row>
    <row r="63" spans="1:69">
      <c r="A63" s="63" t="s">
        <v>108</v>
      </c>
      <c r="F63" s="36">
        <v>0</v>
      </c>
      <c r="G63" s="36">
        <v>0</v>
      </c>
      <c r="H63" s="36">
        <v>0</v>
      </c>
      <c r="I63" s="36">
        <v>0</v>
      </c>
      <c r="J63" s="36">
        <v>0</v>
      </c>
      <c r="K63" s="36">
        <v>0</v>
      </c>
      <c r="L63" s="36">
        <v>0</v>
      </c>
      <c r="M63" s="36">
        <v>0</v>
      </c>
      <c r="N63" s="36">
        <v>0</v>
      </c>
      <c r="O63" s="36">
        <v>0</v>
      </c>
      <c r="P63" s="36">
        <v>0</v>
      </c>
      <c r="Q63" s="36">
        <v>0</v>
      </c>
      <c r="S63" s="36">
        <v>0</v>
      </c>
      <c r="T63" s="36">
        <v>0</v>
      </c>
      <c r="U63" s="36">
        <v>0</v>
      </c>
      <c r="V63" s="36">
        <v>0</v>
      </c>
      <c r="W63" s="36">
        <v>0</v>
      </c>
      <c r="X63" s="36">
        <v>0</v>
      </c>
      <c r="Y63" s="36">
        <v>0</v>
      </c>
      <c r="Z63" s="36">
        <v>0</v>
      </c>
      <c r="AA63" s="36">
        <v>0</v>
      </c>
      <c r="AB63" s="36">
        <v>0</v>
      </c>
      <c r="AC63" s="36">
        <v>0</v>
      </c>
      <c r="AD63" s="36">
        <v>0</v>
      </c>
      <c r="AF63" s="36">
        <v>0</v>
      </c>
      <c r="AG63" s="36">
        <v>0</v>
      </c>
      <c r="AH63" s="36">
        <v>0</v>
      </c>
      <c r="AI63" s="36">
        <v>0</v>
      </c>
      <c r="AJ63" s="36">
        <v>0</v>
      </c>
      <c r="AK63" s="36">
        <v>0</v>
      </c>
      <c r="AL63" s="36">
        <v>0</v>
      </c>
      <c r="AM63" s="36">
        <v>0</v>
      </c>
      <c r="AN63" s="36">
        <v>0</v>
      </c>
      <c r="AO63" s="36">
        <v>0</v>
      </c>
      <c r="AP63" s="36">
        <v>0</v>
      </c>
      <c r="AQ63" s="36">
        <v>0</v>
      </c>
      <c r="AS63" s="36">
        <v>0</v>
      </c>
      <c r="AT63" s="36">
        <v>0</v>
      </c>
      <c r="AU63" s="36">
        <v>0</v>
      </c>
      <c r="AV63" s="36">
        <v>0</v>
      </c>
      <c r="AW63" s="36">
        <v>0</v>
      </c>
      <c r="AX63" s="36">
        <v>0</v>
      </c>
      <c r="AY63" s="36">
        <v>0</v>
      </c>
      <c r="AZ63" s="36">
        <v>0</v>
      </c>
      <c r="BA63" s="36">
        <v>0</v>
      </c>
      <c r="BB63" s="36">
        <v>0</v>
      </c>
      <c r="BC63" s="36">
        <v>0</v>
      </c>
      <c r="BD63" s="36">
        <v>0</v>
      </c>
      <c r="BF63" s="36">
        <v>0</v>
      </c>
      <c r="BG63" s="36">
        <v>0</v>
      </c>
      <c r="BH63" s="36">
        <v>0</v>
      </c>
      <c r="BI63" s="36">
        <v>0</v>
      </c>
      <c r="BJ63" s="36">
        <v>0</v>
      </c>
      <c r="BK63" s="36">
        <v>0</v>
      </c>
      <c r="BL63" s="36">
        <v>0</v>
      </c>
      <c r="BM63" s="36">
        <v>0</v>
      </c>
      <c r="BN63" s="36">
        <v>0</v>
      </c>
      <c r="BO63" s="36">
        <v>0</v>
      </c>
      <c r="BP63" s="36">
        <v>0</v>
      </c>
      <c r="BQ63" s="36">
        <v>0</v>
      </c>
    </row>
    <row r="64" spans="1:69">
      <c r="A64" s="63" t="s">
        <v>81</v>
      </c>
      <c r="F64" s="36">
        <v>0</v>
      </c>
      <c r="G64" s="36">
        <v>0</v>
      </c>
      <c r="H64" s="36">
        <v>0</v>
      </c>
      <c r="I64" s="36">
        <v>0</v>
      </c>
      <c r="J64" s="36">
        <v>0</v>
      </c>
      <c r="K64" s="36">
        <v>0</v>
      </c>
      <c r="L64" s="36">
        <v>0</v>
      </c>
      <c r="M64" s="36">
        <v>0</v>
      </c>
      <c r="N64" s="36">
        <v>0</v>
      </c>
      <c r="O64" s="36">
        <v>0</v>
      </c>
      <c r="P64" s="36">
        <v>0</v>
      </c>
      <c r="Q64" s="36">
        <v>0</v>
      </c>
      <c r="S64" s="36">
        <v>0</v>
      </c>
      <c r="T64" s="36">
        <v>0</v>
      </c>
      <c r="U64" s="36">
        <v>0</v>
      </c>
      <c r="V64" s="36">
        <v>0</v>
      </c>
      <c r="W64" s="36">
        <v>0</v>
      </c>
      <c r="X64" s="36">
        <v>0</v>
      </c>
      <c r="Y64" s="36">
        <v>0</v>
      </c>
      <c r="Z64" s="36">
        <v>0</v>
      </c>
      <c r="AA64" s="36">
        <v>0</v>
      </c>
      <c r="AB64" s="36">
        <v>0</v>
      </c>
      <c r="AC64" s="36">
        <v>0</v>
      </c>
      <c r="AD64" s="36">
        <v>0</v>
      </c>
      <c r="AF64" s="36">
        <v>0</v>
      </c>
      <c r="AG64" s="36">
        <v>0</v>
      </c>
      <c r="AH64" s="36">
        <v>0</v>
      </c>
      <c r="AI64" s="36">
        <v>0</v>
      </c>
      <c r="AJ64" s="36">
        <v>0</v>
      </c>
      <c r="AK64" s="36">
        <v>0</v>
      </c>
      <c r="AL64" s="36">
        <v>0</v>
      </c>
      <c r="AM64" s="36">
        <v>0</v>
      </c>
      <c r="AN64" s="36">
        <v>0</v>
      </c>
      <c r="AO64" s="36">
        <v>0</v>
      </c>
      <c r="AP64" s="36">
        <v>0</v>
      </c>
      <c r="AQ64" s="36">
        <v>0</v>
      </c>
      <c r="AS64" s="36">
        <v>0</v>
      </c>
      <c r="AT64" s="36">
        <v>0</v>
      </c>
      <c r="AU64" s="36">
        <v>0</v>
      </c>
      <c r="AV64" s="36">
        <v>0</v>
      </c>
      <c r="AW64" s="36">
        <v>0</v>
      </c>
      <c r="AX64" s="36">
        <v>0</v>
      </c>
      <c r="AY64" s="36">
        <v>0</v>
      </c>
      <c r="AZ64" s="36">
        <v>0</v>
      </c>
      <c r="BA64" s="36">
        <v>0</v>
      </c>
      <c r="BB64" s="36">
        <v>0</v>
      </c>
      <c r="BC64" s="36">
        <v>0</v>
      </c>
      <c r="BD64" s="36">
        <v>0</v>
      </c>
      <c r="BF64" s="36">
        <v>0</v>
      </c>
      <c r="BG64" s="36">
        <v>0</v>
      </c>
      <c r="BH64" s="36">
        <v>0</v>
      </c>
      <c r="BI64" s="36">
        <v>0</v>
      </c>
      <c r="BJ64" s="36">
        <v>0</v>
      </c>
      <c r="BK64" s="36">
        <v>0</v>
      </c>
      <c r="BL64" s="36">
        <v>0</v>
      </c>
      <c r="BM64" s="36">
        <v>0</v>
      </c>
      <c r="BN64" s="36">
        <v>0</v>
      </c>
      <c r="BO64" s="36">
        <v>0</v>
      </c>
      <c r="BP64" s="36">
        <v>0</v>
      </c>
      <c r="BQ64" s="36">
        <v>0</v>
      </c>
    </row>
    <row r="65" spans="1:70" ht="15">
      <c r="A65" s="66" t="s">
        <v>109</v>
      </c>
      <c r="B65" s="66"/>
      <c r="C65" s="66"/>
      <c r="F65" s="67">
        <f>F45+F60-SUM(F62:F64)</f>
        <v>0</v>
      </c>
      <c r="G65" s="67">
        <f t="shared" ref="G65:Q65" si="25">G45+G60-SUM(G62:G64)</f>
        <v>0</v>
      </c>
      <c r="H65" s="67">
        <f t="shared" si="25"/>
        <v>0</v>
      </c>
      <c r="I65" s="67">
        <f t="shared" si="25"/>
        <v>0</v>
      </c>
      <c r="J65" s="67">
        <f t="shared" si="25"/>
        <v>0</v>
      </c>
      <c r="K65" s="67">
        <f t="shared" si="25"/>
        <v>0</v>
      </c>
      <c r="L65" s="67">
        <f t="shared" si="25"/>
        <v>0</v>
      </c>
      <c r="M65" s="67">
        <f t="shared" si="25"/>
        <v>0</v>
      </c>
      <c r="N65" s="67">
        <f t="shared" si="25"/>
        <v>0</v>
      </c>
      <c r="O65" s="67">
        <f t="shared" si="25"/>
        <v>0</v>
      </c>
      <c r="P65" s="67">
        <f t="shared" si="25"/>
        <v>0</v>
      </c>
      <c r="Q65" s="67">
        <f t="shared" si="25"/>
        <v>0</v>
      </c>
      <c r="S65" s="67">
        <f>S45+S60-SUM(S62:S64)</f>
        <v>0</v>
      </c>
      <c r="T65" s="67">
        <f t="shared" ref="T65:AD65" si="26">T45+T60-SUM(T62:T64)</f>
        <v>0</v>
      </c>
      <c r="U65" s="67">
        <f t="shared" si="26"/>
        <v>0</v>
      </c>
      <c r="V65" s="67">
        <f t="shared" si="26"/>
        <v>0</v>
      </c>
      <c r="W65" s="67">
        <f t="shared" si="26"/>
        <v>0</v>
      </c>
      <c r="X65" s="67">
        <f t="shared" si="26"/>
        <v>0</v>
      </c>
      <c r="Y65" s="67">
        <f t="shared" si="26"/>
        <v>0</v>
      </c>
      <c r="Z65" s="67">
        <f t="shared" si="26"/>
        <v>0</v>
      </c>
      <c r="AA65" s="67">
        <f t="shared" si="26"/>
        <v>0</v>
      </c>
      <c r="AB65" s="67">
        <f t="shared" si="26"/>
        <v>0</v>
      </c>
      <c r="AC65" s="67">
        <f t="shared" si="26"/>
        <v>0</v>
      </c>
      <c r="AD65" s="67">
        <f t="shared" si="26"/>
        <v>0</v>
      </c>
      <c r="AF65" s="67">
        <f>AF45+AF60-SUM(AF62:AF64)</f>
        <v>0</v>
      </c>
      <c r="AG65" s="67">
        <f t="shared" ref="AG65:AQ65" si="27">AG45+AG60-SUM(AG62:AG64)</f>
        <v>0</v>
      </c>
      <c r="AH65" s="67">
        <f t="shared" si="27"/>
        <v>0</v>
      </c>
      <c r="AI65" s="67">
        <f t="shared" si="27"/>
        <v>0</v>
      </c>
      <c r="AJ65" s="67">
        <f t="shared" si="27"/>
        <v>0</v>
      </c>
      <c r="AK65" s="67">
        <f t="shared" si="27"/>
        <v>0</v>
      </c>
      <c r="AL65" s="67">
        <f t="shared" si="27"/>
        <v>0</v>
      </c>
      <c r="AM65" s="67">
        <f t="shared" si="27"/>
        <v>0</v>
      </c>
      <c r="AN65" s="67">
        <f t="shared" si="27"/>
        <v>0</v>
      </c>
      <c r="AO65" s="67">
        <f t="shared" si="27"/>
        <v>0</v>
      </c>
      <c r="AP65" s="67">
        <f t="shared" si="27"/>
        <v>0</v>
      </c>
      <c r="AQ65" s="67">
        <f t="shared" si="27"/>
        <v>0</v>
      </c>
      <c r="AS65" s="67">
        <f>AS45+AS60-SUM(AS62:AS64)</f>
        <v>0</v>
      </c>
      <c r="AT65" s="67">
        <f t="shared" ref="AT65:BD65" si="28">AT45+AT60-SUM(AT62:AT64)</f>
        <v>0</v>
      </c>
      <c r="AU65" s="67">
        <f t="shared" si="28"/>
        <v>0</v>
      </c>
      <c r="AV65" s="67">
        <f t="shared" si="28"/>
        <v>0</v>
      </c>
      <c r="AW65" s="67">
        <f t="shared" si="28"/>
        <v>0</v>
      </c>
      <c r="AX65" s="67">
        <f t="shared" si="28"/>
        <v>0</v>
      </c>
      <c r="AY65" s="67">
        <f t="shared" si="28"/>
        <v>0</v>
      </c>
      <c r="AZ65" s="67">
        <f t="shared" si="28"/>
        <v>0</v>
      </c>
      <c r="BA65" s="67">
        <f t="shared" si="28"/>
        <v>0</v>
      </c>
      <c r="BB65" s="67">
        <f t="shared" si="28"/>
        <v>0</v>
      </c>
      <c r="BC65" s="67">
        <f t="shared" si="28"/>
        <v>0</v>
      </c>
      <c r="BD65" s="67">
        <f t="shared" si="28"/>
        <v>0</v>
      </c>
      <c r="BF65" s="67">
        <f>BF45+BF60-SUM(BF62:BF64)</f>
        <v>0</v>
      </c>
      <c r="BG65" s="67">
        <f t="shared" ref="BG65:BQ65" si="29">BG45+BG60-SUM(BG62:BG64)</f>
        <v>0</v>
      </c>
      <c r="BH65" s="67">
        <f t="shared" si="29"/>
        <v>0</v>
      </c>
      <c r="BI65" s="67">
        <f t="shared" si="29"/>
        <v>0</v>
      </c>
      <c r="BJ65" s="67">
        <f t="shared" si="29"/>
        <v>0</v>
      </c>
      <c r="BK65" s="67">
        <f t="shared" si="29"/>
        <v>0</v>
      </c>
      <c r="BL65" s="67">
        <f t="shared" si="29"/>
        <v>0</v>
      </c>
      <c r="BM65" s="67">
        <f t="shared" si="29"/>
        <v>0</v>
      </c>
      <c r="BN65" s="67">
        <f t="shared" si="29"/>
        <v>0</v>
      </c>
      <c r="BO65" s="67">
        <f t="shared" si="29"/>
        <v>0</v>
      </c>
      <c r="BP65" s="67">
        <f t="shared" si="29"/>
        <v>0</v>
      </c>
      <c r="BQ65" s="67">
        <f t="shared" si="29"/>
        <v>0</v>
      </c>
    </row>
    <row r="70" spans="1:70">
      <c r="A70" s="30" t="s">
        <v>111</v>
      </c>
      <c r="B70" s="30"/>
      <c r="C70" s="30"/>
      <c r="D70" s="30"/>
      <c r="E70" s="30"/>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0"/>
      <c r="BJ70" s="30"/>
      <c r="BK70" s="30"/>
      <c r="BL70" s="30"/>
      <c r="BM70" s="30"/>
      <c r="BN70" s="30"/>
      <c r="BO70" s="30"/>
      <c r="BP70" s="30"/>
      <c r="BQ70" s="30"/>
      <c r="BR70" s="30"/>
    </row>
    <row r="72" spans="1:70" ht="15" hidden="1" outlineLevel="1">
      <c r="A72" s="71" t="s">
        <v>112</v>
      </c>
    </row>
    <row r="73" spans="1:70" hidden="1" outlineLevel="1">
      <c r="A73" s="63" t="s">
        <v>113</v>
      </c>
      <c r="F73" s="72">
        <v>312977.25922790112</v>
      </c>
      <c r="G73" s="73">
        <v>312977.25922790112</v>
      </c>
      <c r="H73" s="73">
        <v>312977.25922790112</v>
      </c>
      <c r="I73" s="73">
        <v>312977.25922790112</v>
      </c>
      <c r="J73" s="73">
        <v>312977.25922790112</v>
      </c>
      <c r="K73" s="73">
        <v>312977.25922790112</v>
      </c>
      <c r="L73" s="73">
        <v>312977.25922790112</v>
      </c>
      <c r="M73" s="73">
        <v>312977.25922790112</v>
      </c>
      <c r="N73" s="73">
        <v>312977.25922790112</v>
      </c>
      <c r="O73" s="73">
        <v>312977.25922790112</v>
      </c>
      <c r="P73" s="73">
        <v>312977.25922790112</v>
      </c>
      <c r="Q73" s="73">
        <v>312977.25922790112</v>
      </c>
      <c r="S73" s="73">
        <v>303345.92496280459</v>
      </c>
      <c r="T73" s="73">
        <v>303345.92496280459</v>
      </c>
      <c r="U73" s="73">
        <v>303345.92496280459</v>
      </c>
      <c r="V73" s="73">
        <v>303345.92496280459</v>
      </c>
      <c r="W73" s="73">
        <v>303345.92496280459</v>
      </c>
      <c r="X73" s="73">
        <v>303345.92496280459</v>
      </c>
      <c r="Y73" s="73">
        <v>303345.92496280459</v>
      </c>
      <c r="Z73" s="73">
        <v>303345.92496280459</v>
      </c>
      <c r="AA73" s="73">
        <v>303345.92496280459</v>
      </c>
      <c r="AB73" s="73">
        <v>303345.92496280459</v>
      </c>
      <c r="AC73" s="73">
        <v>303345.92496280459</v>
      </c>
      <c r="AD73" s="73">
        <v>303345.92496280459</v>
      </c>
      <c r="AF73" s="73">
        <v>311075.96180862596</v>
      </c>
      <c r="AG73" s="73">
        <v>311075.96180862596</v>
      </c>
      <c r="AH73" s="73">
        <v>311075.96180862596</v>
      </c>
      <c r="AI73" s="73">
        <v>311075.96180862596</v>
      </c>
      <c r="AJ73" s="73">
        <v>311075.96180862596</v>
      </c>
      <c r="AK73" s="73">
        <v>311075.96180862596</v>
      </c>
      <c r="AL73" s="73">
        <v>311075.96180862596</v>
      </c>
      <c r="AM73" s="73">
        <v>311075.96180862596</v>
      </c>
      <c r="AN73" s="73">
        <v>311075.96180862596</v>
      </c>
      <c r="AO73" s="73">
        <v>311075.96180862596</v>
      </c>
      <c r="AP73" s="73">
        <v>311075.96180862596</v>
      </c>
      <c r="AQ73" s="73">
        <v>311075.96180862596</v>
      </c>
      <c r="AS73" s="73">
        <v>315071.70938584191</v>
      </c>
      <c r="AT73" s="73">
        <v>315071.70938584191</v>
      </c>
      <c r="AU73" s="73">
        <v>315071.70938584191</v>
      </c>
      <c r="AV73" s="73">
        <v>315071.70938584191</v>
      </c>
      <c r="AW73" s="73">
        <v>315071.70938584191</v>
      </c>
      <c r="AX73" s="73">
        <v>315071.70938584191</v>
      </c>
      <c r="AY73" s="73">
        <v>315071.70938584191</v>
      </c>
      <c r="AZ73" s="73">
        <v>315071.70938584191</v>
      </c>
      <c r="BA73" s="73">
        <v>315071.70938584191</v>
      </c>
      <c r="BB73" s="73">
        <v>315071.70938584191</v>
      </c>
      <c r="BC73" s="73">
        <v>315071.70938584191</v>
      </c>
      <c r="BD73" s="73">
        <v>315071.70938584191</v>
      </c>
      <c r="BF73" s="73">
        <v>318047.86047729413</v>
      </c>
      <c r="BG73" s="73">
        <v>318047.86047729413</v>
      </c>
      <c r="BH73" s="73">
        <v>318047.86047729413</v>
      </c>
      <c r="BI73" s="73">
        <v>318047.86047729413</v>
      </c>
      <c r="BJ73" s="73">
        <v>318047.86047729413</v>
      </c>
      <c r="BK73" s="73">
        <v>318047.86047729413</v>
      </c>
      <c r="BL73" s="73">
        <v>318047.86047729413</v>
      </c>
      <c r="BM73" s="73">
        <v>318047.86047729413</v>
      </c>
      <c r="BN73" s="73">
        <v>318047.86047729413</v>
      </c>
      <c r="BO73" s="73">
        <v>318047.86047729413</v>
      </c>
      <c r="BP73" s="73">
        <v>318047.86047729413</v>
      </c>
      <c r="BQ73" s="73">
        <v>318047.86047729413</v>
      </c>
    </row>
    <row r="74" spans="1:70" hidden="1" outlineLevel="1">
      <c r="A74" s="63" t="s">
        <v>108</v>
      </c>
      <c r="F74" s="72">
        <v>0</v>
      </c>
      <c r="G74" s="73">
        <v>0</v>
      </c>
      <c r="H74" s="73">
        <v>0</v>
      </c>
      <c r="I74" s="73">
        <v>0</v>
      </c>
      <c r="J74" s="73">
        <v>0</v>
      </c>
      <c r="K74" s="73">
        <v>0</v>
      </c>
      <c r="L74" s="73">
        <v>0</v>
      </c>
      <c r="M74" s="73">
        <v>0</v>
      </c>
      <c r="N74" s="73">
        <v>0</v>
      </c>
      <c r="O74" s="73">
        <v>0</v>
      </c>
      <c r="P74" s="73">
        <v>0</v>
      </c>
      <c r="Q74" s="73">
        <v>0</v>
      </c>
      <c r="S74" s="73">
        <v>0</v>
      </c>
      <c r="T74" s="73">
        <v>0</v>
      </c>
      <c r="U74" s="73">
        <v>0</v>
      </c>
      <c r="V74" s="73">
        <v>0</v>
      </c>
      <c r="W74" s="73">
        <v>0</v>
      </c>
      <c r="X74" s="73">
        <v>0</v>
      </c>
      <c r="Y74" s="73">
        <v>0</v>
      </c>
      <c r="Z74" s="73">
        <v>0</v>
      </c>
      <c r="AA74" s="73">
        <v>0</v>
      </c>
      <c r="AB74" s="73">
        <v>0</v>
      </c>
      <c r="AC74" s="73">
        <v>0</v>
      </c>
      <c r="AD74" s="73">
        <v>0</v>
      </c>
      <c r="AF74" s="73">
        <v>0</v>
      </c>
      <c r="AG74" s="73">
        <v>0</v>
      </c>
      <c r="AH74" s="73">
        <v>0</v>
      </c>
      <c r="AI74" s="73">
        <v>0</v>
      </c>
      <c r="AJ74" s="73">
        <v>0</v>
      </c>
      <c r="AK74" s="73">
        <v>0</v>
      </c>
      <c r="AL74" s="73">
        <v>0</v>
      </c>
      <c r="AM74" s="73">
        <v>0</v>
      </c>
      <c r="AN74" s="73">
        <v>0</v>
      </c>
      <c r="AO74" s="73">
        <v>0</v>
      </c>
      <c r="AP74" s="73">
        <v>0</v>
      </c>
      <c r="AQ74" s="73">
        <v>0</v>
      </c>
      <c r="AS74" s="73">
        <v>0</v>
      </c>
      <c r="AT74" s="73">
        <v>0</v>
      </c>
      <c r="AU74" s="73">
        <v>0</v>
      </c>
      <c r="AV74" s="73">
        <v>0</v>
      </c>
      <c r="AW74" s="73">
        <v>0</v>
      </c>
      <c r="AX74" s="73">
        <v>0</v>
      </c>
      <c r="AY74" s="73">
        <v>0</v>
      </c>
      <c r="AZ74" s="73">
        <v>0</v>
      </c>
      <c r="BA74" s="73">
        <v>0</v>
      </c>
      <c r="BB74" s="73">
        <v>0</v>
      </c>
      <c r="BC74" s="73">
        <v>0</v>
      </c>
      <c r="BD74" s="73">
        <v>0</v>
      </c>
      <c r="BF74" s="73">
        <v>0</v>
      </c>
      <c r="BG74" s="73">
        <v>0</v>
      </c>
      <c r="BH74" s="73">
        <v>0</v>
      </c>
      <c r="BI74" s="73">
        <v>0</v>
      </c>
      <c r="BJ74" s="73">
        <v>0</v>
      </c>
      <c r="BK74" s="73">
        <v>0</v>
      </c>
      <c r="BL74" s="73">
        <v>0</v>
      </c>
      <c r="BM74" s="73">
        <v>0</v>
      </c>
      <c r="BN74" s="73">
        <v>0</v>
      </c>
      <c r="BO74" s="73">
        <v>0</v>
      </c>
      <c r="BP74" s="73">
        <v>0</v>
      </c>
      <c r="BQ74" s="73">
        <v>0</v>
      </c>
    </row>
    <row r="75" spans="1:70" ht="15" hidden="1" outlineLevel="1">
      <c r="A75" s="74" t="s">
        <v>114</v>
      </c>
      <c r="B75" s="75"/>
      <c r="C75" s="75"/>
      <c r="D75" s="75"/>
      <c r="E75" s="75"/>
      <c r="F75" s="76">
        <v>312977.25922790112</v>
      </c>
      <c r="G75" s="77">
        <v>312977.25922790112</v>
      </c>
      <c r="H75" s="77">
        <v>312977.25922790112</v>
      </c>
      <c r="I75" s="77">
        <v>312977.25922790112</v>
      </c>
      <c r="J75" s="77">
        <v>312977.25922790112</v>
      </c>
      <c r="K75" s="77">
        <v>312977.25922790112</v>
      </c>
      <c r="L75" s="77">
        <v>312977.25922790112</v>
      </c>
      <c r="M75" s="77">
        <v>312977.25922790112</v>
      </c>
      <c r="N75" s="77">
        <v>312977.25922790112</v>
      </c>
      <c r="O75" s="77">
        <v>312977.25922790112</v>
      </c>
      <c r="P75" s="77">
        <v>312977.25922790112</v>
      </c>
      <c r="Q75" s="77">
        <v>312977.25922790112</v>
      </c>
      <c r="S75" s="77">
        <v>303345.92496280459</v>
      </c>
      <c r="T75" s="77">
        <v>303345.92496280459</v>
      </c>
      <c r="U75" s="77">
        <v>303345.92496280459</v>
      </c>
      <c r="V75" s="77">
        <v>303345.92496280459</v>
      </c>
      <c r="W75" s="77">
        <v>303345.92496280459</v>
      </c>
      <c r="X75" s="77">
        <v>303345.92496280459</v>
      </c>
      <c r="Y75" s="77">
        <v>303345.92496280459</v>
      </c>
      <c r="Z75" s="77">
        <v>303345.92496280459</v>
      </c>
      <c r="AA75" s="77">
        <v>303345.92496280459</v>
      </c>
      <c r="AB75" s="77">
        <v>303345.92496280459</v>
      </c>
      <c r="AC75" s="77">
        <v>303345.92496280459</v>
      </c>
      <c r="AD75" s="77">
        <v>303345.92496280459</v>
      </c>
      <c r="AF75" s="77">
        <v>311075.96180862596</v>
      </c>
      <c r="AG75" s="77">
        <v>311075.96180862596</v>
      </c>
      <c r="AH75" s="77">
        <v>311075.96180862596</v>
      </c>
      <c r="AI75" s="77">
        <v>311075.96180862596</v>
      </c>
      <c r="AJ75" s="77">
        <v>311075.96180862596</v>
      </c>
      <c r="AK75" s="77">
        <v>311075.96180862596</v>
      </c>
      <c r="AL75" s="77">
        <v>311075.96180862596</v>
      </c>
      <c r="AM75" s="77">
        <v>311075.96180862596</v>
      </c>
      <c r="AN75" s="77">
        <v>311075.96180862596</v>
      </c>
      <c r="AO75" s="77">
        <v>311075.96180862596</v>
      </c>
      <c r="AP75" s="77">
        <v>311075.96180862596</v>
      </c>
      <c r="AQ75" s="77">
        <v>311075.96180862596</v>
      </c>
      <c r="AS75" s="77">
        <v>315071.70938584191</v>
      </c>
      <c r="AT75" s="77">
        <v>315071.70938584191</v>
      </c>
      <c r="AU75" s="77">
        <v>315071.70938584191</v>
      </c>
      <c r="AV75" s="77">
        <v>315071.70938584191</v>
      </c>
      <c r="AW75" s="77">
        <v>315071.70938584191</v>
      </c>
      <c r="AX75" s="77">
        <v>315071.70938584191</v>
      </c>
      <c r="AY75" s="77">
        <v>315071.70938584191</v>
      </c>
      <c r="AZ75" s="77">
        <v>315071.70938584191</v>
      </c>
      <c r="BA75" s="77">
        <v>315071.70938584191</v>
      </c>
      <c r="BB75" s="77">
        <v>315071.70938584191</v>
      </c>
      <c r="BC75" s="77">
        <v>315071.70938584191</v>
      </c>
      <c r="BD75" s="77">
        <v>315071.70938584191</v>
      </c>
      <c r="BF75" s="77">
        <v>318047.86047729413</v>
      </c>
      <c r="BG75" s="77">
        <v>318047.86047729413</v>
      </c>
      <c r="BH75" s="77">
        <v>318047.86047729413</v>
      </c>
      <c r="BI75" s="77">
        <v>318047.86047729413</v>
      </c>
      <c r="BJ75" s="77">
        <v>318047.86047729413</v>
      </c>
      <c r="BK75" s="77">
        <v>318047.86047729413</v>
      </c>
      <c r="BL75" s="77">
        <v>318047.86047729413</v>
      </c>
      <c r="BM75" s="77">
        <v>318047.86047729413</v>
      </c>
      <c r="BN75" s="77">
        <v>318047.86047729413</v>
      </c>
      <c r="BO75" s="77">
        <v>318047.86047729413</v>
      </c>
      <c r="BP75" s="77">
        <v>318047.86047729413</v>
      </c>
      <c r="BQ75" s="77">
        <v>318047.86047729413</v>
      </c>
    </row>
    <row r="76" spans="1:70" hidden="1" outlineLevel="1"/>
    <row r="77" spans="1:70" ht="15" hidden="1" outlineLevel="1">
      <c r="A77" s="48" t="s">
        <v>115</v>
      </c>
    </row>
    <row r="78" spans="1:70" hidden="1" outlineLevel="1">
      <c r="A78" s="63" t="s">
        <v>116</v>
      </c>
      <c r="F78" s="72">
        <v>0</v>
      </c>
      <c r="G78" s="73">
        <v>0</v>
      </c>
      <c r="H78" s="73">
        <v>312977.25922790112</v>
      </c>
      <c r="I78" s="73">
        <v>312977.25922790112</v>
      </c>
      <c r="J78" s="73">
        <v>312977.25922790112</v>
      </c>
      <c r="K78" s="73">
        <v>312977.25922790112</v>
      </c>
      <c r="L78" s="73">
        <v>312977.25922790112</v>
      </c>
      <c r="M78" s="73">
        <v>312977.25922790112</v>
      </c>
      <c r="N78" s="73">
        <v>312977.25922790112</v>
      </c>
      <c r="O78" s="73">
        <v>312977.25922790112</v>
      </c>
      <c r="P78" s="73">
        <v>312977.25922790112</v>
      </c>
      <c r="Q78" s="73">
        <v>312977.25922790112</v>
      </c>
      <c r="S78" s="73">
        <v>312977.25922790112</v>
      </c>
      <c r="T78" s="72">
        <v>312977.25922790112</v>
      </c>
      <c r="U78" s="73">
        <v>303345.92496280459</v>
      </c>
      <c r="V78" s="73">
        <v>303345.92496280459</v>
      </c>
      <c r="W78" s="73">
        <v>303345.92496280459</v>
      </c>
      <c r="X78" s="73">
        <v>303345.92496280459</v>
      </c>
      <c r="Y78" s="73">
        <v>303345.92496280459</v>
      </c>
      <c r="Z78" s="73">
        <v>303345.92496280459</v>
      </c>
      <c r="AA78" s="73">
        <v>303345.92496280459</v>
      </c>
      <c r="AB78" s="73">
        <v>303345.92496280459</v>
      </c>
      <c r="AC78" s="73">
        <v>303345.92496280459</v>
      </c>
      <c r="AD78" s="73">
        <v>303345.92496280459</v>
      </c>
      <c r="AF78" s="73">
        <v>303345.92496280459</v>
      </c>
      <c r="AG78" s="72">
        <v>303345.92496280459</v>
      </c>
      <c r="AH78" s="73">
        <v>311075.96180862596</v>
      </c>
      <c r="AI78" s="73">
        <v>311075.96180862596</v>
      </c>
      <c r="AJ78" s="73">
        <v>311075.96180862596</v>
      </c>
      <c r="AK78" s="73">
        <v>311075.96180862596</v>
      </c>
      <c r="AL78" s="73">
        <v>311075.96180862596</v>
      </c>
      <c r="AM78" s="73">
        <v>311075.96180862596</v>
      </c>
      <c r="AN78" s="73">
        <v>311075.96180862596</v>
      </c>
      <c r="AO78" s="73">
        <v>311075.96180862596</v>
      </c>
      <c r="AP78" s="73">
        <v>311075.96180862596</v>
      </c>
      <c r="AQ78" s="73">
        <v>311075.96180862596</v>
      </c>
      <c r="AS78" s="73">
        <v>311075.96180862596</v>
      </c>
      <c r="AT78" s="72">
        <v>311075.96180862596</v>
      </c>
      <c r="AU78" s="73">
        <v>315071.70938584191</v>
      </c>
      <c r="AV78" s="73">
        <v>315071.70938584191</v>
      </c>
      <c r="AW78" s="73">
        <v>315071.70938584191</v>
      </c>
      <c r="AX78" s="73">
        <v>315071.70938584191</v>
      </c>
      <c r="AY78" s="73">
        <v>315071.70938584191</v>
      </c>
      <c r="AZ78" s="73">
        <v>315071.70938584191</v>
      </c>
      <c r="BA78" s="73">
        <v>315071.70938584191</v>
      </c>
      <c r="BB78" s="73">
        <v>315071.70938584191</v>
      </c>
      <c r="BC78" s="73">
        <v>315071.70938584191</v>
      </c>
      <c r="BD78" s="73">
        <v>315071.70938584191</v>
      </c>
      <c r="BF78" s="73">
        <v>315071.70938584191</v>
      </c>
      <c r="BG78" s="72">
        <v>315071.70938584191</v>
      </c>
      <c r="BH78" s="73">
        <v>318047.86047729413</v>
      </c>
      <c r="BI78" s="73">
        <v>318047.86047729413</v>
      </c>
      <c r="BJ78" s="73">
        <v>318047.86047729413</v>
      </c>
      <c r="BK78" s="73">
        <v>318047.86047729413</v>
      </c>
      <c r="BL78" s="73">
        <v>318047.86047729413</v>
      </c>
      <c r="BM78" s="73">
        <v>318047.86047729413</v>
      </c>
      <c r="BN78" s="73">
        <v>318047.86047729413</v>
      </c>
      <c r="BO78" s="73">
        <v>318047.86047729413</v>
      </c>
      <c r="BP78" s="73">
        <v>318047.86047729413</v>
      </c>
      <c r="BQ78" s="73">
        <v>318047.86047729413</v>
      </c>
    </row>
    <row r="79" spans="1:70" hidden="1" outlineLevel="1">
      <c r="A79" s="63" t="s">
        <v>117</v>
      </c>
      <c r="F79" s="72">
        <v>0</v>
      </c>
      <c r="G79" s="73">
        <v>0</v>
      </c>
      <c r="H79" s="73">
        <v>0</v>
      </c>
      <c r="I79" s="73">
        <v>0</v>
      </c>
      <c r="J79" s="73">
        <v>0</v>
      </c>
      <c r="K79" s="73">
        <v>0</v>
      </c>
      <c r="L79" s="73">
        <v>0</v>
      </c>
      <c r="M79" s="73">
        <v>0</v>
      </c>
      <c r="N79" s="73">
        <v>0</v>
      </c>
      <c r="O79" s="73">
        <v>0</v>
      </c>
      <c r="P79" s="73">
        <v>0</v>
      </c>
      <c r="Q79" s="73">
        <v>0</v>
      </c>
      <c r="S79" s="73">
        <v>0</v>
      </c>
      <c r="T79" s="72">
        <v>0</v>
      </c>
      <c r="U79" s="73">
        <v>0</v>
      </c>
      <c r="V79" s="73">
        <v>0</v>
      </c>
      <c r="W79" s="73">
        <v>0</v>
      </c>
      <c r="X79" s="73">
        <v>0</v>
      </c>
      <c r="Y79" s="73">
        <v>0</v>
      </c>
      <c r="Z79" s="73">
        <v>0</v>
      </c>
      <c r="AA79" s="73">
        <v>0</v>
      </c>
      <c r="AB79" s="73">
        <v>0</v>
      </c>
      <c r="AC79" s="73">
        <v>0</v>
      </c>
      <c r="AD79" s="73">
        <v>0</v>
      </c>
      <c r="AF79" s="73">
        <v>0</v>
      </c>
      <c r="AG79" s="72">
        <v>0</v>
      </c>
      <c r="AH79" s="73">
        <v>0</v>
      </c>
      <c r="AI79" s="73">
        <v>0</v>
      </c>
      <c r="AJ79" s="73">
        <v>0</v>
      </c>
      <c r="AK79" s="73">
        <v>0</v>
      </c>
      <c r="AL79" s="73">
        <v>0</v>
      </c>
      <c r="AM79" s="73">
        <v>0</v>
      </c>
      <c r="AN79" s="73">
        <v>0</v>
      </c>
      <c r="AO79" s="73">
        <v>0</v>
      </c>
      <c r="AP79" s="73">
        <v>0</v>
      </c>
      <c r="AQ79" s="73">
        <v>0</v>
      </c>
      <c r="AS79" s="73">
        <v>0</v>
      </c>
      <c r="AT79" s="72">
        <v>0</v>
      </c>
      <c r="AU79" s="73">
        <v>0</v>
      </c>
      <c r="AV79" s="73">
        <v>0</v>
      </c>
      <c r="AW79" s="73">
        <v>0</v>
      </c>
      <c r="AX79" s="73">
        <v>0</v>
      </c>
      <c r="AY79" s="73">
        <v>0</v>
      </c>
      <c r="AZ79" s="73">
        <v>0</v>
      </c>
      <c r="BA79" s="73">
        <v>0</v>
      </c>
      <c r="BB79" s="73">
        <v>0</v>
      </c>
      <c r="BC79" s="73">
        <v>0</v>
      </c>
      <c r="BD79" s="73">
        <v>0</v>
      </c>
      <c r="BF79" s="73">
        <v>0</v>
      </c>
      <c r="BG79" s="72">
        <v>0</v>
      </c>
      <c r="BH79" s="73">
        <v>0</v>
      </c>
      <c r="BI79" s="73">
        <v>0</v>
      </c>
      <c r="BJ79" s="73">
        <v>0</v>
      </c>
      <c r="BK79" s="73">
        <v>0</v>
      </c>
      <c r="BL79" s="73">
        <v>0</v>
      </c>
      <c r="BM79" s="73">
        <v>0</v>
      </c>
      <c r="BN79" s="73">
        <v>0</v>
      </c>
      <c r="BO79" s="73">
        <v>0</v>
      </c>
      <c r="BP79" s="73">
        <v>0</v>
      </c>
      <c r="BQ79" s="73">
        <v>0</v>
      </c>
    </row>
    <row r="80" spans="1:70" ht="15" hidden="1" outlineLevel="1">
      <c r="A80" s="74" t="s">
        <v>118</v>
      </c>
      <c r="B80" s="75"/>
      <c r="C80" s="75"/>
      <c r="D80" s="75"/>
      <c r="E80" s="75"/>
      <c r="F80" s="76">
        <v>0</v>
      </c>
      <c r="G80" s="77">
        <v>0</v>
      </c>
      <c r="H80" s="77">
        <v>312977.25922790112</v>
      </c>
      <c r="I80" s="77">
        <v>312977.25922790112</v>
      </c>
      <c r="J80" s="77">
        <v>312977.25922790112</v>
      </c>
      <c r="K80" s="77">
        <v>312977.25922790112</v>
      </c>
      <c r="L80" s="77">
        <v>312977.25922790112</v>
      </c>
      <c r="M80" s="77">
        <v>312977.25922790112</v>
      </c>
      <c r="N80" s="77">
        <v>312977.25922790112</v>
      </c>
      <c r="O80" s="77">
        <v>312977.25922790112</v>
      </c>
      <c r="P80" s="77">
        <v>312977.25922790112</v>
      </c>
      <c r="Q80" s="77">
        <v>312977.25922790112</v>
      </c>
      <c r="S80" s="77">
        <v>312977.25922790112</v>
      </c>
      <c r="T80" s="77">
        <v>312977.25922790112</v>
      </c>
      <c r="U80" s="77">
        <v>303345.92496280459</v>
      </c>
      <c r="V80" s="77">
        <v>303345.92496280459</v>
      </c>
      <c r="W80" s="77">
        <v>303345.92496280459</v>
      </c>
      <c r="X80" s="77">
        <v>303345.92496280459</v>
      </c>
      <c r="Y80" s="77">
        <v>303345.92496280459</v>
      </c>
      <c r="Z80" s="77">
        <v>303345.92496280459</v>
      </c>
      <c r="AA80" s="77">
        <v>303345.92496280459</v>
      </c>
      <c r="AB80" s="77">
        <v>303345.92496280459</v>
      </c>
      <c r="AC80" s="77">
        <v>303345.92496280459</v>
      </c>
      <c r="AD80" s="77">
        <v>303345.92496280459</v>
      </c>
      <c r="AF80" s="77">
        <v>303345.92496280459</v>
      </c>
      <c r="AG80" s="77">
        <v>303345.92496280459</v>
      </c>
      <c r="AH80" s="77">
        <v>311075.96180862596</v>
      </c>
      <c r="AI80" s="77">
        <v>311075.96180862596</v>
      </c>
      <c r="AJ80" s="77">
        <v>311075.96180862596</v>
      </c>
      <c r="AK80" s="77">
        <v>311075.96180862596</v>
      </c>
      <c r="AL80" s="77">
        <v>311075.96180862596</v>
      </c>
      <c r="AM80" s="77">
        <v>311075.96180862596</v>
      </c>
      <c r="AN80" s="77">
        <v>311075.96180862596</v>
      </c>
      <c r="AO80" s="77">
        <v>311075.96180862596</v>
      </c>
      <c r="AP80" s="77">
        <v>311075.96180862596</v>
      </c>
      <c r="AQ80" s="77">
        <v>311075.96180862596</v>
      </c>
      <c r="AS80" s="77">
        <v>311075.96180862596</v>
      </c>
      <c r="AT80" s="77">
        <v>311075.96180862596</v>
      </c>
      <c r="AU80" s="77">
        <v>315071.70938584191</v>
      </c>
      <c r="AV80" s="77">
        <v>315071.70938584191</v>
      </c>
      <c r="AW80" s="77">
        <v>315071.70938584191</v>
      </c>
      <c r="AX80" s="77">
        <v>315071.70938584191</v>
      </c>
      <c r="AY80" s="77">
        <v>315071.70938584191</v>
      </c>
      <c r="AZ80" s="77">
        <v>315071.70938584191</v>
      </c>
      <c r="BA80" s="77">
        <v>315071.70938584191</v>
      </c>
      <c r="BB80" s="77">
        <v>315071.70938584191</v>
      </c>
      <c r="BC80" s="77">
        <v>315071.70938584191</v>
      </c>
      <c r="BD80" s="77">
        <v>315071.70938584191</v>
      </c>
      <c r="BF80" s="77">
        <v>315071.70938584191</v>
      </c>
      <c r="BG80" s="77">
        <v>315071.70938584191</v>
      </c>
      <c r="BH80" s="77">
        <v>318047.86047729413</v>
      </c>
      <c r="BI80" s="77">
        <v>318047.86047729413</v>
      </c>
      <c r="BJ80" s="77">
        <v>318047.86047729413</v>
      </c>
      <c r="BK80" s="77">
        <v>318047.86047729413</v>
      </c>
      <c r="BL80" s="77">
        <v>318047.86047729413</v>
      </c>
      <c r="BM80" s="77">
        <v>318047.86047729413</v>
      </c>
      <c r="BN80" s="77">
        <v>318047.86047729413</v>
      </c>
      <c r="BO80" s="77">
        <v>318047.86047729413</v>
      </c>
      <c r="BP80" s="77">
        <v>318047.86047729413</v>
      </c>
      <c r="BQ80" s="77">
        <v>318047.86047729413</v>
      </c>
    </row>
    <row r="81" spans="1:69" hidden="1" outlineLevel="1"/>
    <row r="82" spans="1:69" hidden="1" outlineLevel="1">
      <c r="A82" s="63" t="s">
        <v>119</v>
      </c>
      <c r="F82" s="72">
        <v>0</v>
      </c>
      <c r="G82" s="73">
        <v>312977.25922790112</v>
      </c>
      <c r="H82" s="73">
        <v>625954.51845580223</v>
      </c>
      <c r="I82" s="73">
        <v>625954.51845580223</v>
      </c>
      <c r="J82" s="73">
        <v>625954.51845580223</v>
      </c>
      <c r="K82" s="73">
        <v>625954.51845580223</v>
      </c>
      <c r="L82" s="73">
        <v>625954.51845580223</v>
      </c>
      <c r="M82" s="73">
        <v>625954.51845580223</v>
      </c>
      <c r="N82" s="73">
        <v>625954.51845580223</v>
      </c>
      <c r="O82" s="73">
        <v>625954.51845580223</v>
      </c>
      <c r="P82" s="73">
        <v>625954.51845580223</v>
      </c>
      <c r="Q82" s="73">
        <v>625954.51845580223</v>
      </c>
      <c r="S82" s="72">
        <v>625954.51845580223</v>
      </c>
      <c r="T82" s="72">
        <v>616323.18419070577</v>
      </c>
      <c r="U82" s="73">
        <v>606691.84992560919</v>
      </c>
      <c r="V82" s="73">
        <v>606691.84992560907</v>
      </c>
      <c r="W82" s="73">
        <v>606691.84992560907</v>
      </c>
      <c r="X82" s="73">
        <v>606691.84992560907</v>
      </c>
      <c r="Y82" s="73">
        <v>606691.84992560907</v>
      </c>
      <c r="Z82" s="73">
        <v>606691.84992560907</v>
      </c>
      <c r="AA82" s="73">
        <v>606691.84992560907</v>
      </c>
      <c r="AB82" s="73">
        <v>606691.84992560907</v>
      </c>
      <c r="AC82" s="73">
        <v>606691.84992560907</v>
      </c>
      <c r="AD82" s="73">
        <v>606691.84992560907</v>
      </c>
      <c r="AF82" s="72">
        <v>606691.84992560907</v>
      </c>
      <c r="AG82" s="72">
        <v>614421.88677143049</v>
      </c>
      <c r="AH82" s="73">
        <v>622151.92361725192</v>
      </c>
      <c r="AI82" s="73">
        <v>622151.92361725192</v>
      </c>
      <c r="AJ82" s="73">
        <v>622151.92361725192</v>
      </c>
      <c r="AK82" s="73">
        <v>622151.92361725192</v>
      </c>
      <c r="AL82" s="73">
        <v>622151.92361725192</v>
      </c>
      <c r="AM82" s="73">
        <v>622151.92361725192</v>
      </c>
      <c r="AN82" s="73">
        <v>622151.92361725192</v>
      </c>
      <c r="AO82" s="73">
        <v>622151.92361725192</v>
      </c>
      <c r="AP82" s="73">
        <v>622151.92361725192</v>
      </c>
      <c r="AQ82" s="73">
        <v>622151.92361725192</v>
      </c>
      <c r="AS82" s="72">
        <v>622151.92361725192</v>
      </c>
      <c r="AT82" s="72">
        <v>626147.67119446781</v>
      </c>
      <c r="AU82" s="73">
        <v>630143.41877168382</v>
      </c>
      <c r="AV82" s="73">
        <v>630143.41877168394</v>
      </c>
      <c r="AW82" s="73">
        <v>630143.41877168394</v>
      </c>
      <c r="AX82" s="73">
        <v>630143.41877168394</v>
      </c>
      <c r="AY82" s="73">
        <v>630143.41877168394</v>
      </c>
      <c r="AZ82" s="73">
        <v>630143.41877168394</v>
      </c>
      <c r="BA82" s="73">
        <v>630143.41877168394</v>
      </c>
      <c r="BB82" s="73">
        <v>630143.41877168394</v>
      </c>
      <c r="BC82" s="73">
        <v>630143.41877168394</v>
      </c>
      <c r="BD82" s="73">
        <v>630143.41877168394</v>
      </c>
      <c r="BF82" s="72">
        <v>630143.41877168394</v>
      </c>
      <c r="BG82" s="72">
        <v>633119.56986313616</v>
      </c>
      <c r="BH82" s="73">
        <v>636095.72095458838</v>
      </c>
      <c r="BI82" s="73">
        <v>636095.72095458838</v>
      </c>
      <c r="BJ82" s="73">
        <v>636095.72095458838</v>
      </c>
      <c r="BK82" s="73">
        <v>636095.72095458838</v>
      </c>
      <c r="BL82" s="73">
        <v>636095.72095458838</v>
      </c>
      <c r="BM82" s="73">
        <v>636095.72095458838</v>
      </c>
      <c r="BN82" s="73">
        <v>636095.72095458838</v>
      </c>
      <c r="BO82" s="73">
        <v>636095.72095458838</v>
      </c>
      <c r="BP82" s="73">
        <v>636095.72095458838</v>
      </c>
      <c r="BQ82" s="73">
        <v>636095.72095458838</v>
      </c>
    </row>
    <row r="83" spans="1:69" hidden="1" outlineLevel="1">
      <c r="A83" s="63" t="s">
        <v>120</v>
      </c>
      <c r="F83" s="72">
        <v>312977.25922790112</v>
      </c>
      <c r="G83" s="73">
        <v>625954.51845580223</v>
      </c>
      <c r="H83" s="73">
        <v>625954.51845580223</v>
      </c>
      <c r="I83" s="73">
        <v>625954.51845580223</v>
      </c>
      <c r="J83" s="73">
        <v>625954.51845580223</v>
      </c>
      <c r="K83" s="73">
        <v>625954.51845580223</v>
      </c>
      <c r="L83" s="73">
        <v>625954.51845580223</v>
      </c>
      <c r="M83" s="73">
        <v>625954.51845580223</v>
      </c>
      <c r="N83" s="73">
        <v>625954.51845580223</v>
      </c>
      <c r="O83" s="73">
        <v>625954.51845580223</v>
      </c>
      <c r="P83" s="73">
        <v>625954.51845580223</v>
      </c>
      <c r="Q83" s="73">
        <v>625954.51845580223</v>
      </c>
      <c r="S83" s="73">
        <v>616323.18419070577</v>
      </c>
      <c r="T83" s="73">
        <v>606691.84992560919</v>
      </c>
      <c r="U83" s="73">
        <v>606691.84992560907</v>
      </c>
      <c r="V83" s="73">
        <v>606691.84992560907</v>
      </c>
      <c r="W83" s="73">
        <v>606691.84992560907</v>
      </c>
      <c r="X83" s="73">
        <v>606691.84992560907</v>
      </c>
      <c r="Y83" s="73">
        <v>606691.84992560907</v>
      </c>
      <c r="Z83" s="73">
        <v>606691.84992560907</v>
      </c>
      <c r="AA83" s="73">
        <v>606691.84992560907</v>
      </c>
      <c r="AB83" s="73">
        <v>606691.84992560907</v>
      </c>
      <c r="AC83" s="73">
        <v>606691.84992560907</v>
      </c>
      <c r="AD83" s="73">
        <v>606691.84992560907</v>
      </c>
      <c r="AF83" s="73">
        <v>614421.88677143049</v>
      </c>
      <c r="AG83" s="73">
        <v>622151.92361725192</v>
      </c>
      <c r="AH83" s="73">
        <v>622151.92361725192</v>
      </c>
      <c r="AI83" s="73">
        <v>622151.92361725192</v>
      </c>
      <c r="AJ83" s="73">
        <v>622151.92361725192</v>
      </c>
      <c r="AK83" s="73">
        <v>622151.92361725192</v>
      </c>
      <c r="AL83" s="73">
        <v>622151.92361725192</v>
      </c>
      <c r="AM83" s="73">
        <v>622151.92361725192</v>
      </c>
      <c r="AN83" s="73">
        <v>622151.92361725192</v>
      </c>
      <c r="AO83" s="73">
        <v>622151.92361725192</v>
      </c>
      <c r="AP83" s="73">
        <v>622151.92361725192</v>
      </c>
      <c r="AQ83" s="73">
        <v>622151.92361725192</v>
      </c>
      <c r="AS83" s="73">
        <v>626147.67119446781</v>
      </c>
      <c r="AT83" s="73">
        <v>630143.41877168382</v>
      </c>
      <c r="AU83" s="73">
        <v>630143.41877168394</v>
      </c>
      <c r="AV83" s="73">
        <v>630143.41877168394</v>
      </c>
      <c r="AW83" s="73">
        <v>630143.41877168394</v>
      </c>
      <c r="AX83" s="73">
        <v>630143.41877168394</v>
      </c>
      <c r="AY83" s="73">
        <v>630143.41877168394</v>
      </c>
      <c r="AZ83" s="73">
        <v>630143.41877168394</v>
      </c>
      <c r="BA83" s="73">
        <v>630143.41877168394</v>
      </c>
      <c r="BB83" s="73">
        <v>630143.41877168394</v>
      </c>
      <c r="BC83" s="73">
        <v>630143.41877168394</v>
      </c>
      <c r="BD83" s="73">
        <v>630143.41877168394</v>
      </c>
      <c r="BF83" s="73">
        <v>633119.56986313616</v>
      </c>
      <c r="BG83" s="73">
        <v>636095.72095458838</v>
      </c>
      <c r="BH83" s="73">
        <v>636095.72095458838</v>
      </c>
      <c r="BI83" s="73">
        <v>636095.72095458838</v>
      </c>
      <c r="BJ83" s="73">
        <v>636095.72095458838</v>
      </c>
      <c r="BK83" s="73">
        <v>636095.72095458838</v>
      </c>
      <c r="BL83" s="73">
        <v>636095.72095458838</v>
      </c>
      <c r="BM83" s="73">
        <v>636095.72095458838</v>
      </c>
      <c r="BN83" s="73">
        <v>636095.72095458838</v>
      </c>
      <c r="BO83" s="73">
        <v>636095.72095458838</v>
      </c>
      <c r="BP83" s="73">
        <v>636095.72095458838</v>
      </c>
      <c r="BQ83" s="73">
        <v>636095.72095458838</v>
      </c>
    </row>
    <row r="84" spans="1:69" hidden="1" outlineLevel="1"/>
    <row r="85" spans="1:69" hidden="1" outlineLevel="1"/>
    <row r="86" spans="1:69" hidden="1" outlineLevel="1"/>
    <row r="87" spans="1:69" ht="15" hidden="1" outlineLevel="1">
      <c r="A87" s="71" t="s">
        <v>121</v>
      </c>
    </row>
    <row r="88" spans="1:69" hidden="1" outlineLevel="1">
      <c r="A88" s="63" t="s">
        <v>113</v>
      </c>
      <c r="F88" s="72">
        <v>209783.26333657565</v>
      </c>
      <c r="G88" s="73">
        <v>209783.26333657565</v>
      </c>
      <c r="H88" s="73">
        <v>209783.26333657565</v>
      </c>
      <c r="I88" s="73">
        <v>209783.26333657565</v>
      </c>
      <c r="J88" s="73">
        <v>209783.26333657565</v>
      </c>
      <c r="K88" s="73">
        <v>209783.26333657565</v>
      </c>
      <c r="L88" s="73">
        <v>209783.26333657565</v>
      </c>
      <c r="M88" s="73">
        <v>209783.26333657565</v>
      </c>
      <c r="N88" s="73">
        <v>209783.26333657565</v>
      </c>
      <c r="O88" s="73">
        <v>209783.26333657565</v>
      </c>
      <c r="P88" s="73">
        <v>209783.26333657565</v>
      </c>
      <c r="Q88" s="73">
        <v>209783.26333657565</v>
      </c>
      <c r="S88" s="73">
        <v>208320.23235097513</v>
      </c>
      <c r="T88" s="73">
        <v>208320.23235097513</v>
      </c>
      <c r="U88" s="73">
        <v>208320.23235097513</v>
      </c>
      <c r="V88" s="73">
        <v>208320.23235097513</v>
      </c>
      <c r="W88" s="73">
        <v>208320.23235097513</v>
      </c>
      <c r="X88" s="73">
        <v>208320.23235097513</v>
      </c>
      <c r="Y88" s="73">
        <v>208320.23235097513</v>
      </c>
      <c r="Z88" s="73">
        <v>208320.23235097513</v>
      </c>
      <c r="AA88" s="73">
        <v>208320.23235097513</v>
      </c>
      <c r="AB88" s="73">
        <v>208320.23235097513</v>
      </c>
      <c r="AC88" s="73">
        <v>208320.23235097513</v>
      </c>
      <c r="AD88" s="73">
        <v>208320.23235097513</v>
      </c>
      <c r="AF88" s="73">
        <v>219728.9655300758</v>
      </c>
      <c r="AG88" s="73">
        <v>219728.9655300758</v>
      </c>
      <c r="AH88" s="73">
        <v>219728.9655300758</v>
      </c>
      <c r="AI88" s="73">
        <v>219728.9655300758</v>
      </c>
      <c r="AJ88" s="73">
        <v>219728.9655300758</v>
      </c>
      <c r="AK88" s="73">
        <v>219728.9655300758</v>
      </c>
      <c r="AL88" s="73">
        <v>219728.9655300758</v>
      </c>
      <c r="AM88" s="73">
        <v>219728.9655300758</v>
      </c>
      <c r="AN88" s="73">
        <v>219728.9655300758</v>
      </c>
      <c r="AO88" s="73">
        <v>219728.9655300758</v>
      </c>
      <c r="AP88" s="73">
        <v>219728.9655300758</v>
      </c>
      <c r="AQ88" s="73">
        <v>219728.9655300758</v>
      </c>
      <c r="AS88" s="73">
        <v>224162.4046770889</v>
      </c>
      <c r="AT88" s="73">
        <v>224162.4046770889</v>
      </c>
      <c r="AU88" s="73">
        <v>224162.4046770889</v>
      </c>
      <c r="AV88" s="73">
        <v>224162.4046770889</v>
      </c>
      <c r="AW88" s="73">
        <v>224162.4046770889</v>
      </c>
      <c r="AX88" s="73">
        <v>224162.4046770889</v>
      </c>
      <c r="AY88" s="73">
        <v>224162.4046770889</v>
      </c>
      <c r="AZ88" s="73">
        <v>224162.4046770889</v>
      </c>
      <c r="BA88" s="73">
        <v>224162.4046770889</v>
      </c>
      <c r="BB88" s="73">
        <v>224162.4046770889</v>
      </c>
      <c r="BC88" s="73">
        <v>224162.4046770889</v>
      </c>
      <c r="BD88" s="73">
        <v>224162.4046770889</v>
      </c>
      <c r="BF88" s="73">
        <v>227922.88788548778</v>
      </c>
      <c r="BG88" s="73">
        <v>227922.88788548778</v>
      </c>
      <c r="BH88" s="73">
        <v>227922.88788548778</v>
      </c>
      <c r="BI88" s="73">
        <v>227922.88788548778</v>
      </c>
      <c r="BJ88" s="73">
        <v>227922.88788548778</v>
      </c>
      <c r="BK88" s="73">
        <v>227922.88788548778</v>
      </c>
      <c r="BL88" s="73">
        <v>227922.88788548778</v>
      </c>
      <c r="BM88" s="73">
        <v>227922.88788548778</v>
      </c>
      <c r="BN88" s="73">
        <v>227922.88788548778</v>
      </c>
      <c r="BO88" s="73">
        <v>227922.88788548778</v>
      </c>
      <c r="BP88" s="73">
        <v>227922.88788548778</v>
      </c>
      <c r="BQ88" s="73">
        <v>227922.88788548778</v>
      </c>
    </row>
    <row r="89" spans="1:69" hidden="1" outlineLevel="1">
      <c r="A89" s="63" t="s">
        <v>108</v>
      </c>
      <c r="F89" s="72">
        <v>0</v>
      </c>
      <c r="G89" s="73">
        <v>0</v>
      </c>
      <c r="H89" s="73">
        <v>0</v>
      </c>
      <c r="I89" s="73">
        <v>0</v>
      </c>
      <c r="J89" s="73">
        <v>0</v>
      </c>
      <c r="K89" s="73">
        <v>0</v>
      </c>
      <c r="L89" s="73">
        <v>0</v>
      </c>
      <c r="M89" s="73">
        <v>0</v>
      </c>
      <c r="N89" s="73">
        <v>0</v>
      </c>
      <c r="O89" s="73">
        <v>0</v>
      </c>
      <c r="P89" s="73">
        <v>0</v>
      </c>
      <c r="Q89" s="73">
        <v>0</v>
      </c>
      <c r="S89" s="73">
        <v>0</v>
      </c>
      <c r="T89" s="73">
        <v>0</v>
      </c>
      <c r="U89" s="73">
        <v>0</v>
      </c>
      <c r="V89" s="73">
        <v>0</v>
      </c>
      <c r="W89" s="73">
        <v>0</v>
      </c>
      <c r="X89" s="73">
        <v>0</v>
      </c>
      <c r="Y89" s="73">
        <v>0</v>
      </c>
      <c r="Z89" s="73">
        <v>0</v>
      </c>
      <c r="AA89" s="73">
        <v>0</v>
      </c>
      <c r="AB89" s="73">
        <v>0</v>
      </c>
      <c r="AC89" s="73">
        <v>0</v>
      </c>
      <c r="AD89" s="73">
        <v>0</v>
      </c>
      <c r="AF89" s="73">
        <v>0</v>
      </c>
      <c r="AG89" s="73">
        <v>0</v>
      </c>
      <c r="AH89" s="73">
        <v>0</v>
      </c>
      <c r="AI89" s="73">
        <v>0</v>
      </c>
      <c r="AJ89" s="73">
        <v>0</v>
      </c>
      <c r="AK89" s="73">
        <v>0</v>
      </c>
      <c r="AL89" s="73">
        <v>0</v>
      </c>
      <c r="AM89" s="73">
        <v>0</v>
      </c>
      <c r="AN89" s="73">
        <v>0</v>
      </c>
      <c r="AO89" s="73">
        <v>0</v>
      </c>
      <c r="AP89" s="73">
        <v>0</v>
      </c>
      <c r="AQ89" s="73">
        <v>0</v>
      </c>
      <c r="AS89" s="73">
        <v>0</v>
      </c>
      <c r="AT89" s="73">
        <v>0</v>
      </c>
      <c r="AU89" s="73">
        <v>0</v>
      </c>
      <c r="AV89" s="73">
        <v>0</v>
      </c>
      <c r="AW89" s="73">
        <v>0</v>
      </c>
      <c r="AX89" s="73">
        <v>0</v>
      </c>
      <c r="AY89" s="73">
        <v>0</v>
      </c>
      <c r="AZ89" s="73">
        <v>0</v>
      </c>
      <c r="BA89" s="73">
        <v>0</v>
      </c>
      <c r="BB89" s="73">
        <v>0</v>
      </c>
      <c r="BC89" s="73">
        <v>0</v>
      </c>
      <c r="BD89" s="73">
        <v>0</v>
      </c>
      <c r="BF89" s="73">
        <v>0</v>
      </c>
      <c r="BG89" s="73">
        <v>0</v>
      </c>
      <c r="BH89" s="73">
        <v>0</v>
      </c>
      <c r="BI89" s="73">
        <v>0</v>
      </c>
      <c r="BJ89" s="73">
        <v>0</v>
      </c>
      <c r="BK89" s="73">
        <v>0</v>
      </c>
      <c r="BL89" s="73">
        <v>0</v>
      </c>
      <c r="BM89" s="73">
        <v>0</v>
      </c>
      <c r="BN89" s="73">
        <v>0</v>
      </c>
      <c r="BO89" s="73">
        <v>0</v>
      </c>
      <c r="BP89" s="73">
        <v>0</v>
      </c>
      <c r="BQ89" s="73">
        <v>0</v>
      </c>
    </row>
    <row r="90" spans="1:69" ht="15" hidden="1" outlineLevel="1">
      <c r="A90" s="74" t="s">
        <v>114</v>
      </c>
      <c r="B90" s="75"/>
      <c r="C90" s="75"/>
      <c r="D90" s="75"/>
      <c r="E90" s="75"/>
      <c r="F90" s="76">
        <v>209783.26333657565</v>
      </c>
      <c r="G90" s="77">
        <v>209783.26333657565</v>
      </c>
      <c r="H90" s="77">
        <v>209783.26333657565</v>
      </c>
      <c r="I90" s="77">
        <v>209783.26333657565</v>
      </c>
      <c r="J90" s="77">
        <v>209783.26333657565</v>
      </c>
      <c r="K90" s="77">
        <v>209783.26333657565</v>
      </c>
      <c r="L90" s="77">
        <v>209783.26333657565</v>
      </c>
      <c r="M90" s="77">
        <v>209783.26333657565</v>
      </c>
      <c r="N90" s="77">
        <v>209783.26333657565</v>
      </c>
      <c r="O90" s="77">
        <v>209783.26333657565</v>
      </c>
      <c r="P90" s="77">
        <v>209783.26333657565</v>
      </c>
      <c r="Q90" s="77">
        <v>209783.26333657565</v>
      </c>
      <c r="S90" s="76">
        <v>208320.23235097513</v>
      </c>
      <c r="T90" s="77">
        <v>208320.23235097513</v>
      </c>
      <c r="U90" s="77">
        <v>208320.23235097513</v>
      </c>
      <c r="V90" s="77">
        <v>208320.23235097513</v>
      </c>
      <c r="W90" s="77">
        <v>208320.23235097513</v>
      </c>
      <c r="X90" s="77">
        <v>208320.23235097513</v>
      </c>
      <c r="Y90" s="77">
        <v>208320.23235097513</v>
      </c>
      <c r="Z90" s="77">
        <v>208320.23235097513</v>
      </c>
      <c r="AA90" s="77">
        <v>208320.23235097513</v>
      </c>
      <c r="AB90" s="77">
        <v>208320.23235097513</v>
      </c>
      <c r="AC90" s="77">
        <v>208320.23235097513</v>
      </c>
      <c r="AD90" s="77">
        <v>208320.23235097513</v>
      </c>
      <c r="AF90" s="76">
        <v>219728.9655300758</v>
      </c>
      <c r="AG90" s="77">
        <v>219728.9655300758</v>
      </c>
      <c r="AH90" s="77">
        <v>219728.9655300758</v>
      </c>
      <c r="AI90" s="77">
        <v>219728.9655300758</v>
      </c>
      <c r="AJ90" s="77">
        <v>219728.9655300758</v>
      </c>
      <c r="AK90" s="77">
        <v>219728.9655300758</v>
      </c>
      <c r="AL90" s="77">
        <v>219728.9655300758</v>
      </c>
      <c r="AM90" s="77">
        <v>219728.9655300758</v>
      </c>
      <c r="AN90" s="77">
        <v>219728.9655300758</v>
      </c>
      <c r="AO90" s="77">
        <v>219728.9655300758</v>
      </c>
      <c r="AP90" s="77">
        <v>219728.9655300758</v>
      </c>
      <c r="AQ90" s="77">
        <v>219728.9655300758</v>
      </c>
      <c r="AS90" s="76">
        <v>224162.4046770889</v>
      </c>
      <c r="AT90" s="77">
        <v>224162.4046770889</v>
      </c>
      <c r="AU90" s="77">
        <v>224162.4046770889</v>
      </c>
      <c r="AV90" s="77">
        <v>224162.4046770889</v>
      </c>
      <c r="AW90" s="77">
        <v>224162.4046770889</v>
      </c>
      <c r="AX90" s="77">
        <v>224162.4046770889</v>
      </c>
      <c r="AY90" s="77">
        <v>224162.4046770889</v>
      </c>
      <c r="AZ90" s="77">
        <v>224162.4046770889</v>
      </c>
      <c r="BA90" s="77">
        <v>224162.4046770889</v>
      </c>
      <c r="BB90" s="77">
        <v>224162.4046770889</v>
      </c>
      <c r="BC90" s="77">
        <v>224162.4046770889</v>
      </c>
      <c r="BD90" s="77">
        <v>224162.4046770889</v>
      </c>
      <c r="BF90" s="76">
        <v>227922.88788548778</v>
      </c>
      <c r="BG90" s="77">
        <v>227922.88788548778</v>
      </c>
      <c r="BH90" s="77">
        <v>227922.88788548778</v>
      </c>
      <c r="BI90" s="77">
        <v>227922.88788548778</v>
      </c>
      <c r="BJ90" s="77">
        <v>227922.88788548778</v>
      </c>
      <c r="BK90" s="77">
        <v>227922.88788548778</v>
      </c>
      <c r="BL90" s="77">
        <v>227922.88788548778</v>
      </c>
      <c r="BM90" s="77">
        <v>227922.88788548778</v>
      </c>
      <c r="BN90" s="77">
        <v>227922.88788548778</v>
      </c>
      <c r="BO90" s="77">
        <v>227922.88788548778</v>
      </c>
      <c r="BP90" s="77">
        <v>227922.88788548778</v>
      </c>
      <c r="BQ90" s="77">
        <v>227922.88788548778</v>
      </c>
    </row>
    <row r="91" spans="1:69" ht="17.25" hidden="1" outlineLevel="1">
      <c r="A91" s="68"/>
    </row>
    <row r="92" spans="1:69" ht="15" hidden="1" outlineLevel="1">
      <c r="A92" s="48" t="s">
        <v>122</v>
      </c>
    </row>
    <row r="93" spans="1:69" hidden="1" outlineLevel="1">
      <c r="A93" s="63" t="s">
        <v>123</v>
      </c>
      <c r="F93" s="72">
        <v>0</v>
      </c>
      <c r="G93" s="73">
        <v>209783.26333657565</v>
      </c>
      <c r="H93" s="73">
        <v>209783.26333657565</v>
      </c>
      <c r="I93" s="73">
        <v>209783.26333657565</v>
      </c>
      <c r="J93" s="73">
        <v>209783.26333657565</v>
      </c>
      <c r="K93" s="73">
        <v>209783.26333657565</v>
      </c>
      <c r="L93" s="73">
        <v>209783.26333657565</v>
      </c>
      <c r="M93" s="73">
        <v>209783.26333657565</v>
      </c>
      <c r="N93" s="73">
        <v>209783.26333657565</v>
      </c>
      <c r="O93" s="73">
        <v>209783.26333657565</v>
      </c>
      <c r="P93" s="73">
        <v>209783.26333657565</v>
      </c>
      <c r="Q93" s="73">
        <v>209783.26333657565</v>
      </c>
      <c r="S93" s="72">
        <v>209783.26333657565</v>
      </c>
      <c r="T93" s="72">
        <v>208320.23235097513</v>
      </c>
      <c r="U93" s="73">
        <v>208320.23235097513</v>
      </c>
      <c r="V93" s="73">
        <v>208320.23235097513</v>
      </c>
      <c r="W93" s="73">
        <v>208320.23235097513</v>
      </c>
      <c r="X93" s="73">
        <v>208320.23235097513</v>
      </c>
      <c r="Y93" s="73">
        <v>208320.23235097513</v>
      </c>
      <c r="Z93" s="73">
        <v>208320.23235097513</v>
      </c>
      <c r="AA93" s="73">
        <v>208320.23235097513</v>
      </c>
      <c r="AB93" s="73">
        <v>208320.23235097513</v>
      </c>
      <c r="AC93" s="73">
        <v>208320.23235097513</v>
      </c>
      <c r="AD93" s="73">
        <v>208320.23235097513</v>
      </c>
      <c r="AF93" s="72">
        <v>208320.23235097513</v>
      </c>
      <c r="AG93" s="72">
        <v>219728.9655300758</v>
      </c>
      <c r="AH93" s="73">
        <v>219728.9655300758</v>
      </c>
      <c r="AI93" s="73">
        <v>219728.9655300758</v>
      </c>
      <c r="AJ93" s="73">
        <v>219728.9655300758</v>
      </c>
      <c r="AK93" s="73">
        <v>219728.9655300758</v>
      </c>
      <c r="AL93" s="73">
        <v>219728.9655300758</v>
      </c>
      <c r="AM93" s="73">
        <v>219728.9655300758</v>
      </c>
      <c r="AN93" s="73">
        <v>219728.9655300758</v>
      </c>
      <c r="AO93" s="73">
        <v>219728.9655300758</v>
      </c>
      <c r="AP93" s="73">
        <v>219728.9655300758</v>
      </c>
      <c r="AQ93" s="73">
        <v>219728.9655300758</v>
      </c>
      <c r="AS93" s="72">
        <v>219728.9655300758</v>
      </c>
      <c r="AT93" s="72">
        <v>224162.4046770889</v>
      </c>
      <c r="AU93" s="73">
        <v>224162.4046770889</v>
      </c>
      <c r="AV93" s="73">
        <v>224162.4046770889</v>
      </c>
      <c r="AW93" s="73">
        <v>224162.4046770889</v>
      </c>
      <c r="AX93" s="73">
        <v>224162.4046770889</v>
      </c>
      <c r="AY93" s="73">
        <v>224162.4046770889</v>
      </c>
      <c r="AZ93" s="73">
        <v>224162.4046770889</v>
      </c>
      <c r="BA93" s="73">
        <v>224162.4046770889</v>
      </c>
      <c r="BB93" s="73">
        <v>224162.4046770889</v>
      </c>
      <c r="BC93" s="73">
        <v>224162.4046770889</v>
      </c>
      <c r="BD93" s="73">
        <v>224162.4046770889</v>
      </c>
      <c r="BF93" s="72">
        <v>224162.4046770889</v>
      </c>
      <c r="BG93" s="72">
        <v>227922.88788548778</v>
      </c>
      <c r="BH93" s="73">
        <v>227922.88788548778</v>
      </c>
      <c r="BI93" s="73">
        <v>227922.88788548778</v>
      </c>
      <c r="BJ93" s="73">
        <v>227922.88788548778</v>
      </c>
      <c r="BK93" s="73">
        <v>227922.88788548778</v>
      </c>
      <c r="BL93" s="73">
        <v>227922.88788548778</v>
      </c>
      <c r="BM93" s="73">
        <v>227922.88788548778</v>
      </c>
      <c r="BN93" s="73">
        <v>227922.88788548778</v>
      </c>
      <c r="BO93" s="73">
        <v>227922.88788548778</v>
      </c>
      <c r="BP93" s="73">
        <v>227922.88788548778</v>
      </c>
      <c r="BQ93" s="73">
        <v>227922.88788548778</v>
      </c>
    </row>
    <row r="94" spans="1:69" hidden="1" outlineLevel="1">
      <c r="A94" s="63" t="s">
        <v>124</v>
      </c>
      <c r="F94" s="72">
        <v>0</v>
      </c>
      <c r="G94" s="73">
        <v>0</v>
      </c>
      <c r="H94" s="73">
        <v>0</v>
      </c>
      <c r="I94" s="73">
        <v>0</v>
      </c>
      <c r="J94" s="73">
        <v>0</v>
      </c>
      <c r="K94" s="73">
        <v>0</v>
      </c>
      <c r="L94" s="73">
        <v>0</v>
      </c>
      <c r="M94" s="73">
        <v>0</v>
      </c>
      <c r="N94" s="73">
        <v>0</v>
      </c>
      <c r="O94" s="73">
        <v>0</v>
      </c>
      <c r="P94" s="73">
        <v>0</v>
      </c>
      <c r="Q94" s="73">
        <v>0</v>
      </c>
      <c r="S94" s="72">
        <v>0</v>
      </c>
      <c r="T94" s="72">
        <v>0</v>
      </c>
      <c r="U94" s="73">
        <v>0</v>
      </c>
      <c r="V94" s="73">
        <v>0</v>
      </c>
      <c r="W94" s="73">
        <v>0</v>
      </c>
      <c r="X94" s="73">
        <v>0</v>
      </c>
      <c r="Y94" s="73">
        <v>0</v>
      </c>
      <c r="Z94" s="73">
        <v>0</v>
      </c>
      <c r="AA94" s="73">
        <v>0</v>
      </c>
      <c r="AB94" s="73">
        <v>0</v>
      </c>
      <c r="AC94" s="73">
        <v>0</v>
      </c>
      <c r="AD94" s="73">
        <v>0</v>
      </c>
      <c r="AF94" s="72">
        <v>0</v>
      </c>
      <c r="AG94" s="72">
        <v>0</v>
      </c>
      <c r="AH94" s="73">
        <v>0</v>
      </c>
      <c r="AI94" s="73">
        <v>0</v>
      </c>
      <c r="AJ94" s="73">
        <v>0</v>
      </c>
      <c r="AK94" s="73">
        <v>0</v>
      </c>
      <c r="AL94" s="73">
        <v>0</v>
      </c>
      <c r="AM94" s="73">
        <v>0</v>
      </c>
      <c r="AN94" s="73">
        <v>0</v>
      </c>
      <c r="AO94" s="73">
        <v>0</v>
      </c>
      <c r="AP94" s="73">
        <v>0</v>
      </c>
      <c r="AQ94" s="73">
        <v>0</v>
      </c>
      <c r="AS94" s="72">
        <v>0</v>
      </c>
      <c r="AT94" s="72">
        <v>0</v>
      </c>
      <c r="AU94" s="73">
        <v>0</v>
      </c>
      <c r="AV94" s="73">
        <v>0</v>
      </c>
      <c r="AW94" s="73">
        <v>0</v>
      </c>
      <c r="AX94" s="73">
        <v>0</v>
      </c>
      <c r="AY94" s="73">
        <v>0</v>
      </c>
      <c r="AZ94" s="73">
        <v>0</v>
      </c>
      <c r="BA94" s="73">
        <v>0</v>
      </c>
      <c r="BB94" s="73">
        <v>0</v>
      </c>
      <c r="BC94" s="73">
        <v>0</v>
      </c>
      <c r="BD94" s="73">
        <v>0</v>
      </c>
      <c r="BF94" s="72">
        <v>0</v>
      </c>
      <c r="BG94" s="72">
        <v>0</v>
      </c>
      <c r="BH94" s="73">
        <v>0</v>
      </c>
      <c r="BI94" s="73">
        <v>0</v>
      </c>
      <c r="BJ94" s="73">
        <v>0</v>
      </c>
      <c r="BK94" s="73">
        <v>0</v>
      </c>
      <c r="BL94" s="73">
        <v>0</v>
      </c>
      <c r="BM94" s="73">
        <v>0</v>
      </c>
      <c r="BN94" s="73">
        <v>0</v>
      </c>
      <c r="BO94" s="73">
        <v>0</v>
      </c>
      <c r="BP94" s="73">
        <v>0</v>
      </c>
      <c r="BQ94" s="73">
        <v>0</v>
      </c>
    </row>
    <row r="95" spans="1:69" ht="15" hidden="1" outlineLevel="1">
      <c r="A95" s="74" t="s">
        <v>125</v>
      </c>
      <c r="B95" s="75"/>
      <c r="C95" s="75"/>
      <c r="D95" s="75"/>
      <c r="E95" s="75"/>
      <c r="F95" s="76">
        <v>0</v>
      </c>
      <c r="G95" s="77">
        <v>209783.26333657565</v>
      </c>
      <c r="H95" s="77">
        <v>209783.26333657565</v>
      </c>
      <c r="I95" s="77">
        <v>209783.26333657565</v>
      </c>
      <c r="J95" s="77">
        <v>209783.26333657565</v>
      </c>
      <c r="K95" s="77">
        <v>209783.26333657565</v>
      </c>
      <c r="L95" s="77">
        <v>209783.26333657565</v>
      </c>
      <c r="M95" s="77">
        <v>209783.26333657565</v>
      </c>
      <c r="N95" s="77">
        <v>209783.26333657565</v>
      </c>
      <c r="O95" s="77">
        <v>209783.26333657565</v>
      </c>
      <c r="P95" s="77">
        <v>209783.26333657565</v>
      </c>
      <c r="Q95" s="77">
        <v>209783.26333657565</v>
      </c>
      <c r="S95" s="77">
        <v>209783.26333657565</v>
      </c>
      <c r="T95" s="77">
        <v>208320.23235097513</v>
      </c>
      <c r="U95" s="77">
        <v>208320.23235097513</v>
      </c>
      <c r="V95" s="77">
        <v>208320.23235097513</v>
      </c>
      <c r="W95" s="77">
        <v>208320.23235097513</v>
      </c>
      <c r="X95" s="77">
        <v>208320.23235097513</v>
      </c>
      <c r="Y95" s="77">
        <v>208320.23235097513</v>
      </c>
      <c r="Z95" s="77">
        <v>208320.23235097513</v>
      </c>
      <c r="AA95" s="77">
        <v>208320.23235097513</v>
      </c>
      <c r="AB95" s="77">
        <v>208320.23235097513</v>
      </c>
      <c r="AC95" s="77">
        <v>208320.23235097513</v>
      </c>
      <c r="AD95" s="77">
        <v>208320.23235097513</v>
      </c>
      <c r="AF95" s="77">
        <v>208320.23235097513</v>
      </c>
      <c r="AG95" s="77">
        <v>219728.9655300758</v>
      </c>
      <c r="AH95" s="77">
        <v>219728.9655300758</v>
      </c>
      <c r="AI95" s="77">
        <v>219728.9655300758</v>
      </c>
      <c r="AJ95" s="77">
        <v>219728.9655300758</v>
      </c>
      <c r="AK95" s="77">
        <v>219728.9655300758</v>
      </c>
      <c r="AL95" s="77">
        <v>219728.9655300758</v>
      </c>
      <c r="AM95" s="77">
        <v>219728.9655300758</v>
      </c>
      <c r="AN95" s="77">
        <v>219728.9655300758</v>
      </c>
      <c r="AO95" s="77">
        <v>219728.9655300758</v>
      </c>
      <c r="AP95" s="77">
        <v>219728.9655300758</v>
      </c>
      <c r="AQ95" s="77">
        <v>219728.9655300758</v>
      </c>
      <c r="AS95" s="77">
        <v>219728.9655300758</v>
      </c>
      <c r="AT95" s="77">
        <v>224162.4046770889</v>
      </c>
      <c r="AU95" s="77">
        <v>224162.4046770889</v>
      </c>
      <c r="AV95" s="77">
        <v>224162.4046770889</v>
      </c>
      <c r="AW95" s="77">
        <v>224162.4046770889</v>
      </c>
      <c r="AX95" s="77">
        <v>224162.4046770889</v>
      </c>
      <c r="AY95" s="77">
        <v>224162.4046770889</v>
      </c>
      <c r="AZ95" s="77">
        <v>224162.4046770889</v>
      </c>
      <c r="BA95" s="77">
        <v>224162.4046770889</v>
      </c>
      <c r="BB95" s="77">
        <v>224162.4046770889</v>
      </c>
      <c r="BC95" s="77">
        <v>224162.4046770889</v>
      </c>
      <c r="BD95" s="77">
        <v>224162.4046770889</v>
      </c>
      <c r="BF95" s="77">
        <v>224162.4046770889</v>
      </c>
      <c r="BG95" s="77">
        <v>227922.88788548778</v>
      </c>
      <c r="BH95" s="77">
        <v>227922.88788548778</v>
      </c>
      <c r="BI95" s="77">
        <v>227922.88788548778</v>
      </c>
      <c r="BJ95" s="77">
        <v>227922.88788548778</v>
      </c>
      <c r="BK95" s="77">
        <v>227922.88788548778</v>
      </c>
      <c r="BL95" s="77">
        <v>227922.88788548778</v>
      </c>
      <c r="BM95" s="77">
        <v>227922.88788548778</v>
      </c>
      <c r="BN95" s="77">
        <v>227922.88788548778</v>
      </c>
      <c r="BO95" s="77">
        <v>227922.88788548778</v>
      </c>
      <c r="BP95" s="77">
        <v>227922.88788548778</v>
      </c>
      <c r="BQ95" s="77">
        <v>227922.88788548778</v>
      </c>
    </row>
    <row r="96" spans="1:69" ht="17.25" hidden="1" outlineLevel="1">
      <c r="A96" s="68"/>
    </row>
    <row r="97" spans="1:69" hidden="1" outlineLevel="1">
      <c r="A97" s="63" t="s">
        <v>126</v>
      </c>
      <c r="F97" s="72">
        <v>0</v>
      </c>
      <c r="G97" s="73">
        <v>209783.26333657565</v>
      </c>
      <c r="H97" s="73">
        <v>209783.26333657565</v>
      </c>
      <c r="I97" s="73">
        <v>209783.26333657565</v>
      </c>
      <c r="J97" s="73">
        <v>209783.26333657565</v>
      </c>
      <c r="K97" s="73">
        <v>209783.26333657565</v>
      </c>
      <c r="L97" s="73">
        <v>209783.26333657565</v>
      </c>
      <c r="M97" s="73">
        <v>209783.26333657565</v>
      </c>
      <c r="N97" s="73">
        <v>209783.26333657565</v>
      </c>
      <c r="O97" s="73">
        <v>209783.26333657565</v>
      </c>
      <c r="P97" s="73">
        <v>209783.26333657565</v>
      </c>
      <c r="Q97" s="73">
        <v>209783.26333657565</v>
      </c>
      <c r="S97" s="72">
        <v>209783.26333657565</v>
      </c>
      <c r="T97" s="73">
        <v>208320.2323509751</v>
      </c>
      <c r="U97" s="73">
        <v>208320.23235097507</v>
      </c>
      <c r="V97" s="73">
        <v>208320.23235097507</v>
      </c>
      <c r="W97" s="73">
        <v>208320.23235097507</v>
      </c>
      <c r="X97" s="73">
        <v>208320.23235097507</v>
      </c>
      <c r="Y97" s="73">
        <v>208320.23235097507</v>
      </c>
      <c r="Z97" s="73">
        <v>208320.23235097507</v>
      </c>
      <c r="AA97" s="73">
        <v>208320.23235097507</v>
      </c>
      <c r="AB97" s="73">
        <v>208320.23235097507</v>
      </c>
      <c r="AC97" s="73">
        <v>208320.23235097507</v>
      </c>
      <c r="AD97" s="73">
        <v>208320.23235097507</v>
      </c>
      <c r="AF97" s="72">
        <v>208320.23235097507</v>
      </c>
      <c r="AG97" s="73">
        <v>219728.96553007574</v>
      </c>
      <c r="AH97" s="73">
        <v>219728.96553007574</v>
      </c>
      <c r="AI97" s="73">
        <v>219728.96553007574</v>
      </c>
      <c r="AJ97" s="73">
        <v>219728.96553007574</v>
      </c>
      <c r="AK97" s="73">
        <v>219728.96553007574</v>
      </c>
      <c r="AL97" s="73">
        <v>219728.96553007574</v>
      </c>
      <c r="AM97" s="73">
        <v>219728.96553007574</v>
      </c>
      <c r="AN97" s="73">
        <v>219728.96553007574</v>
      </c>
      <c r="AO97" s="73">
        <v>219728.96553007574</v>
      </c>
      <c r="AP97" s="73">
        <v>219728.96553007574</v>
      </c>
      <c r="AQ97" s="73">
        <v>219728.96553007574</v>
      </c>
      <c r="AS97" s="72">
        <v>219728.96553007574</v>
      </c>
      <c r="AT97" s="73">
        <v>224162.40467708887</v>
      </c>
      <c r="AU97" s="73">
        <v>224162.4046770889</v>
      </c>
      <c r="AV97" s="73">
        <v>224162.4046770889</v>
      </c>
      <c r="AW97" s="73">
        <v>224162.4046770889</v>
      </c>
      <c r="AX97" s="73">
        <v>224162.4046770889</v>
      </c>
      <c r="AY97" s="73">
        <v>224162.4046770889</v>
      </c>
      <c r="AZ97" s="73">
        <v>224162.4046770889</v>
      </c>
      <c r="BA97" s="73">
        <v>224162.4046770889</v>
      </c>
      <c r="BB97" s="73">
        <v>224162.4046770889</v>
      </c>
      <c r="BC97" s="73">
        <v>224162.4046770889</v>
      </c>
      <c r="BD97" s="73">
        <v>224162.4046770889</v>
      </c>
      <c r="BF97" s="72">
        <v>224162.4046770889</v>
      </c>
      <c r="BG97" s="73">
        <v>227922.88788548781</v>
      </c>
      <c r="BH97" s="73">
        <v>227922.88788548784</v>
      </c>
      <c r="BI97" s="73">
        <v>227922.88788548784</v>
      </c>
      <c r="BJ97" s="73">
        <v>227922.88788548784</v>
      </c>
      <c r="BK97" s="73">
        <v>227922.88788548784</v>
      </c>
      <c r="BL97" s="73">
        <v>227922.88788548784</v>
      </c>
      <c r="BM97" s="73">
        <v>227922.88788548784</v>
      </c>
      <c r="BN97" s="73">
        <v>227922.88788548784</v>
      </c>
      <c r="BO97" s="73">
        <v>227922.88788548784</v>
      </c>
      <c r="BP97" s="73">
        <v>227922.88788548784</v>
      </c>
      <c r="BQ97" s="73">
        <v>227922.88788548784</v>
      </c>
    </row>
    <row r="98" spans="1:69" hidden="1" outlineLevel="1">
      <c r="A98" s="63" t="s">
        <v>127</v>
      </c>
      <c r="F98" s="72">
        <v>209783.26333657565</v>
      </c>
      <c r="G98" s="73">
        <v>209783.26333657565</v>
      </c>
      <c r="H98" s="73">
        <v>209783.26333657565</v>
      </c>
      <c r="I98" s="73">
        <v>209783.26333657565</v>
      </c>
      <c r="J98" s="73">
        <v>209783.26333657565</v>
      </c>
      <c r="K98" s="73">
        <v>209783.26333657565</v>
      </c>
      <c r="L98" s="73">
        <v>209783.26333657565</v>
      </c>
      <c r="M98" s="73">
        <v>209783.26333657565</v>
      </c>
      <c r="N98" s="73">
        <v>209783.26333657565</v>
      </c>
      <c r="O98" s="73">
        <v>209783.26333657565</v>
      </c>
      <c r="P98" s="73">
        <v>209783.26333657565</v>
      </c>
      <c r="Q98" s="73">
        <v>209783.26333657565</v>
      </c>
      <c r="S98" s="73">
        <v>208320.2323509751</v>
      </c>
      <c r="T98" s="73">
        <v>208320.23235097507</v>
      </c>
      <c r="U98" s="73">
        <v>208320.23235097507</v>
      </c>
      <c r="V98" s="73">
        <v>208320.23235097507</v>
      </c>
      <c r="W98" s="73">
        <v>208320.23235097507</v>
      </c>
      <c r="X98" s="73">
        <v>208320.23235097507</v>
      </c>
      <c r="Y98" s="73">
        <v>208320.23235097507</v>
      </c>
      <c r="Z98" s="73">
        <v>208320.23235097507</v>
      </c>
      <c r="AA98" s="73">
        <v>208320.23235097507</v>
      </c>
      <c r="AB98" s="73">
        <v>208320.23235097507</v>
      </c>
      <c r="AC98" s="73">
        <v>208320.23235097507</v>
      </c>
      <c r="AD98" s="73">
        <v>208320.23235097507</v>
      </c>
      <c r="AF98" s="73">
        <v>219728.96553007574</v>
      </c>
      <c r="AG98" s="73">
        <v>219728.96553007574</v>
      </c>
      <c r="AH98" s="73">
        <v>219728.96553007574</v>
      </c>
      <c r="AI98" s="73">
        <v>219728.96553007574</v>
      </c>
      <c r="AJ98" s="73">
        <v>219728.96553007574</v>
      </c>
      <c r="AK98" s="73">
        <v>219728.96553007574</v>
      </c>
      <c r="AL98" s="73">
        <v>219728.96553007574</v>
      </c>
      <c r="AM98" s="73">
        <v>219728.96553007574</v>
      </c>
      <c r="AN98" s="73">
        <v>219728.96553007574</v>
      </c>
      <c r="AO98" s="73">
        <v>219728.96553007574</v>
      </c>
      <c r="AP98" s="73">
        <v>219728.96553007574</v>
      </c>
      <c r="AQ98" s="73">
        <v>219728.96553007574</v>
      </c>
      <c r="AS98" s="73">
        <v>224162.40467708887</v>
      </c>
      <c r="AT98" s="73">
        <v>224162.4046770889</v>
      </c>
      <c r="AU98" s="73">
        <v>224162.4046770889</v>
      </c>
      <c r="AV98" s="73">
        <v>224162.4046770889</v>
      </c>
      <c r="AW98" s="73">
        <v>224162.4046770889</v>
      </c>
      <c r="AX98" s="73">
        <v>224162.4046770889</v>
      </c>
      <c r="AY98" s="73">
        <v>224162.4046770889</v>
      </c>
      <c r="AZ98" s="73">
        <v>224162.4046770889</v>
      </c>
      <c r="BA98" s="73">
        <v>224162.4046770889</v>
      </c>
      <c r="BB98" s="73">
        <v>224162.4046770889</v>
      </c>
      <c r="BC98" s="73">
        <v>224162.4046770889</v>
      </c>
      <c r="BD98" s="73">
        <v>224162.4046770889</v>
      </c>
      <c r="BF98" s="73">
        <v>227922.88788548781</v>
      </c>
      <c r="BG98" s="73">
        <v>227922.88788548784</v>
      </c>
      <c r="BH98" s="73">
        <v>227922.88788548784</v>
      </c>
      <c r="BI98" s="73">
        <v>227922.88788548784</v>
      </c>
      <c r="BJ98" s="73">
        <v>227922.88788548784</v>
      </c>
      <c r="BK98" s="73">
        <v>227922.88788548784</v>
      </c>
      <c r="BL98" s="73">
        <v>227922.88788548784</v>
      </c>
      <c r="BM98" s="73">
        <v>227922.88788548784</v>
      </c>
      <c r="BN98" s="73">
        <v>227922.88788548784</v>
      </c>
      <c r="BO98" s="73">
        <v>227922.88788548784</v>
      </c>
      <c r="BP98" s="73">
        <v>227922.88788548784</v>
      </c>
      <c r="BQ98" s="73">
        <v>227922.88788548784</v>
      </c>
    </row>
    <row r="99" spans="1:69" hidden="1" outlineLevel="1"/>
    <row r="100" spans="1:69" hidden="1" outlineLevel="1"/>
    <row r="101" spans="1:69" hidden="1" outlineLevel="1"/>
    <row r="102" spans="1:69" ht="15" hidden="1" outlineLevel="1">
      <c r="A102" s="71" t="s">
        <v>108</v>
      </c>
    </row>
    <row r="103" spans="1:69" hidden="1" outlineLevel="1">
      <c r="A103" s="63" t="s">
        <v>128</v>
      </c>
      <c r="F103" s="72">
        <v>0</v>
      </c>
      <c r="G103" s="73">
        <v>0</v>
      </c>
      <c r="H103" s="73">
        <v>0</v>
      </c>
      <c r="I103" s="73">
        <v>0</v>
      </c>
      <c r="J103" s="73">
        <v>0</v>
      </c>
      <c r="K103" s="73">
        <v>0</v>
      </c>
      <c r="L103" s="73">
        <v>0</v>
      </c>
      <c r="M103" s="73">
        <v>0</v>
      </c>
      <c r="N103" s="73">
        <v>0</v>
      </c>
      <c r="O103" s="73">
        <v>0</v>
      </c>
      <c r="P103" s="73">
        <v>0</v>
      </c>
      <c r="Q103" s="73">
        <v>0</v>
      </c>
      <c r="S103" s="73">
        <v>0</v>
      </c>
      <c r="T103" s="73">
        <v>0</v>
      </c>
      <c r="U103" s="73">
        <v>0</v>
      </c>
      <c r="V103" s="73">
        <v>0</v>
      </c>
      <c r="W103" s="73">
        <v>0</v>
      </c>
      <c r="X103" s="73">
        <v>0</v>
      </c>
      <c r="Y103" s="73">
        <v>0</v>
      </c>
      <c r="Z103" s="73">
        <v>0</v>
      </c>
      <c r="AA103" s="73">
        <v>0</v>
      </c>
      <c r="AB103" s="73">
        <v>0</v>
      </c>
      <c r="AC103" s="73">
        <v>0</v>
      </c>
      <c r="AD103" s="73">
        <v>0</v>
      </c>
      <c r="AF103" s="73">
        <v>0</v>
      </c>
      <c r="AG103" s="73">
        <v>0</v>
      </c>
      <c r="AH103" s="73">
        <v>0</v>
      </c>
      <c r="AI103" s="73">
        <v>0</v>
      </c>
      <c r="AJ103" s="73">
        <v>0</v>
      </c>
      <c r="AK103" s="73">
        <v>0</v>
      </c>
      <c r="AL103" s="73">
        <v>0</v>
      </c>
      <c r="AM103" s="73">
        <v>0</v>
      </c>
      <c r="AN103" s="73">
        <v>0</v>
      </c>
      <c r="AO103" s="73">
        <v>0</v>
      </c>
      <c r="AP103" s="73">
        <v>0</v>
      </c>
      <c r="AQ103" s="73">
        <v>0</v>
      </c>
      <c r="AS103" s="73">
        <v>0</v>
      </c>
      <c r="AT103" s="73">
        <v>0</v>
      </c>
      <c r="AU103" s="73">
        <v>0</v>
      </c>
      <c r="AV103" s="73">
        <v>0</v>
      </c>
      <c r="AW103" s="73">
        <v>0</v>
      </c>
      <c r="AX103" s="73">
        <v>0</v>
      </c>
      <c r="AY103" s="73">
        <v>0</v>
      </c>
      <c r="AZ103" s="73">
        <v>0</v>
      </c>
      <c r="BA103" s="73">
        <v>0</v>
      </c>
      <c r="BB103" s="73">
        <v>0</v>
      </c>
      <c r="BC103" s="73">
        <v>0</v>
      </c>
      <c r="BD103" s="73">
        <v>0</v>
      </c>
      <c r="BF103" s="73">
        <v>0</v>
      </c>
      <c r="BG103" s="73">
        <v>0</v>
      </c>
      <c r="BH103" s="73">
        <v>0</v>
      </c>
      <c r="BI103" s="73">
        <v>0</v>
      </c>
      <c r="BJ103" s="73">
        <v>0</v>
      </c>
      <c r="BK103" s="73">
        <v>0</v>
      </c>
      <c r="BL103" s="73">
        <v>0</v>
      </c>
      <c r="BM103" s="73">
        <v>0</v>
      </c>
      <c r="BN103" s="73">
        <v>0</v>
      </c>
      <c r="BO103" s="73">
        <v>0</v>
      </c>
      <c r="BP103" s="73">
        <v>0</v>
      </c>
      <c r="BQ103" s="73">
        <v>0</v>
      </c>
    </row>
    <row r="104" spans="1:69" hidden="1" outlineLevel="1">
      <c r="A104" s="63" t="s">
        <v>129</v>
      </c>
      <c r="F104" s="72">
        <v>0</v>
      </c>
      <c r="G104" s="73">
        <v>0</v>
      </c>
      <c r="H104" s="73">
        <v>0</v>
      </c>
      <c r="I104" s="73">
        <v>0</v>
      </c>
      <c r="J104" s="73">
        <v>0</v>
      </c>
      <c r="K104" s="73">
        <v>0</v>
      </c>
      <c r="L104" s="73">
        <v>0</v>
      </c>
      <c r="M104" s="73">
        <v>0</v>
      </c>
      <c r="N104" s="73">
        <v>0</v>
      </c>
      <c r="O104" s="73">
        <v>0</v>
      </c>
      <c r="P104" s="73">
        <v>0</v>
      </c>
      <c r="Q104" s="73">
        <v>0</v>
      </c>
      <c r="S104" s="73">
        <v>0</v>
      </c>
      <c r="T104" s="73">
        <v>0</v>
      </c>
      <c r="U104" s="73">
        <v>0</v>
      </c>
      <c r="V104" s="73">
        <v>0</v>
      </c>
      <c r="W104" s="73">
        <v>0</v>
      </c>
      <c r="X104" s="73">
        <v>0</v>
      </c>
      <c r="Y104" s="73">
        <v>0</v>
      </c>
      <c r="Z104" s="73">
        <v>0</v>
      </c>
      <c r="AA104" s="73">
        <v>0</v>
      </c>
      <c r="AB104" s="73">
        <v>0</v>
      </c>
      <c r="AC104" s="73">
        <v>0</v>
      </c>
      <c r="AD104" s="73">
        <v>0</v>
      </c>
      <c r="AF104" s="73">
        <v>0</v>
      </c>
      <c r="AG104" s="73">
        <v>0</v>
      </c>
      <c r="AH104" s="73">
        <v>0</v>
      </c>
      <c r="AI104" s="73">
        <v>0</v>
      </c>
      <c r="AJ104" s="73">
        <v>0</v>
      </c>
      <c r="AK104" s="73">
        <v>0</v>
      </c>
      <c r="AL104" s="73">
        <v>0</v>
      </c>
      <c r="AM104" s="73">
        <v>0</v>
      </c>
      <c r="AN104" s="73">
        <v>0</v>
      </c>
      <c r="AO104" s="73">
        <v>0</v>
      </c>
      <c r="AP104" s="73">
        <v>0</v>
      </c>
      <c r="AQ104" s="73">
        <v>0</v>
      </c>
      <c r="AS104" s="73">
        <v>0</v>
      </c>
      <c r="AT104" s="73">
        <v>0</v>
      </c>
      <c r="AU104" s="73">
        <v>0</v>
      </c>
      <c r="AV104" s="73">
        <v>0</v>
      </c>
      <c r="AW104" s="73">
        <v>0</v>
      </c>
      <c r="AX104" s="73">
        <v>0</v>
      </c>
      <c r="AY104" s="73">
        <v>0</v>
      </c>
      <c r="AZ104" s="73">
        <v>0</v>
      </c>
      <c r="BA104" s="73">
        <v>0</v>
      </c>
      <c r="BB104" s="73">
        <v>0</v>
      </c>
      <c r="BC104" s="73">
        <v>0</v>
      </c>
      <c r="BD104" s="73">
        <v>0</v>
      </c>
      <c r="BF104" s="73">
        <v>0</v>
      </c>
      <c r="BG104" s="73">
        <v>0</v>
      </c>
      <c r="BH104" s="73">
        <v>0</v>
      </c>
      <c r="BI104" s="73">
        <v>0</v>
      </c>
      <c r="BJ104" s="73">
        <v>0</v>
      </c>
      <c r="BK104" s="73">
        <v>0</v>
      </c>
      <c r="BL104" s="73">
        <v>0</v>
      </c>
      <c r="BM104" s="73">
        <v>0</v>
      </c>
      <c r="BN104" s="73">
        <v>0</v>
      </c>
      <c r="BO104" s="73">
        <v>0</v>
      </c>
      <c r="BP104" s="73">
        <v>0</v>
      </c>
      <c r="BQ104" s="73">
        <v>0</v>
      </c>
    </row>
    <row r="105" spans="1:69" ht="15" hidden="1" outlineLevel="1">
      <c r="A105" s="74" t="s">
        <v>130</v>
      </c>
      <c r="B105" s="75"/>
      <c r="C105" s="75"/>
      <c r="D105" s="75"/>
      <c r="E105" s="75"/>
      <c r="F105" s="76">
        <v>0</v>
      </c>
      <c r="G105" s="77">
        <v>0</v>
      </c>
      <c r="H105" s="77">
        <v>0</v>
      </c>
      <c r="I105" s="77">
        <v>0</v>
      </c>
      <c r="J105" s="77">
        <v>0</v>
      </c>
      <c r="K105" s="77">
        <v>0</v>
      </c>
      <c r="L105" s="77">
        <v>0</v>
      </c>
      <c r="M105" s="77">
        <v>0</v>
      </c>
      <c r="N105" s="77">
        <v>0</v>
      </c>
      <c r="O105" s="77">
        <v>0</v>
      </c>
      <c r="P105" s="77">
        <v>0</v>
      </c>
      <c r="Q105" s="77">
        <v>0</v>
      </c>
      <c r="S105" s="77">
        <v>0</v>
      </c>
      <c r="T105" s="77">
        <v>0</v>
      </c>
      <c r="U105" s="77">
        <v>0</v>
      </c>
      <c r="V105" s="77">
        <v>0</v>
      </c>
      <c r="W105" s="77">
        <v>0</v>
      </c>
      <c r="X105" s="77">
        <v>0</v>
      </c>
      <c r="Y105" s="77">
        <v>0</v>
      </c>
      <c r="Z105" s="77">
        <v>0</v>
      </c>
      <c r="AA105" s="77">
        <v>0</v>
      </c>
      <c r="AB105" s="77">
        <v>0</v>
      </c>
      <c r="AC105" s="77">
        <v>0</v>
      </c>
      <c r="AD105" s="77">
        <v>0</v>
      </c>
      <c r="AF105" s="77">
        <v>0</v>
      </c>
      <c r="AG105" s="77">
        <v>0</v>
      </c>
      <c r="AH105" s="77">
        <v>0</v>
      </c>
      <c r="AI105" s="77">
        <v>0</v>
      </c>
      <c r="AJ105" s="77">
        <v>0</v>
      </c>
      <c r="AK105" s="77">
        <v>0</v>
      </c>
      <c r="AL105" s="77">
        <v>0</v>
      </c>
      <c r="AM105" s="77">
        <v>0</v>
      </c>
      <c r="AN105" s="77">
        <v>0</v>
      </c>
      <c r="AO105" s="77">
        <v>0</v>
      </c>
      <c r="AP105" s="77">
        <v>0</v>
      </c>
      <c r="AQ105" s="77">
        <v>0</v>
      </c>
      <c r="AS105" s="77">
        <v>0</v>
      </c>
      <c r="AT105" s="77">
        <v>0</v>
      </c>
      <c r="AU105" s="77">
        <v>0</v>
      </c>
      <c r="AV105" s="77">
        <v>0</v>
      </c>
      <c r="AW105" s="77">
        <v>0</v>
      </c>
      <c r="AX105" s="77">
        <v>0</v>
      </c>
      <c r="AY105" s="77">
        <v>0</v>
      </c>
      <c r="AZ105" s="77">
        <v>0</v>
      </c>
      <c r="BA105" s="77">
        <v>0</v>
      </c>
      <c r="BB105" s="77">
        <v>0</v>
      </c>
      <c r="BC105" s="77">
        <v>0</v>
      </c>
      <c r="BD105" s="77">
        <v>0</v>
      </c>
      <c r="BF105" s="77">
        <v>0</v>
      </c>
      <c r="BG105" s="77">
        <v>0</v>
      </c>
      <c r="BH105" s="77">
        <v>0</v>
      </c>
      <c r="BI105" s="77">
        <v>0</v>
      </c>
      <c r="BJ105" s="77">
        <v>0</v>
      </c>
      <c r="BK105" s="77">
        <v>0</v>
      </c>
      <c r="BL105" s="77">
        <v>0</v>
      </c>
      <c r="BM105" s="77">
        <v>0</v>
      </c>
      <c r="BN105" s="77">
        <v>0</v>
      </c>
      <c r="BO105" s="77">
        <v>0</v>
      </c>
      <c r="BP105" s="77">
        <v>0</v>
      </c>
      <c r="BQ105" s="77">
        <v>0</v>
      </c>
    </row>
    <row r="106" spans="1:69" ht="17.25" hidden="1" outlineLevel="1">
      <c r="A106" s="68"/>
    </row>
    <row r="107" spans="1:69" ht="15" hidden="1" outlineLevel="1">
      <c r="A107" s="74" t="s">
        <v>131</v>
      </c>
      <c r="B107" s="75"/>
      <c r="C107" s="75"/>
      <c r="D107" s="75"/>
      <c r="E107" s="75"/>
      <c r="F107" s="76">
        <v>0</v>
      </c>
      <c r="G107" s="77">
        <v>0</v>
      </c>
      <c r="H107" s="77">
        <v>0</v>
      </c>
      <c r="I107" s="77">
        <v>0</v>
      </c>
      <c r="J107" s="77">
        <v>0</v>
      </c>
      <c r="K107" s="77">
        <v>0</v>
      </c>
      <c r="L107" s="77">
        <v>0</v>
      </c>
      <c r="M107" s="77">
        <v>0</v>
      </c>
      <c r="N107" s="77">
        <v>0</v>
      </c>
      <c r="O107" s="77">
        <v>0</v>
      </c>
      <c r="P107" s="77">
        <v>0</v>
      </c>
      <c r="Q107" s="77">
        <v>0</v>
      </c>
      <c r="S107" s="76">
        <v>0</v>
      </c>
      <c r="T107" s="77">
        <v>0</v>
      </c>
      <c r="U107" s="77">
        <v>0</v>
      </c>
      <c r="V107" s="77">
        <v>0</v>
      </c>
      <c r="W107" s="77">
        <v>0</v>
      </c>
      <c r="X107" s="77">
        <v>0</v>
      </c>
      <c r="Y107" s="77">
        <v>0</v>
      </c>
      <c r="Z107" s="77">
        <v>0</v>
      </c>
      <c r="AA107" s="77">
        <v>0</v>
      </c>
      <c r="AB107" s="77">
        <v>0</v>
      </c>
      <c r="AC107" s="77">
        <v>0</v>
      </c>
      <c r="AD107" s="77">
        <v>0</v>
      </c>
      <c r="AF107" s="76">
        <v>0</v>
      </c>
      <c r="AG107" s="77">
        <v>0</v>
      </c>
      <c r="AH107" s="77">
        <v>0</v>
      </c>
      <c r="AI107" s="77">
        <v>0</v>
      </c>
      <c r="AJ107" s="77">
        <v>0</v>
      </c>
      <c r="AK107" s="77">
        <v>0</v>
      </c>
      <c r="AL107" s="77">
        <v>0</v>
      </c>
      <c r="AM107" s="77">
        <v>0</v>
      </c>
      <c r="AN107" s="77">
        <v>0</v>
      </c>
      <c r="AO107" s="77">
        <v>0</v>
      </c>
      <c r="AP107" s="77">
        <v>0</v>
      </c>
      <c r="AQ107" s="77">
        <v>0</v>
      </c>
      <c r="AS107" s="76">
        <v>0</v>
      </c>
      <c r="AT107" s="77">
        <v>0</v>
      </c>
      <c r="AU107" s="77">
        <v>0</v>
      </c>
      <c r="AV107" s="77">
        <v>0</v>
      </c>
      <c r="AW107" s="77">
        <v>0</v>
      </c>
      <c r="AX107" s="77">
        <v>0</v>
      </c>
      <c r="AY107" s="77">
        <v>0</v>
      </c>
      <c r="AZ107" s="77">
        <v>0</v>
      </c>
      <c r="BA107" s="77">
        <v>0</v>
      </c>
      <c r="BB107" s="77">
        <v>0</v>
      </c>
      <c r="BC107" s="77">
        <v>0</v>
      </c>
      <c r="BD107" s="77">
        <v>0</v>
      </c>
      <c r="BF107" s="76">
        <v>0</v>
      </c>
      <c r="BG107" s="77">
        <v>0</v>
      </c>
      <c r="BH107" s="77">
        <v>0</v>
      </c>
      <c r="BI107" s="77">
        <v>0</v>
      </c>
      <c r="BJ107" s="77">
        <v>0</v>
      </c>
      <c r="BK107" s="77">
        <v>0</v>
      </c>
      <c r="BL107" s="77">
        <v>0</v>
      </c>
      <c r="BM107" s="77">
        <v>0</v>
      </c>
      <c r="BN107" s="77">
        <v>0</v>
      </c>
      <c r="BO107" s="77">
        <v>0</v>
      </c>
      <c r="BP107" s="77">
        <v>0</v>
      </c>
      <c r="BQ107" s="77">
        <v>0</v>
      </c>
    </row>
    <row r="108" spans="1:69" ht="17.25" hidden="1" outlineLevel="1">
      <c r="A108" s="68"/>
    </row>
    <row r="109" spans="1:69" hidden="1" outlineLevel="1">
      <c r="A109" s="63" t="s">
        <v>127</v>
      </c>
    </row>
    <row r="110" spans="1:69" hidden="1" outlineLevel="1"/>
    <row r="111" spans="1:69" hidden="1" outlineLevel="1"/>
    <row r="112" spans="1:69" ht="15" hidden="1" outlineLevel="1">
      <c r="A112" s="71" t="s">
        <v>81</v>
      </c>
    </row>
    <row r="113" spans="1:69" ht="15" hidden="1" outlineLevel="1">
      <c r="A113" s="71" t="s">
        <v>130</v>
      </c>
      <c r="F113" s="72">
        <v>112.89807790405786</v>
      </c>
      <c r="G113" s="73">
        <v>112.89807790405786</v>
      </c>
      <c r="H113" s="73">
        <v>112.89807790405786</v>
      </c>
      <c r="I113" s="73">
        <v>112.89807790405786</v>
      </c>
      <c r="J113" s="73">
        <v>112.89807790405786</v>
      </c>
      <c r="K113" s="73">
        <v>112.89807790405786</v>
      </c>
      <c r="L113" s="73">
        <v>112.89807790405786</v>
      </c>
      <c r="M113" s="73">
        <v>112.89807790405786</v>
      </c>
      <c r="N113" s="73">
        <v>112.89807790405786</v>
      </c>
      <c r="O113" s="73">
        <v>112.89807790405786</v>
      </c>
      <c r="P113" s="73">
        <v>112.89807790405786</v>
      </c>
      <c r="Q113" s="73">
        <v>112.89807790405786</v>
      </c>
      <c r="S113" s="73">
        <v>3588.493260993524</v>
      </c>
      <c r="T113" s="73">
        <v>3588.493260993524</v>
      </c>
      <c r="U113" s="73">
        <v>3588.493260993524</v>
      </c>
      <c r="V113" s="73">
        <v>3588.493260993524</v>
      </c>
      <c r="W113" s="73">
        <v>3588.493260993524</v>
      </c>
      <c r="X113" s="73">
        <v>3588.493260993524</v>
      </c>
      <c r="Y113" s="73">
        <v>3588.493260993524</v>
      </c>
      <c r="Z113" s="73">
        <v>3588.493260993524</v>
      </c>
      <c r="AA113" s="73">
        <v>3588.493260993524</v>
      </c>
      <c r="AB113" s="73">
        <v>3588.493260993524</v>
      </c>
      <c r="AC113" s="73">
        <v>3588.493260993524</v>
      </c>
      <c r="AD113" s="73">
        <v>3588.493260993524</v>
      </c>
      <c r="AF113" s="73">
        <v>3690.5297473583687</v>
      </c>
      <c r="AG113" s="73">
        <v>3690.5297473583687</v>
      </c>
      <c r="AH113" s="73">
        <v>3690.5297473583687</v>
      </c>
      <c r="AI113" s="73">
        <v>3690.5297473583687</v>
      </c>
      <c r="AJ113" s="73">
        <v>3690.5297473583687</v>
      </c>
      <c r="AK113" s="73">
        <v>3690.5297473583687</v>
      </c>
      <c r="AL113" s="73">
        <v>3690.5297473583687</v>
      </c>
      <c r="AM113" s="73">
        <v>3690.5297473583687</v>
      </c>
      <c r="AN113" s="73">
        <v>3690.5297473583687</v>
      </c>
      <c r="AO113" s="73">
        <v>3690.5297473583687</v>
      </c>
      <c r="AP113" s="73">
        <v>3690.5297473583687</v>
      </c>
      <c r="AQ113" s="73">
        <v>3690.5297473583687</v>
      </c>
      <c r="AS113" s="73">
        <v>3743.2736153776259</v>
      </c>
      <c r="AT113" s="73">
        <v>3743.2736153776259</v>
      </c>
      <c r="AU113" s="73">
        <v>3743.2736153776259</v>
      </c>
      <c r="AV113" s="73">
        <v>3743.2736153776259</v>
      </c>
      <c r="AW113" s="73">
        <v>3743.2736153776259</v>
      </c>
      <c r="AX113" s="73">
        <v>3743.2736153776259</v>
      </c>
      <c r="AY113" s="73">
        <v>3743.2736153776259</v>
      </c>
      <c r="AZ113" s="73">
        <v>3743.2736153776259</v>
      </c>
      <c r="BA113" s="73">
        <v>3743.2736153776259</v>
      </c>
      <c r="BB113" s="73">
        <v>3743.2736153776259</v>
      </c>
      <c r="BC113" s="73">
        <v>3743.2736153776259</v>
      </c>
      <c r="BD113" s="73">
        <v>3743.2736153776259</v>
      </c>
      <c r="BF113" s="73">
        <v>3782.558809784874</v>
      </c>
      <c r="BG113" s="73">
        <v>3782.558809784874</v>
      </c>
      <c r="BH113" s="73">
        <v>3782.558809784874</v>
      </c>
      <c r="BI113" s="73">
        <v>3782.558809784874</v>
      </c>
      <c r="BJ113" s="73">
        <v>3782.558809784874</v>
      </c>
      <c r="BK113" s="73">
        <v>3782.558809784874</v>
      </c>
      <c r="BL113" s="73">
        <v>3782.558809784874</v>
      </c>
      <c r="BM113" s="73">
        <v>3782.558809784874</v>
      </c>
      <c r="BN113" s="73">
        <v>3782.558809784874</v>
      </c>
      <c r="BO113" s="73">
        <v>3782.558809784874</v>
      </c>
      <c r="BP113" s="73">
        <v>3782.558809784874</v>
      </c>
      <c r="BQ113" s="73">
        <v>3782.558809784874</v>
      </c>
    </row>
    <row r="114" spans="1:69" ht="15" hidden="1" outlineLevel="1">
      <c r="A114" s="74" t="s">
        <v>132</v>
      </c>
      <c r="F114" s="77">
        <v>0</v>
      </c>
      <c r="G114" s="77">
        <v>0</v>
      </c>
      <c r="H114" s="76">
        <v>112.89807790405786</v>
      </c>
      <c r="I114" s="77">
        <v>112.89807790405786</v>
      </c>
      <c r="J114" s="77">
        <v>112.89807790405786</v>
      </c>
      <c r="K114" s="77">
        <v>112.89807790405786</v>
      </c>
      <c r="L114" s="77">
        <v>112.89807790405786</v>
      </c>
      <c r="M114" s="77">
        <v>112.89807790405786</v>
      </c>
      <c r="N114" s="77">
        <v>112.89807790405786</v>
      </c>
      <c r="O114" s="77">
        <v>112.89807790405786</v>
      </c>
      <c r="P114" s="77">
        <v>112.89807790405786</v>
      </c>
      <c r="Q114" s="77">
        <v>112.89807790405786</v>
      </c>
      <c r="S114" s="76">
        <v>112.89807790405786</v>
      </c>
      <c r="T114" s="77">
        <v>112.89807790405786</v>
      </c>
      <c r="U114" s="76">
        <v>3588.493260993524</v>
      </c>
      <c r="V114" s="77">
        <v>3588.493260993524</v>
      </c>
      <c r="W114" s="77">
        <v>3588.493260993524</v>
      </c>
      <c r="X114" s="77">
        <v>3588.493260993524</v>
      </c>
      <c r="Y114" s="77">
        <v>3588.493260993524</v>
      </c>
      <c r="Z114" s="77">
        <v>3588.493260993524</v>
      </c>
      <c r="AA114" s="77">
        <v>3588.493260993524</v>
      </c>
      <c r="AB114" s="77">
        <v>3588.493260993524</v>
      </c>
      <c r="AC114" s="77">
        <v>3588.493260993524</v>
      </c>
      <c r="AD114" s="77">
        <v>3588.493260993524</v>
      </c>
      <c r="AF114" s="76">
        <v>3588.493260993524</v>
      </c>
      <c r="AG114" s="77">
        <v>3588.493260993524</v>
      </c>
      <c r="AH114" s="76">
        <v>3690.5297473583687</v>
      </c>
      <c r="AI114" s="77">
        <v>3690.5297473583687</v>
      </c>
      <c r="AJ114" s="77">
        <v>3690.5297473583687</v>
      </c>
      <c r="AK114" s="77">
        <v>3690.5297473583687</v>
      </c>
      <c r="AL114" s="77">
        <v>3690.5297473583687</v>
      </c>
      <c r="AM114" s="77">
        <v>3690.5297473583687</v>
      </c>
      <c r="AN114" s="77">
        <v>3690.5297473583687</v>
      </c>
      <c r="AO114" s="77">
        <v>3690.5297473583687</v>
      </c>
      <c r="AP114" s="77">
        <v>3690.5297473583687</v>
      </c>
      <c r="AQ114" s="77">
        <v>3690.5297473583687</v>
      </c>
      <c r="AS114" s="76">
        <v>3690.5297473583687</v>
      </c>
      <c r="AT114" s="77">
        <v>3690.5297473583687</v>
      </c>
      <c r="AU114" s="76">
        <v>3743.2736153776259</v>
      </c>
      <c r="AV114" s="77">
        <v>3743.2736153776259</v>
      </c>
      <c r="AW114" s="77">
        <v>3743.2736153776259</v>
      </c>
      <c r="AX114" s="77">
        <v>3743.2736153776259</v>
      </c>
      <c r="AY114" s="77">
        <v>3743.2736153776259</v>
      </c>
      <c r="AZ114" s="77">
        <v>3743.2736153776259</v>
      </c>
      <c r="BA114" s="77">
        <v>3743.2736153776259</v>
      </c>
      <c r="BB114" s="77">
        <v>3743.2736153776259</v>
      </c>
      <c r="BC114" s="77">
        <v>3743.2736153776259</v>
      </c>
      <c r="BD114" s="77">
        <v>3743.2736153776259</v>
      </c>
      <c r="BF114" s="76">
        <v>3743.2736153776259</v>
      </c>
      <c r="BG114" s="77">
        <v>3743.2736153776259</v>
      </c>
      <c r="BH114" s="76">
        <v>3782.558809784874</v>
      </c>
      <c r="BI114" s="77">
        <v>3782.558809784874</v>
      </c>
      <c r="BJ114" s="77">
        <v>3782.558809784874</v>
      </c>
      <c r="BK114" s="77">
        <v>3782.558809784874</v>
      </c>
      <c r="BL114" s="77">
        <v>3782.558809784874</v>
      </c>
      <c r="BM114" s="77">
        <v>3782.558809784874</v>
      </c>
      <c r="BN114" s="77">
        <v>3782.558809784874</v>
      </c>
      <c r="BO114" s="77">
        <v>3782.558809784874</v>
      </c>
      <c r="BP114" s="77">
        <v>3782.558809784874</v>
      </c>
      <c r="BQ114" s="77">
        <v>3782.558809784874</v>
      </c>
    </row>
    <row r="115" spans="1:69" ht="17.25" hidden="1" outlineLevel="1">
      <c r="A115" s="68"/>
    </row>
    <row r="116" spans="1:69" hidden="1" outlineLevel="1">
      <c r="A116" s="63" t="s">
        <v>127</v>
      </c>
    </row>
    <row r="117" spans="1:69" collapsed="1"/>
  </sheetData>
  <conditionalFormatting sqref="A70:BR70">
    <cfRule type="expression" dxfId="287" priority="1" stopIfTrue="1">
      <formula>ErrorsPresent&gt;0</formula>
    </cfRule>
    <cfRule type="expression" dxfId="286" priority="2" stopIfTrue="1">
      <formula>ErrorsPresent&lt;0</formula>
    </cfRule>
  </conditionalFormatting>
  <conditionalFormatting sqref="A1">
    <cfRule type="expression" dxfId="285" priority="13" stopIfTrue="1">
      <formula>ErrorsPresent&gt;0</formula>
    </cfRule>
    <cfRule type="expression" dxfId="284" priority="14" stopIfTrue="1">
      <formula>ErrorsPresent&lt;0</formula>
    </cfRule>
  </conditionalFormatting>
  <conditionalFormatting sqref="A1">
    <cfRule type="expression" dxfId="283" priority="11" stopIfTrue="1">
      <formula>Error_Error&lt;0</formula>
    </cfRule>
    <cfRule type="expression" dxfId="282" priority="12" stopIfTrue="1">
      <formula>Error_Error&gt;0</formula>
    </cfRule>
  </conditionalFormatting>
  <conditionalFormatting sqref="B1:BR1">
    <cfRule type="expression" dxfId="281" priority="9" stopIfTrue="1">
      <formula>ErrorsPresent&gt;0</formula>
    </cfRule>
    <cfRule type="expression" dxfId="280" priority="10" stopIfTrue="1">
      <formula>ErrorsPresent&lt;0</formula>
    </cfRule>
  </conditionalFormatting>
  <conditionalFormatting sqref="B1:BR1">
    <cfRule type="expression" dxfId="279" priority="7" stopIfTrue="1">
      <formula>Error_Error&lt;0</formula>
    </cfRule>
    <cfRule type="expression" dxfId="278" priority="8" stopIfTrue="1">
      <formula>Error_Error&gt;0</formula>
    </cfRule>
  </conditionalFormatting>
  <conditionalFormatting sqref="A7:BR7">
    <cfRule type="expression" dxfId="277" priority="5" stopIfTrue="1">
      <formula>ErrorsPresent&gt;0</formula>
    </cfRule>
    <cfRule type="expression" dxfId="276" priority="6" stopIfTrue="1">
      <formula>ErrorsPresent&lt;0</formula>
    </cfRule>
  </conditionalFormatting>
  <conditionalFormatting sqref="A37:BR37">
    <cfRule type="expression" dxfId="275" priority="3" stopIfTrue="1">
      <formula>ErrorsPresent&gt;0</formula>
    </cfRule>
    <cfRule type="expression" dxfId="274" priority="4" stopIfTrue="1">
      <formula>ErrorsPresent&lt;0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R34"/>
  <sheetViews>
    <sheetView showGridLines="0" zoomScale="90" zoomScaleNormal="90" workbookViewId="0">
      <selection activeCell="BZ28" sqref="BZ28"/>
    </sheetView>
  </sheetViews>
  <sheetFormatPr defaultRowHeight="12.75" outlineLevelCol="1"/>
  <cols>
    <col min="1" max="1" width="33.42578125" style="24" customWidth="1"/>
    <col min="2" max="2" width="12.85546875" style="24" customWidth="1"/>
    <col min="3" max="3" width="8.140625" style="24" hidden="1" customWidth="1" outlineLevel="1"/>
    <col min="4" max="4" width="6.42578125" style="24" hidden="1" customWidth="1" outlineLevel="1"/>
    <col min="5" max="5" width="13.28515625" style="24" hidden="1" customWidth="1" outlineLevel="1"/>
    <col min="6" max="6" width="9.140625" style="24" hidden="1" customWidth="1" outlineLevel="1"/>
    <col min="7" max="17" width="10.5703125" style="24" hidden="1" customWidth="1" outlineLevel="1"/>
    <col min="18" max="18" width="12.140625" style="24" bestFit="1" customWidth="1" collapsed="1"/>
    <col min="19" max="30" width="10.5703125" style="24" hidden="1" customWidth="1" outlineLevel="1"/>
    <col min="31" max="31" width="11.7109375" style="24" customWidth="1" collapsed="1"/>
    <col min="32" max="43" width="10.5703125" style="24" hidden="1" customWidth="1" outlineLevel="1"/>
    <col min="44" max="44" width="13" style="24" customWidth="1" collapsed="1"/>
    <col min="45" max="56" width="10.5703125" style="24" hidden="1" customWidth="1" outlineLevel="1"/>
    <col min="57" max="57" width="12.85546875" style="24" customWidth="1" collapsed="1"/>
    <col min="58" max="61" width="10.5703125" style="24" hidden="1" customWidth="1" outlineLevel="1"/>
    <col min="62" max="69" width="11.5703125" style="24" hidden="1" customWidth="1" outlineLevel="1"/>
    <col min="70" max="70" width="14.7109375" style="24" customWidth="1" collapsed="1"/>
    <col min="71" max="72" width="9.140625" style="24"/>
    <col min="73" max="73" width="12.140625" style="24" bestFit="1" customWidth="1"/>
    <col min="74" max="16384" width="9.140625" style="24"/>
  </cols>
  <sheetData>
    <row r="1" spans="1:70">
      <c r="A1" s="23" t="s">
        <v>206</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row>
    <row r="2" spans="1:70">
      <c r="A2" s="60" t="s">
        <v>336</v>
      </c>
    </row>
    <row r="3" spans="1:70">
      <c r="A3" s="61"/>
    </row>
    <row r="4" spans="1:70">
      <c r="A4" s="62" t="s">
        <v>99</v>
      </c>
    </row>
    <row r="6" spans="1:70">
      <c r="A6" s="63" t="s">
        <v>46</v>
      </c>
      <c r="B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row>
    <row r="7" spans="1:70">
      <c r="A7" s="30" t="s">
        <v>100</v>
      </c>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row>
    <row r="9" spans="1:70">
      <c r="Q9" s="32"/>
      <c r="R9" s="32" t="s">
        <v>47</v>
      </c>
      <c r="S9" s="32"/>
      <c r="T9" s="32"/>
      <c r="U9" s="32"/>
      <c r="V9" s="32"/>
      <c r="W9" s="32"/>
      <c r="X9" s="32"/>
      <c r="Y9" s="32"/>
      <c r="Z9" s="32"/>
      <c r="AA9" s="32"/>
      <c r="AB9" s="32"/>
      <c r="AC9" s="32"/>
      <c r="AD9" s="32"/>
      <c r="AE9" s="32" t="s">
        <v>48</v>
      </c>
      <c r="AF9" s="32"/>
      <c r="AG9" s="32"/>
      <c r="AH9" s="32"/>
      <c r="AI9" s="32"/>
      <c r="AJ9" s="32"/>
      <c r="AK9" s="32"/>
      <c r="AL9" s="32"/>
      <c r="AM9" s="32"/>
      <c r="AN9" s="32"/>
      <c r="AO9" s="32"/>
      <c r="AP9" s="32"/>
      <c r="AQ9" s="32"/>
      <c r="AR9" s="32" t="s">
        <v>49</v>
      </c>
      <c r="AS9" s="32"/>
      <c r="AT9" s="32"/>
      <c r="AU9" s="32"/>
      <c r="AV9" s="32"/>
      <c r="AW9" s="32"/>
      <c r="AX9" s="32"/>
      <c r="AY9" s="32"/>
      <c r="AZ9" s="32"/>
      <c r="BA9" s="32"/>
      <c r="BB9" s="32"/>
      <c r="BC9" s="32"/>
      <c r="BD9" s="32"/>
      <c r="BE9" s="32" t="s">
        <v>50</v>
      </c>
      <c r="BF9" s="32"/>
      <c r="BG9" s="32"/>
      <c r="BH9" s="32"/>
      <c r="BI9" s="32"/>
      <c r="BJ9" s="32"/>
      <c r="BK9" s="32"/>
      <c r="BL9" s="32"/>
      <c r="BM9" s="32"/>
      <c r="BN9" s="32"/>
      <c r="BO9" s="32"/>
      <c r="BP9" s="32"/>
      <c r="BQ9" s="32"/>
      <c r="BR9" s="32" t="s">
        <v>51</v>
      </c>
    </row>
    <row r="10" spans="1:70" ht="15">
      <c r="A10" s="166" t="s">
        <v>337</v>
      </c>
      <c r="F10" s="65"/>
      <c r="G10" s="65"/>
      <c r="H10" s="65"/>
      <c r="I10" s="65"/>
      <c r="J10" s="65"/>
      <c r="K10" s="65"/>
      <c r="L10" s="65"/>
      <c r="M10" s="65"/>
      <c r="N10" s="65"/>
      <c r="O10" s="65"/>
      <c r="P10" s="65"/>
      <c r="Q10" s="65"/>
      <c r="R10" s="36">
        <f>SUM(R11:R13)</f>
        <v>0</v>
      </c>
      <c r="S10" s="36">
        <f t="shared" ref="S10:BR10" si="0">SUM(S11:S13)</f>
        <v>0</v>
      </c>
      <c r="T10" s="36">
        <f t="shared" si="0"/>
        <v>0</v>
      </c>
      <c r="U10" s="36">
        <f t="shared" si="0"/>
        <v>0</v>
      </c>
      <c r="V10" s="36">
        <f t="shared" si="0"/>
        <v>0</v>
      </c>
      <c r="W10" s="36">
        <f t="shared" si="0"/>
        <v>0</v>
      </c>
      <c r="X10" s="36">
        <f t="shared" si="0"/>
        <v>0</v>
      </c>
      <c r="Y10" s="36">
        <f t="shared" si="0"/>
        <v>0</v>
      </c>
      <c r="Z10" s="36">
        <f t="shared" si="0"/>
        <v>0</v>
      </c>
      <c r="AA10" s="36">
        <f t="shared" si="0"/>
        <v>0</v>
      </c>
      <c r="AB10" s="36">
        <f t="shared" si="0"/>
        <v>0</v>
      </c>
      <c r="AC10" s="36">
        <f t="shared" si="0"/>
        <v>0</v>
      </c>
      <c r="AD10" s="36">
        <f t="shared" si="0"/>
        <v>0</v>
      </c>
      <c r="AE10" s="36">
        <f t="shared" si="0"/>
        <v>0</v>
      </c>
      <c r="AF10" s="36">
        <f t="shared" si="0"/>
        <v>0</v>
      </c>
      <c r="AG10" s="36">
        <f t="shared" si="0"/>
        <v>0</v>
      </c>
      <c r="AH10" s="36">
        <f t="shared" si="0"/>
        <v>0</v>
      </c>
      <c r="AI10" s="36">
        <f t="shared" si="0"/>
        <v>0</v>
      </c>
      <c r="AJ10" s="36">
        <f t="shared" si="0"/>
        <v>0</v>
      </c>
      <c r="AK10" s="36">
        <f t="shared" si="0"/>
        <v>0</v>
      </c>
      <c r="AL10" s="36">
        <f t="shared" si="0"/>
        <v>0</v>
      </c>
      <c r="AM10" s="36">
        <f t="shared" si="0"/>
        <v>0</v>
      </c>
      <c r="AN10" s="36">
        <f t="shared" si="0"/>
        <v>0</v>
      </c>
      <c r="AO10" s="36">
        <f t="shared" si="0"/>
        <v>0</v>
      </c>
      <c r="AP10" s="36">
        <f t="shared" si="0"/>
        <v>0</v>
      </c>
      <c r="AQ10" s="36">
        <f t="shared" si="0"/>
        <v>0</v>
      </c>
      <c r="AR10" s="36">
        <f t="shared" si="0"/>
        <v>0</v>
      </c>
      <c r="AS10" s="36">
        <f t="shared" si="0"/>
        <v>0</v>
      </c>
      <c r="AT10" s="36">
        <f t="shared" si="0"/>
        <v>0</v>
      </c>
      <c r="AU10" s="36">
        <f t="shared" si="0"/>
        <v>0</v>
      </c>
      <c r="AV10" s="36">
        <f t="shared" si="0"/>
        <v>0</v>
      </c>
      <c r="AW10" s="36">
        <f t="shared" si="0"/>
        <v>0</v>
      </c>
      <c r="AX10" s="36">
        <f t="shared" si="0"/>
        <v>0</v>
      </c>
      <c r="AY10" s="36">
        <f t="shared" si="0"/>
        <v>0</v>
      </c>
      <c r="AZ10" s="36">
        <f t="shared" si="0"/>
        <v>0</v>
      </c>
      <c r="BA10" s="36">
        <f t="shared" si="0"/>
        <v>0</v>
      </c>
      <c r="BB10" s="36">
        <f t="shared" si="0"/>
        <v>0</v>
      </c>
      <c r="BC10" s="36">
        <f t="shared" si="0"/>
        <v>0</v>
      </c>
      <c r="BD10" s="36">
        <f t="shared" si="0"/>
        <v>0</v>
      </c>
      <c r="BE10" s="36">
        <f t="shared" si="0"/>
        <v>0</v>
      </c>
      <c r="BF10" s="36">
        <f t="shared" si="0"/>
        <v>0</v>
      </c>
      <c r="BG10" s="36">
        <f t="shared" si="0"/>
        <v>0</v>
      </c>
      <c r="BH10" s="36">
        <f t="shared" si="0"/>
        <v>0</v>
      </c>
      <c r="BI10" s="36">
        <f t="shared" si="0"/>
        <v>0</v>
      </c>
      <c r="BJ10" s="36">
        <f t="shared" si="0"/>
        <v>0</v>
      </c>
      <c r="BK10" s="36">
        <f t="shared" si="0"/>
        <v>0</v>
      </c>
      <c r="BL10" s="36">
        <f t="shared" si="0"/>
        <v>0</v>
      </c>
      <c r="BM10" s="36">
        <f t="shared" si="0"/>
        <v>0</v>
      </c>
      <c r="BN10" s="36">
        <f t="shared" si="0"/>
        <v>0</v>
      </c>
      <c r="BO10" s="36">
        <f t="shared" si="0"/>
        <v>0</v>
      </c>
      <c r="BP10" s="36">
        <f t="shared" si="0"/>
        <v>0</v>
      </c>
      <c r="BQ10" s="36">
        <f t="shared" si="0"/>
        <v>0</v>
      </c>
      <c r="BR10" s="36">
        <f t="shared" si="0"/>
        <v>0</v>
      </c>
    </row>
    <row r="11" spans="1:70">
      <c r="A11" s="63" t="s">
        <v>338</v>
      </c>
      <c r="F11" s="65"/>
      <c r="G11" s="65"/>
      <c r="H11" s="65"/>
      <c r="I11" s="65"/>
      <c r="J11" s="65"/>
      <c r="K11" s="65"/>
      <c r="L11" s="65"/>
      <c r="M11" s="65"/>
      <c r="N11" s="65"/>
      <c r="O11" s="65"/>
      <c r="P11" s="65"/>
      <c r="Q11" s="65"/>
      <c r="R11" s="36">
        <v>0</v>
      </c>
      <c r="S11" s="65"/>
      <c r="T11" s="65"/>
      <c r="U11" s="65"/>
      <c r="V11" s="65"/>
      <c r="W11" s="65"/>
      <c r="X11" s="65"/>
      <c r="Y11" s="65"/>
      <c r="Z11" s="65"/>
      <c r="AA11" s="65"/>
      <c r="AB11" s="65"/>
      <c r="AC11" s="65"/>
      <c r="AD11" s="65"/>
      <c r="AE11" s="36">
        <v>0</v>
      </c>
      <c r="AF11" s="65"/>
      <c r="AG11" s="65"/>
      <c r="AH11" s="65"/>
      <c r="AI11" s="65"/>
      <c r="AJ11" s="65"/>
      <c r="AK11" s="65"/>
      <c r="AL11" s="65"/>
      <c r="AM11" s="65"/>
      <c r="AN11" s="65"/>
      <c r="AO11" s="65"/>
      <c r="AP11" s="65"/>
      <c r="AQ11" s="65"/>
      <c r="AR11" s="36">
        <v>0</v>
      </c>
      <c r="AS11" s="65"/>
      <c r="AT11" s="65"/>
      <c r="AU11" s="65"/>
      <c r="AV11" s="65"/>
      <c r="AW11" s="65"/>
      <c r="AX11" s="65"/>
      <c r="AY11" s="65"/>
      <c r="AZ11" s="65"/>
      <c r="BA11" s="65"/>
      <c r="BB11" s="65"/>
      <c r="BC11" s="65"/>
      <c r="BD11" s="65"/>
      <c r="BE11" s="36">
        <v>0</v>
      </c>
      <c r="BF11" s="65"/>
      <c r="BG11" s="65"/>
      <c r="BH11" s="65"/>
      <c r="BI11" s="65"/>
      <c r="BJ11" s="65"/>
      <c r="BK11" s="65"/>
      <c r="BL11" s="65"/>
      <c r="BM11" s="65"/>
      <c r="BN11" s="65"/>
      <c r="BO11" s="65"/>
      <c r="BP11" s="65"/>
      <c r="BQ11" s="65"/>
      <c r="BR11" s="36">
        <v>0</v>
      </c>
    </row>
    <row r="12" spans="1:70">
      <c r="A12" s="63" t="s">
        <v>339</v>
      </c>
      <c r="F12" s="65"/>
      <c r="G12" s="65"/>
      <c r="H12" s="65"/>
      <c r="I12" s="65"/>
      <c r="J12" s="65"/>
      <c r="K12" s="65"/>
      <c r="L12" s="65"/>
      <c r="M12" s="65"/>
      <c r="N12" s="65"/>
      <c r="O12" s="65"/>
      <c r="P12" s="65"/>
      <c r="Q12" s="65"/>
      <c r="R12" s="36">
        <v>0</v>
      </c>
      <c r="S12" s="65"/>
      <c r="T12" s="65"/>
      <c r="U12" s="65"/>
      <c r="V12" s="65"/>
      <c r="W12" s="65"/>
      <c r="X12" s="65"/>
      <c r="Y12" s="65"/>
      <c r="Z12" s="65"/>
      <c r="AA12" s="65"/>
      <c r="AB12" s="65"/>
      <c r="AC12" s="65"/>
      <c r="AD12" s="65"/>
      <c r="AE12" s="36">
        <v>0</v>
      </c>
      <c r="AF12" s="65"/>
      <c r="AG12" s="65"/>
      <c r="AH12" s="65"/>
      <c r="AI12" s="65"/>
      <c r="AJ12" s="65"/>
      <c r="AK12" s="65"/>
      <c r="AL12" s="65"/>
      <c r="AM12" s="65"/>
      <c r="AN12" s="65"/>
      <c r="AO12" s="65"/>
      <c r="AP12" s="65"/>
      <c r="AQ12" s="65"/>
      <c r="AR12" s="36">
        <v>0</v>
      </c>
      <c r="AS12" s="65"/>
      <c r="AT12" s="65"/>
      <c r="AU12" s="65"/>
      <c r="AV12" s="65"/>
      <c r="AW12" s="65"/>
      <c r="AX12" s="65"/>
      <c r="AY12" s="65"/>
      <c r="AZ12" s="65"/>
      <c r="BA12" s="65"/>
      <c r="BB12" s="65"/>
      <c r="BC12" s="65"/>
      <c r="BD12" s="65"/>
      <c r="BE12" s="36">
        <v>0</v>
      </c>
      <c r="BF12" s="65"/>
      <c r="BG12" s="65"/>
      <c r="BH12" s="65"/>
      <c r="BI12" s="65"/>
      <c r="BJ12" s="65"/>
      <c r="BK12" s="65"/>
      <c r="BL12" s="65"/>
      <c r="BM12" s="65"/>
      <c r="BN12" s="65"/>
      <c r="BO12" s="65"/>
      <c r="BP12" s="65"/>
      <c r="BQ12" s="65"/>
      <c r="BR12" s="36">
        <v>0</v>
      </c>
    </row>
    <row r="13" spans="1:70">
      <c r="A13" s="63" t="s">
        <v>340</v>
      </c>
      <c r="F13" s="65"/>
      <c r="G13" s="65"/>
      <c r="H13" s="65"/>
      <c r="I13" s="65"/>
      <c r="J13" s="65"/>
      <c r="K13" s="65"/>
      <c r="L13" s="65"/>
      <c r="M13" s="65"/>
      <c r="N13" s="65"/>
      <c r="O13" s="65"/>
      <c r="P13" s="65"/>
      <c r="Q13" s="65"/>
      <c r="R13" s="36">
        <v>0</v>
      </c>
      <c r="S13" s="65"/>
      <c r="T13" s="65"/>
      <c r="U13" s="65"/>
      <c r="V13" s="65"/>
      <c r="W13" s="65"/>
      <c r="X13" s="65"/>
      <c r="Y13" s="65"/>
      <c r="Z13" s="65"/>
      <c r="AA13" s="65"/>
      <c r="AB13" s="65"/>
      <c r="AC13" s="65"/>
      <c r="AD13" s="65"/>
      <c r="AE13" s="36">
        <v>0</v>
      </c>
      <c r="AF13" s="65"/>
      <c r="AG13" s="65"/>
      <c r="AH13" s="65"/>
      <c r="AI13" s="65"/>
      <c r="AJ13" s="65"/>
      <c r="AK13" s="65"/>
      <c r="AL13" s="65"/>
      <c r="AM13" s="65"/>
      <c r="AN13" s="65"/>
      <c r="AO13" s="65"/>
      <c r="AP13" s="65"/>
      <c r="AQ13" s="65"/>
      <c r="AR13" s="36">
        <v>0</v>
      </c>
      <c r="AS13" s="65"/>
      <c r="AT13" s="65"/>
      <c r="AU13" s="65"/>
      <c r="AV13" s="65"/>
      <c r="AW13" s="65"/>
      <c r="AX13" s="65"/>
      <c r="AY13" s="65"/>
      <c r="AZ13" s="65"/>
      <c r="BA13" s="65"/>
      <c r="BB13" s="65"/>
      <c r="BC13" s="65"/>
      <c r="BD13" s="65"/>
      <c r="BE13" s="36">
        <v>0</v>
      </c>
      <c r="BF13" s="65"/>
      <c r="BG13" s="65"/>
      <c r="BH13" s="65"/>
      <c r="BI13" s="65"/>
      <c r="BJ13" s="65"/>
      <c r="BK13" s="65"/>
      <c r="BL13" s="65"/>
      <c r="BM13" s="65"/>
      <c r="BN13" s="65"/>
      <c r="BO13" s="65"/>
      <c r="BP13" s="65"/>
      <c r="BQ13" s="65"/>
      <c r="BR13" s="36">
        <v>0</v>
      </c>
    </row>
    <row r="14" spans="1:70" ht="15">
      <c r="A14" s="166" t="s">
        <v>386</v>
      </c>
      <c r="F14" s="65"/>
      <c r="G14" s="65"/>
      <c r="H14" s="65"/>
      <c r="I14" s="65"/>
      <c r="J14" s="65"/>
      <c r="K14" s="65"/>
      <c r="L14" s="65"/>
      <c r="M14" s="65"/>
      <c r="N14" s="65"/>
      <c r="O14" s="65"/>
      <c r="P14" s="65"/>
      <c r="Q14" s="65"/>
      <c r="R14" s="36">
        <f>SUM(R15:R17)</f>
        <v>0</v>
      </c>
      <c r="S14" s="36">
        <f t="shared" ref="S14" si="1">SUM(S15:S17)</f>
        <v>0</v>
      </c>
      <c r="T14" s="36">
        <f t="shared" ref="T14" si="2">SUM(T15:T17)</f>
        <v>0</v>
      </c>
      <c r="U14" s="36">
        <f t="shared" ref="U14" si="3">SUM(U15:U17)</f>
        <v>0</v>
      </c>
      <c r="V14" s="36">
        <f t="shared" ref="V14" si="4">SUM(V15:V17)</f>
        <v>0</v>
      </c>
      <c r="W14" s="36">
        <f t="shared" ref="W14" si="5">SUM(W15:W17)</f>
        <v>0</v>
      </c>
      <c r="X14" s="36">
        <f t="shared" ref="X14" si="6">SUM(X15:X17)</f>
        <v>0</v>
      </c>
      <c r="Y14" s="36">
        <f t="shared" ref="Y14" si="7">SUM(Y15:Y17)</f>
        <v>0</v>
      </c>
      <c r="Z14" s="36">
        <f t="shared" ref="Z14" si="8">SUM(Z15:Z17)</f>
        <v>0</v>
      </c>
      <c r="AA14" s="36">
        <f t="shared" ref="AA14" si="9">SUM(AA15:AA17)</f>
        <v>0</v>
      </c>
      <c r="AB14" s="36">
        <f t="shared" ref="AB14" si="10">SUM(AB15:AB17)</f>
        <v>0</v>
      </c>
      <c r="AC14" s="36">
        <f t="shared" ref="AC14" si="11">SUM(AC15:AC17)</f>
        <v>0</v>
      </c>
      <c r="AD14" s="36">
        <f t="shared" ref="AD14" si="12">SUM(AD15:AD17)</f>
        <v>0</v>
      </c>
      <c r="AE14" s="36">
        <f t="shared" ref="AE14" si="13">SUM(AE15:AE17)</f>
        <v>0</v>
      </c>
      <c r="AF14" s="36">
        <f t="shared" ref="AF14" si="14">SUM(AF15:AF17)</f>
        <v>0</v>
      </c>
      <c r="AG14" s="36">
        <f t="shared" ref="AG14" si="15">SUM(AG15:AG17)</f>
        <v>0</v>
      </c>
      <c r="AH14" s="36">
        <f t="shared" ref="AH14" si="16">SUM(AH15:AH17)</f>
        <v>0</v>
      </c>
      <c r="AI14" s="36">
        <f t="shared" ref="AI14" si="17">SUM(AI15:AI17)</f>
        <v>0</v>
      </c>
      <c r="AJ14" s="36">
        <f t="shared" ref="AJ14" si="18">SUM(AJ15:AJ17)</f>
        <v>0</v>
      </c>
      <c r="AK14" s="36">
        <f t="shared" ref="AK14" si="19">SUM(AK15:AK17)</f>
        <v>0</v>
      </c>
      <c r="AL14" s="36">
        <f t="shared" ref="AL14" si="20">SUM(AL15:AL17)</f>
        <v>0</v>
      </c>
      <c r="AM14" s="36">
        <f t="shared" ref="AM14" si="21">SUM(AM15:AM17)</f>
        <v>0</v>
      </c>
      <c r="AN14" s="36">
        <f t="shared" ref="AN14" si="22">SUM(AN15:AN17)</f>
        <v>0</v>
      </c>
      <c r="AO14" s="36">
        <f t="shared" ref="AO14" si="23">SUM(AO15:AO17)</f>
        <v>0</v>
      </c>
      <c r="AP14" s="36">
        <f t="shared" ref="AP14" si="24">SUM(AP15:AP17)</f>
        <v>0</v>
      </c>
      <c r="AQ14" s="36">
        <f t="shared" ref="AQ14" si="25">SUM(AQ15:AQ17)</f>
        <v>0</v>
      </c>
      <c r="AR14" s="36">
        <f t="shared" ref="AR14" si="26">SUM(AR15:AR17)</f>
        <v>0</v>
      </c>
      <c r="AS14" s="36">
        <f t="shared" ref="AS14" si="27">SUM(AS15:AS17)</f>
        <v>0</v>
      </c>
      <c r="AT14" s="36">
        <f t="shared" ref="AT14" si="28">SUM(AT15:AT17)</f>
        <v>0</v>
      </c>
      <c r="AU14" s="36">
        <f t="shared" ref="AU14" si="29">SUM(AU15:AU17)</f>
        <v>0</v>
      </c>
      <c r="AV14" s="36">
        <f t="shared" ref="AV14" si="30">SUM(AV15:AV17)</f>
        <v>0</v>
      </c>
      <c r="AW14" s="36">
        <f t="shared" ref="AW14" si="31">SUM(AW15:AW17)</f>
        <v>0</v>
      </c>
      <c r="AX14" s="36">
        <f t="shared" ref="AX14" si="32">SUM(AX15:AX17)</f>
        <v>0</v>
      </c>
      <c r="AY14" s="36">
        <f t="shared" ref="AY14" si="33">SUM(AY15:AY17)</f>
        <v>0</v>
      </c>
      <c r="AZ14" s="36">
        <f t="shared" ref="AZ14" si="34">SUM(AZ15:AZ17)</f>
        <v>0</v>
      </c>
      <c r="BA14" s="36">
        <f t="shared" ref="BA14" si="35">SUM(BA15:BA17)</f>
        <v>0</v>
      </c>
      <c r="BB14" s="36">
        <f t="shared" ref="BB14" si="36">SUM(BB15:BB17)</f>
        <v>0</v>
      </c>
      <c r="BC14" s="36">
        <f t="shared" ref="BC14" si="37">SUM(BC15:BC17)</f>
        <v>0</v>
      </c>
      <c r="BD14" s="36">
        <f t="shared" ref="BD14" si="38">SUM(BD15:BD17)</f>
        <v>0</v>
      </c>
      <c r="BE14" s="36">
        <f t="shared" ref="BE14" si="39">SUM(BE15:BE17)</f>
        <v>0</v>
      </c>
      <c r="BF14" s="36">
        <f t="shared" ref="BF14" si="40">SUM(BF15:BF17)</f>
        <v>0</v>
      </c>
      <c r="BG14" s="36">
        <f t="shared" ref="BG14" si="41">SUM(BG15:BG17)</f>
        <v>0</v>
      </c>
      <c r="BH14" s="36">
        <f t="shared" ref="BH14" si="42">SUM(BH15:BH17)</f>
        <v>0</v>
      </c>
      <c r="BI14" s="36">
        <f t="shared" ref="BI14" si="43">SUM(BI15:BI17)</f>
        <v>0</v>
      </c>
      <c r="BJ14" s="36">
        <f t="shared" ref="BJ14" si="44">SUM(BJ15:BJ17)</f>
        <v>0</v>
      </c>
      <c r="BK14" s="36">
        <f t="shared" ref="BK14" si="45">SUM(BK15:BK17)</f>
        <v>0</v>
      </c>
      <c r="BL14" s="36">
        <f t="shared" ref="BL14" si="46">SUM(BL15:BL17)</f>
        <v>0</v>
      </c>
      <c r="BM14" s="36">
        <f t="shared" ref="BM14" si="47">SUM(BM15:BM17)</f>
        <v>0</v>
      </c>
      <c r="BN14" s="36">
        <f t="shared" ref="BN14" si="48">SUM(BN15:BN17)</f>
        <v>0</v>
      </c>
      <c r="BO14" s="36">
        <f t="shared" ref="BO14" si="49">SUM(BO15:BO17)</f>
        <v>0</v>
      </c>
      <c r="BP14" s="36">
        <f t="shared" ref="BP14" si="50">SUM(BP15:BP17)</f>
        <v>0</v>
      </c>
      <c r="BQ14" s="36">
        <f t="shared" ref="BQ14" si="51">SUM(BQ15:BQ17)</f>
        <v>0</v>
      </c>
      <c r="BR14" s="36">
        <f t="shared" ref="BR14" si="52">SUM(BR15:BR17)</f>
        <v>0</v>
      </c>
    </row>
    <row r="15" spans="1:70">
      <c r="A15" s="63" t="s">
        <v>338</v>
      </c>
      <c r="F15" s="65"/>
      <c r="G15" s="65"/>
      <c r="H15" s="65"/>
      <c r="I15" s="65"/>
      <c r="J15" s="65"/>
      <c r="K15" s="65"/>
      <c r="L15" s="65"/>
      <c r="M15" s="65"/>
      <c r="N15" s="65"/>
      <c r="O15" s="65"/>
      <c r="P15" s="65"/>
      <c r="Q15" s="65"/>
      <c r="R15" s="36">
        <v>0</v>
      </c>
      <c r="S15" s="65"/>
      <c r="T15" s="65"/>
      <c r="U15" s="65"/>
      <c r="V15" s="65"/>
      <c r="W15" s="65"/>
      <c r="X15" s="65"/>
      <c r="Y15" s="65"/>
      <c r="Z15" s="65"/>
      <c r="AA15" s="65"/>
      <c r="AB15" s="65"/>
      <c r="AC15" s="65"/>
      <c r="AD15" s="65"/>
      <c r="AE15" s="36">
        <v>0</v>
      </c>
      <c r="AF15" s="65"/>
      <c r="AG15" s="65"/>
      <c r="AH15" s="65"/>
      <c r="AI15" s="65"/>
      <c r="AJ15" s="65"/>
      <c r="AK15" s="65"/>
      <c r="AL15" s="65"/>
      <c r="AM15" s="65"/>
      <c r="AN15" s="65"/>
      <c r="AO15" s="65"/>
      <c r="AP15" s="65"/>
      <c r="AQ15" s="65"/>
      <c r="AR15" s="36">
        <v>0</v>
      </c>
      <c r="AS15" s="65"/>
      <c r="AT15" s="65"/>
      <c r="AU15" s="65"/>
      <c r="AV15" s="65"/>
      <c r="AW15" s="65"/>
      <c r="AX15" s="65"/>
      <c r="AY15" s="65"/>
      <c r="AZ15" s="65"/>
      <c r="BA15" s="65"/>
      <c r="BB15" s="65"/>
      <c r="BC15" s="65"/>
      <c r="BD15" s="65"/>
      <c r="BE15" s="36">
        <v>0</v>
      </c>
      <c r="BF15" s="65"/>
      <c r="BG15" s="65"/>
      <c r="BH15" s="65"/>
      <c r="BI15" s="65"/>
      <c r="BJ15" s="65"/>
      <c r="BK15" s="65"/>
      <c r="BL15" s="65"/>
      <c r="BM15" s="65"/>
      <c r="BN15" s="65"/>
      <c r="BO15" s="65"/>
      <c r="BP15" s="65"/>
      <c r="BQ15" s="65"/>
      <c r="BR15" s="36">
        <v>0</v>
      </c>
    </row>
    <row r="16" spans="1:70">
      <c r="A16" s="63" t="s">
        <v>339</v>
      </c>
      <c r="F16" s="65"/>
      <c r="G16" s="65"/>
      <c r="H16" s="65"/>
      <c r="I16" s="65"/>
      <c r="J16" s="65"/>
      <c r="K16" s="65"/>
      <c r="L16" s="65"/>
      <c r="M16" s="65"/>
      <c r="N16" s="65"/>
      <c r="O16" s="65"/>
      <c r="P16" s="65"/>
      <c r="Q16" s="65"/>
      <c r="R16" s="36">
        <v>0</v>
      </c>
      <c r="S16" s="65"/>
      <c r="T16" s="65"/>
      <c r="U16" s="65"/>
      <c r="V16" s="65"/>
      <c r="W16" s="65"/>
      <c r="X16" s="65"/>
      <c r="Y16" s="65"/>
      <c r="Z16" s="65"/>
      <c r="AA16" s="65"/>
      <c r="AB16" s="65"/>
      <c r="AC16" s="65"/>
      <c r="AD16" s="65"/>
      <c r="AE16" s="36">
        <v>0</v>
      </c>
      <c r="AF16" s="65"/>
      <c r="AG16" s="65"/>
      <c r="AH16" s="65"/>
      <c r="AI16" s="65"/>
      <c r="AJ16" s="65"/>
      <c r="AK16" s="65"/>
      <c r="AL16" s="65"/>
      <c r="AM16" s="65"/>
      <c r="AN16" s="65"/>
      <c r="AO16" s="65"/>
      <c r="AP16" s="65"/>
      <c r="AQ16" s="65"/>
      <c r="AR16" s="36">
        <v>0</v>
      </c>
      <c r="AS16" s="65"/>
      <c r="AT16" s="65"/>
      <c r="AU16" s="65"/>
      <c r="AV16" s="65"/>
      <c r="AW16" s="65"/>
      <c r="AX16" s="65"/>
      <c r="AY16" s="65"/>
      <c r="AZ16" s="65"/>
      <c r="BA16" s="65"/>
      <c r="BB16" s="65"/>
      <c r="BC16" s="65"/>
      <c r="BD16" s="65"/>
      <c r="BE16" s="36">
        <v>0</v>
      </c>
      <c r="BF16" s="65"/>
      <c r="BG16" s="65"/>
      <c r="BH16" s="65"/>
      <c r="BI16" s="65"/>
      <c r="BJ16" s="65"/>
      <c r="BK16" s="65"/>
      <c r="BL16" s="65"/>
      <c r="BM16" s="65"/>
      <c r="BN16" s="65"/>
      <c r="BO16" s="65"/>
      <c r="BP16" s="65"/>
      <c r="BQ16" s="65"/>
      <c r="BR16" s="36">
        <v>0</v>
      </c>
    </row>
    <row r="17" spans="1:70">
      <c r="A17" s="63" t="s">
        <v>340</v>
      </c>
      <c r="F17" s="65"/>
      <c r="G17" s="65"/>
      <c r="H17" s="65"/>
      <c r="I17" s="65"/>
      <c r="J17" s="65"/>
      <c r="K17" s="65"/>
      <c r="L17" s="65"/>
      <c r="M17" s="65"/>
      <c r="N17" s="65"/>
      <c r="O17" s="65"/>
      <c r="P17" s="65"/>
      <c r="Q17" s="65"/>
      <c r="R17" s="36">
        <v>0</v>
      </c>
      <c r="S17" s="65"/>
      <c r="T17" s="65"/>
      <c r="U17" s="65"/>
      <c r="V17" s="65"/>
      <c r="W17" s="65"/>
      <c r="X17" s="65"/>
      <c r="Y17" s="65"/>
      <c r="Z17" s="65"/>
      <c r="AA17" s="65"/>
      <c r="AB17" s="65"/>
      <c r="AC17" s="65"/>
      <c r="AD17" s="65"/>
      <c r="AE17" s="36">
        <v>0</v>
      </c>
      <c r="AF17" s="65"/>
      <c r="AG17" s="65"/>
      <c r="AH17" s="65"/>
      <c r="AI17" s="65"/>
      <c r="AJ17" s="65"/>
      <c r="AK17" s="65"/>
      <c r="AL17" s="65"/>
      <c r="AM17" s="65"/>
      <c r="AN17" s="65"/>
      <c r="AO17" s="65"/>
      <c r="AP17" s="65"/>
      <c r="AQ17" s="65"/>
      <c r="AR17" s="36">
        <v>0</v>
      </c>
      <c r="AS17" s="65"/>
      <c r="AT17" s="65"/>
      <c r="AU17" s="65"/>
      <c r="AV17" s="65"/>
      <c r="AW17" s="65"/>
      <c r="AX17" s="65"/>
      <c r="AY17" s="65"/>
      <c r="AZ17" s="65"/>
      <c r="BA17" s="65"/>
      <c r="BB17" s="65"/>
      <c r="BC17" s="65"/>
      <c r="BD17" s="65"/>
      <c r="BE17" s="36">
        <v>0</v>
      </c>
      <c r="BF17" s="65"/>
      <c r="BG17" s="65"/>
      <c r="BH17" s="65"/>
      <c r="BI17" s="65"/>
      <c r="BJ17" s="65"/>
      <c r="BK17" s="65"/>
      <c r="BL17" s="65"/>
      <c r="BM17" s="65"/>
      <c r="BN17" s="65"/>
      <c r="BO17" s="65"/>
      <c r="BP17" s="65"/>
      <c r="BQ17" s="65"/>
      <c r="BR17" s="36">
        <v>0</v>
      </c>
    </row>
    <row r="18" spans="1:70" ht="15">
      <c r="A18" s="166" t="s">
        <v>341</v>
      </c>
      <c r="F18" s="65"/>
      <c r="G18" s="65"/>
      <c r="H18" s="65"/>
      <c r="I18" s="65"/>
      <c r="J18" s="65"/>
      <c r="K18" s="65"/>
      <c r="L18" s="65"/>
      <c r="M18" s="65"/>
      <c r="N18" s="65"/>
      <c r="O18" s="65"/>
      <c r="P18" s="65"/>
      <c r="Q18" s="65"/>
      <c r="R18" s="36">
        <f>SUM(R19:R21)</f>
        <v>0</v>
      </c>
      <c r="S18" s="36">
        <f t="shared" ref="S18" si="53">SUM(S19:S21)</f>
        <v>0</v>
      </c>
      <c r="T18" s="36">
        <f t="shared" ref="T18" si="54">SUM(T19:T21)</f>
        <v>0</v>
      </c>
      <c r="U18" s="36">
        <f t="shared" ref="U18" si="55">SUM(U19:U21)</f>
        <v>0</v>
      </c>
      <c r="V18" s="36">
        <f t="shared" ref="V18" si="56">SUM(V19:V21)</f>
        <v>0</v>
      </c>
      <c r="W18" s="36">
        <f t="shared" ref="W18" si="57">SUM(W19:W21)</f>
        <v>0</v>
      </c>
      <c r="X18" s="36">
        <f t="shared" ref="X18" si="58">SUM(X19:X21)</f>
        <v>0</v>
      </c>
      <c r="Y18" s="36">
        <f t="shared" ref="Y18" si="59">SUM(Y19:Y21)</f>
        <v>0</v>
      </c>
      <c r="Z18" s="36">
        <f t="shared" ref="Z18" si="60">SUM(Z19:Z21)</f>
        <v>0</v>
      </c>
      <c r="AA18" s="36">
        <f t="shared" ref="AA18" si="61">SUM(AA19:AA21)</f>
        <v>0</v>
      </c>
      <c r="AB18" s="36">
        <f t="shared" ref="AB18" si="62">SUM(AB19:AB21)</f>
        <v>0</v>
      </c>
      <c r="AC18" s="36">
        <f t="shared" ref="AC18" si="63">SUM(AC19:AC21)</f>
        <v>0</v>
      </c>
      <c r="AD18" s="36">
        <f t="shared" ref="AD18" si="64">SUM(AD19:AD21)</f>
        <v>0</v>
      </c>
      <c r="AE18" s="36">
        <f t="shared" ref="AE18" si="65">SUM(AE19:AE21)</f>
        <v>0</v>
      </c>
      <c r="AF18" s="36">
        <f t="shared" ref="AF18" si="66">SUM(AF19:AF21)</f>
        <v>0</v>
      </c>
      <c r="AG18" s="36">
        <f t="shared" ref="AG18" si="67">SUM(AG19:AG21)</f>
        <v>0</v>
      </c>
      <c r="AH18" s="36">
        <f t="shared" ref="AH18" si="68">SUM(AH19:AH21)</f>
        <v>0</v>
      </c>
      <c r="AI18" s="36">
        <f t="shared" ref="AI18" si="69">SUM(AI19:AI21)</f>
        <v>0</v>
      </c>
      <c r="AJ18" s="36">
        <f t="shared" ref="AJ18" si="70">SUM(AJ19:AJ21)</f>
        <v>0</v>
      </c>
      <c r="AK18" s="36">
        <f t="shared" ref="AK18" si="71">SUM(AK19:AK21)</f>
        <v>0</v>
      </c>
      <c r="AL18" s="36">
        <f t="shared" ref="AL18" si="72">SUM(AL19:AL21)</f>
        <v>0</v>
      </c>
      <c r="AM18" s="36">
        <f t="shared" ref="AM18" si="73">SUM(AM19:AM21)</f>
        <v>0</v>
      </c>
      <c r="AN18" s="36">
        <f t="shared" ref="AN18" si="74">SUM(AN19:AN21)</f>
        <v>0</v>
      </c>
      <c r="AO18" s="36">
        <f t="shared" ref="AO18" si="75">SUM(AO19:AO21)</f>
        <v>0</v>
      </c>
      <c r="AP18" s="36">
        <f t="shared" ref="AP18" si="76">SUM(AP19:AP21)</f>
        <v>0</v>
      </c>
      <c r="AQ18" s="36">
        <f t="shared" ref="AQ18" si="77">SUM(AQ19:AQ21)</f>
        <v>0</v>
      </c>
      <c r="AR18" s="36">
        <f t="shared" ref="AR18" si="78">SUM(AR19:AR21)</f>
        <v>0</v>
      </c>
      <c r="AS18" s="36">
        <f t="shared" ref="AS18" si="79">SUM(AS19:AS21)</f>
        <v>0</v>
      </c>
      <c r="AT18" s="36">
        <f t="shared" ref="AT18" si="80">SUM(AT19:AT21)</f>
        <v>0</v>
      </c>
      <c r="AU18" s="36">
        <f t="shared" ref="AU18" si="81">SUM(AU19:AU21)</f>
        <v>0</v>
      </c>
      <c r="AV18" s="36">
        <f t="shared" ref="AV18" si="82">SUM(AV19:AV21)</f>
        <v>0</v>
      </c>
      <c r="AW18" s="36">
        <f t="shared" ref="AW18" si="83">SUM(AW19:AW21)</f>
        <v>0</v>
      </c>
      <c r="AX18" s="36">
        <f t="shared" ref="AX18" si="84">SUM(AX19:AX21)</f>
        <v>0</v>
      </c>
      <c r="AY18" s="36">
        <f t="shared" ref="AY18" si="85">SUM(AY19:AY21)</f>
        <v>0</v>
      </c>
      <c r="AZ18" s="36">
        <f t="shared" ref="AZ18" si="86">SUM(AZ19:AZ21)</f>
        <v>0</v>
      </c>
      <c r="BA18" s="36">
        <f t="shared" ref="BA18" si="87">SUM(BA19:BA21)</f>
        <v>0</v>
      </c>
      <c r="BB18" s="36">
        <f t="shared" ref="BB18" si="88">SUM(BB19:BB21)</f>
        <v>0</v>
      </c>
      <c r="BC18" s="36">
        <f t="shared" ref="BC18" si="89">SUM(BC19:BC21)</f>
        <v>0</v>
      </c>
      <c r="BD18" s="36">
        <f t="shared" ref="BD18" si="90">SUM(BD19:BD21)</f>
        <v>0</v>
      </c>
      <c r="BE18" s="36">
        <f t="shared" ref="BE18" si="91">SUM(BE19:BE21)</f>
        <v>0</v>
      </c>
      <c r="BF18" s="36">
        <f t="shared" ref="BF18" si="92">SUM(BF19:BF21)</f>
        <v>0</v>
      </c>
      <c r="BG18" s="36">
        <f t="shared" ref="BG18" si="93">SUM(BG19:BG21)</f>
        <v>0</v>
      </c>
      <c r="BH18" s="36">
        <f t="shared" ref="BH18" si="94">SUM(BH19:BH21)</f>
        <v>0</v>
      </c>
      <c r="BI18" s="36">
        <f t="shared" ref="BI18" si="95">SUM(BI19:BI21)</f>
        <v>0</v>
      </c>
      <c r="BJ18" s="36">
        <f t="shared" ref="BJ18" si="96">SUM(BJ19:BJ21)</f>
        <v>0</v>
      </c>
      <c r="BK18" s="36">
        <f t="shared" ref="BK18" si="97">SUM(BK19:BK21)</f>
        <v>0</v>
      </c>
      <c r="BL18" s="36">
        <f t="shared" ref="BL18" si="98">SUM(BL19:BL21)</f>
        <v>0</v>
      </c>
      <c r="BM18" s="36">
        <f t="shared" ref="BM18" si="99">SUM(BM19:BM21)</f>
        <v>0</v>
      </c>
      <c r="BN18" s="36">
        <f t="shared" ref="BN18" si="100">SUM(BN19:BN21)</f>
        <v>0</v>
      </c>
      <c r="BO18" s="36">
        <f t="shared" ref="BO18" si="101">SUM(BO19:BO21)</f>
        <v>0</v>
      </c>
      <c r="BP18" s="36">
        <f t="shared" ref="BP18" si="102">SUM(BP19:BP21)</f>
        <v>0</v>
      </c>
      <c r="BQ18" s="36">
        <f t="shared" ref="BQ18" si="103">SUM(BQ19:BQ21)</f>
        <v>0</v>
      </c>
      <c r="BR18" s="36">
        <f t="shared" ref="BR18" si="104">SUM(BR19:BR21)</f>
        <v>0</v>
      </c>
    </row>
    <row r="19" spans="1:70">
      <c r="A19" s="63" t="s">
        <v>342</v>
      </c>
      <c r="F19" s="65"/>
      <c r="G19" s="65"/>
      <c r="H19" s="65"/>
      <c r="I19" s="65"/>
      <c r="J19" s="65"/>
      <c r="K19" s="65"/>
      <c r="L19" s="65"/>
      <c r="M19" s="65"/>
      <c r="N19" s="65"/>
      <c r="O19" s="65"/>
      <c r="P19" s="65"/>
      <c r="Q19" s="65"/>
      <c r="R19" s="36">
        <v>0</v>
      </c>
      <c r="S19" s="65"/>
      <c r="T19" s="65"/>
      <c r="U19" s="65"/>
      <c r="V19" s="65"/>
      <c r="W19" s="65"/>
      <c r="X19" s="65"/>
      <c r="Y19" s="65"/>
      <c r="Z19" s="65"/>
      <c r="AA19" s="65"/>
      <c r="AB19" s="65"/>
      <c r="AC19" s="65"/>
      <c r="AD19" s="65"/>
      <c r="AE19" s="36">
        <v>0</v>
      </c>
      <c r="AF19" s="65"/>
      <c r="AG19" s="65"/>
      <c r="AH19" s="65"/>
      <c r="AI19" s="65"/>
      <c r="AJ19" s="65"/>
      <c r="AK19" s="65"/>
      <c r="AL19" s="65"/>
      <c r="AM19" s="65"/>
      <c r="AN19" s="65"/>
      <c r="AO19" s="65"/>
      <c r="AP19" s="65"/>
      <c r="AQ19" s="65"/>
      <c r="AR19" s="36">
        <v>0</v>
      </c>
      <c r="AS19" s="65"/>
      <c r="AT19" s="65"/>
      <c r="AU19" s="65"/>
      <c r="AV19" s="65"/>
      <c r="AW19" s="65"/>
      <c r="AX19" s="65"/>
      <c r="AY19" s="65"/>
      <c r="AZ19" s="65"/>
      <c r="BA19" s="65"/>
      <c r="BB19" s="65"/>
      <c r="BC19" s="65"/>
      <c r="BD19" s="65"/>
      <c r="BE19" s="36">
        <v>0</v>
      </c>
      <c r="BF19" s="65"/>
      <c r="BG19" s="65"/>
      <c r="BH19" s="65"/>
      <c r="BI19" s="65"/>
      <c r="BJ19" s="65"/>
      <c r="BK19" s="65"/>
      <c r="BL19" s="65"/>
      <c r="BM19" s="65"/>
      <c r="BN19" s="65"/>
      <c r="BO19" s="65"/>
      <c r="BP19" s="65"/>
      <c r="BQ19" s="65"/>
      <c r="BR19" s="36">
        <v>0</v>
      </c>
    </row>
    <row r="20" spans="1:70">
      <c r="A20" s="63" t="s">
        <v>347</v>
      </c>
      <c r="F20" s="65"/>
      <c r="G20" s="65"/>
      <c r="H20" s="65"/>
      <c r="I20" s="65"/>
      <c r="J20" s="65"/>
      <c r="K20" s="65"/>
      <c r="L20" s="65"/>
      <c r="M20" s="65"/>
      <c r="N20" s="65"/>
      <c r="O20" s="65"/>
      <c r="P20" s="65"/>
      <c r="Q20" s="65"/>
      <c r="R20" s="36">
        <v>0</v>
      </c>
      <c r="S20" s="65"/>
      <c r="T20" s="65"/>
      <c r="U20" s="65"/>
      <c r="V20" s="65"/>
      <c r="W20" s="65"/>
      <c r="X20" s="65"/>
      <c r="Y20" s="65"/>
      <c r="Z20" s="65"/>
      <c r="AA20" s="65"/>
      <c r="AB20" s="65"/>
      <c r="AC20" s="65"/>
      <c r="AD20" s="65"/>
      <c r="AE20" s="36">
        <v>0</v>
      </c>
      <c r="AF20" s="65"/>
      <c r="AG20" s="65"/>
      <c r="AH20" s="65"/>
      <c r="AI20" s="65"/>
      <c r="AJ20" s="65"/>
      <c r="AK20" s="65"/>
      <c r="AL20" s="65"/>
      <c r="AM20" s="65"/>
      <c r="AN20" s="65"/>
      <c r="AO20" s="65"/>
      <c r="AP20" s="65"/>
      <c r="AQ20" s="65"/>
      <c r="AR20" s="36">
        <v>0</v>
      </c>
      <c r="AS20" s="65"/>
      <c r="AT20" s="65"/>
      <c r="AU20" s="65"/>
      <c r="AV20" s="65"/>
      <c r="AW20" s="65"/>
      <c r="AX20" s="65"/>
      <c r="AY20" s="65"/>
      <c r="AZ20" s="65"/>
      <c r="BA20" s="65"/>
      <c r="BB20" s="65"/>
      <c r="BC20" s="65"/>
      <c r="BD20" s="65"/>
      <c r="BE20" s="36">
        <v>0</v>
      </c>
      <c r="BF20" s="65"/>
      <c r="BG20" s="65"/>
      <c r="BH20" s="65"/>
      <c r="BI20" s="65"/>
      <c r="BJ20" s="65"/>
      <c r="BK20" s="65"/>
      <c r="BL20" s="65"/>
      <c r="BM20" s="65"/>
      <c r="BN20" s="65"/>
      <c r="BO20" s="65"/>
      <c r="BP20" s="65"/>
      <c r="BQ20" s="65"/>
      <c r="BR20" s="36">
        <v>0</v>
      </c>
    </row>
    <row r="21" spans="1:70">
      <c r="A21" s="63" t="s">
        <v>344</v>
      </c>
      <c r="F21" s="65"/>
      <c r="G21" s="65"/>
      <c r="H21" s="65"/>
      <c r="I21" s="65"/>
      <c r="J21" s="65"/>
      <c r="K21" s="65"/>
      <c r="L21" s="65"/>
      <c r="M21" s="65"/>
      <c r="N21" s="65"/>
      <c r="O21" s="65"/>
      <c r="P21" s="65"/>
      <c r="Q21" s="65"/>
      <c r="R21" s="36">
        <v>0</v>
      </c>
      <c r="S21" s="65"/>
      <c r="T21" s="65"/>
      <c r="U21" s="65"/>
      <c r="V21" s="65"/>
      <c r="W21" s="65"/>
      <c r="X21" s="65"/>
      <c r="Y21" s="65"/>
      <c r="Z21" s="65"/>
      <c r="AA21" s="65"/>
      <c r="AB21" s="65"/>
      <c r="AC21" s="65"/>
      <c r="AD21" s="65"/>
      <c r="AE21" s="36">
        <v>0</v>
      </c>
      <c r="AF21" s="65"/>
      <c r="AG21" s="65"/>
      <c r="AH21" s="65"/>
      <c r="AI21" s="65"/>
      <c r="AJ21" s="65"/>
      <c r="AK21" s="65"/>
      <c r="AL21" s="65"/>
      <c r="AM21" s="65"/>
      <c r="AN21" s="65"/>
      <c r="AO21" s="65"/>
      <c r="AP21" s="65"/>
      <c r="AQ21" s="65"/>
      <c r="AR21" s="36">
        <v>0</v>
      </c>
      <c r="AS21" s="65"/>
      <c r="AT21" s="65"/>
      <c r="AU21" s="65"/>
      <c r="AV21" s="65"/>
      <c r="AW21" s="65"/>
      <c r="AX21" s="65"/>
      <c r="AY21" s="65"/>
      <c r="AZ21" s="65"/>
      <c r="BA21" s="65"/>
      <c r="BB21" s="65"/>
      <c r="BC21" s="65"/>
      <c r="BD21" s="65"/>
      <c r="BE21" s="36">
        <v>0</v>
      </c>
      <c r="BF21" s="65"/>
      <c r="BG21" s="65"/>
      <c r="BH21" s="65"/>
      <c r="BI21" s="65"/>
      <c r="BJ21" s="65"/>
      <c r="BK21" s="65"/>
      <c r="BL21" s="65"/>
      <c r="BM21" s="65"/>
      <c r="BN21" s="65"/>
      <c r="BO21" s="65"/>
      <c r="BP21" s="65"/>
      <c r="BQ21" s="65"/>
      <c r="BR21" s="36">
        <v>0</v>
      </c>
    </row>
    <row r="22" spans="1:70" ht="15">
      <c r="A22" s="74" t="s">
        <v>345</v>
      </c>
      <c r="F22" s="65"/>
      <c r="G22" s="65"/>
      <c r="H22" s="65"/>
      <c r="I22" s="65"/>
      <c r="J22" s="65"/>
      <c r="K22" s="65"/>
      <c r="L22" s="65"/>
      <c r="M22" s="65"/>
      <c r="N22" s="65"/>
      <c r="O22" s="65"/>
      <c r="P22" s="65"/>
      <c r="Q22" s="65"/>
      <c r="R22" s="67">
        <f>R10+R14+R18</f>
        <v>0</v>
      </c>
      <c r="S22" s="67">
        <f t="shared" ref="S22:BR22" si="105">S10+S14+S18</f>
        <v>0</v>
      </c>
      <c r="T22" s="67">
        <f t="shared" si="105"/>
        <v>0</v>
      </c>
      <c r="U22" s="67">
        <f t="shared" si="105"/>
        <v>0</v>
      </c>
      <c r="V22" s="67">
        <f t="shared" si="105"/>
        <v>0</v>
      </c>
      <c r="W22" s="67">
        <f t="shared" si="105"/>
        <v>0</v>
      </c>
      <c r="X22" s="67">
        <f t="shared" si="105"/>
        <v>0</v>
      </c>
      <c r="Y22" s="67">
        <f t="shared" si="105"/>
        <v>0</v>
      </c>
      <c r="Z22" s="67">
        <f t="shared" si="105"/>
        <v>0</v>
      </c>
      <c r="AA22" s="67">
        <f t="shared" si="105"/>
        <v>0</v>
      </c>
      <c r="AB22" s="67">
        <f t="shared" si="105"/>
        <v>0</v>
      </c>
      <c r="AC22" s="67">
        <f t="shared" si="105"/>
        <v>0</v>
      </c>
      <c r="AD22" s="67">
        <f t="shared" si="105"/>
        <v>0</v>
      </c>
      <c r="AE22" s="67">
        <f t="shared" si="105"/>
        <v>0</v>
      </c>
      <c r="AF22" s="67">
        <f t="shared" si="105"/>
        <v>0</v>
      </c>
      <c r="AG22" s="67">
        <f t="shared" si="105"/>
        <v>0</v>
      </c>
      <c r="AH22" s="67">
        <f t="shared" si="105"/>
        <v>0</v>
      </c>
      <c r="AI22" s="67">
        <f t="shared" si="105"/>
        <v>0</v>
      </c>
      <c r="AJ22" s="67">
        <f t="shared" si="105"/>
        <v>0</v>
      </c>
      <c r="AK22" s="67">
        <f t="shared" si="105"/>
        <v>0</v>
      </c>
      <c r="AL22" s="67">
        <f t="shared" si="105"/>
        <v>0</v>
      </c>
      <c r="AM22" s="67">
        <f t="shared" si="105"/>
        <v>0</v>
      </c>
      <c r="AN22" s="67">
        <f t="shared" si="105"/>
        <v>0</v>
      </c>
      <c r="AO22" s="67">
        <f t="shared" si="105"/>
        <v>0</v>
      </c>
      <c r="AP22" s="67">
        <f t="shared" si="105"/>
        <v>0</v>
      </c>
      <c r="AQ22" s="67">
        <f t="shared" si="105"/>
        <v>0</v>
      </c>
      <c r="AR22" s="67">
        <f t="shared" si="105"/>
        <v>0</v>
      </c>
      <c r="AS22" s="67">
        <f t="shared" si="105"/>
        <v>0</v>
      </c>
      <c r="AT22" s="67">
        <f t="shared" si="105"/>
        <v>0</v>
      </c>
      <c r="AU22" s="67">
        <f t="shared" si="105"/>
        <v>0</v>
      </c>
      <c r="AV22" s="67">
        <f t="shared" si="105"/>
        <v>0</v>
      </c>
      <c r="AW22" s="67">
        <f t="shared" si="105"/>
        <v>0</v>
      </c>
      <c r="AX22" s="67">
        <f t="shared" si="105"/>
        <v>0</v>
      </c>
      <c r="AY22" s="67">
        <f t="shared" si="105"/>
        <v>0</v>
      </c>
      <c r="AZ22" s="67">
        <f t="shared" si="105"/>
        <v>0</v>
      </c>
      <c r="BA22" s="67">
        <f t="shared" si="105"/>
        <v>0</v>
      </c>
      <c r="BB22" s="67">
        <f t="shared" si="105"/>
        <v>0</v>
      </c>
      <c r="BC22" s="67">
        <f t="shared" si="105"/>
        <v>0</v>
      </c>
      <c r="BD22" s="67">
        <f t="shared" si="105"/>
        <v>0</v>
      </c>
      <c r="BE22" s="67">
        <f t="shared" si="105"/>
        <v>0</v>
      </c>
      <c r="BF22" s="67">
        <f t="shared" si="105"/>
        <v>0</v>
      </c>
      <c r="BG22" s="67">
        <f t="shared" si="105"/>
        <v>0</v>
      </c>
      <c r="BH22" s="67">
        <f t="shared" si="105"/>
        <v>0</v>
      </c>
      <c r="BI22" s="67">
        <f t="shared" si="105"/>
        <v>0</v>
      </c>
      <c r="BJ22" s="67">
        <f t="shared" si="105"/>
        <v>0</v>
      </c>
      <c r="BK22" s="67">
        <f t="shared" si="105"/>
        <v>0</v>
      </c>
      <c r="BL22" s="67">
        <f t="shared" si="105"/>
        <v>0</v>
      </c>
      <c r="BM22" s="67">
        <f t="shared" si="105"/>
        <v>0</v>
      </c>
      <c r="BN22" s="67">
        <f t="shared" si="105"/>
        <v>0</v>
      </c>
      <c r="BO22" s="67">
        <f t="shared" si="105"/>
        <v>0</v>
      </c>
      <c r="BP22" s="67">
        <f t="shared" si="105"/>
        <v>0</v>
      </c>
      <c r="BQ22" s="67">
        <f t="shared" si="105"/>
        <v>0</v>
      </c>
      <c r="BR22" s="67">
        <f t="shared" si="105"/>
        <v>0</v>
      </c>
    </row>
    <row r="23" spans="1:70" ht="17.25">
      <c r="A23" s="68"/>
      <c r="F23" s="65"/>
      <c r="G23" s="65"/>
      <c r="H23" s="65"/>
      <c r="I23" s="65"/>
      <c r="J23" s="65"/>
      <c r="K23" s="65"/>
      <c r="L23" s="65"/>
      <c r="M23" s="65"/>
      <c r="N23" s="65"/>
      <c r="O23" s="65"/>
      <c r="P23" s="65"/>
      <c r="Q23" s="65"/>
      <c r="S23" s="65"/>
      <c r="T23" s="65"/>
      <c r="U23" s="65"/>
      <c r="V23" s="65"/>
      <c r="W23" s="65"/>
      <c r="X23" s="65"/>
      <c r="Y23" s="65"/>
      <c r="Z23" s="65"/>
      <c r="AA23" s="65"/>
      <c r="AB23" s="65"/>
      <c r="AC23" s="65"/>
      <c r="AD23" s="65"/>
      <c r="AF23" s="65"/>
      <c r="AG23" s="65"/>
      <c r="AH23" s="65"/>
      <c r="AI23" s="65"/>
      <c r="AJ23" s="65"/>
      <c r="AK23" s="65"/>
      <c r="AL23" s="65"/>
      <c r="AM23" s="65"/>
      <c r="AN23" s="65"/>
      <c r="AO23" s="65"/>
      <c r="AP23" s="65"/>
      <c r="AQ23" s="65"/>
      <c r="AS23" s="65"/>
      <c r="AT23" s="65"/>
      <c r="AU23" s="65"/>
      <c r="AV23" s="65"/>
      <c r="AW23" s="65"/>
      <c r="AX23" s="65"/>
      <c r="AY23" s="65"/>
      <c r="AZ23" s="65"/>
      <c r="BA23" s="65"/>
      <c r="BB23" s="65"/>
      <c r="BC23" s="65"/>
      <c r="BD23" s="65"/>
      <c r="BF23" s="65"/>
      <c r="BG23" s="65"/>
      <c r="BH23" s="65"/>
      <c r="BI23" s="65"/>
      <c r="BJ23" s="65"/>
      <c r="BK23" s="65"/>
      <c r="BL23" s="65"/>
      <c r="BM23" s="65"/>
      <c r="BN23" s="65"/>
      <c r="BO23" s="65"/>
      <c r="BP23" s="65"/>
      <c r="BQ23" s="65"/>
    </row>
    <row r="24" spans="1:70" ht="15">
      <c r="A24" s="48" t="s">
        <v>346</v>
      </c>
      <c r="F24" s="65"/>
      <c r="G24" s="65"/>
      <c r="H24" s="65"/>
      <c r="I24" s="65"/>
      <c r="J24" s="65"/>
      <c r="K24" s="65"/>
      <c r="L24" s="65"/>
      <c r="M24" s="65"/>
      <c r="N24" s="65"/>
      <c r="O24" s="65"/>
      <c r="P24" s="65"/>
      <c r="Q24" s="65"/>
      <c r="S24" s="65"/>
      <c r="T24" s="65"/>
      <c r="U24" s="65"/>
      <c r="V24" s="65"/>
      <c r="W24" s="65"/>
      <c r="X24" s="65"/>
      <c r="Y24" s="65"/>
      <c r="Z24" s="65"/>
      <c r="AA24" s="65"/>
      <c r="AB24" s="65"/>
      <c r="AC24" s="65"/>
      <c r="AD24" s="65"/>
      <c r="AF24" s="65"/>
      <c r="AG24" s="65"/>
      <c r="AH24" s="65"/>
      <c r="AI24" s="65"/>
      <c r="AJ24" s="65"/>
      <c r="AK24" s="65"/>
      <c r="AL24" s="65"/>
      <c r="AM24" s="65"/>
      <c r="AN24" s="65"/>
      <c r="AO24" s="65"/>
      <c r="AP24" s="65"/>
      <c r="AQ24" s="65"/>
      <c r="AS24" s="65"/>
      <c r="AT24" s="65"/>
      <c r="AU24" s="65"/>
      <c r="AV24" s="65"/>
      <c r="AW24" s="65"/>
      <c r="AX24" s="65"/>
      <c r="AY24" s="65"/>
      <c r="AZ24" s="65"/>
      <c r="BA24" s="65"/>
      <c r="BB24" s="65"/>
      <c r="BC24" s="65"/>
      <c r="BD24" s="65"/>
      <c r="BF24" s="65"/>
      <c r="BG24" s="65"/>
      <c r="BH24" s="65"/>
      <c r="BI24" s="65"/>
      <c r="BJ24" s="65"/>
      <c r="BK24" s="65"/>
      <c r="BL24" s="65"/>
      <c r="BM24" s="65"/>
      <c r="BN24" s="65"/>
      <c r="BO24" s="65"/>
      <c r="BP24" s="65"/>
      <c r="BQ24" s="65"/>
    </row>
    <row r="25" spans="1:70">
      <c r="A25" s="69" t="s">
        <v>343</v>
      </c>
      <c r="F25" s="65"/>
      <c r="G25" s="65"/>
      <c r="H25" s="65"/>
      <c r="I25" s="65"/>
      <c r="J25" s="65"/>
      <c r="K25" s="65"/>
      <c r="L25" s="65"/>
      <c r="M25" s="65"/>
      <c r="N25" s="65"/>
      <c r="O25" s="65"/>
      <c r="P25" s="65"/>
      <c r="Q25" s="65"/>
      <c r="R25" s="36">
        <v>0</v>
      </c>
      <c r="S25" s="65"/>
      <c r="T25" s="65"/>
      <c r="U25" s="65"/>
      <c r="V25" s="65"/>
      <c r="W25" s="65"/>
      <c r="X25" s="65"/>
      <c r="Y25" s="65"/>
      <c r="Z25" s="65"/>
      <c r="AA25" s="65"/>
      <c r="AB25" s="65"/>
      <c r="AC25" s="65"/>
      <c r="AD25" s="65"/>
      <c r="AE25" s="36">
        <v>0</v>
      </c>
      <c r="AF25" s="65"/>
      <c r="AG25" s="65"/>
      <c r="AH25" s="65"/>
      <c r="AI25" s="65"/>
      <c r="AJ25" s="65"/>
      <c r="AK25" s="65"/>
      <c r="AL25" s="65"/>
      <c r="AM25" s="65"/>
      <c r="AN25" s="65"/>
      <c r="AO25" s="65"/>
      <c r="AP25" s="65"/>
      <c r="AQ25" s="65"/>
      <c r="AR25" s="36">
        <v>0</v>
      </c>
      <c r="AS25" s="65"/>
      <c r="AT25" s="65"/>
      <c r="AU25" s="65"/>
      <c r="AV25" s="65"/>
      <c r="AW25" s="65"/>
      <c r="AX25" s="65"/>
      <c r="AY25" s="65"/>
      <c r="AZ25" s="65"/>
      <c r="BA25" s="65"/>
      <c r="BB25" s="65"/>
      <c r="BC25" s="65"/>
      <c r="BD25" s="65"/>
      <c r="BE25" s="36">
        <v>0</v>
      </c>
      <c r="BF25" s="65"/>
      <c r="BG25" s="65"/>
      <c r="BH25" s="65"/>
      <c r="BI25" s="65"/>
      <c r="BJ25" s="65"/>
      <c r="BK25" s="65"/>
      <c r="BL25" s="65"/>
      <c r="BM25" s="65"/>
      <c r="BN25" s="65"/>
      <c r="BO25" s="65"/>
      <c r="BP25" s="65"/>
      <c r="BQ25" s="65"/>
      <c r="BR25" s="36">
        <v>0</v>
      </c>
    </row>
    <row r="26" spans="1:70">
      <c r="A26" s="69" t="s">
        <v>348</v>
      </c>
      <c r="F26" s="65"/>
      <c r="G26" s="65"/>
      <c r="H26" s="65"/>
      <c r="I26" s="65"/>
      <c r="J26" s="65"/>
      <c r="K26" s="65"/>
      <c r="L26" s="65"/>
      <c r="M26" s="65"/>
      <c r="N26" s="65"/>
      <c r="O26" s="65"/>
      <c r="P26" s="65"/>
      <c r="Q26" s="65"/>
      <c r="R26" s="36">
        <v>0</v>
      </c>
      <c r="S26" s="65"/>
      <c r="T26" s="65"/>
      <c r="U26" s="65"/>
      <c r="V26" s="65"/>
      <c r="W26" s="65"/>
      <c r="X26" s="65"/>
      <c r="Y26" s="65"/>
      <c r="Z26" s="65"/>
      <c r="AA26" s="65"/>
      <c r="AB26" s="65"/>
      <c r="AC26" s="65"/>
      <c r="AD26" s="65"/>
      <c r="AE26" s="36">
        <v>0</v>
      </c>
      <c r="AF26" s="65"/>
      <c r="AG26" s="65"/>
      <c r="AH26" s="65"/>
      <c r="AI26" s="65"/>
      <c r="AJ26" s="65"/>
      <c r="AK26" s="65"/>
      <c r="AL26" s="65"/>
      <c r="AM26" s="65"/>
      <c r="AN26" s="65"/>
      <c r="AO26" s="65"/>
      <c r="AP26" s="65"/>
      <c r="AQ26" s="65"/>
      <c r="AR26" s="36">
        <v>0</v>
      </c>
      <c r="AS26" s="65"/>
      <c r="AT26" s="65"/>
      <c r="AU26" s="65"/>
      <c r="AV26" s="65"/>
      <c r="AW26" s="65"/>
      <c r="AX26" s="65"/>
      <c r="AY26" s="65"/>
      <c r="AZ26" s="65"/>
      <c r="BA26" s="65"/>
      <c r="BB26" s="65"/>
      <c r="BC26" s="65"/>
      <c r="BD26" s="65"/>
      <c r="BE26" s="36">
        <v>0</v>
      </c>
      <c r="BF26" s="65"/>
      <c r="BG26" s="65"/>
      <c r="BH26" s="65"/>
      <c r="BI26" s="65"/>
      <c r="BJ26" s="65"/>
      <c r="BK26" s="65"/>
      <c r="BL26" s="65"/>
      <c r="BM26" s="65"/>
      <c r="BN26" s="65"/>
      <c r="BO26" s="65"/>
      <c r="BP26" s="65"/>
      <c r="BQ26" s="65"/>
      <c r="BR26" s="36">
        <v>0</v>
      </c>
    </row>
    <row r="27" spans="1:70">
      <c r="A27" s="69" t="s">
        <v>349</v>
      </c>
      <c r="F27" s="65"/>
      <c r="G27" s="65"/>
      <c r="H27" s="65"/>
      <c r="I27" s="65"/>
      <c r="J27" s="65"/>
      <c r="K27" s="65"/>
      <c r="L27" s="65"/>
      <c r="M27" s="65"/>
      <c r="N27" s="65"/>
      <c r="O27" s="65"/>
      <c r="P27" s="65"/>
      <c r="Q27" s="65"/>
      <c r="R27" s="36">
        <v>0</v>
      </c>
      <c r="S27" s="65"/>
      <c r="T27" s="65"/>
      <c r="U27" s="65"/>
      <c r="V27" s="65"/>
      <c r="W27" s="65"/>
      <c r="X27" s="65"/>
      <c r="Y27" s="65"/>
      <c r="Z27" s="65"/>
      <c r="AA27" s="65"/>
      <c r="AB27" s="65"/>
      <c r="AC27" s="65"/>
      <c r="AD27" s="65"/>
      <c r="AE27" s="36">
        <v>0</v>
      </c>
      <c r="AF27" s="65"/>
      <c r="AG27" s="65"/>
      <c r="AH27" s="65"/>
      <c r="AI27" s="65"/>
      <c r="AJ27" s="65"/>
      <c r="AK27" s="65"/>
      <c r="AL27" s="65"/>
      <c r="AM27" s="65"/>
      <c r="AN27" s="65"/>
      <c r="AO27" s="65"/>
      <c r="AP27" s="65"/>
      <c r="AQ27" s="65"/>
      <c r="AR27" s="36">
        <v>0</v>
      </c>
      <c r="AS27" s="65"/>
      <c r="AT27" s="65"/>
      <c r="AU27" s="65"/>
      <c r="AV27" s="65"/>
      <c r="AW27" s="65"/>
      <c r="AX27" s="65"/>
      <c r="AY27" s="65"/>
      <c r="AZ27" s="65"/>
      <c r="BA27" s="65"/>
      <c r="BB27" s="65"/>
      <c r="BC27" s="65"/>
      <c r="BD27" s="65"/>
      <c r="BE27" s="36">
        <v>0</v>
      </c>
      <c r="BF27" s="65"/>
      <c r="BG27" s="65"/>
      <c r="BH27" s="65"/>
      <c r="BI27" s="65"/>
      <c r="BJ27" s="65"/>
      <c r="BK27" s="65"/>
      <c r="BL27" s="65"/>
      <c r="BM27" s="65"/>
      <c r="BN27" s="65"/>
      <c r="BO27" s="65"/>
      <c r="BP27" s="65"/>
      <c r="BQ27" s="65"/>
      <c r="BR27" s="36">
        <v>0</v>
      </c>
    </row>
    <row r="28" spans="1:70" ht="15">
      <c r="A28" s="74" t="s">
        <v>350</v>
      </c>
      <c r="F28" s="65"/>
      <c r="G28" s="65"/>
      <c r="H28" s="65"/>
      <c r="I28" s="65"/>
      <c r="J28" s="65"/>
      <c r="K28" s="65"/>
      <c r="L28" s="65"/>
      <c r="M28" s="65"/>
      <c r="N28" s="65"/>
      <c r="O28" s="65"/>
      <c r="P28" s="65"/>
      <c r="Q28" s="65"/>
      <c r="R28" s="67">
        <f>SUM(R25:R27)</f>
        <v>0</v>
      </c>
      <c r="S28" s="67">
        <f t="shared" ref="S28:BR28" si="106">SUM(S25:S27)</f>
        <v>0</v>
      </c>
      <c r="T28" s="67">
        <f t="shared" si="106"/>
        <v>0</v>
      </c>
      <c r="U28" s="67">
        <f t="shared" si="106"/>
        <v>0</v>
      </c>
      <c r="V28" s="67">
        <f t="shared" si="106"/>
        <v>0</v>
      </c>
      <c r="W28" s="67">
        <f t="shared" si="106"/>
        <v>0</v>
      </c>
      <c r="X28" s="67">
        <f t="shared" si="106"/>
        <v>0</v>
      </c>
      <c r="Y28" s="67">
        <f t="shared" si="106"/>
        <v>0</v>
      </c>
      <c r="Z28" s="67">
        <f t="shared" si="106"/>
        <v>0</v>
      </c>
      <c r="AA28" s="67">
        <f t="shared" si="106"/>
        <v>0</v>
      </c>
      <c r="AB28" s="67">
        <f t="shared" si="106"/>
        <v>0</v>
      </c>
      <c r="AC28" s="67">
        <f t="shared" si="106"/>
        <v>0</v>
      </c>
      <c r="AD28" s="67">
        <f t="shared" si="106"/>
        <v>0</v>
      </c>
      <c r="AE28" s="67">
        <f t="shared" si="106"/>
        <v>0</v>
      </c>
      <c r="AF28" s="67">
        <f t="shared" si="106"/>
        <v>0</v>
      </c>
      <c r="AG28" s="67">
        <f t="shared" si="106"/>
        <v>0</v>
      </c>
      <c r="AH28" s="67">
        <f t="shared" si="106"/>
        <v>0</v>
      </c>
      <c r="AI28" s="67">
        <f t="shared" si="106"/>
        <v>0</v>
      </c>
      <c r="AJ28" s="67">
        <f t="shared" si="106"/>
        <v>0</v>
      </c>
      <c r="AK28" s="67">
        <f t="shared" si="106"/>
        <v>0</v>
      </c>
      <c r="AL28" s="67">
        <f t="shared" si="106"/>
        <v>0</v>
      </c>
      <c r="AM28" s="67">
        <f t="shared" si="106"/>
        <v>0</v>
      </c>
      <c r="AN28" s="67">
        <f t="shared" si="106"/>
        <v>0</v>
      </c>
      <c r="AO28" s="67">
        <f t="shared" si="106"/>
        <v>0</v>
      </c>
      <c r="AP28" s="67">
        <f t="shared" si="106"/>
        <v>0</v>
      </c>
      <c r="AQ28" s="67">
        <f t="shared" si="106"/>
        <v>0</v>
      </c>
      <c r="AR28" s="67">
        <f t="shared" si="106"/>
        <v>0</v>
      </c>
      <c r="AS28" s="67">
        <f t="shared" si="106"/>
        <v>0</v>
      </c>
      <c r="AT28" s="67">
        <f t="shared" si="106"/>
        <v>0</v>
      </c>
      <c r="AU28" s="67">
        <f t="shared" si="106"/>
        <v>0</v>
      </c>
      <c r="AV28" s="67">
        <f t="shared" si="106"/>
        <v>0</v>
      </c>
      <c r="AW28" s="67">
        <f t="shared" si="106"/>
        <v>0</v>
      </c>
      <c r="AX28" s="67">
        <f t="shared" si="106"/>
        <v>0</v>
      </c>
      <c r="AY28" s="67">
        <f t="shared" si="106"/>
        <v>0</v>
      </c>
      <c r="AZ28" s="67">
        <f t="shared" si="106"/>
        <v>0</v>
      </c>
      <c r="BA28" s="67">
        <f t="shared" si="106"/>
        <v>0</v>
      </c>
      <c r="BB28" s="67">
        <f t="shared" si="106"/>
        <v>0</v>
      </c>
      <c r="BC28" s="67">
        <f t="shared" si="106"/>
        <v>0</v>
      </c>
      <c r="BD28" s="67">
        <f t="shared" si="106"/>
        <v>0</v>
      </c>
      <c r="BE28" s="67">
        <f t="shared" si="106"/>
        <v>0</v>
      </c>
      <c r="BF28" s="67">
        <f t="shared" si="106"/>
        <v>0</v>
      </c>
      <c r="BG28" s="67">
        <f t="shared" si="106"/>
        <v>0</v>
      </c>
      <c r="BH28" s="67">
        <f t="shared" si="106"/>
        <v>0</v>
      </c>
      <c r="BI28" s="67">
        <f t="shared" si="106"/>
        <v>0</v>
      </c>
      <c r="BJ28" s="67">
        <f t="shared" si="106"/>
        <v>0</v>
      </c>
      <c r="BK28" s="67">
        <f t="shared" si="106"/>
        <v>0</v>
      </c>
      <c r="BL28" s="67">
        <f t="shared" si="106"/>
        <v>0</v>
      </c>
      <c r="BM28" s="67">
        <f t="shared" si="106"/>
        <v>0</v>
      </c>
      <c r="BN28" s="67">
        <f t="shared" si="106"/>
        <v>0</v>
      </c>
      <c r="BO28" s="67">
        <f t="shared" si="106"/>
        <v>0</v>
      </c>
      <c r="BP28" s="67">
        <f t="shared" si="106"/>
        <v>0</v>
      </c>
      <c r="BQ28" s="67">
        <f t="shared" si="106"/>
        <v>0</v>
      </c>
      <c r="BR28" s="67">
        <f t="shared" si="106"/>
        <v>0</v>
      </c>
    </row>
    <row r="29" spans="1:70" ht="17.25">
      <c r="A29" s="68"/>
      <c r="F29" s="65"/>
      <c r="G29" s="65"/>
      <c r="H29" s="65"/>
      <c r="I29" s="65"/>
      <c r="J29" s="65"/>
      <c r="K29" s="65"/>
      <c r="L29" s="65"/>
      <c r="M29" s="65"/>
      <c r="N29" s="65"/>
      <c r="O29" s="65"/>
      <c r="P29" s="65"/>
      <c r="Q29" s="65"/>
      <c r="S29" s="65"/>
      <c r="T29" s="65"/>
      <c r="U29" s="65"/>
      <c r="V29" s="65"/>
      <c r="W29" s="65"/>
      <c r="X29" s="65"/>
      <c r="Y29" s="65"/>
      <c r="Z29" s="65"/>
      <c r="AA29" s="65"/>
      <c r="AB29" s="65"/>
      <c r="AC29" s="65"/>
      <c r="AD29" s="65"/>
      <c r="AF29" s="65"/>
      <c r="AG29" s="65"/>
      <c r="AH29" s="65"/>
      <c r="AI29" s="65"/>
      <c r="AJ29" s="65"/>
      <c r="AK29" s="65"/>
      <c r="AL29" s="65"/>
      <c r="AM29" s="65"/>
      <c r="AN29" s="65"/>
      <c r="AO29" s="65"/>
      <c r="AP29" s="65"/>
      <c r="AQ29" s="65"/>
      <c r="AS29" s="65"/>
      <c r="AT29" s="65"/>
      <c r="AU29" s="65"/>
      <c r="AV29" s="65"/>
      <c r="AW29" s="65"/>
      <c r="AX29" s="65"/>
      <c r="AY29" s="65"/>
      <c r="AZ29" s="65"/>
      <c r="BA29" s="65"/>
      <c r="BB29" s="65"/>
      <c r="BC29" s="65"/>
      <c r="BD29" s="65"/>
      <c r="BF29" s="65"/>
      <c r="BG29" s="65"/>
      <c r="BH29" s="65"/>
      <c r="BI29" s="65"/>
      <c r="BJ29" s="65"/>
      <c r="BK29" s="65"/>
      <c r="BL29" s="65"/>
      <c r="BM29" s="65"/>
      <c r="BN29" s="65"/>
      <c r="BO29" s="65"/>
      <c r="BP29" s="65"/>
      <c r="BQ29" s="65"/>
    </row>
    <row r="30" spans="1:70" ht="15">
      <c r="A30" s="48" t="s">
        <v>351</v>
      </c>
      <c r="F30" s="65"/>
      <c r="G30" s="65"/>
      <c r="H30" s="65"/>
      <c r="I30" s="65"/>
      <c r="J30" s="65"/>
      <c r="K30" s="65"/>
      <c r="L30" s="65"/>
      <c r="M30" s="65"/>
      <c r="N30" s="65"/>
      <c r="O30" s="65"/>
      <c r="P30" s="65"/>
      <c r="Q30" s="65"/>
      <c r="S30" s="65"/>
      <c r="T30" s="65"/>
      <c r="U30" s="65"/>
      <c r="V30" s="65"/>
      <c r="W30" s="65"/>
      <c r="X30" s="65"/>
      <c r="Y30" s="65"/>
      <c r="Z30" s="65"/>
      <c r="AA30" s="65"/>
      <c r="AB30" s="65"/>
      <c r="AC30" s="65"/>
      <c r="AD30" s="65"/>
      <c r="AF30" s="65"/>
      <c r="AG30" s="65"/>
      <c r="AH30" s="65"/>
      <c r="AI30" s="65"/>
      <c r="AJ30" s="65"/>
      <c r="AK30" s="65"/>
      <c r="AL30" s="65"/>
      <c r="AM30" s="65"/>
      <c r="AN30" s="65"/>
      <c r="AO30" s="65"/>
      <c r="AP30" s="65"/>
      <c r="AQ30" s="65"/>
      <c r="AS30" s="65"/>
      <c r="AT30" s="65"/>
      <c r="AU30" s="65"/>
      <c r="AV30" s="65"/>
      <c r="AW30" s="65"/>
      <c r="AX30" s="65"/>
      <c r="AY30" s="65"/>
      <c r="AZ30" s="65"/>
      <c r="BA30" s="65"/>
      <c r="BB30" s="65"/>
      <c r="BC30" s="65"/>
      <c r="BD30" s="65"/>
      <c r="BF30" s="65"/>
      <c r="BG30" s="65"/>
      <c r="BH30" s="65"/>
      <c r="BI30" s="65"/>
      <c r="BJ30" s="65"/>
      <c r="BK30" s="65"/>
      <c r="BL30" s="65"/>
      <c r="BM30" s="65"/>
      <c r="BN30" s="65"/>
      <c r="BO30" s="65"/>
      <c r="BP30" s="65"/>
      <c r="BQ30" s="65"/>
    </row>
    <row r="31" spans="1:70">
      <c r="A31" s="69" t="s">
        <v>352</v>
      </c>
      <c r="F31" s="65"/>
      <c r="G31" s="65"/>
      <c r="H31" s="65"/>
      <c r="I31" s="65"/>
      <c r="J31" s="65"/>
      <c r="K31" s="65"/>
      <c r="L31" s="65"/>
      <c r="M31" s="65"/>
      <c r="N31" s="65"/>
      <c r="O31" s="65"/>
      <c r="P31" s="65"/>
      <c r="Q31" s="65"/>
      <c r="R31" s="36">
        <v>0</v>
      </c>
      <c r="S31" s="65"/>
      <c r="T31" s="65"/>
      <c r="U31" s="65"/>
      <c r="V31" s="65"/>
      <c r="W31" s="65"/>
      <c r="X31" s="65"/>
      <c r="Y31" s="65"/>
      <c r="Z31" s="65"/>
      <c r="AA31" s="65"/>
      <c r="AB31" s="65"/>
      <c r="AC31" s="65"/>
      <c r="AD31" s="65"/>
      <c r="AE31" s="36">
        <v>0</v>
      </c>
      <c r="AF31" s="65"/>
      <c r="AG31" s="65"/>
      <c r="AH31" s="65"/>
      <c r="AI31" s="65"/>
      <c r="AJ31" s="65"/>
      <c r="AK31" s="65"/>
      <c r="AL31" s="65"/>
      <c r="AM31" s="65"/>
      <c r="AN31" s="65"/>
      <c r="AO31" s="65"/>
      <c r="AP31" s="65"/>
      <c r="AQ31" s="65"/>
      <c r="AR31" s="36">
        <v>0</v>
      </c>
      <c r="AS31" s="65"/>
      <c r="AT31" s="65"/>
      <c r="AU31" s="65"/>
      <c r="AV31" s="65"/>
      <c r="AW31" s="65"/>
      <c r="AX31" s="65"/>
      <c r="AY31" s="65"/>
      <c r="AZ31" s="65"/>
      <c r="BA31" s="65"/>
      <c r="BB31" s="65"/>
      <c r="BC31" s="65"/>
      <c r="BD31" s="65"/>
      <c r="BE31" s="36">
        <v>0</v>
      </c>
      <c r="BF31" s="65"/>
      <c r="BG31" s="65"/>
      <c r="BH31" s="65"/>
      <c r="BI31" s="65"/>
      <c r="BJ31" s="65"/>
      <c r="BK31" s="65"/>
      <c r="BL31" s="65"/>
      <c r="BM31" s="65"/>
      <c r="BN31" s="65"/>
      <c r="BO31" s="65"/>
      <c r="BP31" s="65"/>
      <c r="BQ31" s="65"/>
      <c r="BR31" s="36">
        <v>0</v>
      </c>
    </row>
    <row r="32" spans="1:70">
      <c r="A32" s="69" t="s">
        <v>353</v>
      </c>
      <c r="F32" s="65"/>
      <c r="G32" s="65"/>
      <c r="H32" s="65"/>
      <c r="I32" s="65"/>
      <c r="J32" s="65"/>
      <c r="K32" s="65"/>
      <c r="L32" s="65"/>
      <c r="M32" s="65"/>
      <c r="N32" s="65"/>
      <c r="O32" s="65"/>
      <c r="P32" s="65"/>
      <c r="Q32" s="65"/>
      <c r="R32" s="36">
        <v>0</v>
      </c>
      <c r="S32" s="65"/>
      <c r="T32" s="65"/>
      <c r="U32" s="65"/>
      <c r="V32" s="65"/>
      <c r="W32" s="65"/>
      <c r="X32" s="65"/>
      <c r="Y32" s="65"/>
      <c r="Z32" s="65"/>
      <c r="AA32" s="65"/>
      <c r="AB32" s="65"/>
      <c r="AC32" s="65"/>
      <c r="AD32" s="65"/>
      <c r="AE32" s="36">
        <v>0</v>
      </c>
      <c r="AF32" s="65"/>
      <c r="AG32" s="65"/>
      <c r="AH32" s="65"/>
      <c r="AI32" s="65"/>
      <c r="AJ32" s="65"/>
      <c r="AK32" s="65"/>
      <c r="AL32" s="65"/>
      <c r="AM32" s="65"/>
      <c r="AN32" s="65"/>
      <c r="AO32" s="65"/>
      <c r="AP32" s="65"/>
      <c r="AQ32" s="65"/>
      <c r="AR32" s="36">
        <v>0</v>
      </c>
      <c r="AS32" s="65"/>
      <c r="AT32" s="65"/>
      <c r="AU32" s="65"/>
      <c r="AV32" s="65"/>
      <c r="AW32" s="65"/>
      <c r="AX32" s="65"/>
      <c r="AY32" s="65"/>
      <c r="AZ32" s="65"/>
      <c r="BA32" s="65"/>
      <c r="BB32" s="65"/>
      <c r="BC32" s="65"/>
      <c r="BD32" s="65"/>
      <c r="BE32" s="36">
        <v>0</v>
      </c>
      <c r="BF32" s="65"/>
      <c r="BG32" s="65"/>
      <c r="BH32" s="65"/>
      <c r="BI32" s="65"/>
      <c r="BJ32" s="65"/>
      <c r="BK32" s="65"/>
      <c r="BL32" s="65"/>
      <c r="BM32" s="65"/>
      <c r="BN32" s="65"/>
      <c r="BO32" s="65"/>
      <c r="BP32" s="65"/>
      <c r="BQ32" s="65"/>
      <c r="BR32" s="36">
        <v>0</v>
      </c>
    </row>
    <row r="33" spans="1:70" ht="15">
      <c r="A33" s="74" t="s">
        <v>354</v>
      </c>
      <c r="F33" s="65"/>
      <c r="G33" s="65"/>
      <c r="H33" s="65"/>
      <c r="I33" s="65"/>
      <c r="J33" s="65"/>
      <c r="K33" s="65"/>
      <c r="L33" s="65"/>
      <c r="M33" s="65"/>
      <c r="N33" s="65"/>
      <c r="O33" s="65"/>
      <c r="P33" s="65"/>
      <c r="Q33" s="65"/>
      <c r="R33" s="67">
        <f>SUM(R31:R32)</f>
        <v>0</v>
      </c>
      <c r="S33" s="67">
        <f t="shared" ref="S33:BR33" si="107">SUM(S31:S32)</f>
        <v>0</v>
      </c>
      <c r="T33" s="67">
        <f t="shared" si="107"/>
        <v>0</v>
      </c>
      <c r="U33" s="67">
        <f t="shared" si="107"/>
        <v>0</v>
      </c>
      <c r="V33" s="67">
        <f t="shared" si="107"/>
        <v>0</v>
      </c>
      <c r="W33" s="67">
        <f t="shared" si="107"/>
        <v>0</v>
      </c>
      <c r="X33" s="67">
        <f t="shared" si="107"/>
        <v>0</v>
      </c>
      <c r="Y33" s="67">
        <f t="shared" si="107"/>
        <v>0</v>
      </c>
      <c r="Z33" s="67">
        <f t="shared" si="107"/>
        <v>0</v>
      </c>
      <c r="AA33" s="67">
        <f t="shared" si="107"/>
        <v>0</v>
      </c>
      <c r="AB33" s="67">
        <f t="shared" si="107"/>
        <v>0</v>
      </c>
      <c r="AC33" s="67">
        <f t="shared" si="107"/>
        <v>0</v>
      </c>
      <c r="AD33" s="67">
        <f t="shared" si="107"/>
        <v>0</v>
      </c>
      <c r="AE33" s="67">
        <f t="shared" si="107"/>
        <v>0</v>
      </c>
      <c r="AF33" s="67">
        <f t="shared" si="107"/>
        <v>0</v>
      </c>
      <c r="AG33" s="67">
        <f t="shared" si="107"/>
        <v>0</v>
      </c>
      <c r="AH33" s="67">
        <f t="shared" si="107"/>
        <v>0</v>
      </c>
      <c r="AI33" s="67">
        <f t="shared" si="107"/>
        <v>0</v>
      </c>
      <c r="AJ33" s="67">
        <f t="shared" si="107"/>
        <v>0</v>
      </c>
      <c r="AK33" s="67">
        <f t="shared" si="107"/>
        <v>0</v>
      </c>
      <c r="AL33" s="67">
        <f t="shared" si="107"/>
        <v>0</v>
      </c>
      <c r="AM33" s="67">
        <f t="shared" si="107"/>
        <v>0</v>
      </c>
      <c r="AN33" s="67">
        <f t="shared" si="107"/>
        <v>0</v>
      </c>
      <c r="AO33" s="67">
        <f t="shared" si="107"/>
        <v>0</v>
      </c>
      <c r="AP33" s="67">
        <f t="shared" si="107"/>
        <v>0</v>
      </c>
      <c r="AQ33" s="67">
        <f t="shared" si="107"/>
        <v>0</v>
      </c>
      <c r="AR33" s="67">
        <f t="shared" si="107"/>
        <v>0</v>
      </c>
      <c r="AS33" s="67">
        <f t="shared" si="107"/>
        <v>0</v>
      </c>
      <c r="AT33" s="67">
        <f t="shared" si="107"/>
        <v>0</v>
      </c>
      <c r="AU33" s="67">
        <f t="shared" si="107"/>
        <v>0</v>
      </c>
      <c r="AV33" s="67">
        <f t="shared" si="107"/>
        <v>0</v>
      </c>
      <c r="AW33" s="67">
        <f t="shared" si="107"/>
        <v>0</v>
      </c>
      <c r="AX33" s="67">
        <f t="shared" si="107"/>
        <v>0</v>
      </c>
      <c r="AY33" s="67">
        <f t="shared" si="107"/>
        <v>0</v>
      </c>
      <c r="AZ33" s="67">
        <f t="shared" si="107"/>
        <v>0</v>
      </c>
      <c r="BA33" s="67">
        <f t="shared" si="107"/>
        <v>0</v>
      </c>
      <c r="BB33" s="67">
        <f t="shared" si="107"/>
        <v>0</v>
      </c>
      <c r="BC33" s="67">
        <f t="shared" si="107"/>
        <v>0</v>
      </c>
      <c r="BD33" s="67">
        <f t="shared" si="107"/>
        <v>0</v>
      </c>
      <c r="BE33" s="67">
        <f t="shared" si="107"/>
        <v>0</v>
      </c>
      <c r="BF33" s="67">
        <f t="shared" si="107"/>
        <v>0</v>
      </c>
      <c r="BG33" s="67">
        <f t="shared" si="107"/>
        <v>0</v>
      </c>
      <c r="BH33" s="67">
        <f t="shared" si="107"/>
        <v>0</v>
      </c>
      <c r="BI33" s="67">
        <f t="shared" si="107"/>
        <v>0</v>
      </c>
      <c r="BJ33" s="67">
        <f t="shared" si="107"/>
        <v>0</v>
      </c>
      <c r="BK33" s="67">
        <f t="shared" si="107"/>
        <v>0</v>
      </c>
      <c r="BL33" s="67">
        <f t="shared" si="107"/>
        <v>0</v>
      </c>
      <c r="BM33" s="67">
        <f t="shared" si="107"/>
        <v>0</v>
      </c>
      <c r="BN33" s="67">
        <f t="shared" si="107"/>
        <v>0</v>
      </c>
      <c r="BO33" s="67">
        <f t="shared" si="107"/>
        <v>0</v>
      </c>
      <c r="BP33" s="67">
        <f t="shared" si="107"/>
        <v>0</v>
      </c>
      <c r="BQ33" s="67">
        <f t="shared" si="107"/>
        <v>0</v>
      </c>
      <c r="BR33" s="67">
        <f t="shared" si="107"/>
        <v>0</v>
      </c>
    </row>
    <row r="34" spans="1:70" ht="17.25">
      <c r="A34" s="68"/>
      <c r="F34" s="65"/>
      <c r="G34" s="65"/>
      <c r="H34" s="65"/>
      <c r="I34" s="65"/>
      <c r="J34" s="65"/>
      <c r="K34" s="65"/>
      <c r="L34" s="65"/>
      <c r="M34" s="65"/>
      <c r="N34" s="65"/>
      <c r="O34" s="65"/>
      <c r="P34" s="65"/>
      <c r="Q34" s="65"/>
      <c r="R34" s="70"/>
      <c r="S34" s="65"/>
      <c r="T34" s="65"/>
      <c r="U34" s="65"/>
      <c r="V34" s="65"/>
      <c r="W34" s="65"/>
      <c r="X34" s="65"/>
      <c r="Y34" s="65"/>
      <c r="Z34" s="65"/>
      <c r="AA34" s="65"/>
      <c r="AB34" s="65"/>
      <c r="AC34" s="65"/>
      <c r="AD34" s="65"/>
      <c r="AE34" s="70"/>
      <c r="AF34" s="65"/>
      <c r="AG34" s="65"/>
      <c r="AH34" s="65"/>
      <c r="AI34" s="65"/>
      <c r="AJ34" s="65"/>
      <c r="AK34" s="65"/>
      <c r="AL34" s="65"/>
      <c r="AM34" s="65"/>
      <c r="AN34" s="65"/>
      <c r="AO34" s="65"/>
      <c r="AP34" s="65"/>
      <c r="AQ34" s="65"/>
      <c r="AR34" s="70"/>
      <c r="AS34" s="65"/>
      <c r="AT34" s="65"/>
      <c r="AU34" s="65"/>
      <c r="AV34" s="65"/>
      <c r="AW34" s="65"/>
      <c r="AX34" s="65"/>
      <c r="AY34" s="65"/>
      <c r="AZ34" s="65"/>
      <c r="BA34" s="65"/>
      <c r="BB34" s="65"/>
      <c r="BC34" s="65"/>
      <c r="BD34" s="65"/>
      <c r="BE34" s="70"/>
      <c r="BF34" s="65"/>
      <c r="BG34" s="65"/>
      <c r="BH34" s="65"/>
      <c r="BI34" s="65"/>
      <c r="BJ34" s="65"/>
      <c r="BK34" s="65"/>
      <c r="BL34" s="65"/>
      <c r="BM34" s="65"/>
      <c r="BN34" s="65"/>
      <c r="BO34" s="65"/>
      <c r="BP34" s="65"/>
      <c r="BQ34" s="65"/>
      <c r="BR34" s="70"/>
    </row>
  </sheetData>
  <conditionalFormatting sqref="A1">
    <cfRule type="expression" dxfId="273" priority="13" stopIfTrue="1">
      <formula>ErrorsPresent&gt;0</formula>
    </cfRule>
    <cfRule type="expression" dxfId="272" priority="14" stopIfTrue="1">
      <formula>ErrorsPresent&lt;0</formula>
    </cfRule>
  </conditionalFormatting>
  <conditionalFormatting sqref="A1">
    <cfRule type="expression" dxfId="271" priority="11" stopIfTrue="1">
      <formula>Error_Error&lt;0</formula>
    </cfRule>
    <cfRule type="expression" dxfId="270" priority="12" stopIfTrue="1">
      <formula>Error_Error&gt;0</formula>
    </cfRule>
  </conditionalFormatting>
  <conditionalFormatting sqref="B1:BR1">
    <cfRule type="expression" dxfId="269" priority="9" stopIfTrue="1">
      <formula>ErrorsPresent&gt;0</formula>
    </cfRule>
    <cfRule type="expression" dxfId="268" priority="10" stopIfTrue="1">
      <formula>ErrorsPresent&lt;0</formula>
    </cfRule>
  </conditionalFormatting>
  <conditionalFormatting sqref="B1:BR1">
    <cfRule type="expression" dxfId="267" priority="7" stopIfTrue="1">
      <formula>Error_Error&lt;0</formula>
    </cfRule>
    <cfRule type="expression" dxfId="266" priority="8" stopIfTrue="1">
      <formula>Error_Error&gt;0</formula>
    </cfRule>
  </conditionalFormatting>
  <conditionalFormatting sqref="A7:BR7">
    <cfRule type="expression" dxfId="265" priority="5" stopIfTrue="1">
      <formula>ErrorsPresent&gt;0</formula>
    </cfRule>
    <cfRule type="expression" dxfId="264" priority="6" stopIfTrue="1">
      <formula>ErrorsPresent&lt;0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3"/>
  <sheetViews>
    <sheetView showGridLines="0" zoomScale="90" zoomScaleNormal="90" workbookViewId="0">
      <selection activeCell="D12" sqref="D12"/>
    </sheetView>
  </sheetViews>
  <sheetFormatPr defaultRowHeight="12.75"/>
  <cols>
    <col min="1" max="1" width="9.85546875" style="24" customWidth="1"/>
    <col min="2" max="16384" width="9.140625" style="24"/>
  </cols>
  <sheetData>
    <row r="1" spans="1:11">
      <c r="A1" s="23" t="s">
        <v>206</v>
      </c>
      <c r="B1" s="23"/>
      <c r="C1" s="23"/>
      <c r="D1" s="23"/>
      <c r="E1" s="23"/>
      <c r="F1" s="23"/>
      <c r="G1" s="23"/>
      <c r="H1" s="23"/>
      <c r="I1" s="23"/>
      <c r="J1" s="23"/>
      <c r="K1" s="23"/>
    </row>
    <row r="2" spans="1:11">
      <c r="A2" s="60" t="s">
        <v>133</v>
      </c>
    </row>
    <row r="3" spans="1:11">
      <c r="A3" s="61"/>
    </row>
    <row r="8" spans="1:11">
      <c r="A8" s="30"/>
      <c r="B8" s="30" t="s">
        <v>134</v>
      </c>
      <c r="C8" s="30"/>
      <c r="D8" s="30"/>
      <c r="E8" s="30"/>
      <c r="F8" s="30"/>
      <c r="G8" s="30"/>
      <c r="H8" s="30"/>
      <c r="I8" s="30"/>
      <c r="J8" s="30"/>
      <c r="K8" s="30"/>
    </row>
    <row r="9" spans="1:11">
      <c r="A9" s="79"/>
    </row>
    <row r="10" spans="1:11">
      <c r="A10" s="80"/>
      <c r="B10" s="78" t="s">
        <v>135</v>
      </c>
    </row>
    <row r="11" spans="1:11">
      <c r="A11" s="79"/>
    </row>
    <row r="12" spans="1:11" ht="14.25">
      <c r="A12" s="79"/>
      <c r="C12" s="78" t="s">
        <v>136</v>
      </c>
      <c r="D12" s="81"/>
    </row>
    <row r="13" spans="1:11">
      <c r="A13" s="79"/>
    </row>
    <row r="14" spans="1:11">
      <c r="A14" s="30"/>
      <c r="B14" s="30" t="s">
        <v>137</v>
      </c>
      <c r="C14" s="30"/>
      <c r="D14" s="30"/>
      <c r="E14" s="30"/>
      <c r="F14" s="30"/>
      <c r="G14" s="30"/>
      <c r="H14" s="30"/>
      <c r="I14" s="30"/>
      <c r="J14" s="30"/>
      <c r="K14" s="30"/>
    </row>
    <row r="15" spans="1:11">
      <c r="A15" s="79"/>
    </row>
    <row r="16" spans="1:11">
      <c r="A16" s="79"/>
    </row>
    <row r="17" spans="1:1">
      <c r="A17" s="79"/>
    </row>
    <row r="18" spans="1:1">
      <c r="A18" s="79"/>
    </row>
    <row r="19" spans="1:1">
      <c r="A19" s="79"/>
    </row>
    <row r="20" spans="1:1">
      <c r="A20" s="79"/>
    </row>
    <row r="21" spans="1:1">
      <c r="A21" s="79"/>
    </row>
    <row r="22" spans="1:1">
      <c r="A22" s="79"/>
    </row>
    <row r="23" spans="1:1">
      <c r="A23" s="79"/>
    </row>
    <row r="24" spans="1:1">
      <c r="A24" s="79"/>
    </row>
    <row r="25" spans="1:1">
      <c r="A25" s="79"/>
    </row>
    <row r="26" spans="1:1">
      <c r="A26" s="79"/>
    </row>
    <row r="27" spans="1:1">
      <c r="A27" s="79"/>
    </row>
    <row r="28" spans="1:1">
      <c r="A28" s="79"/>
    </row>
    <row r="29" spans="1:1">
      <c r="A29" s="79"/>
    </row>
    <row r="30" spans="1:1">
      <c r="A30" s="79"/>
    </row>
    <row r="31" spans="1:1">
      <c r="A31" s="79"/>
    </row>
    <row r="32" spans="1:1">
      <c r="A32" s="79"/>
    </row>
    <row r="33" spans="1:1">
      <c r="A33" s="79"/>
    </row>
    <row r="34" spans="1:1">
      <c r="A34" s="79"/>
    </row>
    <row r="35" spans="1:1">
      <c r="A35" s="79"/>
    </row>
    <row r="36" spans="1:1">
      <c r="A36" s="79"/>
    </row>
    <row r="37" spans="1:1">
      <c r="A37" s="79"/>
    </row>
    <row r="38" spans="1:1">
      <c r="A38" s="79"/>
    </row>
    <row r="39" spans="1:1">
      <c r="A39" s="79"/>
    </row>
    <row r="40" spans="1:1">
      <c r="A40" s="79"/>
    </row>
    <row r="41" spans="1:1">
      <c r="A41" s="79"/>
    </row>
    <row r="42" spans="1:1">
      <c r="A42" s="79"/>
    </row>
    <row r="43" spans="1:1">
      <c r="A43" s="79"/>
    </row>
  </sheetData>
  <conditionalFormatting sqref="A1">
    <cfRule type="expression" dxfId="263" priority="23" stopIfTrue="1">
      <formula>ErrorsPresent&gt;0</formula>
    </cfRule>
    <cfRule type="expression" dxfId="262" priority="24" stopIfTrue="1">
      <formula>ErrorsPresent&lt;0</formula>
    </cfRule>
  </conditionalFormatting>
  <conditionalFormatting sqref="A1">
    <cfRule type="expression" dxfId="261" priority="21" stopIfTrue="1">
      <formula>Error_Error&lt;0</formula>
    </cfRule>
    <cfRule type="expression" dxfId="260" priority="22" stopIfTrue="1">
      <formula>Error_Error&gt;0</formula>
    </cfRule>
  </conditionalFormatting>
  <conditionalFormatting sqref="A8:B8">
    <cfRule type="expression" dxfId="259" priority="9" stopIfTrue="1">
      <formula>ErrorsPresent&gt;0</formula>
    </cfRule>
    <cfRule type="expression" dxfId="258" priority="10" stopIfTrue="1">
      <formula>ErrorsPresent&lt;0</formula>
    </cfRule>
  </conditionalFormatting>
  <conditionalFormatting sqref="B1:K1">
    <cfRule type="expression" dxfId="257" priority="7" stopIfTrue="1">
      <formula>ErrorsPresent&gt;0</formula>
    </cfRule>
    <cfRule type="expression" dxfId="256" priority="8" stopIfTrue="1">
      <formula>ErrorsPresent&lt;0</formula>
    </cfRule>
  </conditionalFormatting>
  <conditionalFormatting sqref="B1:K1">
    <cfRule type="expression" dxfId="255" priority="5" stopIfTrue="1">
      <formula>Error_Error&lt;0</formula>
    </cfRule>
    <cfRule type="expression" dxfId="254" priority="6" stopIfTrue="1">
      <formula>Error_Error&gt;0</formula>
    </cfRule>
  </conditionalFormatting>
  <conditionalFormatting sqref="C8:K8">
    <cfRule type="expression" dxfId="253" priority="3" stopIfTrue="1">
      <formula>ErrorsPresent&gt;0</formula>
    </cfRule>
    <cfRule type="expression" dxfId="252" priority="4" stopIfTrue="1">
      <formula>ErrorsPresent&lt;0</formula>
    </cfRule>
  </conditionalFormatting>
  <conditionalFormatting sqref="A14:K14">
    <cfRule type="expression" dxfId="251" priority="1" stopIfTrue="1">
      <formula>ErrorsPresent&gt;0</formula>
    </cfRule>
    <cfRule type="expression" dxfId="250" priority="2" stopIfTrue="1">
      <formula>ErrorsPresent&lt;0</formula>
    </cfRule>
  </conditionalFormatting>
  <dataValidations count="1">
    <dataValidation type="list" allowBlank="1" showInputMessage="1" showErrorMessage="1" sqref="D12">
      <formula1>"One, Two, Three"</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99"/>
  <sheetViews>
    <sheetView showGridLines="0" zoomScale="90" zoomScaleNormal="90" workbookViewId="0">
      <selection activeCell="BS26" sqref="BS26"/>
    </sheetView>
  </sheetViews>
  <sheetFormatPr defaultColWidth="0" defaultRowHeight="12.75" outlineLevelRow="1" outlineLevelCol="1"/>
  <cols>
    <col min="1" max="1" width="25.5703125" style="24" customWidth="1"/>
    <col min="2" max="2" width="33.85546875" style="24" customWidth="1"/>
    <col min="3" max="3" width="17.5703125" style="24" customWidth="1"/>
    <col min="4" max="4" width="12.5703125" style="24" hidden="1" customWidth="1" outlineLevel="1"/>
    <col min="5" max="5" width="13.28515625" style="24" hidden="1" customWidth="1" outlineLevel="1"/>
    <col min="6" max="16" width="11.42578125" style="24" hidden="1" customWidth="1" outlineLevel="1"/>
    <col min="17" max="17" width="8.7109375" style="24" hidden="1" customWidth="1" outlineLevel="1"/>
    <col min="18" max="18" width="11" style="24" bestFit="1" customWidth="1" collapsed="1"/>
    <col min="19" max="30" width="9.140625" style="24" hidden="1" customWidth="1" outlineLevel="1"/>
    <col min="31" max="31" width="9.7109375" style="24" bestFit="1" customWidth="1" collapsed="1"/>
    <col min="32" max="43" width="11.42578125" style="24" hidden="1" customWidth="1" outlineLevel="1"/>
    <col min="44" max="44" width="9.7109375" style="24" bestFit="1" customWidth="1" collapsed="1"/>
    <col min="45" max="56" width="11.42578125" style="24" hidden="1" customWidth="1" outlineLevel="1"/>
    <col min="57" max="57" width="9.7109375" style="24" bestFit="1" customWidth="1" collapsed="1"/>
    <col min="58" max="69" width="11.42578125" style="24" hidden="1" customWidth="1" outlineLevel="1"/>
    <col min="70" max="70" width="9.7109375" style="24" bestFit="1" customWidth="1" collapsed="1"/>
    <col min="71" max="72" width="11.42578125" style="24" customWidth="1"/>
    <col min="73" max="16384" width="11.42578125" style="24" hidden="1"/>
  </cols>
  <sheetData>
    <row r="1" spans="1:70" ht="14.25">
      <c r="A1" s="22" t="s">
        <v>206</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row>
    <row r="2" spans="1:70" ht="15">
      <c r="A2" s="25" t="s">
        <v>138</v>
      </c>
    </row>
    <row r="3" spans="1:70" ht="15">
      <c r="A3" s="26"/>
    </row>
    <row r="4" spans="1:70" ht="15">
      <c r="A4" s="27" t="s">
        <v>46</v>
      </c>
      <c r="B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row>
    <row r="5" spans="1:70" ht="14.25">
      <c r="A5" s="29" t="s">
        <v>358</v>
      </c>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row>
    <row r="6" spans="1:70" ht="14.25">
      <c r="A6" s="31"/>
    </row>
    <row r="7" spans="1:70" ht="14.25">
      <c r="A7" s="31"/>
      <c r="Q7" s="32"/>
      <c r="R7" s="33" t="s">
        <v>47</v>
      </c>
      <c r="S7" s="33"/>
      <c r="T7" s="33"/>
      <c r="U7" s="33"/>
      <c r="V7" s="33"/>
      <c r="W7" s="33"/>
      <c r="X7" s="33"/>
      <c r="Y7" s="33"/>
      <c r="Z7" s="33"/>
      <c r="AA7" s="33"/>
      <c r="AB7" s="33"/>
      <c r="AC7" s="33"/>
      <c r="AD7" s="33"/>
      <c r="AE7" s="33" t="s">
        <v>48</v>
      </c>
      <c r="AF7" s="33"/>
      <c r="AG7" s="33"/>
      <c r="AH7" s="33"/>
      <c r="AI7" s="33"/>
      <c r="AJ7" s="33"/>
      <c r="AK7" s="33"/>
      <c r="AL7" s="33"/>
      <c r="AM7" s="33"/>
      <c r="AN7" s="33"/>
      <c r="AO7" s="33"/>
      <c r="AP7" s="33"/>
      <c r="AQ7" s="33"/>
      <c r="AR7" s="33" t="s">
        <v>49</v>
      </c>
      <c r="AS7" s="33"/>
      <c r="AT7" s="33"/>
      <c r="AU7" s="33"/>
      <c r="AV7" s="33"/>
      <c r="AW7" s="33"/>
      <c r="AX7" s="33"/>
      <c r="AY7" s="33"/>
      <c r="AZ7" s="33"/>
      <c r="BA7" s="33"/>
      <c r="BB7" s="33"/>
      <c r="BC7" s="33"/>
      <c r="BD7" s="33"/>
      <c r="BE7" s="33" t="s">
        <v>50</v>
      </c>
      <c r="BF7" s="33"/>
      <c r="BG7" s="33"/>
      <c r="BH7" s="33"/>
      <c r="BI7" s="33"/>
      <c r="BJ7" s="33"/>
      <c r="BK7" s="33"/>
      <c r="BL7" s="33"/>
      <c r="BM7" s="33"/>
      <c r="BN7" s="33"/>
      <c r="BO7" s="33"/>
      <c r="BP7" s="33"/>
      <c r="BQ7" s="33"/>
      <c r="BR7" s="33" t="s">
        <v>51</v>
      </c>
    </row>
    <row r="8" spans="1:70" ht="15">
      <c r="A8" s="34" t="s">
        <v>52</v>
      </c>
    </row>
    <row r="9" spans="1:70" ht="15">
      <c r="A9" s="27" t="s">
        <v>53</v>
      </c>
      <c r="F9" s="35"/>
      <c r="G9" s="35"/>
      <c r="H9" s="35"/>
      <c r="I9" s="35"/>
      <c r="J9" s="35"/>
      <c r="K9" s="35"/>
      <c r="L9" s="35"/>
      <c r="M9" s="35"/>
      <c r="N9" s="35"/>
      <c r="O9" s="35"/>
      <c r="P9" s="35"/>
      <c r="Q9" s="35"/>
      <c r="R9" s="36">
        <f>SUM(F56:Q56)</f>
        <v>0</v>
      </c>
      <c r="S9" s="35"/>
      <c r="T9" s="35"/>
      <c r="U9" s="35"/>
      <c r="V9" s="35"/>
      <c r="W9" s="35"/>
      <c r="X9" s="35"/>
      <c r="Y9" s="35"/>
      <c r="Z9" s="35"/>
      <c r="AA9" s="35"/>
      <c r="AB9" s="35"/>
      <c r="AC9" s="35"/>
      <c r="AD9" s="35"/>
      <c r="AE9" s="36">
        <f>SUM(S56:AD56)</f>
        <v>0</v>
      </c>
      <c r="AF9" s="35"/>
      <c r="AG9" s="35"/>
      <c r="AH9" s="35"/>
      <c r="AI9" s="35"/>
      <c r="AJ9" s="35"/>
      <c r="AK9" s="35"/>
      <c r="AL9" s="35"/>
      <c r="AM9" s="35"/>
      <c r="AN9" s="35"/>
      <c r="AO9" s="35"/>
      <c r="AP9" s="35"/>
      <c r="AQ9" s="35"/>
      <c r="AR9" s="36">
        <f>SUM(AF56:AQ56)</f>
        <v>0</v>
      </c>
      <c r="AS9" s="35"/>
      <c r="AT9" s="35"/>
      <c r="AU9" s="35"/>
      <c r="AV9" s="35"/>
      <c r="AW9" s="35"/>
      <c r="AX9" s="35"/>
      <c r="AY9" s="35"/>
      <c r="AZ9" s="35"/>
      <c r="BA9" s="35"/>
      <c r="BB9" s="35"/>
      <c r="BC9" s="35"/>
      <c r="BD9" s="35"/>
      <c r="BE9" s="36">
        <f>SUM(AS56:BD56)</f>
        <v>0</v>
      </c>
      <c r="BF9" s="35"/>
      <c r="BG9" s="35"/>
      <c r="BH9" s="35"/>
      <c r="BI9" s="35"/>
      <c r="BJ9" s="35"/>
      <c r="BK9" s="35"/>
      <c r="BL9" s="35"/>
      <c r="BM9" s="35"/>
      <c r="BN9" s="35"/>
      <c r="BO9" s="35"/>
      <c r="BP9" s="35"/>
      <c r="BQ9" s="35"/>
      <c r="BR9" s="36">
        <f>SUM(BF56:BQ56)</f>
        <v>0</v>
      </c>
    </row>
    <row r="10" spans="1:70" ht="15">
      <c r="A10" s="37" t="s">
        <v>54</v>
      </c>
      <c r="F10" s="35"/>
      <c r="G10" s="35"/>
      <c r="H10" s="35"/>
      <c r="I10" s="35"/>
      <c r="J10" s="35"/>
      <c r="K10" s="35"/>
      <c r="L10" s="35"/>
      <c r="M10" s="35"/>
      <c r="N10" s="35"/>
      <c r="O10" s="35"/>
      <c r="P10" s="35"/>
      <c r="Q10" s="35"/>
      <c r="R10" s="36">
        <f t="shared" ref="R10:R17" si="0">SUM(F57:Q57)</f>
        <v>0</v>
      </c>
      <c r="S10" s="35"/>
      <c r="T10" s="35"/>
      <c r="U10" s="35"/>
      <c r="V10" s="35"/>
      <c r="W10" s="35"/>
      <c r="X10" s="35"/>
      <c r="Y10" s="35"/>
      <c r="Z10" s="35"/>
      <c r="AA10" s="35"/>
      <c r="AB10" s="35"/>
      <c r="AC10" s="35"/>
      <c r="AD10" s="35"/>
      <c r="AE10" s="36">
        <f t="shared" ref="AE10:AE17" si="1">SUM(S57:AD57)</f>
        <v>0</v>
      </c>
      <c r="AF10" s="35"/>
      <c r="AG10" s="35"/>
      <c r="AH10" s="35"/>
      <c r="AI10" s="35"/>
      <c r="AJ10" s="35"/>
      <c r="AK10" s="35"/>
      <c r="AL10" s="35"/>
      <c r="AM10" s="35"/>
      <c r="AN10" s="35"/>
      <c r="AO10" s="35"/>
      <c r="AP10" s="35"/>
      <c r="AQ10" s="35"/>
      <c r="AR10" s="36">
        <f t="shared" ref="AR10:AR17" si="2">SUM(AF57:AQ57)</f>
        <v>0</v>
      </c>
      <c r="AS10" s="35"/>
      <c r="AT10" s="35"/>
      <c r="AU10" s="35"/>
      <c r="AV10" s="35"/>
      <c r="AW10" s="35"/>
      <c r="AX10" s="35"/>
      <c r="AY10" s="35"/>
      <c r="AZ10" s="35"/>
      <c r="BA10" s="35"/>
      <c r="BB10" s="35"/>
      <c r="BC10" s="35"/>
      <c r="BD10" s="35"/>
      <c r="BE10" s="36">
        <f t="shared" ref="BE10:BE17" si="3">SUM(AS57:BD57)</f>
        <v>0</v>
      </c>
      <c r="BF10" s="35"/>
      <c r="BG10" s="35"/>
      <c r="BH10" s="35"/>
      <c r="BI10" s="35"/>
      <c r="BJ10" s="35"/>
      <c r="BK10" s="35"/>
      <c r="BL10" s="35"/>
      <c r="BM10" s="35"/>
      <c r="BN10" s="35"/>
      <c r="BO10" s="35"/>
      <c r="BP10" s="35"/>
      <c r="BQ10" s="35"/>
      <c r="BR10" s="36">
        <f t="shared" ref="BR10:BR17" si="4">SUM(BF57:BQ57)</f>
        <v>0</v>
      </c>
    </row>
    <row r="11" spans="1:70" ht="15">
      <c r="A11" s="37" t="s">
        <v>55</v>
      </c>
      <c r="F11" s="35"/>
      <c r="G11" s="35"/>
      <c r="H11" s="35"/>
      <c r="I11" s="35"/>
      <c r="J11" s="35"/>
      <c r="K11" s="35"/>
      <c r="L11" s="35"/>
      <c r="M11" s="35"/>
      <c r="N11" s="35"/>
      <c r="O11" s="35"/>
      <c r="P11" s="35"/>
      <c r="Q11" s="35"/>
      <c r="R11" s="36">
        <f t="shared" si="0"/>
        <v>0</v>
      </c>
      <c r="S11" s="35"/>
      <c r="T11" s="35"/>
      <c r="U11" s="35"/>
      <c r="V11" s="35"/>
      <c r="W11" s="35"/>
      <c r="X11" s="35"/>
      <c r="Y11" s="35"/>
      <c r="Z11" s="35"/>
      <c r="AA11" s="35"/>
      <c r="AB11" s="35"/>
      <c r="AC11" s="35"/>
      <c r="AD11" s="35"/>
      <c r="AE11" s="36">
        <f t="shared" si="1"/>
        <v>0</v>
      </c>
      <c r="AF11" s="35"/>
      <c r="AG11" s="35"/>
      <c r="AH11" s="35"/>
      <c r="AI11" s="35"/>
      <c r="AJ11" s="35"/>
      <c r="AK11" s="35"/>
      <c r="AL11" s="35"/>
      <c r="AM11" s="35"/>
      <c r="AN11" s="35"/>
      <c r="AO11" s="35"/>
      <c r="AP11" s="35"/>
      <c r="AQ11" s="35"/>
      <c r="AR11" s="36">
        <f t="shared" si="2"/>
        <v>0</v>
      </c>
      <c r="AS11" s="35"/>
      <c r="AT11" s="35"/>
      <c r="AU11" s="35"/>
      <c r="AV11" s="35"/>
      <c r="AW11" s="35"/>
      <c r="AX11" s="35"/>
      <c r="AY11" s="35"/>
      <c r="AZ11" s="35"/>
      <c r="BA11" s="35"/>
      <c r="BB11" s="35"/>
      <c r="BC11" s="35"/>
      <c r="BD11" s="35"/>
      <c r="BE11" s="36">
        <f t="shared" si="3"/>
        <v>0</v>
      </c>
      <c r="BF11" s="35"/>
      <c r="BG11" s="35"/>
      <c r="BH11" s="35"/>
      <c r="BI11" s="35"/>
      <c r="BJ11" s="35"/>
      <c r="BK11" s="35"/>
      <c r="BL11" s="35"/>
      <c r="BM11" s="35"/>
      <c r="BN11" s="35"/>
      <c r="BO11" s="35"/>
      <c r="BP11" s="35"/>
      <c r="BQ11" s="35"/>
      <c r="BR11" s="36">
        <f t="shared" si="4"/>
        <v>0</v>
      </c>
    </row>
    <row r="12" spans="1:70" ht="15">
      <c r="A12" s="37" t="s">
        <v>56</v>
      </c>
      <c r="F12" s="35"/>
      <c r="G12" s="35"/>
      <c r="H12" s="35"/>
      <c r="I12" s="35"/>
      <c r="J12" s="35"/>
      <c r="K12" s="35"/>
      <c r="L12" s="35"/>
      <c r="M12" s="35"/>
      <c r="N12" s="35"/>
      <c r="O12" s="35"/>
      <c r="P12" s="35"/>
      <c r="Q12" s="35"/>
      <c r="R12" s="36">
        <f t="shared" si="0"/>
        <v>0</v>
      </c>
      <c r="S12" s="35"/>
      <c r="T12" s="35"/>
      <c r="U12" s="35"/>
      <c r="V12" s="35"/>
      <c r="W12" s="35"/>
      <c r="X12" s="35"/>
      <c r="Y12" s="35"/>
      <c r="Z12" s="35"/>
      <c r="AA12" s="35"/>
      <c r="AB12" s="35"/>
      <c r="AC12" s="35"/>
      <c r="AD12" s="35"/>
      <c r="AE12" s="36">
        <f t="shared" si="1"/>
        <v>0</v>
      </c>
      <c r="AF12" s="35"/>
      <c r="AG12" s="35"/>
      <c r="AH12" s="35"/>
      <c r="AI12" s="35"/>
      <c r="AJ12" s="35"/>
      <c r="AK12" s="35"/>
      <c r="AL12" s="35"/>
      <c r="AM12" s="35"/>
      <c r="AN12" s="35"/>
      <c r="AO12" s="35"/>
      <c r="AP12" s="35"/>
      <c r="AQ12" s="35"/>
      <c r="AR12" s="36">
        <f t="shared" si="2"/>
        <v>0</v>
      </c>
      <c r="AS12" s="35"/>
      <c r="AT12" s="35"/>
      <c r="AU12" s="35"/>
      <c r="AV12" s="35"/>
      <c r="AW12" s="35"/>
      <c r="AX12" s="35"/>
      <c r="AY12" s="35"/>
      <c r="AZ12" s="35"/>
      <c r="BA12" s="35"/>
      <c r="BB12" s="35"/>
      <c r="BC12" s="35"/>
      <c r="BD12" s="35"/>
      <c r="BE12" s="36">
        <f t="shared" si="3"/>
        <v>0</v>
      </c>
      <c r="BF12" s="35"/>
      <c r="BG12" s="35"/>
      <c r="BH12" s="35"/>
      <c r="BI12" s="35"/>
      <c r="BJ12" s="35"/>
      <c r="BK12" s="35"/>
      <c r="BL12" s="35"/>
      <c r="BM12" s="35"/>
      <c r="BN12" s="35"/>
      <c r="BO12" s="35"/>
      <c r="BP12" s="35"/>
      <c r="BQ12" s="35"/>
      <c r="BR12" s="36">
        <f t="shared" si="4"/>
        <v>0</v>
      </c>
    </row>
    <row r="13" spans="1:70" ht="15">
      <c r="A13" s="27" t="s">
        <v>57</v>
      </c>
      <c r="F13" s="35"/>
      <c r="G13" s="35"/>
      <c r="H13" s="35"/>
      <c r="I13" s="35"/>
      <c r="J13" s="35"/>
      <c r="K13" s="35"/>
      <c r="L13" s="35"/>
      <c r="M13" s="35"/>
      <c r="N13" s="35"/>
      <c r="O13" s="35"/>
      <c r="P13" s="35"/>
      <c r="Q13" s="35"/>
      <c r="R13" s="36">
        <f t="shared" si="0"/>
        <v>0</v>
      </c>
      <c r="S13" s="35"/>
      <c r="T13" s="35"/>
      <c r="U13" s="35"/>
      <c r="V13" s="35"/>
      <c r="W13" s="35"/>
      <c r="X13" s="35"/>
      <c r="Y13" s="35"/>
      <c r="Z13" s="35"/>
      <c r="AA13" s="35"/>
      <c r="AB13" s="35"/>
      <c r="AC13" s="35"/>
      <c r="AD13" s="35"/>
      <c r="AE13" s="36">
        <f t="shared" si="1"/>
        <v>0</v>
      </c>
      <c r="AF13" s="35"/>
      <c r="AG13" s="35"/>
      <c r="AH13" s="35"/>
      <c r="AI13" s="35"/>
      <c r="AJ13" s="35"/>
      <c r="AK13" s="35"/>
      <c r="AL13" s="35"/>
      <c r="AM13" s="35"/>
      <c r="AN13" s="35"/>
      <c r="AO13" s="35"/>
      <c r="AP13" s="35"/>
      <c r="AQ13" s="35"/>
      <c r="AR13" s="36">
        <f t="shared" si="2"/>
        <v>0</v>
      </c>
      <c r="AS13" s="35"/>
      <c r="AT13" s="35"/>
      <c r="AU13" s="35"/>
      <c r="AV13" s="35"/>
      <c r="AW13" s="35"/>
      <c r="AX13" s="35"/>
      <c r="AY13" s="35"/>
      <c r="AZ13" s="35"/>
      <c r="BA13" s="35"/>
      <c r="BB13" s="35"/>
      <c r="BC13" s="35"/>
      <c r="BD13" s="35"/>
      <c r="BE13" s="36">
        <f t="shared" si="3"/>
        <v>0</v>
      </c>
      <c r="BF13" s="35"/>
      <c r="BG13" s="35"/>
      <c r="BH13" s="35"/>
      <c r="BI13" s="35"/>
      <c r="BJ13" s="35"/>
      <c r="BK13" s="35"/>
      <c r="BL13" s="35"/>
      <c r="BM13" s="35"/>
      <c r="BN13" s="35"/>
      <c r="BO13" s="35"/>
      <c r="BP13" s="35"/>
      <c r="BQ13" s="35"/>
      <c r="BR13" s="36">
        <f t="shared" si="4"/>
        <v>0</v>
      </c>
    </row>
    <row r="14" spans="1:70" ht="15">
      <c r="A14" s="37" t="s">
        <v>54</v>
      </c>
      <c r="F14" s="35"/>
      <c r="G14" s="35"/>
      <c r="H14" s="35"/>
      <c r="I14" s="35"/>
      <c r="J14" s="35"/>
      <c r="K14" s="35"/>
      <c r="L14" s="35"/>
      <c r="M14" s="35"/>
      <c r="N14" s="35"/>
      <c r="O14" s="35"/>
      <c r="P14" s="35"/>
      <c r="Q14" s="35"/>
      <c r="R14" s="36">
        <f t="shared" si="0"/>
        <v>0</v>
      </c>
      <c r="S14" s="35"/>
      <c r="T14" s="35"/>
      <c r="U14" s="35"/>
      <c r="V14" s="35"/>
      <c r="W14" s="35"/>
      <c r="X14" s="35"/>
      <c r="Y14" s="35"/>
      <c r="Z14" s="35"/>
      <c r="AA14" s="35"/>
      <c r="AB14" s="35"/>
      <c r="AC14" s="35"/>
      <c r="AD14" s="35"/>
      <c r="AE14" s="36">
        <f t="shared" si="1"/>
        <v>0</v>
      </c>
      <c r="AF14" s="35"/>
      <c r="AG14" s="35"/>
      <c r="AH14" s="35"/>
      <c r="AI14" s="35"/>
      <c r="AJ14" s="35"/>
      <c r="AK14" s="35"/>
      <c r="AL14" s="35"/>
      <c r="AM14" s="35"/>
      <c r="AN14" s="35"/>
      <c r="AO14" s="35"/>
      <c r="AP14" s="35"/>
      <c r="AQ14" s="35"/>
      <c r="AR14" s="36">
        <f t="shared" si="2"/>
        <v>0</v>
      </c>
      <c r="AS14" s="35"/>
      <c r="AT14" s="35"/>
      <c r="AU14" s="35"/>
      <c r="AV14" s="35"/>
      <c r="AW14" s="35"/>
      <c r="AX14" s="35"/>
      <c r="AY14" s="35"/>
      <c r="AZ14" s="35"/>
      <c r="BA14" s="35"/>
      <c r="BB14" s="35"/>
      <c r="BC14" s="35"/>
      <c r="BD14" s="35"/>
      <c r="BE14" s="36">
        <f t="shared" si="3"/>
        <v>0</v>
      </c>
      <c r="BF14" s="35"/>
      <c r="BG14" s="35"/>
      <c r="BH14" s="35"/>
      <c r="BI14" s="35"/>
      <c r="BJ14" s="35"/>
      <c r="BK14" s="35"/>
      <c r="BL14" s="35"/>
      <c r="BM14" s="35"/>
      <c r="BN14" s="35"/>
      <c r="BO14" s="35"/>
      <c r="BP14" s="35"/>
      <c r="BQ14" s="35"/>
      <c r="BR14" s="36">
        <f t="shared" si="4"/>
        <v>0</v>
      </c>
    </row>
    <row r="15" spans="1:70" ht="15">
      <c r="A15" s="37" t="s">
        <v>55</v>
      </c>
      <c r="F15" s="35"/>
      <c r="G15" s="35"/>
      <c r="H15" s="35"/>
      <c r="I15" s="35"/>
      <c r="J15" s="35"/>
      <c r="K15" s="35"/>
      <c r="L15" s="35"/>
      <c r="M15" s="35"/>
      <c r="N15" s="35"/>
      <c r="O15" s="35"/>
      <c r="P15" s="35"/>
      <c r="Q15" s="35"/>
      <c r="R15" s="36">
        <f t="shared" si="0"/>
        <v>0</v>
      </c>
      <c r="S15" s="35"/>
      <c r="T15" s="35"/>
      <c r="U15" s="35"/>
      <c r="V15" s="35"/>
      <c r="W15" s="35"/>
      <c r="X15" s="35"/>
      <c r="Y15" s="35"/>
      <c r="Z15" s="35"/>
      <c r="AA15" s="35"/>
      <c r="AB15" s="35"/>
      <c r="AC15" s="35"/>
      <c r="AD15" s="35"/>
      <c r="AE15" s="36">
        <f t="shared" si="1"/>
        <v>0</v>
      </c>
      <c r="AF15" s="35"/>
      <c r="AG15" s="35"/>
      <c r="AH15" s="35"/>
      <c r="AI15" s="35"/>
      <c r="AJ15" s="35"/>
      <c r="AK15" s="35"/>
      <c r="AL15" s="35"/>
      <c r="AM15" s="35"/>
      <c r="AN15" s="35"/>
      <c r="AO15" s="35"/>
      <c r="AP15" s="35"/>
      <c r="AQ15" s="35"/>
      <c r="AR15" s="36">
        <f t="shared" si="2"/>
        <v>0</v>
      </c>
      <c r="AS15" s="35"/>
      <c r="AT15" s="35"/>
      <c r="AU15" s="35"/>
      <c r="AV15" s="35"/>
      <c r="AW15" s="35"/>
      <c r="AX15" s="35"/>
      <c r="AY15" s="35"/>
      <c r="AZ15" s="35"/>
      <c r="BA15" s="35"/>
      <c r="BB15" s="35"/>
      <c r="BC15" s="35"/>
      <c r="BD15" s="35"/>
      <c r="BE15" s="36">
        <f t="shared" si="3"/>
        <v>0</v>
      </c>
      <c r="BF15" s="35"/>
      <c r="BG15" s="35"/>
      <c r="BH15" s="35"/>
      <c r="BI15" s="35"/>
      <c r="BJ15" s="35"/>
      <c r="BK15" s="35"/>
      <c r="BL15" s="35"/>
      <c r="BM15" s="35"/>
      <c r="BN15" s="35"/>
      <c r="BO15" s="35"/>
      <c r="BP15" s="35"/>
      <c r="BQ15" s="35"/>
      <c r="BR15" s="36">
        <f t="shared" si="4"/>
        <v>0</v>
      </c>
    </row>
    <row r="16" spans="1:70" ht="15">
      <c r="A16" s="37" t="s">
        <v>56</v>
      </c>
      <c r="F16" s="35"/>
      <c r="G16" s="35"/>
      <c r="H16" s="35"/>
      <c r="I16" s="35"/>
      <c r="J16" s="35"/>
      <c r="K16" s="35"/>
      <c r="L16" s="35"/>
      <c r="M16" s="35"/>
      <c r="N16" s="35"/>
      <c r="O16" s="35"/>
      <c r="P16" s="35"/>
      <c r="Q16" s="35"/>
      <c r="R16" s="36">
        <f t="shared" si="0"/>
        <v>0</v>
      </c>
      <c r="S16" s="35"/>
      <c r="T16" s="35"/>
      <c r="U16" s="35"/>
      <c r="V16" s="35"/>
      <c r="W16" s="35"/>
      <c r="X16" s="35"/>
      <c r="Y16" s="35"/>
      <c r="Z16" s="35"/>
      <c r="AA16" s="35"/>
      <c r="AB16" s="35"/>
      <c r="AC16" s="35"/>
      <c r="AD16" s="35"/>
      <c r="AE16" s="36">
        <f t="shared" si="1"/>
        <v>0</v>
      </c>
      <c r="AF16" s="35"/>
      <c r="AG16" s="35"/>
      <c r="AH16" s="35"/>
      <c r="AI16" s="35"/>
      <c r="AJ16" s="35"/>
      <c r="AK16" s="35"/>
      <c r="AL16" s="35"/>
      <c r="AM16" s="35"/>
      <c r="AN16" s="35"/>
      <c r="AO16" s="35"/>
      <c r="AP16" s="35"/>
      <c r="AQ16" s="35"/>
      <c r="AR16" s="36">
        <f t="shared" si="2"/>
        <v>0</v>
      </c>
      <c r="AS16" s="35"/>
      <c r="AT16" s="35"/>
      <c r="AU16" s="35"/>
      <c r="AV16" s="35"/>
      <c r="AW16" s="35"/>
      <c r="AX16" s="35"/>
      <c r="AY16" s="35"/>
      <c r="AZ16" s="35"/>
      <c r="BA16" s="35"/>
      <c r="BB16" s="35"/>
      <c r="BC16" s="35"/>
      <c r="BD16" s="35"/>
      <c r="BE16" s="36">
        <f t="shared" si="3"/>
        <v>0</v>
      </c>
      <c r="BF16" s="35"/>
      <c r="BG16" s="35"/>
      <c r="BH16" s="35"/>
      <c r="BI16" s="35"/>
      <c r="BJ16" s="35"/>
      <c r="BK16" s="35"/>
      <c r="BL16" s="35"/>
      <c r="BM16" s="35"/>
      <c r="BN16" s="35"/>
      <c r="BO16" s="35"/>
      <c r="BP16" s="35"/>
      <c r="BQ16" s="35"/>
      <c r="BR16" s="36">
        <f t="shared" si="4"/>
        <v>0</v>
      </c>
    </row>
    <row r="17" spans="1:70" ht="15">
      <c r="A17" s="38" t="s">
        <v>58</v>
      </c>
      <c r="B17" s="39"/>
      <c r="C17" s="39"/>
      <c r="D17" s="39"/>
      <c r="E17" s="39"/>
      <c r="F17" s="40"/>
      <c r="G17" s="40"/>
      <c r="H17" s="40"/>
      <c r="I17" s="40"/>
      <c r="J17" s="40"/>
      <c r="K17" s="40"/>
      <c r="L17" s="40"/>
      <c r="M17" s="40"/>
      <c r="N17" s="40"/>
      <c r="O17" s="40"/>
      <c r="P17" s="40"/>
      <c r="Q17" s="40"/>
      <c r="R17" s="41">
        <f t="shared" si="0"/>
        <v>0</v>
      </c>
      <c r="S17" s="40"/>
      <c r="T17" s="40"/>
      <c r="U17" s="40"/>
      <c r="V17" s="40"/>
      <c r="W17" s="40"/>
      <c r="X17" s="40"/>
      <c r="Y17" s="40"/>
      <c r="Z17" s="40"/>
      <c r="AA17" s="40"/>
      <c r="AB17" s="40"/>
      <c r="AC17" s="40"/>
      <c r="AD17" s="40"/>
      <c r="AE17" s="41">
        <f t="shared" si="1"/>
        <v>0</v>
      </c>
      <c r="AF17" s="40"/>
      <c r="AG17" s="40"/>
      <c r="AH17" s="40"/>
      <c r="AI17" s="40"/>
      <c r="AJ17" s="40"/>
      <c r="AK17" s="40"/>
      <c r="AL17" s="40"/>
      <c r="AM17" s="40"/>
      <c r="AN17" s="40"/>
      <c r="AO17" s="40"/>
      <c r="AP17" s="40"/>
      <c r="AQ17" s="40"/>
      <c r="AR17" s="41">
        <f t="shared" si="2"/>
        <v>0</v>
      </c>
      <c r="AS17" s="40"/>
      <c r="AT17" s="40"/>
      <c r="AU17" s="40"/>
      <c r="AV17" s="40"/>
      <c r="AW17" s="40"/>
      <c r="AX17" s="40"/>
      <c r="AY17" s="40"/>
      <c r="AZ17" s="40"/>
      <c r="BA17" s="40"/>
      <c r="BB17" s="40"/>
      <c r="BC17" s="40"/>
      <c r="BD17" s="40"/>
      <c r="BE17" s="41">
        <f t="shared" si="3"/>
        <v>0</v>
      </c>
      <c r="BF17" s="40"/>
      <c r="BG17" s="40"/>
      <c r="BH17" s="40"/>
      <c r="BI17" s="40"/>
      <c r="BJ17" s="40"/>
      <c r="BK17" s="40"/>
      <c r="BL17" s="40"/>
      <c r="BM17" s="40"/>
      <c r="BN17" s="40"/>
      <c r="BO17" s="40"/>
      <c r="BP17" s="40"/>
      <c r="BQ17" s="40"/>
      <c r="BR17" s="41">
        <f t="shared" si="4"/>
        <v>0</v>
      </c>
    </row>
    <row r="18" spans="1:70" ht="15">
      <c r="A18" s="34" t="s">
        <v>59</v>
      </c>
      <c r="F18" s="35"/>
      <c r="G18" s="35"/>
      <c r="H18" s="35"/>
      <c r="I18" s="35"/>
      <c r="J18" s="35"/>
      <c r="K18" s="35"/>
      <c r="L18" s="35"/>
      <c r="M18" s="35"/>
      <c r="N18" s="35"/>
      <c r="O18" s="35"/>
      <c r="P18" s="35"/>
      <c r="Q18" s="35"/>
      <c r="R18" s="36">
        <f>SUM(R9:R17)</f>
        <v>0</v>
      </c>
      <c r="S18" s="35"/>
      <c r="T18" s="35"/>
      <c r="U18" s="35"/>
      <c r="V18" s="35"/>
      <c r="W18" s="35"/>
      <c r="X18" s="35"/>
      <c r="Y18" s="35"/>
      <c r="Z18" s="35"/>
      <c r="AA18" s="35"/>
      <c r="AB18" s="35"/>
      <c r="AC18" s="35"/>
      <c r="AD18" s="35"/>
      <c r="AE18" s="36">
        <f>SUM(AE9:AE17)</f>
        <v>0</v>
      </c>
      <c r="AF18" s="35"/>
      <c r="AG18" s="35"/>
      <c r="AH18" s="35"/>
      <c r="AI18" s="35"/>
      <c r="AJ18" s="35"/>
      <c r="AK18" s="35"/>
      <c r="AL18" s="35"/>
      <c r="AM18" s="35"/>
      <c r="AN18" s="35"/>
      <c r="AO18" s="35"/>
      <c r="AP18" s="35"/>
      <c r="AQ18" s="35"/>
      <c r="AR18" s="36">
        <f>SUM(AR9:AR17)</f>
        <v>0</v>
      </c>
      <c r="AS18" s="35"/>
      <c r="AT18" s="35"/>
      <c r="AU18" s="35"/>
      <c r="AV18" s="35"/>
      <c r="AW18" s="35"/>
      <c r="AX18" s="35"/>
      <c r="AY18" s="35"/>
      <c r="AZ18" s="35"/>
      <c r="BA18" s="35"/>
      <c r="BB18" s="35"/>
      <c r="BC18" s="35"/>
      <c r="BD18" s="35"/>
      <c r="BE18" s="36">
        <f>SUM(BE9:BE17)</f>
        <v>0</v>
      </c>
      <c r="BF18" s="35"/>
      <c r="BG18" s="35"/>
      <c r="BH18" s="35"/>
      <c r="BI18" s="35"/>
      <c r="BJ18" s="35"/>
      <c r="BK18" s="35"/>
      <c r="BL18" s="35"/>
      <c r="BM18" s="35"/>
      <c r="BN18" s="35"/>
      <c r="BO18" s="35"/>
      <c r="BP18" s="35"/>
      <c r="BQ18" s="35"/>
      <c r="BR18" s="36">
        <f>SUM(BR9:BR17)</f>
        <v>0</v>
      </c>
    </row>
    <row r="19" spans="1:70" ht="14.25">
      <c r="A19" s="31"/>
      <c r="F19" s="42"/>
      <c r="G19" s="42"/>
      <c r="H19" s="42"/>
      <c r="I19" s="42"/>
      <c r="J19" s="42"/>
      <c r="K19" s="42"/>
      <c r="L19" s="42"/>
      <c r="M19" s="42"/>
      <c r="N19" s="42"/>
      <c r="O19" s="42"/>
      <c r="P19" s="42"/>
      <c r="Q19" s="42"/>
      <c r="R19" s="43"/>
      <c r="S19" s="42"/>
      <c r="T19" s="42"/>
      <c r="U19" s="42"/>
      <c r="V19" s="42"/>
      <c r="W19" s="42"/>
      <c r="X19" s="42"/>
      <c r="Y19" s="42"/>
      <c r="Z19" s="42"/>
      <c r="AA19" s="42"/>
      <c r="AB19" s="42"/>
      <c r="AC19" s="42"/>
      <c r="AD19" s="42"/>
      <c r="AE19" s="43"/>
      <c r="AF19" s="42"/>
      <c r="AG19" s="42"/>
      <c r="AH19" s="42"/>
      <c r="AI19" s="42"/>
      <c r="AJ19" s="42"/>
      <c r="AK19" s="42"/>
      <c r="AL19" s="42"/>
      <c r="AM19" s="42"/>
      <c r="AN19" s="42"/>
      <c r="AO19" s="42"/>
      <c r="AP19" s="42"/>
      <c r="AQ19" s="42"/>
      <c r="AR19" s="43"/>
      <c r="AS19" s="42"/>
      <c r="AT19" s="42"/>
      <c r="AU19" s="42"/>
      <c r="AV19" s="42"/>
      <c r="AW19" s="42"/>
      <c r="AX19" s="42"/>
      <c r="AY19" s="42"/>
      <c r="AZ19" s="42"/>
      <c r="BA19" s="42"/>
      <c r="BB19" s="42"/>
      <c r="BC19" s="42"/>
      <c r="BD19" s="42"/>
      <c r="BE19" s="43"/>
      <c r="BF19" s="42"/>
      <c r="BG19" s="42"/>
      <c r="BH19" s="42"/>
      <c r="BI19" s="42"/>
      <c r="BJ19" s="42"/>
      <c r="BK19" s="42"/>
      <c r="BL19" s="42"/>
      <c r="BM19" s="42"/>
      <c r="BN19" s="42"/>
      <c r="BO19" s="42"/>
      <c r="BP19" s="42"/>
      <c r="BQ19" s="42"/>
      <c r="BR19" s="43"/>
    </row>
    <row r="20" spans="1:70" ht="15">
      <c r="A20" s="34" t="s">
        <v>60</v>
      </c>
      <c r="F20" s="42"/>
      <c r="G20" s="42"/>
      <c r="H20" s="42"/>
      <c r="I20" s="42"/>
      <c r="J20" s="42"/>
      <c r="K20" s="42"/>
      <c r="L20" s="42"/>
      <c r="M20" s="42"/>
      <c r="N20" s="42"/>
      <c r="O20" s="42"/>
      <c r="P20" s="42"/>
      <c r="Q20" s="42"/>
      <c r="R20" s="43"/>
      <c r="S20" s="42"/>
      <c r="T20" s="42"/>
      <c r="U20" s="42"/>
      <c r="V20" s="42"/>
      <c r="W20" s="42"/>
      <c r="X20" s="42"/>
      <c r="Y20" s="42"/>
      <c r="Z20" s="42"/>
      <c r="AA20" s="42"/>
      <c r="AB20" s="42"/>
      <c r="AC20" s="42"/>
      <c r="AD20" s="42"/>
      <c r="AE20" s="43"/>
      <c r="AF20" s="42"/>
      <c r="AG20" s="42"/>
      <c r="AH20" s="42"/>
      <c r="AI20" s="42"/>
      <c r="AJ20" s="42"/>
      <c r="AK20" s="42"/>
      <c r="AL20" s="42"/>
      <c r="AM20" s="42"/>
      <c r="AN20" s="42"/>
      <c r="AO20" s="42"/>
      <c r="AP20" s="42"/>
      <c r="AQ20" s="42"/>
      <c r="AR20" s="43"/>
      <c r="AS20" s="42"/>
      <c r="AT20" s="42"/>
      <c r="AU20" s="42"/>
      <c r="AV20" s="42"/>
      <c r="AW20" s="42"/>
      <c r="AX20" s="42"/>
      <c r="AY20" s="42"/>
      <c r="AZ20" s="42"/>
      <c r="BA20" s="42"/>
      <c r="BB20" s="42"/>
      <c r="BC20" s="42"/>
      <c r="BD20" s="42"/>
      <c r="BE20" s="43"/>
      <c r="BF20" s="42"/>
      <c r="BG20" s="42"/>
      <c r="BH20" s="42"/>
      <c r="BI20" s="42"/>
      <c r="BJ20" s="42"/>
      <c r="BK20" s="42"/>
      <c r="BL20" s="42"/>
      <c r="BM20" s="42"/>
      <c r="BN20" s="42"/>
      <c r="BO20" s="42"/>
      <c r="BP20" s="42"/>
      <c r="BQ20" s="42"/>
      <c r="BR20" s="43"/>
    </row>
    <row r="21" spans="1:70" ht="15">
      <c r="A21" s="27" t="s">
        <v>61</v>
      </c>
      <c r="F21" s="35"/>
      <c r="G21" s="35"/>
      <c r="H21" s="35"/>
      <c r="I21" s="35"/>
      <c r="J21" s="35"/>
      <c r="K21" s="35"/>
      <c r="L21" s="35"/>
      <c r="M21" s="35"/>
      <c r="N21" s="35"/>
      <c r="O21" s="35"/>
      <c r="P21" s="35"/>
      <c r="Q21" s="35"/>
      <c r="R21" s="36">
        <f t="shared" ref="R21:R31" si="5">SUM(F68:Q68)</f>
        <v>0</v>
      </c>
      <c r="S21" s="35"/>
      <c r="T21" s="35"/>
      <c r="U21" s="35"/>
      <c r="V21" s="35"/>
      <c r="W21" s="35"/>
      <c r="X21" s="35"/>
      <c r="Y21" s="35"/>
      <c r="Z21" s="35"/>
      <c r="AA21" s="35"/>
      <c r="AB21" s="35"/>
      <c r="AC21" s="35"/>
      <c r="AD21" s="35"/>
      <c r="AE21" s="36">
        <f t="shared" ref="AE21:AE31" si="6">SUM(S68:AD68)</f>
        <v>0</v>
      </c>
      <c r="AF21" s="35"/>
      <c r="AG21" s="35"/>
      <c r="AH21" s="35"/>
      <c r="AI21" s="35"/>
      <c r="AJ21" s="35"/>
      <c r="AK21" s="35"/>
      <c r="AL21" s="35"/>
      <c r="AM21" s="35"/>
      <c r="AN21" s="35"/>
      <c r="AO21" s="35"/>
      <c r="AP21" s="35"/>
      <c r="AQ21" s="35"/>
      <c r="AR21" s="36">
        <f t="shared" ref="AR21:AR31" si="7">SUM(AF68:AQ68)</f>
        <v>0</v>
      </c>
      <c r="AS21" s="35"/>
      <c r="AT21" s="35"/>
      <c r="AU21" s="35"/>
      <c r="AV21" s="35"/>
      <c r="AW21" s="35"/>
      <c r="AX21" s="35"/>
      <c r="AY21" s="35"/>
      <c r="AZ21" s="35"/>
      <c r="BA21" s="35"/>
      <c r="BB21" s="35"/>
      <c r="BC21" s="35"/>
      <c r="BD21" s="35"/>
      <c r="BE21" s="36">
        <f t="shared" ref="BE21:BE31" si="8">SUM(AS68:BD68)</f>
        <v>0</v>
      </c>
      <c r="BF21" s="35"/>
      <c r="BG21" s="35"/>
      <c r="BH21" s="35"/>
      <c r="BI21" s="35"/>
      <c r="BJ21" s="35"/>
      <c r="BK21" s="35"/>
      <c r="BL21" s="35"/>
      <c r="BM21" s="35"/>
      <c r="BN21" s="35"/>
      <c r="BO21" s="35"/>
      <c r="BP21" s="35"/>
      <c r="BQ21" s="35"/>
      <c r="BR21" s="36">
        <f t="shared" ref="BR21:BR31" si="9">SUM(BF68:BQ68)</f>
        <v>0</v>
      </c>
    </row>
    <row r="22" spans="1:70" ht="15">
      <c r="A22" s="27" t="s">
        <v>62</v>
      </c>
      <c r="F22" s="35"/>
      <c r="G22" s="35"/>
      <c r="H22" s="35"/>
      <c r="I22" s="35"/>
      <c r="J22" s="35"/>
      <c r="K22" s="35"/>
      <c r="L22" s="35"/>
      <c r="M22" s="35"/>
      <c r="N22" s="35"/>
      <c r="O22" s="35"/>
      <c r="P22" s="35"/>
      <c r="Q22" s="35"/>
      <c r="R22" s="36">
        <f t="shared" si="5"/>
        <v>0</v>
      </c>
      <c r="S22" s="35"/>
      <c r="T22" s="35"/>
      <c r="U22" s="35"/>
      <c r="V22" s="35"/>
      <c r="W22" s="35"/>
      <c r="X22" s="35"/>
      <c r="Y22" s="35"/>
      <c r="Z22" s="35"/>
      <c r="AA22" s="35"/>
      <c r="AB22" s="35"/>
      <c r="AC22" s="35"/>
      <c r="AD22" s="35"/>
      <c r="AE22" s="36">
        <f t="shared" si="6"/>
        <v>0</v>
      </c>
      <c r="AF22" s="35"/>
      <c r="AG22" s="35"/>
      <c r="AH22" s="35"/>
      <c r="AI22" s="35"/>
      <c r="AJ22" s="35"/>
      <c r="AK22" s="35"/>
      <c r="AL22" s="35"/>
      <c r="AM22" s="35"/>
      <c r="AN22" s="35"/>
      <c r="AO22" s="35"/>
      <c r="AP22" s="35"/>
      <c r="AQ22" s="35"/>
      <c r="AR22" s="36">
        <f t="shared" si="7"/>
        <v>0</v>
      </c>
      <c r="AS22" s="35"/>
      <c r="AT22" s="35"/>
      <c r="AU22" s="35"/>
      <c r="AV22" s="35"/>
      <c r="AW22" s="35"/>
      <c r="AX22" s="35"/>
      <c r="AY22" s="35"/>
      <c r="AZ22" s="35"/>
      <c r="BA22" s="35"/>
      <c r="BB22" s="35"/>
      <c r="BC22" s="35"/>
      <c r="BD22" s="35"/>
      <c r="BE22" s="36">
        <f t="shared" si="8"/>
        <v>0</v>
      </c>
      <c r="BF22" s="35"/>
      <c r="BG22" s="35"/>
      <c r="BH22" s="35"/>
      <c r="BI22" s="35"/>
      <c r="BJ22" s="35"/>
      <c r="BK22" s="35"/>
      <c r="BL22" s="35"/>
      <c r="BM22" s="35"/>
      <c r="BN22" s="35"/>
      <c r="BO22" s="35"/>
      <c r="BP22" s="35"/>
      <c r="BQ22" s="35"/>
      <c r="BR22" s="36">
        <f t="shared" si="9"/>
        <v>0</v>
      </c>
    </row>
    <row r="23" spans="1:70" ht="15">
      <c r="A23" s="27" t="s">
        <v>63</v>
      </c>
      <c r="F23" s="35"/>
      <c r="G23" s="35"/>
      <c r="H23" s="35"/>
      <c r="I23" s="35"/>
      <c r="J23" s="35"/>
      <c r="K23" s="35"/>
      <c r="L23" s="35"/>
      <c r="M23" s="35"/>
      <c r="N23" s="35"/>
      <c r="O23" s="35"/>
      <c r="P23" s="35"/>
      <c r="Q23" s="35"/>
      <c r="R23" s="36">
        <f t="shared" si="5"/>
        <v>0</v>
      </c>
      <c r="S23" s="35"/>
      <c r="T23" s="35"/>
      <c r="U23" s="35"/>
      <c r="V23" s="35"/>
      <c r="W23" s="35"/>
      <c r="X23" s="35"/>
      <c r="Y23" s="35"/>
      <c r="Z23" s="35"/>
      <c r="AA23" s="35"/>
      <c r="AB23" s="35"/>
      <c r="AC23" s="35"/>
      <c r="AD23" s="35"/>
      <c r="AE23" s="36">
        <f t="shared" si="6"/>
        <v>0</v>
      </c>
      <c r="AF23" s="35"/>
      <c r="AG23" s="35"/>
      <c r="AH23" s="35"/>
      <c r="AI23" s="35"/>
      <c r="AJ23" s="35"/>
      <c r="AK23" s="35"/>
      <c r="AL23" s="35"/>
      <c r="AM23" s="35"/>
      <c r="AN23" s="35"/>
      <c r="AO23" s="35"/>
      <c r="AP23" s="35"/>
      <c r="AQ23" s="35"/>
      <c r="AR23" s="36">
        <f t="shared" si="7"/>
        <v>0</v>
      </c>
      <c r="AS23" s="35"/>
      <c r="AT23" s="35"/>
      <c r="AU23" s="35"/>
      <c r="AV23" s="35"/>
      <c r="AW23" s="35"/>
      <c r="AX23" s="35"/>
      <c r="AY23" s="35"/>
      <c r="AZ23" s="35"/>
      <c r="BA23" s="35"/>
      <c r="BB23" s="35"/>
      <c r="BC23" s="35"/>
      <c r="BD23" s="35"/>
      <c r="BE23" s="36">
        <f t="shared" si="8"/>
        <v>0</v>
      </c>
      <c r="BF23" s="35"/>
      <c r="BG23" s="35"/>
      <c r="BH23" s="35"/>
      <c r="BI23" s="35"/>
      <c r="BJ23" s="35"/>
      <c r="BK23" s="35"/>
      <c r="BL23" s="35"/>
      <c r="BM23" s="35"/>
      <c r="BN23" s="35"/>
      <c r="BO23" s="35"/>
      <c r="BP23" s="35"/>
      <c r="BQ23" s="35"/>
      <c r="BR23" s="36">
        <f t="shared" si="9"/>
        <v>0</v>
      </c>
    </row>
    <row r="24" spans="1:70" ht="15">
      <c r="A24" s="27" t="s">
        <v>322</v>
      </c>
      <c r="F24" s="35"/>
      <c r="G24" s="35"/>
      <c r="H24" s="35"/>
      <c r="I24" s="35"/>
      <c r="J24" s="35"/>
      <c r="K24" s="35"/>
      <c r="L24" s="35"/>
      <c r="M24" s="35"/>
      <c r="N24" s="35"/>
      <c r="O24" s="35"/>
      <c r="P24" s="35"/>
      <c r="Q24" s="35"/>
      <c r="R24" s="36">
        <f t="shared" si="5"/>
        <v>0</v>
      </c>
      <c r="S24" s="35"/>
      <c r="T24" s="35"/>
      <c r="U24" s="35"/>
      <c r="V24" s="35"/>
      <c r="W24" s="35"/>
      <c r="X24" s="35"/>
      <c r="Y24" s="35"/>
      <c r="Z24" s="35"/>
      <c r="AA24" s="35"/>
      <c r="AB24" s="35"/>
      <c r="AC24" s="35"/>
      <c r="AD24" s="35"/>
      <c r="AE24" s="36">
        <f t="shared" si="6"/>
        <v>0</v>
      </c>
      <c r="AF24" s="35"/>
      <c r="AG24" s="35"/>
      <c r="AH24" s="35"/>
      <c r="AI24" s="35"/>
      <c r="AJ24" s="35"/>
      <c r="AK24" s="35"/>
      <c r="AL24" s="35"/>
      <c r="AM24" s="35"/>
      <c r="AN24" s="35"/>
      <c r="AO24" s="35"/>
      <c r="AP24" s="35"/>
      <c r="AQ24" s="35"/>
      <c r="AR24" s="36">
        <f t="shared" si="7"/>
        <v>0</v>
      </c>
      <c r="AS24" s="35"/>
      <c r="AT24" s="35"/>
      <c r="AU24" s="35"/>
      <c r="AV24" s="35"/>
      <c r="AW24" s="35"/>
      <c r="AX24" s="35"/>
      <c r="AY24" s="35"/>
      <c r="AZ24" s="35"/>
      <c r="BA24" s="35"/>
      <c r="BB24" s="35"/>
      <c r="BC24" s="35"/>
      <c r="BD24" s="35"/>
      <c r="BE24" s="36">
        <f t="shared" si="8"/>
        <v>0</v>
      </c>
      <c r="BF24" s="35"/>
      <c r="BG24" s="35"/>
      <c r="BH24" s="35"/>
      <c r="BI24" s="35"/>
      <c r="BJ24" s="35"/>
      <c r="BK24" s="35"/>
      <c r="BL24" s="35"/>
      <c r="BM24" s="35"/>
      <c r="BN24" s="35"/>
      <c r="BO24" s="35"/>
      <c r="BP24" s="35"/>
      <c r="BQ24" s="35"/>
      <c r="BR24" s="36">
        <f t="shared" si="9"/>
        <v>0</v>
      </c>
    </row>
    <row r="25" spans="1:70" ht="15">
      <c r="A25" s="27" t="s">
        <v>323</v>
      </c>
      <c r="F25" s="35"/>
      <c r="G25" s="35"/>
      <c r="H25" s="35"/>
      <c r="I25" s="35"/>
      <c r="J25" s="35"/>
      <c r="K25" s="35"/>
      <c r="L25" s="35"/>
      <c r="M25" s="35"/>
      <c r="N25" s="35"/>
      <c r="O25" s="35"/>
      <c r="P25" s="35"/>
      <c r="Q25" s="35"/>
      <c r="R25" s="36">
        <f t="shared" si="5"/>
        <v>0</v>
      </c>
      <c r="S25" s="35"/>
      <c r="T25" s="35"/>
      <c r="U25" s="35"/>
      <c r="V25" s="35"/>
      <c r="W25" s="35"/>
      <c r="X25" s="35"/>
      <c r="Y25" s="35"/>
      <c r="Z25" s="35"/>
      <c r="AA25" s="35"/>
      <c r="AB25" s="35"/>
      <c r="AC25" s="35"/>
      <c r="AD25" s="35"/>
      <c r="AE25" s="36">
        <f t="shared" si="6"/>
        <v>0</v>
      </c>
      <c r="AF25" s="35"/>
      <c r="AG25" s="35"/>
      <c r="AH25" s="35"/>
      <c r="AI25" s="35"/>
      <c r="AJ25" s="35"/>
      <c r="AK25" s="35"/>
      <c r="AL25" s="35"/>
      <c r="AM25" s="35"/>
      <c r="AN25" s="35"/>
      <c r="AO25" s="35"/>
      <c r="AP25" s="35"/>
      <c r="AQ25" s="35"/>
      <c r="AR25" s="36">
        <f t="shared" si="7"/>
        <v>0</v>
      </c>
      <c r="AS25" s="35"/>
      <c r="AT25" s="35"/>
      <c r="AU25" s="35"/>
      <c r="AV25" s="35"/>
      <c r="AW25" s="35"/>
      <c r="AX25" s="35"/>
      <c r="AY25" s="35"/>
      <c r="AZ25" s="35"/>
      <c r="BA25" s="35"/>
      <c r="BB25" s="35"/>
      <c r="BC25" s="35"/>
      <c r="BD25" s="35"/>
      <c r="BE25" s="36">
        <f t="shared" si="8"/>
        <v>0</v>
      </c>
      <c r="BF25" s="35"/>
      <c r="BG25" s="35"/>
      <c r="BH25" s="35"/>
      <c r="BI25" s="35"/>
      <c r="BJ25" s="35"/>
      <c r="BK25" s="35"/>
      <c r="BL25" s="35"/>
      <c r="BM25" s="35"/>
      <c r="BN25" s="35"/>
      <c r="BO25" s="35"/>
      <c r="BP25" s="35"/>
      <c r="BQ25" s="35"/>
      <c r="BR25" s="36">
        <f t="shared" si="9"/>
        <v>0</v>
      </c>
    </row>
    <row r="26" spans="1:70" ht="15">
      <c r="A26" s="27" t="s">
        <v>66</v>
      </c>
      <c r="F26" s="35"/>
      <c r="G26" s="35"/>
      <c r="H26" s="35"/>
      <c r="I26" s="35"/>
      <c r="J26" s="35"/>
      <c r="K26" s="35"/>
      <c r="L26" s="35"/>
      <c r="M26" s="35"/>
      <c r="N26" s="35"/>
      <c r="O26" s="35"/>
      <c r="P26" s="35"/>
      <c r="Q26" s="35"/>
      <c r="R26" s="36">
        <f t="shared" si="5"/>
        <v>0</v>
      </c>
      <c r="S26" s="35"/>
      <c r="T26" s="35"/>
      <c r="U26" s="35"/>
      <c r="V26" s="35"/>
      <c r="W26" s="35"/>
      <c r="X26" s="35"/>
      <c r="Y26" s="35"/>
      <c r="Z26" s="35"/>
      <c r="AA26" s="35"/>
      <c r="AB26" s="35"/>
      <c r="AC26" s="35"/>
      <c r="AD26" s="35"/>
      <c r="AE26" s="36">
        <f t="shared" si="6"/>
        <v>0</v>
      </c>
      <c r="AF26" s="35"/>
      <c r="AG26" s="35"/>
      <c r="AH26" s="35"/>
      <c r="AI26" s="35"/>
      <c r="AJ26" s="35"/>
      <c r="AK26" s="35"/>
      <c r="AL26" s="35"/>
      <c r="AM26" s="35"/>
      <c r="AN26" s="35"/>
      <c r="AO26" s="35"/>
      <c r="AP26" s="35"/>
      <c r="AQ26" s="35"/>
      <c r="AR26" s="36">
        <f t="shared" si="7"/>
        <v>0</v>
      </c>
      <c r="AS26" s="35"/>
      <c r="AT26" s="35"/>
      <c r="AU26" s="35"/>
      <c r="AV26" s="35"/>
      <c r="AW26" s="35"/>
      <c r="AX26" s="35"/>
      <c r="AY26" s="35"/>
      <c r="AZ26" s="35"/>
      <c r="BA26" s="35"/>
      <c r="BB26" s="35"/>
      <c r="BC26" s="35"/>
      <c r="BD26" s="35"/>
      <c r="BE26" s="36">
        <f t="shared" si="8"/>
        <v>0</v>
      </c>
      <c r="BF26" s="35"/>
      <c r="BG26" s="35"/>
      <c r="BH26" s="35"/>
      <c r="BI26" s="35"/>
      <c r="BJ26" s="35"/>
      <c r="BK26" s="35"/>
      <c r="BL26" s="35"/>
      <c r="BM26" s="35"/>
      <c r="BN26" s="35"/>
      <c r="BO26" s="35"/>
      <c r="BP26" s="35"/>
      <c r="BQ26" s="35"/>
      <c r="BR26" s="36">
        <f t="shared" si="9"/>
        <v>0</v>
      </c>
    </row>
    <row r="27" spans="1:70" ht="15">
      <c r="A27" s="27" t="s">
        <v>67</v>
      </c>
      <c r="F27" s="35"/>
      <c r="G27" s="35"/>
      <c r="H27" s="35"/>
      <c r="I27" s="35"/>
      <c r="J27" s="35"/>
      <c r="K27" s="35"/>
      <c r="L27" s="35"/>
      <c r="M27" s="35"/>
      <c r="N27" s="35"/>
      <c r="O27" s="35"/>
      <c r="P27" s="35"/>
      <c r="Q27" s="35"/>
      <c r="R27" s="36">
        <f t="shared" si="5"/>
        <v>0</v>
      </c>
      <c r="S27" s="35"/>
      <c r="T27" s="35"/>
      <c r="U27" s="35"/>
      <c r="V27" s="35"/>
      <c r="W27" s="35"/>
      <c r="X27" s="35"/>
      <c r="Y27" s="35"/>
      <c r="Z27" s="35"/>
      <c r="AA27" s="35"/>
      <c r="AB27" s="35"/>
      <c r="AC27" s="35"/>
      <c r="AD27" s="35"/>
      <c r="AE27" s="36">
        <f t="shared" si="6"/>
        <v>0</v>
      </c>
      <c r="AF27" s="35"/>
      <c r="AG27" s="35"/>
      <c r="AH27" s="35"/>
      <c r="AI27" s="35"/>
      <c r="AJ27" s="35"/>
      <c r="AK27" s="35"/>
      <c r="AL27" s="35"/>
      <c r="AM27" s="35"/>
      <c r="AN27" s="35"/>
      <c r="AO27" s="35"/>
      <c r="AP27" s="35"/>
      <c r="AQ27" s="35"/>
      <c r="AR27" s="36">
        <f t="shared" si="7"/>
        <v>0</v>
      </c>
      <c r="AS27" s="35"/>
      <c r="AT27" s="35"/>
      <c r="AU27" s="35"/>
      <c r="AV27" s="35"/>
      <c r="AW27" s="35"/>
      <c r="AX27" s="35"/>
      <c r="AY27" s="35"/>
      <c r="AZ27" s="35"/>
      <c r="BA27" s="35"/>
      <c r="BB27" s="35"/>
      <c r="BC27" s="35"/>
      <c r="BD27" s="35"/>
      <c r="BE27" s="36">
        <f t="shared" si="8"/>
        <v>0</v>
      </c>
      <c r="BF27" s="35"/>
      <c r="BG27" s="35"/>
      <c r="BH27" s="35"/>
      <c r="BI27" s="35"/>
      <c r="BJ27" s="35"/>
      <c r="BK27" s="35"/>
      <c r="BL27" s="35"/>
      <c r="BM27" s="35"/>
      <c r="BN27" s="35"/>
      <c r="BO27" s="35"/>
      <c r="BP27" s="35"/>
      <c r="BQ27" s="35"/>
      <c r="BR27" s="36">
        <f t="shared" si="9"/>
        <v>0</v>
      </c>
    </row>
    <row r="28" spans="1:70" ht="15">
      <c r="A28" s="27" t="s">
        <v>68</v>
      </c>
      <c r="F28" s="35"/>
      <c r="G28" s="35"/>
      <c r="H28" s="35"/>
      <c r="I28" s="35"/>
      <c r="J28" s="35"/>
      <c r="K28" s="35"/>
      <c r="L28" s="35"/>
      <c r="M28" s="35"/>
      <c r="N28" s="35"/>
      <c r="O28" s="35"/>
      <c r="P28" s="35"/>
      <c r="Q28" s="35"/>
      <c r="R28" s="36">
        <f t="shared" si="5"/>
        <v>0</v>
      </c>
      <c r="S28" s="35"/>
      <c r="T28" s="35"/>
      <c r="U28" s="35"/>
      <c r="V28" s="35"/>
      <c r="W28" s="35"/>
      <c r="X28" s="35"/>
      <c r="Y28" s="35"/>
      <c r="Z28" s="35"/>
      <c r="AA28" s="35"/>
      <c r="AB28" s="35"/>
      <c r="AC28" s="35"/>
      <c r="AD28" s="35"/>
      <c r="AE28" s="36">
        <f t="shared" si="6"/>
        <v>0</v>
      </c>
      <c r="AF28" s="35"/>
      <c r="AG28" s="35"/>
      <c r="AH28" s="35"/>
      <c r="AI28" s="35"/>
      <c r="AJ28" s="35"/>
      <c r="AK28" s="35"/>
      <c r="AL28" s="35"/>
      <c r="AM28" s="35"/>
      <c r="AN28" s="35"/>
      <c r="AO28" s="35"/>
      <c r="AP28" s="35"/>
      <c r="AQ28" s="35"/>
      <c r="AR28" s="36">
        <f t="shared" si="7"/>
        <v>0</v>
      </c>
      <c r="AS28" s="35"/>
      <c r="AT28" s="35"/>
      <c r="AU28" s="35"/>
      <c r="AV28" s="35"/>
      <c r="AW28" s="35"/>
      <c r="AX28" s="35"/>
      <c r="AY28" s="35"/>
      <c r="AZ28" s="35"/>
      <c r="BA28" s="35"/>
      <c r="BB28" s="35"/>
      <c r="BC28" s="35"/>
      <c r="BD28" s="35"/>
      <c r="BE28" s="36">
        <f t="shared" si="8"/>
        <v>0</v>
      </c>
      <c r="BF28" s="35"/>
      <c r="BG28" s="35"/>
      <c r="BH28" s="35"/>
      <c r="BI28" s="35"/>
      <c r="BJ28" s="35"/>
      <c r="BK28" s="35"/>
      <c r="BL28" s="35"/>
      <c r="BM28" s="35"/>
      <c r="BN28" s="35"/>
      <c r="BO28" s="35"/>
      <c r="BP28" s="35"/>
      <c r="BQ28" s="35"/>
      <c r="BR28" s="36">
        <f t="shared" si="9"/>
        <v>0</v>
      </c>
    </row>
    <row r="29" spans="1:70" ht="15">
      <c r="A29" s="27" t="s">
        <v>69</v>
      </c>
      <c r="F29" s="35"/>
      <c r="G29" s="35"/>
      <c r="H29" s="35"/>
      <c r="I29" s="35"/>
      <c r="J29" s="35"/>
      <c r="K29" s="35"/>
      <c r="L29" s="35"/>
      <c r="M29" s="35"/>
      <c r="N29" s="35"/>
      <c r="O29" s="35"/>
      <c r="P29" s="35"/>
      <c r="Q29" s="35"/>
      <c r="R29" s="36">
        <f t="shared" si="5"/>
        <v>0</v>
      </c>
      <c r="S29" s="35"/>
      <c r="T29" s="35"/>
      <c r="U29" s="35"/>
      <c r="V29" s="35"/>
      <c r="W29" s="35"/>
      <c r="X29" s="35"/>
      <c r="Y29" s="35"/>
      <c r="Z29" s="35"/>
      <c r="AA29" s="35"/>
      <c r="AB29" s="35"/>
      <c r="AC29" s="35"/>
      <c r="AD29" s="35"/>
      <c r="AE29" s="36">
        <f t="shared" si="6"/>
        <v>0</v>
      </c>
      <c r="AF29" s="35"/>
      <c r="AG29" s="35"/>
      <c r="AH29" s="35"/>
      <c r="AI29" s="35"/>
      <c r="AJ29" s="35"/>
      <c r="AK29" s="35"/>
      <c r="AL29" s="35"/>
      <c r="AM29" s="35"/>
      <c r="AN29" s="35"/>
      <c r="AO29" s="35"/>
      <c r="AP29" s="35"/>
      <c r="AQ29" s="35"/>
      <c r="AR29" s="36">
        <f t="shared" si="7"/>
        <v>0</v>
      </c>
      <c r="AS29" s="35"/>
      <c r="AT29" s="35"/>
      <c r="AU29" s="35"/>
      <c r="AV29" s="35"/>
      <c r="AW29" s="35"/>
      <c r="AX29" s="35"/>
      <c r="AY29" s="35"/>
      <c r="AZ29" s="35"/>
      <c r="BA29" s="35"/>
      <c r="BB29" s="35"/>
      <c r="BC29" s="35"/>
      <c r="BD29" s="35"/>
      <c r="BE29" s="36">
        <f t="shared" si="8"/>
        <v>0</v>
      </c>
      <c r="BF29" s="35"/>
      <c r="BG29" s="35"/>
      <c r="BH29" s="35"/>
      <c r="BI29" s="35"/>
      <c r="BJ29" s="35"/>
      <c r="BK29" s="35"/>
      <c r="BL29" s="35"/>
      <c r="BM29" s="35"/>
      <c r="BN29" s="35"/>
      <c r="BO29" s="35"/>
      <c r="BP29" s="35"/>
      <c r="BQ29" s="35"/>
      <c r="BR29" s="36">
        <f t="shared" si="9"/>
        <v>0</v>
      </c>
    </row>
    <row r="30" spans="1:70" ht="15">
      <c r="A30" s="27" t="s">
        <v>70</v>
      </c>
      <c r="F30" s="35"/>
      <c r="G30" s="35"/>
      <c r="H30" s="35"/>
      <c r="I30" s="35"/>
      <c r="J30" s="35"/>
      <c r="K30" s="35"/>
      <c r="L30" s="35"/>
      <c r="M30" s="35"/>
      <c r="N30" s="35"/>
      <c r="O30" s="35"/>
      <c r="P30" s="35"/>
      <c r="Q30" s="35"/>
      <c r="R30" s="36">
        <f t="shared" si="5"/>
        <v>0</v>
      </c>
      <c r="S30" s="35"/>
      <c r="T30" s="35"/>
      <c r="U30" s="35"/>
      <c r="V30" s="35"/>
      <c r="W30" s="35"/>
      <c r="X30" s="35"/>
      <c r="Y30" s="35"/>
      <c r="Z30" s="35"/>
      <c r="AA30" s="35"/>
      <c r="AB30" s="35"/>
      <c r="AC30" s="35"/>
      <c r="AD30" s="35"/>
      <c r="AE30" s="36">
        <f t="shared" si="6"/>
        <v>0</v>
      </c>
      <c r="AF30" s="35"/>
      <c r="AG30" s="35"/>
      <c r="AH30" s="35"/>
      <c r="AI30" s="35"/>
      <c r="AJ30" s="35"/>
      <c r="AK30" s="35"/>
      <c r="AL30" s="35"/>
      <c r="AM30" s="35"/>
      <c r="AN30" s="35"/>
      <c r="AO30" s="35"/>
      <c r="AP30" s="35"/>
      <c r="AQ30" s="35"/>
      <c r="AR30" s="36">
        <f t="shared" si="7"/>
        <v>0</v>
      </c>
      <c r="AS30" s="35"/>
      <c r="AT30" s="35"/>
      <c r="AU30" s="35"/>
      <c r="AV30" s="35"/>
      <c r="AW30" s="35"/>
      <c r="AX30" s="35"/>
      <c r="AY30" s="35"/>
      <c r="AZ30" s="35"/>
      <c r="BA30" s="35"/>
      <c r="BB30" s="35"/>
      <c r="BC30" s="35"/>
      <c r="BD30" s="35"/>
      <c r="BE30" s="36">
        <f t="shared" si="8"/>
        <v>0</v>
      </c>
      <c r="BF30" s="35"/>
      <c r="BG30" s="35"/>
      <c r="BH30" s="35"/>
      <c r="BI30" s="35"/>
      <c r="BJ30" s="35"/>
      <c r="BK30" s="35"/>
      <c r="BL30" s="35"/>
      <c r="BM30" s="35"/>
      <c r="BN30" s="35"/>
      <c r="BO30" s="35"/>
      <c r="BP30" s="35"/>
      <c r="BQ30" s="35"/>
      <c r="BR30" s="36">
        <f t="shared" si="9"/>
        <v>0</v>
      </c>
    </row>
    <row r="31" spans="1:70" ht="15">
      <c r="A31" s="44" t="s">
        <v>71</v>
      </c>
      <c r="B31" s="45"/>
      <c r="C31" s="45"/>
      <c r="D31" s="45"/>
      <c r="E31" s="45"/>
      <c r="F31" s="46"/>
      <c r="G31" s="46"/>
      <c r="H31" s="46"/>
      <c r="I31" s="46"/>
      <c r="J31" s="46"/>
      <c r="K31" s="46"/>
      <c r="L31" s="46"/>
      <c r="M31" s="46"/>
      <c r="N31" s="46"/>
      <c r="O31" s="46"/>
      <c r="P31" s="46"/>
      <c r="Q31" s="46"/>
      <c r="R31" s="47">
        <f t="shared" si="5"/>
        <v>0</v>
      </c>
      <c r="S31" s="46"/>
      <c r="T31" s="46"/>
      <c r="U31" s="46"/>
      <c r="V31" s="46"/>
      <c r="W31" s="46"/>
      <c r="X31" s="46"/>
      <c r="Y31" s="46"/>
      <c r="Z31" s="46"/>
      <c r="AA31" s="46"/>
      <c r="AB31" s="46"/>
      <c r="AC31" s="46"/>
      <c r="AD31" s="46"/>
      <c r="AE31" s="47">
        <f t="shared" si="6"/>
        <v>0</v>
      </c>
      <c r="AF31" s="46"/>
      <c r="AG31" s="46"/>
      <c r="AH31" s="46"/>
      <c r="AI31" s="46"/>
      <c r="AJ31" s="46"/>
      <c r="AK31" s="46"/>
      <c r="AL31" s="46"/>
      <c r="AM31" s="46"/>
      <c r="AN31" s="46"/>
      <c r="AO31" s="46"/>
      <c r="AP31" s="46"/>
      <c r="AQ31" s="46"/>
      <c r="AR31" s="47">
        <f t="shared" si="7"/>
        <v>0</v>
      </c>
      <c r="AS31" s="46"/>
      <c r="AT31" s="46"/>
      <c r="AU31" s="46"/>
      <c r="AV31" s="46"/>
      <c r="AW31" s="46"/>
      <c r="AX31" s="46"/>
      <c r="AY31" s="46"/>
      <c r="AZ31" s="46"/>
      <c r="BA31" s="46"/>
      <c r="BB31" s="46"/>
      <c r="BC31" s="46"/>
      <c r="BD31" s="46"/>
      <c r="BE31" s="47">
        <f t="shared" si="8"/>
        <v>0</v>
      </c>
      <c r="BF31" s="46"/>
      <c r="BG31" s="46"/>
      <c r="BH31" s="46"/>
      <c r="BI31" s="46"/>
      <c r="BJ31" s="46"/>
      <c r="BK31" s="46"/>
      <c r="BL31" s="46"/>
      <c r="BM31" s="46"/>
      <c r="BN31" s="46"/>
      <c r="BO31" s="46"/>
      <c r="BP31" s="46"/>
      <c r="BQ31" s="46"/>
      <c r="BR31" s="47">
        <f t="shared" si="9"/>
        <v>0</v>
      </c>
    </row>
    <row r="32" spans="1:70" ht="15">
      <c r="A32" s="48" t="s">
        <v>72</v>
      </c>
      <c r="F32" s="49"/>
      <c r="G32" s="49"/>
      <c r="H32" s="49"/>
      <c r="I32" s="49"/>
      <c r="J32" s="49"/>
      <c r="K32" s="49"/>
      <c r="L32" s="49"/>
      <c r="M32" s="49"/>
      <c r="N32" s="49"/>
      <c r="O32" s="49"/>
      <c r="P32" s="49"/>
      <c r="Q32" s="49"/>
      <c r="R32" s="50">
        <f>SUM(R21:R31)</f>
        <v>0</v>
      </c>
      <c r="S32" s="49"/>
      <c r="T32" s="49"/>
      <c r="U32" s="49"/>
      <c r="V32" s="49"/>
      <c r="W32" s="49"/>
      <c r="X32" s="49"/>
      <c r="Y32" s="49"/>
      <c r="Z32" s="49"/>
      <c r="AA32" s="49"/>
      <c r="AB32" s="49"/>
      <c r="AC32" s="49"/>
      <c r="AD32" s="49"/>
      <c r="AE32" s="50">
        <f>SUM(AE21:AE31)</f>
        <v>0</v>
      </c>
      <c r="AF32" s="49"/>
      <c r="AG32" s="49"/>
      <c r="AH32" s="49"/>
      <c r="AI32" s="49"/>
      <c r="AJ32" s="49"/>
      <c r="AK32" s="49"/>
      <c r="AL32" s="49"/>
      <c r="AM32" s="49"/>
      <c r="AN32" s="49"/>
      <c r="AO32" s="49"/>
      <c r="AP32" s="49"/>
      <c r="AQ32" s="49"/>
      <c r="AR32" s="50">
        <f>SUM(AR21:AR31)</f>
        <v>0</v>
      </c>
      <c r="AS32" s="49"/>
      <c r="AT32" s="49"/>
      <c r="AU32" s="49"/>
      <c r="AV32" s="49"/>
      <c r="AW32" s="49"/>
      <c r="AX32" s="49"/>
      <c r="AY32" s="49"/>
      <c r="AZ32" s="49"/>
      <c r="BA32" s="49"/>
      <c r="BB32" s="49"/>
      <c r="BC32" s="49"/>
      <c r="BD32" s="49"/>
      <c r="BE32" s="50">
        <f>SUM(BE21:BE31)</f>
        <v>0</v>
      </c>
      <c r="BF32" s="49"/>
      <c r="BG32" s="49"/>
      <c r="BH32" s="49"/>
      <c r="BI32" s="49"/>
      <c r="BJ32" s="49"/>
      <c r="BK32" s="49"/>
      <c r="BL32" s="49"/>
      <c r="BM32" s="49"/>
      <c r="BN32" s="49"/>
      <c r="BO32" s="49"/>
      <c r="BP32" s="49"/>
      <c r="BQ32" s="49"/>
      <c r="BR32" s="50">
        <f>SUM(BR21:BR31)</f>
        <v>0</v>
      </c>
    </row>
    <row r="33" spans="1:70" ht="6" customHeight="1">
      <c r="A33" s="31"/>
      <c r="F33" s="42"/>
      <c r="G33" s="42"/>
      <c r="H33" s="42"/>
      <c r="I33" s="42"/>
      <c r="J33" s="42"/>
      <c r="K33" s="42"/>
      <c r="L33" s="42"/>
      <c r="M33" s="42"/>
      <c r="N33" s="42"/>
      <c r="O33" s="42"/>
      <c r="P33" s="42"/>
      <c r="Q33" s="42"/>
      <c r="R33" s="43"/>
      <c r="S33" s="42"/>
      <c r="T33" s="42"/>
      <c r="U33" s="42"/>
      <c r="V33" s="42"/>
      <c r="W33" s="42"/>
      <c r="X33" s="42"/>
      <c r="Y33" s="42"/>
      <c r="Z33" s="42"/>
      <c r="AA33" s="42"/>
      <c r="AB33" s="42"/>
      <c r="AC33" s="42"/>
      <c r="AD33" s="42"/>
      <c r="AE33" s="43"/>
      <c r="AF33" s="42"/>
      <c r="AG33" s="42"/>
      <c r="AH33" s="42"/>
      <c r="AI33" s="42"/>
      <c r="AJ33" s="42"/>
      <c r="AK33" s="42"/>
      <c r="AL33" s="42"/>
      <c r="AM33" s="42"/>
      <c r="AN33" s="42"/>
      <c r="AO33" s="42"/>
      <c r="AP33" s="42"/>
      <c r="AQ33" s="42"/>
      <c r="AR33" s="43"/>
      <c r="AS33" s="42"/>
      <c r="AT33" s="42"/>
      <c r="AU33" s="42"/>
      <c r="AV33" s="42"/>
      <c r="AW33" s="42"/>
      <c r="AX33" s="42"/>
      <c r="AY33" s="42"/>
      <c r="AZ33" s="42"/>
      <c r="BA33" s="42"/>
      <c r="BB33" s="42"/>
      <c r="BC33" s="42"/>
      <c r="BD33" s="42"/>
      <c r="BE33" s="43"/>
      <c r="BF33" s="42"/>
      <c r="BG33" s="42"/>
      <c r="BH33" s="42"/>
      <c r="BI33" s="42"/>
      <c r="BJ33" s="42"/>
      <c r="BK33" s="42"/>
      <c r="BL33" s="42"/>
      <c r="BM33" s="42"/>
      <c r="BN33" s="42"/>
      <c r="BO33" s="42"/>
      <c r="BP33" s="42"/>
      <c r="BQ33" s="42"/>
      <c r="BR33" s="43"/>
    </row>
    <row r="34" spans="1:70" ht="15">
      <c r="A34" s="34" t="s">
        <v>73</v>
      </c>
      <c r="F34" s="35"/>
      <c r="G34" s="35"/>
      <c r="H34" s="35"/>
      <c r="I34" s="35"/>
      <c r="J34" s="35"/>
      <c r="K34" s="35"/>
      <c r="L34" s="35"/>
      <c r="M34" s="35"/>
      <c r="N34" s="35"/>
      <c r="O34" s="35"/>
      <c r="P34" s="35"/>
      <c r="Q34" s="35"/>
      <c r="R34" s="36">
        <f>R18+R32</f>
        <v>0</v>
      </c>
      <c r="S34" s="35"/>
      <c r="T34" s="35"/>
      <c r="U34" s="35"/>
      <c r="V34" s="35"/>
      <c r="W34" s="35"/>
      <c r="X34" s="35"/>
      <c r="Y34" s="35"/>
      <c r="Z34" s="35"/>
      <c r="AA34" s="35"/>
      <c r="AB34" s="35"/>
      <c r="AC34" s="35"/>
      <c r="AD34" s="35"/>
      <c r="AE34" s="36">
        <f>AE18+AE32</f>
        <v>0</v>
      </c>
      <c r="AF34" s="35"/>
      <c r="AG34" s="35"/>
      <c r="AH34" s="35"/>
      <c r="AI34" s="35"/>
      <c r="AJ34" s="35"/>
      <c r="AK34" s="35"/>
      <c r="AL34" s="35"/>
      <c r="AM34" s="35"/>
      <c r="AN34" s="35"/>
      <c r="AO34" s="35"/>
      <c r="AP34" s="35"/>
      <c r="AQ34" s="35"/>
      <c r="AR34" s="36">
        <f>AR18+AR32</f>
        <v>0</v>
      </c>
      <c r="AS34" s="35"/>
      <c r="AT34" s="35"/>
      <c r="AU34" s="35"/>
      <c r="AV34" s="35"/>
      <c r="AW34" s="35"/>
      <c r="AX34" s="35"/>
      <c r="AY34" s="35"/>
      <c r="AZ34" s="35"/>
      <c r="BA34" s="35"/>
      <c r="BB34" s="35"/>
      <c r="BC34" s="35"/>
      <c r="BD34" s="35"/>
      <c r="BE34" s="36">
        <f>BE18+BE32</f>
        <v>0</v>
      </c>
      <c r="BF34" s="35"/>
      <c r="BG34" s="35"/>
      <c r="BH34" s="35"/>
      <c r="BI34" s="35"/>
      <c r="BJ34" s="35"/>
      <c r="BK34" s="35"/>
      <c r="BL34" s="35"/>
      <c r="BM34" s="35"/>
      <c r="BN34" s="35"/>
      <c r="BO34" s="35"/>
      <c r="BP34" s="35"/>
      <c r="BQ34" s="35"/>
      <c r="BR34" s="36">
        <f>BR18+BR32</f>
        <v>0</v>
      </c>
    </row>
    <row r="35" spans="1:70" ht="15">
      <c r="A35" s="51" t="s">
        <v>74</v>
      </c>
      <c r="F35" s="52"/>
      <c r="G35" s="52"/>
      <c r="H35" s="52"/>
      <c r="I35" s="52"/>
      <c r="J35" s="52"/>
      <c r="K35" s="52"/>
      <c r="L35" s="52"/>
      <c r="M35" s="52"/>
      <c r="N35" s="52"/>
      <c r="O35" s="52"/>
      <c r="P35" s="52"/>
      <c r="Q35" s="52"/>
      <c r="R35" s="53">
        <f>IF(ISERROR(R34/R18),0,(R34/R18))</f>
        <v>0</v>
      </c>
      <c r="S35" s="52"/>
      <c r="T35" s="52"/>
      <c r="U35" s="52"/>
      <c r="V35" s="52"/>
      <c r="W35" s="52"/>
      <c r="X35" s="52"/>
      <c r="Y35" s="52"/>
      <c r="Z35" s="52"/>
      <c r="AA35" s="52"/>
      <c r="AB35" s="52"/>
      <c r="AC35" s="52"/>
      <c r="AD35" s="52"/>
      <c r="AE35" s="53">
        <f>IF(ISERROR(AE34/AE18),0,(AE34/AE18))</f>
        <v>0</v>
      </c>
      <c r="AF35" s="52"/>
      <c r="AG35" s="52"/>
      <c r="AH35" s="52"/>
      <c r="AI35" s="52"/>
      <c r="AJ35" s="52"/>
      <c r="AK35" s="52"/>
      <c r="AL35" s="52"/>
      <c r="AM35" s="52"/>
      <c r="AN35" s="52"/>
      <c r="AO35" s="52"/>
      <c r="AP35" s="52"/>
      <c r="AQ35" s="52"/>
      <c r="AR35" s="53">
        <f>IF(ISERROR(AR34/AR18),0,(AR34/AR18))</f>
        <v>0</v>
      </c>
      <c r="AS35" s="52"/>
      <c r="AT35" s="52"/>
      <c r="AU35" s="52"/>
      <c r="AV35" s="52"/>
      <c r="AW35" s="52"/>
      <c r="AX35" s="52"/>
      <c r="AY35" s="52"/>
      <c r="AZ35" s="52"/>
      <c r="BA35" s="52"/>
      <c r="BB35" s="52"/>
      <c r="BC35" s="52"/>
      <c r="BD35" s="52"/>
      <c r="BE35" s="53">
        <f>IF(ISERROR(BE34/BE18),0,(BE34/BE18))</f>
        <v>0</v>
      </c>
      <c r="BF35" s="52"/>
      <c r="BG35" s="52"/>
      <c r="BH35" s="52"/>
      <c r="BI35" s="52"/>
      <c r="BJ35" s="52"/>
      <c r="BK35" s="52"/>
      <c r="BL35" s="52"/>
      <c r="BM35" s="52"/>
      <c r="BN35" s="52"/>
      <c r="BO35" s="52"/>
      <c r="BP35" s="52"/>
      <c r="BQ35" s="52"/>
      <c r="BR35" s="53">
        <f>IF(ISERROR(BR34/BR18),0,(BR34/BR18))</f>
        <v>0</v>
      </c>
    </row>
    <row r="36" spans="1:70" ht="6.75" customHeight="1">
      <c r="A36" s="31"/>
      <c r="F36" s="42"/>
      <c r="G36" s="42"/>
      <c r="H36" s="42"/>
      <c r="I36" s="42"/>
      <c r="J36" s="42"/>
      <c r="K36" s="42"/>
      <c r="L36" s="42"/>
      <c r="M36" s="42"/>
      <c r="N36" s="42"/>
      <c r="O36" s="42"/>
      <c r="P36" s="42"/>
      <c r="Q36" s="42"/>
      <c r="R36" s="43"/>
      <c r="S36" s="42"/>
      <c r="T36" s="42"/>
      <c r="U36" s="42"/>
      <c r="V36" s="42"/>
      <c r="W36" s="42"/>
      <c r="X36" s="42"/>
      <c r="Y36" s="42"/>
      <c r="Z36" s="42"/>
      <c r="AA36" s="42"/>
      <c r="AB36" s="42"/>
      <c r="AC36" s="42"/>
      <c r="AD36" s="42"/>
      <c r="AE36" s="43"/>
      <c r="AF36" s="42"/>
      <c r="AG36" s="42"/>
      <c r="AH36" s="42"/>
      <c r="AI36" s="42"/>
      <c r="AJ36" s="42"/>
      <c r="AK36" s="42"/>
      <c r="AL36" s="42"/>
      <c r="AM36" s="42"/>
      <c r="AN36" s="42"/>
      <c r="AO36" s="42"/>
      <c r="AP36" s="42"/>
      <c r="AQ36" s="42"/>
      <c r="AR36" s="43"/>
      <c r="AS36" s="42"/>
      <c r="AT36" s="42"/>
      <c r="AU36" s="42"/>
      <c r="AV36" s="42"/>
      <c r="AW36" s="42"/>
      <c r="AX36" s="42"/>
      <c r="AY36" s="42"/>
      <c r="AZ36" s="42"/>
      <c r="BA36" s="42"/>
      <c r="BB36" s="42"/>
      <c r="BC36" s="42"/>
      <c r="BD36" s="42"/>
      <c r="BE36" s="43"/>
      <c r="BF36" s="42"/>
      <c r="BG36" s="42"/>
      <c r="BH36" s="42"/>
      <c r="BI36" s="42"/>
      <c r="BJ36" s="42"/>
      <c r="BK36" s="42"/>
      <c r="BL36" s="42"/>
      <c r="BM36" s="42"/>
      <c r="BN36" s="42"/>
      <c r="BO36" s="42"/>
      <c r="BP36" s="42"/>
      <c r="BQ36" s="42"/>
      <c r="BR36" s="43"/>
    </row>
    <row r="37" spans="1:70" ht="15">
      <c r="A37" s="34" t="s">
        <v>75</v>
      </c>
      <c r="F37" s="35"/>
      <c r="G37" s="35"/>
      <c r="H37" s="35"/>
      <c r="I37" s="35"/>
      <c r="J37" s="35"/>
      <c r="K37" s="35"/>
      <c r="L37" s="35"/>
      <c r="M37" s="35"/>
      <c r="N37" s="35"/>
      <c r="O37" s="35"/>
      <c r="P37" s="35"/>
      <c r="Q37" s="35"/>
      <c r="R37" s="36">
        <v>0</v>
      </c>
      <c r="S37" s="35"/>
      <c r="T37" s="35"/>
      <c r="U37" s="35"/>
      <c r="V37" s="35"/>
      <c r="W37" s="35"/>
      <c r="X37" s="35"/>
      <c r="Y37" s="35"/>
      <c r="Z37" s="35"/>
      <c r="AA37" s="35"/>
      <c r="AB37" s="35"/>
      <c r="AC37" s="35"/>
      <c r="AD37" s="35"/>
      <c r="AE37" s="36">
        <v>0</v>
      </c>
      <c r="AF37" s="35"/>
      <c r="AG37" s="35"/>
      <c r="AH37" s="35"/>
      <c r="AI37" s="35"/>
      <c r="AJ37" s="35"/>
      <c r="AK37" s="35"/>
      <c r="AL37" s="35"/>
      <c r="AM37" s="35"/>
      <c r="AN37" s="35"/>
      <c r="AO37" s="35"/>
      <c r="AP37" s="35"/>
      <c r="AQ37" s="35"/>
      <c r="AR37" s="36">
        <v>0</v>
      </c>
      <c r="AS37" s="35"/>
      <c r="AT37" s="35"/>
      <c r="AU37" s="35"/>
      <c r="AV37" s="35"/>
      <c r="AW37" s="35"/>
      <c r="AX37" s="35"/>
      <c r="AY37" s="35"/>
      <c r="AZ37" s="35"/>
      <c r="BA37" s="35"/>
      <c r="BB37" s="35"/>
      <c r="BC37" s="35"/>
      <c r="BD37" s="35"/>
      <c r="BE37" s="36">
        <v>0</v>
      </c>
      <c r="BF37" s="35"/>
      <c r="BG37" s="35"/>
      <c r="BH37" s="35"/>
      <c r="BI37" s="35"/>
      <c r="BJ37" s="35"/>
      <c r="BK37" s="35"/>
      <c r="BL37" s="35"/>
      <c r="BM37" s="35"/>
      <c r="BN37" s="35"/>
      <c r="BO37" s="35"/>
      <c r="BP37" s="35"/>
      <c r="BQ37" s="35"/>
      <c r="BR37" s="36">
        <v>0</v>
      </c>
    </row>
    <row r="38" spans="1:70" ht="7.5" customHeight="1">
      <c r="A38" s="31"/>
      <c r="F38" s="42"/>
      <c r="G38" s="42"/>
      <c r="H38" s="42"/>
      <c r="I38" s="42"/>
      <c r="J38" s="42"/>
      <c r="K38" s="42"/>
      <c r="L38" s="42"/>
      <c r="M38" s="42"/>
      <c r="N38" s="42"/>
      <c r="O38" s="42"/>
      <c r="P38" s="42"/>
      <c r="Q38" s="42"/>
      <c r="R38" s="43"/>
      <c r="S38" s="42"/>
      <c r="T38" s="42"/>
      <c r="U38" s="42"/>
      <c r="V38" s="42"/>
      <c r="W38" s="42"/>
      <c r="X38" s="42"/>
      <c r="Y38" s="42"/>
      <c r="Z38" s="42"/>
      <c r="AA38" s="42"/>
      <c r="AB38" s="42"/>
      <c r="AC38" s="42"/>
      <c r="AD38" s="42"/>
      <c r="AE38" s="43"/>
      <c r="AF38" s="42"/>
      <c r="AG38" s="42"/>
      <c r="AH38" s="42"/>
      <c r="AI38" s="42"/>
      <c r="AJ38" s="42"/>
      <c r="AK38" s="42"/>
      <c r="AL38" s="42"/>
      <c r="AM38" s="42"/>
      <c r="AN38" s="42"/>
      <c r="AO38" s="42"/>
      <c r="AP38" s="42"/>
      <c r="AQ38" s="42"/>
      <c r="AR38" s="43"/>
      <c r="AS38" s="42"/>
      <c r="AT38" s="42"/>
      <c r="AU38" s="42"/>
      <c r="AV38" s="42"/>
      <c r="AW38" s="42"/>
      <c r="AX38" s="42"/>
      <c r="AY38" s="42"/>
      <c r="AZ38" s="42"/>
      <c r="BA38" s="42"/>
      <c r="BB38" s="42"/>
      <c r="BC38" s="42"/>
      <c r="BD38" s="42"/>
      <c r="BE38" s="43"/>
      <c r="BF38" s="42"/>
      <c r="BG38" s="42"/>
      <c r="BH38" s="42"/>
      <c r="BI38" s="42"/>
      <c r="BJ38" s="42"/>
      <c r="BK38" s="42"/>
      <c r="BL38" s="42"/>
      <c r="BM38" s="42"/>
      <c r="BN38" s="42"/>
      <c r="BO38" s="42"/>
      <c r="BP38" s="42"/>
      <c r="BQ38" s="42"/>
      <c r="BR38" s="43"/>
    </row>
    <row r="39" spans="1:70" ht="15">
      <c r="A39" s="48" t="s">
        <v>76</v>
      </c>
      <c r="F39" s="49"/>
      <c r="G39" s="49"/>
      <c r="H39" s="49"/>
      <c r="I39" s="49"/>
      <c r="J39" s="49"/>
      <c r="K39" s="49"/>
      <c r="L39" s="49"/>
      <c r="M39" s="49"/>
      <c r="N39" s="49"/>
      <c r="O39" s="49"/>
      <c r="P39" s="49"/>
      <c r="Q39" s="49"/>
      <c r="R39" s="50">
        <f>R32+R37</f>
        <v>0</v>
      </c>
      <c r="S39" s="49"/>
      <c r="T39" s="49"/>
      <c r="U39" s="49"/>
      <c r="V39" s="49"/>
      <c r="W39" s="49"/>
      <c r="X39" s="49"/>
      <c r="Y39" s="49"/>
      <c r="Z39" s="49"/>
      <c r="AA39" s="49"/>
      <c r="AB39" s="49"/>
      <c r="AC39" s="49"/>
      <c r="AD39" s="49"/>
      <c r="AE39" s="50">
        <f>AE32+AE37</f>
        <v>0</v>
      </c>
      <c r="AF39" s="49"/>
      <c r="AG39" s="49"/>
      <c r="AH39" s="49"/>
      <c r="AI39" s="49"/>
      <c r="AJ39" s="49"/>
      <c r="AK39" s="49"/>
      <c r="AL39" s="49"/>
      <c r="AM39" s="49"/>
      <c r="AN39" s="49"/>
      <c r="AO39" s="49"/>
      <c r="AP39" s="49"/>
      <c r="AQ39" s="49"/>
      <c r="AR39" s="50">
        <f>AR32+AR37</f>
        <v>0</v>
      </c>
      <c r="AS39" s="49"/>
      <c r="AT39" s="49"/>
      <c r="AU39" s="49"/>
      <c r="AV39" s="49"/>
      <c r="AW39" s="49"/>
      <c r="AX39" s="49"/>
      <c r="AY39" s="49"/>
      <c r="AZ39" s="49"/>
      <c r="BA39" s="49"/>
      <c r="BB39" s="49"/>
      <c r="BC39" s="49"/>
      <c r="BD39" s="49"/>
      <c r="BE39" s="50">
        <f>BE32+BE37</f>
        <v>0</v>
      </c>
      <c r="BF39" s="49"/>
      <c r="BG39" s="49"/>
      <c r="BH39" s="49"/>
      <c r="BI39" s="49"/>
      <c r="BJ39" s="49"/>
      <c r="BK39" s="49"/>
      <c r="BL39" s="49"/>
      <c r="BM39" s="49"/>
      <c r="BN39" s="49"/>
      <c r="BO39" s="49"/>
      <c r="BP39" s="49"/>
      <c r="BQ39" s="49"/>
      <c r="BR39" s="50">
        <f>BR32+BR37</f>
        <v>0</v>
      </c>
    </row>
    <row r="40" spans="1:70" ht="15">
      <c r="A40" s="34" t="s">
        <v>77</v>
      </c>
      <c r="F40" s="52"/>
      <c r="G40" s="52"/>
      <c r="H40" s="52"/>
      <c r="I40" s="52"/>
      <c r="J40" s="52"/>
      <c r="K40" s="52"/>
      <c r="L40" s="52"/>
      <c r="M40" s="52"/>
      <c r="N40" s="52"/>
      <c r="O40" s="52"/>
      <c r="P40" s="52"/>
      <c r="Q40" s="52"/>
      <c r="R40" s="53">
        <f>IF(ISERROR(R39/R18),0,(R39/R18))</f>
        <v>0</v>
      </c>
      <c r="S40" s="52"/>
      <c r="T40" s="52"/>
      <c r="U40" s="52"/>
      <c r="V40" s="52"/>
      <c r="W40" s="52"/>
      <c r="X40" s="52"/>
      <c r="Y40" s="52"/>
      <c r="Z40" s="52"/>
      <c r="AA40" s="52"/>
      <c r="AB40" s="52"/>
      <c r="AC40" s="52"/>
      <c r="AD40" s="52"/>
      <c r="AE40" s="53">
        <f>IF(ISERROR(AE39/AE18),0,(AE39/AE18))</f>
        <v>0</v>
      </c>
      <c r="AF40" s="52"/>
      <c r="AG40" s="52"/>
      <c r="AH40" s="52"/>
      <c r="AI40" s="52"/>
      <c r="AJ40" s="52"/>
      <c r="AK40" s="52"/>
      <c r="AL40" s="52"/>
      <c r="AM40" s="52"/>
      <c r="AN40" s="52"/>
      <c r="AO40" s="52"/>
      <c r="AP40" s="52"/>
      <c r="AQ40" s="52"/>
      <c r="AR40" s="53">
        <f>IF(ISERROR(AR39/AR18),0,(AR39/AR18))</f>
        <v>0</v>
      </c>
      <c r="AS40" s="52"/>
      <c r="AT40" s="52"/>
      <c r="AU40" s="52"/>
      <c r="AV40" s="52"/>
      <c r="AW40" s="52"/>
      <c r="AX40" s="52"/>
      <c r="AY40" s="52"/>
      <c r="AZ40" s="52"/>
      <c r="BA40" s="52"/>
      <c r="BB40" s="52"/>
      <c r="BC40" s="52"/>
      <c r="BD40" s="52"/>
      <c r="BE40" s="53">
        <f>IF(ISERROR(BE39/BE18),0,(BE39/BE18))</f>
        <v>0</v>
      </c>
      <c r="BF40" s="52"/>
      <c r="BG40" s="52"/>
      <c r="BH40" s="52"/>
      <c r="BI40" s="52"/>
      <c r="BJ40" s="52"/>
      <c r="BK40" s="52"/>
      <c r="BL40" s="52"/>
      <c r="BM40" s="52"/>
      <c r="BN40" s="52"/>
      <c r="BO40" s="52"/>
      <c r="BP40" s="52"/>
      <c r="BQ40" s="52"/>
      <c r="BR40" s="53">
        <f>IF(ISERROR(BR39/BR18),0,(BR39/BR18))</f>
        <v>0</v>
      </c>
    </row>
    <row r="41" spans="1:70" ht="14.25">
      <c r="A41" s="31"/>
      <c r="F41" s="42"/>
      <c r="G41" s="42"/>
      <c r="H41" s="42"/>
      <c r="I41" s="42"/>
      <c r="J41" s="42"/>
      <c r="K41" s="42"/>
      <c r="L41" s="42"/>
      <c r="M41" s="42"/>
      <c r="N41" s="42"/>
      <c r="O41" s="42"/>
      <c r="P41" s="42"/>
      <c r="Q41" s="42"/>
      <c r="R41" s="43"/>
      <c r="S41" s="42"/>
      <c r="T41" s="42"/>
      <c r="U41" s="42"/>
      <c r="V41" s="42"/>
      <c r="W41" s="42"/>
      <c r="X41" s="42"/>
      <c r="Y41" s="42"/>
      <c r="Z41" s="42"/>
      <c r="AA41" s="42"/>
      <c r="AB41" s="42"/>
      <c r="AC41" s="42"/>
      <c r="AD41" s="42"/>
      <c r="AE41" s="43"/>
      <c r="AF41" s="42"/>
      <c r="AG41" s="42"/>
      <c r="AH41" s="42"/>
      <c r="AI41" s="42"/>
      <c r="AJ41" s="42"/>
      <c r="AK41" s="42"/>
      <c r="AL41" s="42"/>
      <c r="AM41" s="42"/>
      <c r="AN41" s="42"/>
      <c r="AO41" s="42"/>
      <c r="AP41" s="42"/>
      <c r="AQ41" s="42"/>
      <c r="AR41" s="43"/>
      <c r="AS41" s="42"/>
      <c r="AT41" s="42"/>
      <c r="AU41" s="42"/>
      <c r="AV41" s="42"/>
      <c r="AW41" s="42"/>
      <c r="AX41" s="42"/>
      <c r="AY41" s="42"/>
      <c r="AZ41" s="42"/>
      <c r="BA41" s="42"/>
      <c r="BB41" s="42"/>
      <c r="BC41" s="42"/>
      <c r="BD41" s="42"/>
      <c r="BE41" s="43"/>
      <c r="BF41" s="42"/>
      <c r="BG41" s="42"/>
      <c r="BH41" s="42"/>
      <c r="BI41" s="42"/>
      <c r="BJ41" s="42"/>
      <c r="BK41" s="42"/>
      <c r="BL41" s="42"/>
      <c r="BM41" s="42"/>
      <c r="BN41" s="42"/>
      <c r="BO41" s="42"/>
      <c r="BP41" s="42"/>
      <c r="BQ41" s="42"/>
      <c r="BR41" s="43"/>
    </row>
    <row r="42" spans="1:70" ht="15">
      <c r="A42" s="34" t="s">
        <v>78</v>
      </c>
      <c r="F42" s="35"/>
      <c r="G42" s="35"/>
      <c r="H42" s="35"/>
      <c r="I42" s="35"/>
      <c r="J42" s="35"/>
      <c r="K42" s="35"/>
      <c r="L42" s="35"/>
      <c r="M42" s="35"/>
      <c r="N42" s="35"/>
      <c r="O42" s="35"/>
      <c r="P42" s="35"/>
      <c r="Q42" s="35"/>
      <c r="R42" s="36">
        <v>0</v>
      </c>
      <c r="S42" s="35"/>
      <c r="T42" s="35"/>
      <c r="U42" s="35"/>
      <c r="V42" s="35"/>
      <c r="W42" s="35"/>
      <c r="X42" s="35"/>
      <c r="Y42" s="35"/>
      <c r="Z42" s="35"/>
      <c r="AA42" s="35"/>
      <c r="AB42" s="35"/>
      <c r="AC42" s="35"/>
      <c r="AD42" s="35"/>
      <c r="AE42" s="36">
        <v>0</v>
      </c>
      <c r="AF42" s="35"/>
      <c r="AG42" s="35"/>
      <c r="AH42" s="35"/>
      <c r="AI42" s="35"/>
      <c r="AJ42" s="35"/>
      <c r="AK42" s="35"/>
      <c r="AL42" s="35"/>
      <c r="AM42" s="35"/>
      <c r="AN42" s="35"/>
      <c r="AO42" s="35"/>
      <c r="AP42" s="35"/>
      <c r="AQ42" s="35"/>
      <c r="AR42" s="36">
        <v>0</v>
      </c>
      <c r="AS42" s="35"/>
      <c r="AT42" s="35"/>
      <c r="AU42" s="35"/>
      <c r="AV42" s="35"/>
      <c r="AW42" s="35"/>
      <c r="AX42" s="35"/>
      <c r="AY42" s="35"/>
      <c r="AZ42" s="35"/>
      <c r="BA42" s="35"/>
      <c r="BB42" s="35"/>
      <c r="BC42" s="35"/>
      <c r="BD42" s="35"/>
      <c r="BE42" s="36">
        <v>0</v>
      </c>
      <c r="BF42" s="35"/>
      <c r="BG42" s="35"/>
      <c r="BH42" s="35"/>
      <c r="BI42" s="35"/>
      <c r="BJ42" s="35"/>
      <c r="BK42" s="35"/>
      <c r="BL42" s="35"/>
      <c r="BM42" s="35"/>
      <c r="BN42" s="35"/>
      <c r="BO42" s="35"/>
      <c r="BP42" s="35"/>
      <c r="BQ42" s="35"/>
      <c r="BR42" s="36">
        <v>0</v>
      </c>
    </row>
    <row r="43" spans="1:70" ht="14.25">
      <c r="A43" s="31"/>
      <c r="F43" s="42"/>
      <c r="G43" s="42"/>
      <c r="H43" s="42"/>
      <c r="I43" s="42"/>
      <c r="J43" s="42"/>
      <c r="K43" s="42"/>
      <c r="L43" s="42"/>
      <c r="M43" s="42"/>
      <c r="N43" s="42"/>
      <c r="O43" s="42"/>
      <c r="P43" s="42"/>
      <c r="Q43" s="42"/>
      <c r="R43" s="43"/>
      <c r="S43" s="42"/>
      <c r="T43" s="42"/>
      <c r="U43" s="42"/>
      <c r="V43" s="42"/>
      <c r="W43" s="42"/>
      <c r="X43" s="42"/>
      <c r="Y43" s="42"/>
      <c r="Z43" s="42"/>
      <c r="AA43" s="42"/>
      <c r="AB43" s="42"/>
      <c r="AC43" s="42"/>
      <c r="AD43" s="42"/>
      <c r="AE43" s="43"/>
      <c r="AF43" s="42"/>
      <c r="AG43" s="42"/>
      <c r="AH43" s="42"/>
      <c r="AI43" s="42"/>
      <c r="AJ43" s="42"/>
      <c r="AK43" s="42"/>
      <c r="AL43" s="42"/>
      <c r="AM43" s="42"/>
      <c r="AN43" s="42"/>
      <c r="AO43" s="42"/>
      <c r="AP43" s="42"/>
      <c r="AQ43" s="42"/>
      <c r="AR43" s="43"/>
      <c r="AS43" s="42"/>
      <c r="AT43" s="42"/>
      <c r="AU43" s="42"/>
      <c r="AV43" s="42"/>
      <c r="AW43" s="42"/>
      <c r="AX43" s="42"/>
      <c r="AY43" s="42"/>
      <c r="AZ43" s="42"/>
      <c r="BA43" s="42"/>
      <c r="BB43" s="42"/>
      <c r="BC43" s="42"/>
      <c r="BD43" s="42"/>
      <c r="BE43" s="43"/>
      <c r="BF43" s="42"/>
      <c r="BG43" s="42"/>
      <c r="BH43" s="42"/>
      <c r="BI43" s="42"/>
      <c r="BJ43" s="42"/>
      <c r="BK43" s="42"/>
      <c r="BL43" s="42"/>
      <c r="BM43" s="42"/>
      <c r="BN43" s="42"/>
      <c r="BO43" s="42"/>
      <c r="BP43" s="42"/>
      <c r="BQ43" s="42"/>
      <c r="BR43" s="43"/>
    </row>
    <row r="44" spans="1:70" ht="15">
      <c r="A44" s="48" t="s">
        <v>79</v>
      </c>
      <c r="F44" s="49"/>
      <c r="G44" s="49"/>
      <c r="H44" s="49"/>
      <c r="I44" s="49"/>
      <c r="J44" s="49"/>
      <c r="K44" s="49"/>
      <c r="L44" s="49"/>
      <c r="M44" s="49"/>
      <c r="N44" s="49"/>
      <c r="O44" s="49"/>
      <c r="P44" s="49"/>
      <c r="Q44" s="49"/>
      <c r="R44" s="50">
        <f>R39+R42</f>
        <v>0</v>
      </c>
      <c r="S44" s="49"/>
      <c r="T44" s="49"/>
      <c r="U44" s="49"/>
      <c r="V44" s="49"/>
      <c r="W44" s="49"/>
      <c r="X44" s="49"/>
      <c r="Y44" s="49"/>
      <c r="Z44" s="49"/>
      <c r="AA44" s="49"/>
      <c r="AB44" s="49"/>
      <c r="AC44" s="49"/>
      <c r="AD44" s="49"/>
      <c r="AE44" s="50">
        <f>AE39+AE42</f>
        <v>0</v>
      </c>
      <c r="AF44" s="49"/>
      <c r="AG44" s="49"/>
      <c r="AH44" s="49"/>
      <c r="AI44" s="49"/>
      <c r="AJ44" s="49"/>
      <c r="AK44" s="49"/>
      <c r="AL44" s="49"/>
      <c r="AM44" s="49"/>
      <c r="AN44" s="49"/>
      <c r="AO44" s="49"/>
      <c r="AP44" s="49"/>
      <c r="AQ44" s="49"/>
      <c r="AR44" s="50">
        <f>AR39+AR42</f>
        <v>0</v>
      </c>
      <c r="AS44" s="49"/>
      <c r="AT44" s="49"/>
      <c r="AU44" s="49"/>
      <c r="AV44" s="49"/>
      <c r="AW44" s="49"/>
      <c r="AX44" s="49"/>
      <c r="AY44" s="49"/>
      <c r="AZ44" s="49"/>
      <c r="BA44" s="49"/>
      <c r="BB44" s="49"/>
      <c r="BC44" s="49"/>
      <c r="BD44" s="49"/>
      <c r="BE44" s="50">
        <f>BE39+BE42</f>
        <v>0</v>
      </c>
      <c r="BF44" s="49"/>
      <c r="BG44" s="49"/>
      <c r="BH44" s="49"/>
      <c r="BI44" s="49"/>
      <c r="BJ44" s="49"/>
      <c r="BK44" s="49"/>
      <c r="BL44" s="49"/>
      <c r="BM44" s="49"/>
      <c r="BN44" s="49"/>
      <c r="BO44" s="49"/>
      <c r="BP44" s="49"/>
      <c r="BQ44" s="49"/>
      <c r="BR44" s="50">
        <f>BR39+BR42</f>
        <v>0</v>
      </c>
    </row>
    <row r="45" spans="1:70" ht="15">
      <c r="A45" s="34" t="s">
        <v>80</v>
      </c>
      <c r="F45" s="42"/>
      <c r="G45" s="42"/>
      <c r="H45" s="42"/>
      <c r="I45" s="42"/>
      <c r="J45" s="42"/>
      <c r="K45" s="42"/>
      <c r="L45" s="42"/>
      <c r="M45" s="42"/>
      <c r="N45" s="42"/>
      <c r="O45" s="42"/>
      <c r="P45" s="42"/>
      <c r="Q45" s="42"/>
      <c r="R45" s="53">
        <f>IF(ISERROR(R44/R18),0,(R44/R18))</f>
        <v>0</v>
      </c>
      <c r="S45" s="42"/>
      <c r="T45" s="42"/>
      <c r="U45" s="42"/>
      <c r="V45" s="42"/>
      <c r="W45" s="42"/>
      <c r="X45" s="42"/>
      <c r="Y45" s="42"/>
      <c r="Z45" s="42"/>
      <c r="AA45" s="42"/>
      <c r="AB45" s="42"/>
      <c r="AC45" s="42"/>
      <c r="AD45" s="42"/>
      <c r="AE45" s="53">
        <f>IF(ISERROR(AE44/AE18),0,(AE44/AE18))</f>
        <v>0</v>
      </c>
      <c r="AF45" s="42"/>
      <c r="AG45" s="42"/>
      <c r="AH45" s="42"/>
      <c r="AI45" s="42"/>
      <c r="AJ45" s="42"/>
      <c r="AK45" s="42"/>
      <c r="AL45" s="42"/>
      <c r="AM45" s="42"/>
      <c r="AN45" s="42"/>
      <c r="AO45" s="42"/>
      <c r="AP45" s="42"/>
      <c r="AQ45" s="42"/>
      <c r="AR45" s="53">
        <f>IF(ISERROR(AR44/AR18),0,(AR44/AR18))</f>
        <v>0</v>
      </c>
      <c r="AS45" s="42"/>
      <c r="AT45" s="42"/>
      <c r="AU45" s="42"/>
      <c r="AV45" s="42"/>
      <c r="AW45" s="42"/>
      <c r="AX45" s="42"/>
      <c r="AY45" s="42"/>
      <c r="AZ45" s="42"/>
      <c r="BA45" s="42"/>
      <c r="BB45" s="42"/>
      <c r="BC45" s="42"/>
      <c r="BD45" s="42"/>
      <c r="BE45" s="53">
        <f>IF(ISERROR(BE44/BE18),0,(BE44/BE18))</f>
        <v>0</v>
      </c>
      <c r="BF45" s="42"/>
      <c r="BG45" s="42"/>
      <c r="BH45" s="42"/>
      <c r="BI45" s="42"/>
      <c r="BJ45" s="42"/>
      <c r="BK45" s="42"/>
      <c r="BL45" s="42"/>
      <c r="BM45" s="42"/>
      <c r="BN45" s="42"/>
      <c r="BO45" s="42"/>
      <c r="BP45" s="42"/>
      <c r="BQ45" s="42"/>
      <c r="BR45" s="53">
        <f>IF(ISERROR(BR44/BR18),0,(BR44/BR18))</f>
        <v>0</v>
      </c>
    </row>
    <row r="46" spans="1:70" ht="14.25">
      <c r="A46" s="31"/>
      <c r="F46" s="42"/>
      <c r="G46" s="42"/>
      <c r="H46" s="42"/>
      <c r="I46" s="42"/>
      <c r="J46" s="42"/>
      <c r="K46" s="42"/>
      <c r="L46" s="42"/>
      <c r="M46" s="42"/>
      <c r="N46" s="42"/>
      <c r="O46" s="42"/>
      <c r="P46" s="42"/>
      <c r="Q46" s="42"/>
      <c r="R46" s="43"/>
      <c r="S46" s="42"/>
      <c r="T46" s="42"/>
      <c r="U46" s="42"/>
      <c r="V46" s="42"/>
      <c r="W46" s="42"/>
      <c r="X46" s="42"/>
      <c r="Y46" s="42"/>
      <c r="Z46" s="42"/>
      <c r="AA46" s="42"/>
      <c r="AB46" s="42"/>
      <c r="AC46" s="42"/>
      <c r="AD46" s="42"/>
      <c r="AE46" s="43"/>
      <c r="AF46" s="42"/>
      <c r="AG46" s="42"/>
      <c r="AH46" s="42"/>
      <c r="AI46" s="42"/>
      <c r="AJ46" s="42"/>
      <c r="AK46" s="42"/>
      <c r="AL46" s="42"/>
      <c r="AM46" s="42"/>
      <c r="AN46" s="42"/>
      <c r="AO46" s="42"/>
      <c r="AP46" s="42"/>
      <c r="AQ46" s="42"/>
      <c r="AR46" s="43"/>
      <c r="AS46" s="42"/>
      <c r="AT46" s="42"/>
      <c r="AU46" s="42"/>
      <c r="AV46" s="42"/>
      <c r="AW46" s="42"/>
      <c r="AX46" s="42"/>
      <c r="AY46" s="42"/>
      <c r="AZ46" s="42"/>
      <c r="BA46" s="42"/>
      <c r="BB46" s="42"/>
      <c r="BC46" s="42"/>
      <c r="BD46" s="42"/>
      <c r="BE46" s="43"/>
      <c r="BF46" s="42"/>
      <c r="BG46" s="42"/>
      <c r="BH46" s="42"/>
      <c r="BI46" s="42"/>
      <c r="BJ46" s="42"/>
      <c r="BK46" s="42"/>
      <c r="BL46" s="42"/>
      <c r="BM46" s="42"/>
      <c r="BN46" s="42"/>
      <c r="BO46" s="42"/>
      <c r="BP46" s="42"/>
      <c r="BQ46" s="42"/>
      <c r="BR46" s="43"/>
    </row>
    <row r="47" spans="1:70" ht="15">
      <c r="A47" s="34" t="s">
        <v>81</v>
      </c>
      <c r="F47" s="42"/>
      <c r="G47" s="42"/>
      <c r="H47" s="42"/>
      <c r="I47" s="42"/>
      <c r="J47" s="42"/>
      <c r="K47" s="42"/>
      <c r="L47" s="42"/>
      <c r="M47" s="42"/>
      <c r="N47" s="42"/>
      <c r="O47" s="42"/>
      <c r="P47" s="42"/>
      <c r="Q47" s="42"/>
      <c r="R47" s="36">
        <v>0</v>
      </c>
      <c r="S47" s="42"/>
      <c r="T47" s="42"/>
      <c r="U47" s="42"/>
      <c r="V47" s="42"/>
      <c r="W47" s="42"/>
      <c r="X47" s="42"/>
      <c r="Y47" s="42"/>
      <c r="Z47" s="42"/>
      <c r="AA47" s="42"/>
      <c r="AB47" s="42"/>
      <c r="AC47" s="42"/>
      <c r="AD47" s="42"/>
      <c r="AE47" s="36">
        <v>0</v>
      </c>
      <c r="AF47" s="42"/>
      <c r="AG47" s="42"/>
      <c r="AH47" s="42"/>
      <c r="AI47" s="42"/>
      <c r="AJ47" s="42"/>
      <c r="AK47" s="42"/>
      <c r="AL47" s="42"/>
      <c r="AM47" s="42"/>
      <c r="AN47" s="42"/>
      <c r="AO47" s="42"/>
      <c r="AP47" s="42"/>
      <c r="AQ47" s="42"/>
      <c r="AR47" s="36">
        <v>0</v>
      </c>
      <c r="AS47" s="42"/>
      <c r="AT47" s="42"/>
      <c r="AU47" s="42"/>
      <c r="AV47" s="42"/>
      <c r="AW47" s="42"/>
      <c r="AX47" s="42"/>
      <c r="AY47" s="42"/>
      <c r="AZ47" s="42"/>
      <c r="BA47" s="42"/>
      <c r="BB47" s="42"/>
      <c r="BC47" s="42"/>
      <c r="BD47" s="42"/>
      <c r="BE47" s="36">
        <v>0</v>
      </c>
      <c r="BF47" s="42"/>
      <c r="BG47" s="42"/>
      <c r="BH47" s="42"/>
      <c r="BI47" s="42"/>
      <c r="BJ47" s="42"/>
      <c r="BK47" s="42"/>
      <c r="BL47" s="42"/>
      <c r="BM47" s="42"/>
      <c r="BN47" s="42"/>
      <c r="BO47" s="42"/>
      <c r="BP47" s="42"/>
      <c r="BQ47" s="42"/>
      <c r="BR47" s="36">
        <v>0</v>
      </c>
    </row>
    <row r="48" spans="1:70" ht="14.25">
      <c r="A48" s="31"/>
      <c r="F48" s="42"/>
      <c r="G48" s="42"/>
      <c r="H48" s="42"/>
      <c r="I48" s="42"/>
      <c r="J48" s="42"/>
      <c r="K48" s="42"/>
      <c r="L48" s="42"/>
      <c r="M48" s="42"/>
      <c r="N48" s="42"/>
      <c r="O48" s="42"/>
      <c r="P48" s="42"/>
      <c r="Q48" s="42"/>
      <c r="R48" s="43"/>
      <c r="S48" s="42"/>
      <c r="T48" s="42"/>
      <c r="U48" s="42"/>
      <c r="V48" s="42"/>
      <c r="W48" s="42"/>
      <c r="X48" s="42"/>
      <c r="Y48" s="42"/>
      <c r="Z48" s="42"/>
      <c r="AA48" s="42"/>
      <c r="AB48" s="42"/>
      <c r="AC48" s="42"/>
      <c r="AD48" s="42"/>
      <c r="AE48" s="43"/>
      <c r="AF48" s="42"/>
      <c r="AG48" s="42"/>
      <c r="AH48" s="42"/>
      <c r="AI48" s="42"/>
      <c r="AJ48" s="42"/>
      <c r="AK48" s="42"/>
      <c r="AL48" s="42"/>
      <c r="AM48" s="42"/>
      <c r="AN48" s="42"/>
      <c r="AO48" s="42"/>
      <c r="AP48" s="42"/>
      <c r="AQ48" s="42"/>
      <c r="AR48" s="43"/>
      <c r="AS48" s="42"/>
      <c r="AT48" s="42"/>
      <c r="AU48" s="42"/>
      <c r="AV48" s="42"/>
      <c r="AW48" s="42"/>
      <c r="AX48" s="42"/>
      <c r="AY48" s="42"/>
      <c r="AZ48" s="42"/>
      <c r="BA48" s="42"/>
      <c r="BB48" s="42"/>
      <c r="BC48" s="42"/>
      <c r="BD48" s="42"/>
      <c r="BE48" s="43"/>
      <c r="BF48" s="42"/>
      <c r="BG48" s="42"/>
      <c r="BH48" s="42"/>
      <c r="BI48" s="42"/>
      <c r="BJ48" s="42"/>
      <c r="BK48" s="42"/>
      <c r="BL48" s="42"/>
      <c r="BM48" s="42"/>
      <c r="BN48" s="42"/>
      <c r="BO48" s="42"/>
      <c r="BP48" s="42"/>
      <c r="BQ48" s="42"/>
      <c r="BR48" s="43"/>
    </row>
    <row r="49" spans="1:70" ht="15">
      <c r="A49" s="48" t="s">
        <v>82</v>
      </c>
      <c r="F49" s="49"/>
      <c r="G49" s="49"/>
      <c r="H49" s="49"/>
      <c r="I49" s="49"/>
      <c r="J49" s="49"/>
      <c r="K49" s="49"/>
      <c r="L49" s="49"/>
      <c r="M49" s="49"/>
      <c r="N49" s="49"/>
      <c r="O49" s="49"/>
      <c r="P49" s="49"/>
      <c r="Q49" s="49"/>
      <c r="R49" s="50">
        <f>R44+R47</f>
        <v>0</v>
      </c>
      <c r="S49" s="49"/>
      <c r="T49" s="49"/>
      <c r="U49" s="49"/>
      <c r="V49" s="49"/>
      <c r="W49" s="49"/>
      <c r="X49" s="49"/>
      <c r="Y49" s="49"/>
      <c r="Z49" s="49"/>
      <c r="AA49" s="49"/>
      <c r="AB49" s="49"/>
      <c r="AC49" s="49"/>
      <c r="AD49" s="49"/>
      <c r="AE49" s="50">
        <f>AE44+AE47</f>
        <v>0</v>
      </c>
      <c r="AF49" s="49"/>
      <c r="AG49" s="49"/>
      <c r="AH49" s="49"/>
      <c r="AI49" s="49"/>
      <c r="AJ49" s="49"/>
      <c r="AK49" s="49"/>
      <c r="AL49" s="49"/>
      <c r="AM49" s="49"/>
      <c r="AN49" s="49"/>
      <c r="AO49" s="49"/>
      <c r="AP49" s="49"/>
      <c r="AQ49" s="49"/>
      <c r="AR49" s="50">
        <f>AR44+AR47</f>
        <v>0</v>
      </c>
      <c r="AS49" s="49"/>
      <c r="AT49" s="49"/>
      <c r="AU49" s="49"/>
      <c r="AV49" s="49"/>
      <c r="AW49" s="49"/>
      <c r="AX49" s="49"/>
      <c r="AY49" s="49"/>
      <c r="AZ49" s="49"/>
      <c r="BA49" s="49"/>
      <c r="BB49" s="49"/>
      <c r="BC49" s="49"/>
      <c r="BD49" s="49"/>
      <c r="BE49" s="50">
        <f>BE44+BE47</f>
        <v>0</v>
      </c>
      <c r="BF49" s="49"/>
      <c r="BG49" s="49"/>
      <c r="BH49" s="49"/>
      <c r="BI49" s="49"/>
      <c r="BJ49" s="49"/>
      <c r="BK49" s="49"/>
      <c r="BL49" s="49"/>
      <c r="BM49" s="49"/>
      <c r="BN49" s="49"/>
      <c r="BO49" s="49"/>
      <c r="BP49" s="49"/>
      <c r="BQ49" s="49"/>
      <c r="BR49" s="50">
        <f>BR44+BR47</f>
        <v>0</v>
      </c>
    </row>
    <row r="50" spans="1:70" ht="15">
      <c r="A50" s="34" t="s">
        <v>83</v>
      </c>
      <c r="F50" s="42"/>
      <c r="G50" s="42"/>
      <c r="H50" s="42"/>
      <c r="I50" s="42"/>
      <c r="J50" s="42"/>
      <c r="K50" s="42"/>
      <c r="L50" s="42"/>
      <c r="M50" s="42"/>
      <c r="N50" s="42"/>
      <c r="O50" s="42"/>
      <c r="P50" s="42"/>
      <c r="Q50" s="42"/>
      <c r="R50" s="53">
        <f>IF(ISERROR(R49/R18),0,(R49/R18))</f>
        <v>0</v>
      </c>
      <c r="S50" s="42"/>
      <c r="T50" s="42"/>
      <c r="U50" s="42"/>
      <c r="V50" s="42"/>
      <c r="W50" s="42"/>
      <c r="X50" s="42"/>
      <c r="Y50" s="42"/>
      <c r="Z50" s="42"/>
      <c r="AA50" s="42"/>
      <c r="AB50" s="42"/>
      <c r="AC50" s="42"/>
      <c r="AD50" s="42"/>
      <c r="AE50" s="53">
        <f>IF(ISERROR(AE49/AE18),0,(AE49/AE18))</f>
        <v>0</v>
      </c>
      <c r="AF50" s="42"/>
      <c r="AG50" s="42"/>
      <c r="AH50" s="42"/>
      <c r="AI50" s="42"/>
      <c r="AJ50" s="42"/>
      <c r="AK50" s="42"/>
      <c r="AL50" s="42"/>
      <c r="AM50" s="42"/>
      <c r="AN50" s="42"/>
      <c r="AO50" s="42"/>
      <c r="AP50" s="42"/>
      <c r="AQ50" s="42"/>
      <c r="AR50" s="53">
        <f>IF(ISERROR(AR49/AR18),0,(AR49/AR18))</f>
        <v>0</v>
      </c>
      <c r="AS50" s="42"/>
      <c r="AT50" s="42"/>
      <c r="AU50" s="42"/>
      <c r="AV50" s="42"/>
      <c r="AW50" s="42"/>
      <c r="AX50" s="42"/>
      <c r="AY50" s="42"/>
      <c r="AZ50" s="42"/>
      <c r="BA50" s="42"/>
      <c r="BB50" s="42"/>
      <c r="BC50" s="42"/>
      <c r="BD50" s="42"/>
      <c r="BE50" s="53">
        <f>IF(ISERROR(BE49/BE18),0,(BE49/BE18))</f>
        <v>0</v>
      </c>
      <c r="BF50" s="42"/>
      <c r="BG50" s="42"/>
      <c r="BH50" s="42"/>
      <c r="BI50" s="42"/>
      <c r="BJ50" s="42"/>
      <c r="BK50" s="42"/>
      <c r="BL50" s="42"/>
      <c r="BM50" s="42"/>
      <c r="BN50" s="42"/>
      <c r="BO50" s="42"/>
      <c r="BP50" s="42"/>
      <c r="BQ50" s="42"/>
      <c r="BR50" s="53">
        <f>IF(ISERROR(BR49/BR18),0,(BR49/BR18))</f>
        <v>0</v>
      </c>
    </row>
    <row r="51" spans="1:70" ht="14.25">
      <c r="A51" s="31"/>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row>
    <row r="52" spans="1:70" ht="14.25">
      <c r="A52" s="31"/>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row>
    <row r="53" spans="1:70" ht="14.25">
      <c r="A53" s="29" t="s">
        <v>84</v>
      </c>
      <c r="B53" s="30"/>
      <c r="C53" s="30"/>
      <c r="D53" s="30"/>
      <c r="E53" s="30"/>
      <c r="F53" s="30"/>
      <c r="G53" s="30"/>
      <c r="H53" s="30"/>
      <c r="I53" s="30"/>
      <c r="J53" s="30"/>
      <c r="K53" s="30"/>
      <c r="L53" s="30"/>
      <c r="M53" s="30"/>
      <c r="N53" s="30"/>
      <c r="O53" s="30"/>
      <c r="P53" s="30"/>
      <c r="Q53" s="30"/>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54"/>
      <c r="BH53" s="54"/>
      <c r="BI53" s="54"/>
      <c r="BJ53" s="54"/>
      <c r="BK53" s="54"/>
      <c r="BL53" s="54"/>
      <c r="BM53" s="54"/>
      <c r="BN53" s="54"/>
      <c r="BO53" s="54"/>
      <c r="BP53" s="54"/>
      <c r="BQ53" s="54"/>
      <c r="BR53" s="54"/>
    </row>
    <row r="54" spans="1:70" ht="14.25" outlineLevel="1">
      <c r="A54" s="31"/>
      <c r="F54" s="82" t="s">
        <v>47</v>
      </c>
      <c r="G54" s="82" t="s">
        <v>47</v>
      </c>
      <c r="H54" s="82" t="s">
        <v>47</v>
      </c>
      <c r="I54" s="82" t="s">
        <v>47</v>
      </c>
      <c r="J54" s="82" t="s">
        <v>47</v>
      </c>
      <c r="K54" s="82" t="s">
        <v>47</v>
      </c>
      <c r="L54" s="82" t="s">
        <v>47</v>
      </c>
      <c r="M54" s="82" t="s">
        <v>47</v>
      </c>
      <c r="N54" s="82" t="s">
        <v>47</v>
      </c>
      <c r="O54" s="82" t="s">
        <v>47</v>
      </c>
      <c r="P54" s="82" t="s">
        <v>47</v>
      </c>
      <c r="Q54" s="82" t="s">
        <v>47</v>
      </c>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row>
    <row r="55" spans="1:70" ht="15" outlineLevel="1">
      <c r="A55" s="34" t="s">
        <v>52</v>
      </c>
      <c r="F55" s="82" t="s">
        <v>86</v>
      </c>
      <c r="G55" s="82" t="s">
        <v>87</v>
      </c>
      <c r="H55" s="82" t="s">
        <v>88</v>
      </c>
      <c r="I55" s="82" t="s">
        <v>89</v>
      </c>
      <c r="J55" s="82" t="s">
        <v>90</v>
      </c>
      <c r="K55" s="82" t="s">
        <v>91</v>
      </c>
      <c r="L55" s="82" t="s">
        <v>92</v>
      </c>
      <c r="M55" s="82" t="s">
        <v>93</v>
      </c>
      <c r="N55" s="82" t="s">
        <v>94</v>
      </c>
      <c r="O55" s="82" t="s">
        <v>95</v>
      </c>
      <c r="P55" s="82" t="s">
        <v>96</v>
      </c>
      <c r="Q55" s="82" t="s">
        <v>97</v>
      </c>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row>
    <row r="56" spans="1:70" ht="15" outlineLevel="1">
      <c r="A56" s="27" t="s">
        <v>53</v>
      </c>
      <c r="F56" s="36">
        <v>0</v>
      </c>
      <c r="G56" s="36">
        <v>0</v>
      </c>
      <c r="H56" s="36">
        <v>0</v>
      </c>
      <c r="I56" s="36">
        <v>0</v>
      </c>
      <c r="J56" s="36">
        <v>0</v>
      </c>
      <c r="K56" s="36">
        <v>0</v>
      </c>
      <c r="L56" s="36">
        <v>0</v>
      </c>
      <c r="M56" s="36">
        <v>0</v>
      </c>
      <c r="N56" s="36">
        <v>0</v>
      </c>
      <c r="O56" s="36">
        <v>0</v>
      </c>
      <c r="P56" s="36">
        <v>0</v>
      </c>
      <c r="Q56" s="36">
        <v>0</v>
      </c>
      <c r="R56" s="43"/>
      <c r="S56" s="36">
        <v>0</v>
      </c>
      <c r="T56" s="36">
        <v>0</v>
      </c>
      <c r="U56" s="36">
        <v>0</v>
      </c>
      <c r="V56" s="36">
        <v>0</v>
      </c>
      <c r="W56" s="36">
        <v>0</v>
      </c>
      <c r="X56" s="36">
        <v>0</v>
      </c>
      <c r="Y56" s="36">
        <v>0</v>
      </c>
      <c r="Z56" s="36">
        <v>0</v>
      </c>
      <c r="AA56" s="36">
        <v>0</v>
      </c>
      <c r="AB56" s="36">
        <v>0</v>
      </c>
      <c r="AC56" s="36">
        <v>0</v>
      </c>
      <c r="AD56" s="36">
        <v>0</v>
      </c>
      <c r="AE56" s="43"/>
      <c r="AF56" s="36">
        <v>0</v>
      </c>
      <c r="AG56" s="36">
        <v>0</v>
      </c>
      <c r="AH56" s="36">
        <v>0</v>
      </c>
      <c r="AI56" s="36">
        <v>0</v>
      </c>
      <c r="AJ56" s="36">
        <v>0</v>
      </c>
      <c r="AK56" s="36">
        <v>0</v>
      </c>
      <c r="AL56" s="36">
        <v>0</v>
      </c>
      <c r="AM56" s="36">
        <v>0</v>
      </c>
      <c r="AN56" s="36">
        <v>0</v>
      </c>
      <c r="AO56" s="36">
        <v>0</v>
      </c>
      <c r="AP56" s="36">
        <v>0</v>
      </c>
      <c r="AQ56" s="36">
        <v>0</v>
      </c>
      <c r="AR56" s="43"/>
      <c r="AS56" s="36">
        <v>0</v>
      </c>
      <c r="AT56" s="36">
        <v>0</v>
      </c>
      <c r="AU56" s="36">
        <v>0</v>
      </c>
      <c r="AV56" s="36">
        <v>0</v>
      </c>
      <c r="AW56" s="36">
        <v>0</v>
      </c>
      <c r="AX56" s="36">
        <v>0</v>
      </c>
      <c r="AY56" s="36">
        <v>0</v>
      </c>
      <c r="AZ56" s="36">
        <v>0</v>
      </c>
      <c r="BA56" s="36">
        <v>0</v>
      </c>
      <c r="BB56" s="36">
        <v>0</v>
      </c>
      <c r="BC56" s="36">
        <v>0</v>
      </c>
      <c r="BD56" s="36">
        <v>0</v>
      </c>
      <c r="BE56" s="43"/>
      <c r="BF56" s="36">
        <v>0</v>
      </c>
      <c r="BG56" s="36">
        <v>0</v>
      </c>
      <c r="BH56" s="36">
        <v>0</v>
      </c>
      <c r="BI56" s="36">
        <v>0</v>
      </c>
      <c r="BJ56" s="36">
        <v>0</v>
      </c>
      <c r="BK56" s="36">
        <v>0</v>
      </c>
      <c r="BL56" s="36">
        <v>0</v>
      </c>
      <c r="BM56" s="36">
        <v>0</v>
      </c>
      <c r="BN56" s="36">
        <v>0</v>
      </c>
      <c r="BO56" s="36">
        <v>0</v>
      </c>
      <c r="BP56" s="36">
        <v>0</v>
      </c>
      <c r="BQ56" s="36">
        <v>0</v>
      </c>
      <c r="BR56" s="43"/>
    </row>
    <row r="57" spans="1:70" ht="15" outlineLevel="1">
      <c r="A57" s="37" t="s">
        <v>54</v>
      </c>
      <c r="F57" s="36">
        <v>0</v>
      </c>
      <c r="G57" s="36">
        <v>0</v>
      </c>
      <c r="H57" s="36">
        <v>0</v>
      </c>
      <c r="I57" s="36">
        <v>0</v>
      </c>
      <c r="J57" s="36">
        <v>0</v>
      </c>
      <c r="K57" s="36">
        <v>0</v>
      </c>
      <c r="L57" s="36">
        <v>0</v>
      </c>
      <c r="M57" s="36">
        <v>0</v>
      </c>
      <c r="N57" s="36">
        <v>0</v>
      </c>
      <c r="O57" s="36">
        <v>0</v>
      </c>
      <c r="P57" s="36">
        <v>0</v>
      </c>
      <c r="Q57" s="36">
        <v>0</v>
      </c>
      <c r="R57" s="43"/>
      <c r="S57" s="36">
        <v>0</v>
      </c>
      <c r="T57" s="36">
        <v>0</v>
      </c>
      <c r="U57" s="36">
        <v>0</v>
      </c>
      <c r="V57" s="36">
        <v>0</v>
      </c>
      <c r="W57" s="36">
        <v>0</v>
      </c>
      <c r="X57" s="36">
        <v>0</v>
      </c>
      <c r="Y57" s="36">
        <v>0</v>
      </c>
      <c r="Z57" s="36">
        <v>0</v>
      </c>
      <c r="AA57" s="36">
        <v>0</v>
      </c>
      <c r="AB57" s="36">
        <v>0</v>
      </c>
      <c r="AC57" s="36">
        <v>0</v>
      </c>
      <c r="AD57" s="36">
        <v>0</v>
      </c>
      <c r="AE57" s="43"/>
      <c r="AF57" s="36">
        <v>0</v>
      </c>
      <c r="AG57" s="36">
        <v>0</v>
      </c>
      <c r="AH57" s="36">
        <v>0</v>
      </c>
      <c r="AI57" s="36">
        <v>0</v>
      </c>
      <c r="AJ57" s="36">
        <v>0</v>
      </c>
      <c r="AK57" s="36">
        <v>0</v>
      </c>
      <c r="AL57" s="36">
        <v>0</v>
      </c>
      <c r="AM57" s="36">
        <v>0</v>
      </c>
      <c r="AN57" s="36">
        <v>0</v>
      </c>
      <c r="AO57" s="36">
        <v>0</v>
      </c>
      <c r="AP57" s="36">
        <v>0</v>
      </c>
      <c r="AQ57" s="36">
        <v>0</v>
      </c>
      <c r="AR57" s="43"/>
      <c r="AS57" s="36">
        <v>0</v>
      </c>
      <c r="AT57" s="36">
        <v>0</v>
      </c>
      <c r="AU57" s="36">
        <v>0</v>
      </c>
      <c r="AV57" s="36">
        <v>0</v>
      </c>
      <c r="AW57" s="36">
        <v>0</v>
      </c>
      <c r="AX57" s="36">
        <v>0</v>
      </c>
      <c r="AY57" s="36">
        <v>0</v>
      </c>
      <c r="AZ57" s="36">
        <v>0</v>
      </c>
      <c r="BA57" s="36">
        <v>0</v>
      </c>
      <c r="BB57" s="36">
        <v>0</v>
      </c>
      <c r="BC57" s="36">
        <v>0</v>
      </c>
      <c r="BD57" s="36">
        <v>0</v>
      </c>
      <c r="BE57" s="43"/>
      <c r="BF57" s="36">
        <v>0</v>
      </c>
      <c r="BG57" s="36">
        <v>0</v>
      </c>
      <c r="BH57" s="36">
        <v>0</v>
      </c>
      <c r="BI57" s="36">
        <v>0</v>
      </c>
      <c r="BJ57" s="36">
        <v>0</v>
      </c>
      <c r="BK57" s="36">
        <v>0</v>
      </c>
      <c r="BL57" s="36">
        <v>0</v>
      </c>
      <c r="BM57" s="36">
        <v>0</v>
      </c>
      <c r="BN57" s="36">
        <v>0</v>
      </c>
      <c r="BO57" s="36">
        <v>0</v>
      </c>
      <c r="BP57" s="36">
        <v>0</v>
      </c>
      <c r="BQ57" s="36">
        <v>0</v>
      </c>
      <c r="BR57" s="43"/>
    </row>
    <row r="58" spans="1:70" ht="15" outlineLevel="1">
      <c r="A58" s="37" t="s">
        <v>55</v>
      </c>
      <c r="F58" s="36">
        <v>0</v>
      </c>
      <c r="G58" s="36">
        <v>0</v>
      </c>
      <c r="H58" s="36">
        <v>0</v>
      </c>
      <c r="I58" s="36">
        <v>0</v>
      </c>
      <c r="J58" s="36">
        <v>0</v>
      </c>
      <c r="K58" s="36">
        <v>0</v>
      </c>
      <c r="L58" s="36">
        <v>0</v>
      </c>
      <c r="M58" s="36">
        <v>0</v>
      </c>
      <c r="N58" s="36">
        <v>0</v>
      </c>
      <c r="O58" s="36">
        <v>0</v>
      </c>
      <c r="P58" s="36">
        <v>0</v>
      </c>
      <c r="Q58" s="36">
        <v>0</v>
      </c>
      <c r="R58" s="43"/>
      <c r="S58" s="36">
        <v>0</v>
      </c>
      <c r="T58" s="36">
        <v>0</v>
      </c>
      <c r="U58" s="36">
        <v>0</v>
      </c>
      <c r="V58" s="36">
        <v>0</v>
      </c>
      <c r="W58" s="36">
        <v>0</v>
      </c>
      <c r="X58" s="36">
        <v>0</v>
      </c>
      <c r="Y58" s="36">
        <v>0</v>
      </c>
      <c r="Z58" s="36">
        <v>0</v>
      </c>
      <c r="AA58" s="36">
        <v>0</v>
      </c>
      <c r="AB58" s="36">
        <v>0</v>
      </c>
      <c r="AC58" s="36">
        <v>0</v>
      </c>
      <c r="AD58" s="36">
        <v>0</v>
      </c>
      <c r="AE58" s="43"/>
      <c r="AF58" s="36">
        <v>0</v>
      </c>
      <c r="AG58" s="36">
        <v>0</v>
      </c>
      <c r="AH58" s="36">
        <v>0</v>
      </c>
      <c r="AI58" s="36">
        <v>0</v>
      </c>
      <c r="AJ58" s="36">
        <v>0</v>
      </c>
      <c r="AK58" s="36">
        <v>0</v>
      </c>
      <c r="AL58" s="36">
        <v>0</v>
      </c>
      <c r="AM58" s="36">
        <v>0</v>
      </c>
      <c r="AN58" s="36">
        <v>0</v>
      </c>
      <c r="AO58" s="36">
        <v>0</v>
      </c>
      <c r="AP58" s="36">
        <v>0</v>
      </c>
      <c r="AQ58" s="36">
        <v>0</v>
      </c>
      <c r="AR58" s="43"/>
      <c r="AS58" s="36">
        <v>0</v>
      </c>
      <c r="AT58" s="36">
        <v>0</v>
      </c>
      <c r="AU58" s="36">
        <v>0</v>
      </c>
      <c r="AV58" s="36">
        <v>0</v>
      </c>
      <c r="AW58" s="36">
        <v>0</v>
      </c>
      <c r="AX58" s="36">
        <v>0</v>
      </c>
      <c r="AY58" s="36">
        <v>0</v>
      </c>
      <c r="AZ58" s="36">
        <v>0</v>
      </c>
      <c r="BA58" s="36">
        <v>0</v>
      </c>
      <c r="BB58" s="36">
        <v>0</v>
      </c>
      <c r="BC58" s="36">
        <v>0</v>
      </c>
      <c r="BD58" s="36">
        <v>0</v>
      </c>
      <c r="BE58" s="43"/>
      <c r="BF58" s="36">
        <v>0</v>
      </c>
      <c r="BG58" s="36">
        <v>0</v>
      </c>
      <c r="BH58" s="36">
        <v>0</v>
      </c>
      <c r="BI58" s="36">
        <v>0</v>
      </c>
      <c r="BJ58" s="36">
        <v>0</v>
      </c>
      <c r="BK58" s="36">
        <v>0</v>
      </c>
      <c r="BL58" s="36">
        <v>0</v>
      </c>
      <c r="BM58" s="36">
        <v>0</v>
      </c>
      <c r="BN58" s="36">
        <v>0</v>
      </c>
      <c r="BO58" s="36">
        <v>0</v>
      </c>
      <c r="BP58" s="36">
        <v>0</v>
      </c>
      <c r="BQ58" s="36">
        <v>0</v>
      </c>
      <c r="BR58" s="43"/>
    </row>
    <row r="59" spans="1:70" ht="15" outlineLevel="1">
      <c r="A59" s="37" t="s">
        <v>56</v>
      </c>
      <c r="F59" s="36">
        <v>0</v>
      </c>
      <c r="G59" s="36">
        <v>0</v>
      </c>
      <c r="H59" s="36">
        <v>0</v>
      </c>
      <c r="I59" s="36">
        <v>0</v>
      </c>
      <c r="J59" s="36">
        <v>0</v>
      </c>
      <c r="K59" s="36">
        <v>0</v>
      </c>
      <c r="L59" s="36">
        <v>0</v>
      </c>
      <c r="M59" s="36">
        <v>0</v>
      </c>
      <c r="N59" s="36">
        <v>0</v>
      </c>
      <c r="O59" s="36">
        <v>0</v>
      </c>
      <c r="P59" s="36">
        <v>0</v>
      </c>
      <c r="Q59" s="36">
        <v>0</v>
      </c>
      <c r="R59" s="43"/>
      <c r="S59" s="36">
        <v>0</v>
      </c>
      <c r="T59" s="36">
        <v>0</v>
      </c>
      <c r="U59" s="36">
        <v>0</v>
      </c>
      <c r="V59" s="36">
        <v>0</v>
      </c>
      <c r="W59" s="36">
        <v>0</v>
      </c>
      <c r="X59" s="36">
        <v>0</v>
      </c>
      <c r="Y59" s="36">
        <v>0</v>
      </c>
      <c r="Z59" s="36">
        <v>0</v>
      </c>
      <c r="AA59" s="36">
        <v>0</v>
      </c>
      <c r="AB59" s="36">
        <v>0</v>
      </c>
      <c r="AC59" s="36">
        <v>0</v>
      </c>
      <c r="AD59" s="36">
        <v>0</v>
      </c>
      <c r="AE59" s="43"/>
      <c r="AF59" s="36">
        <v>0</v>
      </c>
      <c r="AG59" s="36">
        <v>0</v>
      </c>
      <c r="AH59" s="36">
        <v>0</v>
      </c>
      <c r="AI59" s="36">
        <v>0</v>
      </c>
      <c r="AJ59" s="36">
        <v>0</v>
      </c>
      <c r="AK59" s="36">
        <v>0</v>
      </c>
      <c r="AL59" s="36">
        <v>0</v>
      </c>
      <c r="AM59" s="36">
        <v>0</v>
      </c>
      <c r="AN59" s="36">
        <v>0</v>
      </c>
      <c r="AO59" s="36">
        <v>0</v>
      </c>
      <c r="AP59" s="36">
        <v>0</v>
      </c>
      <c r="AQ59" s="36">
        <v>0</v>
      </c>
      <c r="AR59" s="43"/>
      <c r="AS59" s="36">
        <v>0</v>
      </c>
      <c r="AT59" s="36">
        <v>0</v>
      </c>
      <c r="AU59" s="36">
        <v>0</v>
      </c>
      <c r="AV59" s="36">
        <v>0</v>
      </c>
      <c r="AW59" s="36">
        <v>0</v>
      </c>
      <c r="AX59" s="36">
        <v>0</v>
      </c>
      <c r="AY59" s="36">
        <v>0</v>
      </c>
      <c r="AZ59" s="36">
        <v>0</v>
      </c>
      <c r="BA59" s="36">
        <v>0</v>
      </c>
      <c r="BB59" s="36">
        <v>0</v>
      </c>
      <c r="BC59" s="36">
        <v>0</v>
      </c>
      <c r="BD59" s="36">
        <v>0</v>
      </c>
      <c r="BE59" s="43"/>
      <c r="BF59" s="36">
        <v>0</v>
      </c>
      <c r="BG59" s="36">
        <v>0</v>
      </c>
      <c r="BH59" s="36">
        <v>0</v>
      </c>
      <c r="BI59" s="36">
        <v>0</v>
      </c>
      <c r="BJ59" s="36">
        <v>0</v>
      </c>
      <c r="BK59" s="36">
        <v>0</v>
      </c>
      <c r="BL59" s="36">
        <v>0</v>
      </c>
      <c r="BM59" s="36">
        <v>0</v>
      </c>
      <c r="BN59" s="36">
        <v>0</v>
      </c>
      <c r="BO59" s="36">
        <v>0</v>
      </c>
      <c r="BP59" s="36">
        <v>0</v>
      </c>
      <c r="BQ59" s="36">
        <v>0</v>
      </c>
      <c r="BR59" s="43"/>
    </row>
    <row r="60" spans="1:70" ht="15" outlineLevel="1">
      <c r="A60" s="27" t="s">
        <v>57</v>
      </c>
      <c r="F60" s="36">
        <v>0</v>
      </c>
      <c r="G60" s="36">
        <v>0</v>
      </c>
      <c r="H60" s="36">
        <v>0</v>
      </c>
      <c r="I60" s="36">
        <v>0</v>
      </c>
      <c r="J60" s="36">
        <v>0</v>
      </c>
      <c r="K60" s="36">
        <v>0</v>
      </c>
      <c r="L60" s="36">
        <v>0</v>
      </c>
      <c r="M60" s="36">
        <v>0</v>
      </c>
      <c r="N60" s="36">
        <v>0</v>
      </c>
      <c r="O60" s="36">
        <v>0</v>
      </c>
      <c r="P60" s="36">
        <v>0</v>
      </c>
      <c r="Q60" s="36">
        <v>0</v>
      </c>
      <c r="R60" s="43"/>
      <c r="S60" s="36">
        <v>0</v>
      </c>
      <c r="T60" s="36">
        <v>0</v>
      </c>
      <c r="U60" s="36">
        <v>0</v>
      </c>
      <c r="V60" s="36">
        <v>0</v>
      </c>
      <c r="W60" s="36">
        <v>0</v>
      </c>
      <c r="X60" s="36">
        <v>0</v>
      </c>
      <c r="Y60" s="36">
        <v>0</v>
      </c>
      <c r="Z60" s="36">
        <v>0</v>
      </c>
      <c r="AA60" s="36">
        <v>0</v>
      </c>
      <c r="AB60" s="36">
        <v>0</v>
      </c>
      <c r="AC60" s="36">
        <v>0</v>
      </c>
      <c r="AD60" s="36">
        <v>0</v>
      </c>
      <c r="AE60" s="43"/>
      <c r="AF60" s="36">
        <v>0</v>
      </c>
      <c r="AG60" s="36">
        <v>0</v>
      </c>
      <c r="AH60" s="36">
        <v>0</v>
      </c>
      <c r="AI60" s="36">
        <v>0</v>
      </c>
      <c r="AJ60" s="36">
        <v>0</v>
      </c>
      <c r="AK60" s="36">
        <v>0</v>
      </c>
      <c r="AL60" s="36">
        <v>0</v>
      </c>
      <c r="AM60" s="36">
        <v>0</v>
      </c>
      <c r="AN60" s="36">
        <v>0</v>
      </c>
      <c r="AO60" s="36">
        <v>0</v>
      </c>
      <c r="AP60" s="36">
        <v>0</v>
      </c>
      <c r="AQ60" s="36">
        <v>0</v>
      </c>
      <c r="AR60" s="43"/>
      <c r="AS60" s="36">
        <v>0</v>
      </c>
      <c r="AT60" s="36">
        <v>0</v>
      </c>
      <c r="AU60" s="36">
        <v>0</v>
      </c>
      <c r="AV60" s="36">
        <v>0</v>
      </c>
      <c r="AW60" s="36">
        <v>0</v>
      </c>
      <c r="AX60" s="36">
        <v>0</v>
      </c>
      <c r="AY60" s="36">
        <v>0</v>
      </c>
      <c r="AZ60" s="36">
        <v>0</v>
      </c>
      <c r="BA60" s="36">
        <v>0</v>
      </c>
      <c r="BB60" s="36">
        <v>0</v>
      </c>
      <c r="BC60" s="36">
        <v>0</v>
      </c>
      <c r="BD60" s="36">
        <v>0</v>
      </c>
      <c r="BE60" s="43"/>
      <c r="BF60" s="36">
        <v>0</v>
      </c>
      <c r="BG60" s="36">
        <v>0</v>
      </c>
      <c r="BH60" s="36">
        <v>0</v>
      </c>
      <c r="BI60" s="36">
        <v>0</v>
      </c>
      <c r="BJ60" s="36">
        <v>0</v>
      </c>
      <c r="BK60" s="36">
        <v>0</v>
      </c>
      <c r="BL60" s="36">
        <v>0</v>
      </c>
      <c r="BM60" s="36">
        <v>0</v>
      </c>
      <c r="BN60" s="36">
        <v>0</v>
      </c>
      <c r="BO60" s="36">
        <v>0</v>
      </c>
      <c r="BP60" s="36">
        <v>0</v>
      </c>
      <c r="BQ60" s="36">
        <v>0</v>
      </c>
      <c r="BR60" s="43"/>
    </row>
    <row r="61" spans="1:70" ht="15" outlineLevel="1">
      <c r="A61" s="37" t="s">
        <v>54</v>
      </c>
      <c r="F61" s="36">
        <v>0</v>
      </c>
      <c r="G61" s="36">
        <v>0</v>
      </c>
      <c r="H61" s="36">
        <v>0</v>
      </c>
      <c r="I61" s="36">
        <v>0</v>
      </c>
      <c r="J61" s="36">
        <v>0</v>
      </c>
      <c r="K61" s="36">
        <v>0</v>
      </c>
      <c r="L61" s="36">
        <v>0</v>
      </c>
      <c r="M61" s="36">
        <v>0</v>
      </c>
      <c r="N61" s="36">
        <v>0</v>
      </c>
      <c r="O61" s="36">
        <v>0</v>
      </c>
      <c r="P61" s="36">
        <v>0</v>
      </c>
      <c r="Q61" s="36">
        <v>0</v>
      </c>
      <c r="R61" s="43"/>
      <c r="S61" s="36">
        <v>0</v>
      </c>
      <c r="T61" s="36">
        <v>0</v>
      </c>
      <c r="U61" s="36">
        <v>0</v>
      </c>
      <c r="V61" s="36">
        <v>0</v>
      </c>
      <c r="W61" s="36">
        <v>0</v>
      </c>
      <c r="X61" s="36">
        <v>0</v>
      </c>
      <c r="Y61" s="36">
        <v>0</v>
      </c>
      <c r="Z61" s="36">
        <v>0</v>
      </c>
      <c r="AA61" s="36">
        <v>0</v>
      </c>
      <c r="AB61" s="36">
        <v>0</v>
      </c>
      <c r="AC61" s="36">
        <v>0</v>
      </c>
      <c r="AD61" s="36">
        <v>0</v>
      </c>
      <c r="AE61" s="43"/>
      <c r="AF61" s="36">
        <v>0</v>
      </c>
      <c r="AG61" s="36">
        <v>0</v>
      </c>
      <c r="AH61" s="36">
        <v>0</v>
      </c>
      <c r="AI61" s="36">
        <v>0</v>
      </c>
      <c r="AJ61" s="36">
        <v>0</v>
      </c>
      <c r="AK61" s="36">
        <v>0</v>
      </c>
      <c r="AL61" s="36">
        <v>0</v>
      </c>
      <c r="AM61" s="36">
        <v>0</v>
      </c>
      <c r="AN61" s="36">
        <v>0</v>
      </c>
      <c r="AO61" s="36">
        <v>0</v>
      </c>
      <c r="AP61" s="36">
        <v>0</v>
      </c>
      <c r="AQ61" s="36">
        <v>0</v>
      </c>
      <c r="AR61" s="43"/>
      <c r="AS61" s="36">
        <v>0</v>
      </c>
      <c r="AT61" s="36">
        <v>0</v>
      </c>
      <c r="AU61" s="36">
        <v>0</v>
      </c>
      <c r="AV61" s="36">
        <v>0</v>
      </c>
      <c r="AW61" s="36">
        <v>0</v>
      </c>
      <c r="AX61" s="36">
        <v>0</v>
      </c>
      <c r="AY61" s="36">
        <v>0</v>
      </c>
      <c r="AZ61" s="36">
        <v>0</v>
      </c>
      <c r="BA61" s="36">
        <v>0</v>
      </c>
      <c r="BB61" s="36">
        <v>0</v>
      </c>
      <c r="BC61" s="36">
        <v>0</v>
      </c>
      <c r="BD61" s="36">
        <v>0</v>
      </c>
      <c r="BE61" s="43"/>
      <c r="BF61" s="36">
        <v>0</v>
      </c>
      <c r="BG61" s="36">
        <v>0</v>
      </c>
      <c r="BH61" s="36">
        <v>0</v>
      </c>
      <c r="BI61" s="36">
        <v>0</v>
      </c>
      <c r="BJ61" s="36">
        <v>0</v>
      </c>
      <c r="BK61" s="36">
        <v>0</v>
      </c>
      <c r="BL61" s="36">
        <v>0</v>
      </c>
      <c r="BM61" s="36">
        <v>0</v>
      </c>
      <c r="BN61" s="36">
        <v>0</v>
      </c>
      <c r="BO61" s="36">
        <v>0</v>
      </c>
      <c r="BP61" s="36">
        <v>0</v>
      </c>
      <c r="BQ61" s="36">
        <v>0</v>
      </c>
      <c r="BR61" s="43"/>
    </row>
    <row r="62" spans="1:70" ht="15" outlineLevel="1">
      <c r="A62" s="37" t="s">
        <v>55</v>
      </c>
      <c r="F62" s="36">
        <v>0</v>
      </c>
      <c r="G62" s="36">
        <v>0</v>
      </c>
      <c r="H62" s="36">
        <v>0</v>
      </c>
      <c r="I62" s="36">
        <v>0</v>
      </c>
      <c r="J62" s="36">
        <v>0</v>
      </c>
      <c r="K62" s="36">
        <v>0</v>
      </c>
      <c r="L62" s="36">
        <v>0</v>
      </c>
      <c r="M62" s="36">
        <v>0</v>
      </c>
      <c r="N62" s="36">
        <v>0</v>
      </c>
      <c r="O62" s="36">
        <v>0</v>
      </c>
      <c r="P62" s="36">
        <v>0</v>
      </c>
      <c r="Q62" s="36">
        <v>0</v>
      </c>
      <c r="R62" s="43"/>
      <c r="S62" s="36">
        <v>0</v>
      </c>
      <c r="T62" s="36">
        <v>0</v>
      </c>
      <c r="U62" s="36">
        <v>0</v>
      </c>
      <c r="V62" s="36">
        <v>0</v>
      </c>
      <c r="W62" s="36">
        <v>0</v>
      </c>
      <c r="X62" s="36">
        <v>0</v>
      </c>
      <c r="Y62" s="36">
        <v>0</v>
      </c>
      <c r="Z62" s="36">
        <v>0</v>
      </c>
      <c r="AA62" s="36">
        <v>0</v>
      </c>
      <c r="AB62" s="36">
        <v>0</v>
      </c>
      <c r="AC62" s="36">
        <v>0</v>
      </c>
      <c r="AD62" s="36">
        <v>0</v>
      </c>
      <c r="AE62" s="43"/>
      <c r="AF62" s="36">
        <v>0</v>
      </c>
      <c r="AG62" s="36">
        <v>0</v>
      </c>
      <c r="AH62" s="36">
        <v>0</v>
      </c>
      <c r="AI62" s="36">
        <v>0</v>
      </c>
      <c r="AJ62" s="36">
        <v>0</v>
      </c>
      <c r="AK62" s="36">
        <v>0</v>
      </c>
      <c r="AL62" s="36">
        <v>0</v>
      </c>
      <c r="AM62" s="36">
        <v>0</v>
      </c>
      <c r="AN62" s="36">
        <v>0</v>
      </c>
      <c r="AO62" s="36">
        <v>0</v>
      </c>
      <c r="AP62" s="36">
        <v>0</v>
      </c>
      <c r="AQ62" s="36">
        <v>0</v>
      </c>
      <c r="AR62" s="43"/>
      <c r="AS62" s="36">
        <v>0</v>
      </c>
      <c r="AT62" s="36">
        <v>0</v>
      </c>
      <c r="AU62" s="36">
        <v>0</v>
      </c>
      <c r="AV62" s="36">
        <v>0</v>
      </c>
      <c r="AW62" s="36">
        <v>0</v>
      </c>
      <c r="AX62" s="36">
        <v>0</v>
      </c>
      <c r="AY62" s="36">
        <v>0</v>
      </c>
      <c r="AZ62" s="36">
        <v>0</v>
      </c>
      <c r="BA62" s="36">
        <v>0</v>
      </c>
      <c r="BB62" s="36">
        <v>0</v>
      </c>
      <c r="BC62" s="36">
        <v>0</v>
      </c>
      <c r="BD62" s="36">
        <v>0</v>
      </c>
      <c r="BE62" s="43"/>
      <c r="BF62" s="36">
        <v>0</v>
      </c>
      <c r="BG62" s="36">
        <v>0</v>
      </c>
      <c r="BH62" s="36">
        <v>0</v>
      </c>
      <c r="BI62" s="36">
        <v>0</v>
      </c>
      <c r="BJ62" s="36">
        <v>0</v>
      </c>
      <c r="BK62" s="36">
        <v>0</v>
      </c>
      <c r="BL62" s="36">
        <v>0</v>
      </c>
      <c r="BM62" s="36">
        <v>0</v>
      </c>
      <c r="BN62" s="36">
        <v>0</v>
      </c>
      <c r="BO62" s="36">
        <v>0</v>
      </c>
      <c r="BP62" s="36">
        <v>0</v>
      </c>
      <c r="BQ62" s="36">
        <v>0</v>
      </c>
      <c r="BR62" s="43"/>
    </row>
    <row r="63" spans="1:70" ht="15" outlineLevel="1">
      <c r="A63" s="37" t="s">
        <v>56</v>
      </c>
      <c r="F63" s="36">
        <v>0</v>
      </c>
      <c r="G63" s="36">
        <v>0</v>
      </c>
      <c r="H63" s="36">
        <v>0</v>
      </c>
      <c r="I63" s="36">
        <v>0</v>
      </c>
      <c r="J63" s="36">
        <v>0</v>
      </c>
      <c r="K63" s="36">
        <v>0</v>
      </c>
      <c r="L63" s="36">
        <v>0</v>
      </c>
      <c r="M63" s="36">
        <v>0</v>
      </c>
      <c r="N63" s="36">
        <v>0</v>
      </c>
      <c r="O63" s="36">
        <v>0</v>
      </c>
      <c r="P63" s="36">
        <v>0</v>
      </c>
      <c r="Q63" s="36">
        <v>0</v>
      </c>
      <c r="R63" s="43"/>
      <c r="S63" s="36">
        <v>0</v>
      </c>
      <c r="T63" s="36">
        <v>0</v>
      </c>
      <c r="U63" s="36">
        <v>0</v>
      </c>
      <c r="V63" s="36">
        <v>0</v>
      </c>
      <c r="W63" s="36">
        <v>0</v>
      </c>
      <c r="X63" s="36">
        <v>0</v>
      </c>
      <c r="Y63" s="36">
        <v>0</v>
      </c>
      <c r="Z63" s="36">
        <v>0</v>
      </c>
      <c r="AA63" s="36">
        <v>0</v>
      </c>
      <c r="AB63" s="36">
        <v>0</v>
      </c>
      <c r="AC63" s="36">
        <v>0</v>
      </c>
      <c r="AD63" s="36">
        <v>0</v>
      </c>
      <c r="AE63" s="43"/>
      <c r="AF63" s="36">
        <v>0</v>
      </c>
      <c r="AG63" s="36">
        <v>0</v>
      </c>
      <c r="AH63" s="36">
        <v>0</v>
      </c>
      <c r="AI63" s="36">
        <v>0</v>
      </c>
      <c r="AJ63" s="36">
        <v>0</v>
      </c>
      <c r="AK63" s="36">
        <v>0</v>
      </c>
      <c r="AL63" s="36">
        <v>0</v>
      </c>
      <c r="AM63" s="36">
        <v>0</v>
      </c>
      <c r="AN63" s="36">
        <v>0</v>
      </c>
      <c r="AO63" s="36">
        <v>0</v>
      </c>
      <c r="AP63" s="36">
        <v>0</v>
      </c>
      <c r="AQ63" s="36">
        <v>0</v>
      </c>
      <c r="AR63" s="43"/>
      <c r="AS63" s="36">
        <v>0</v>
      </c>
      <c r="AT63" s="36">
        <v>0</v>
      </c>
      <c r="AU63" s="36">
        <v>0</v>
      </c>
      <c r="AV63" s="36">
        <v>0</v>
      </c>
      <c r="AW63" s="36">
        <v>0</v>
      </c>
      <c r="AX63" s="36">
        <v>0</v>
      </c>
      <c r="AY63" s="36">
        <v>0</v>
      </c>
      <c r="AZ63" s="36">
        <v>0</v>
      </c>
      <c r="BA63" s="36">
        <v>0</v>
      </c>
      <c r="BB63" s="36">
        <v>0</v>
      </c>
      <c r="BC63" s="36">
        <v>0</v>
      </c>
      <c r="BD63" s="36">
        <v>0</v>
      </c>
      <c r="BE63" s="43"/>
      <c r="BF63" s="36">
        <v>0</v>
      </c>
      <c r="BG63" s="36">
        <v>0</v>
      </c>
      <c r="BH63" s="36">
        <v>0</v>
      </c>
      <c r="BI63" s="36">
        <v>0</v>
      </c>
      <c r="BJ63" s="36">
        <v>0</v>
      </c>
      <c r="BK63" s="36">
        <v>0</v>
      </c>
      <c r="BL63" s="36">
        <v>0</v>
      </c>
      <c r="BM63" s="36">
        <v>0</v>
      </c>
      <c r="BN63" s="36">
        <v>0</v>
      </c>
      <c r="BO63" s="36">
        <v>0</v>
      </c>
      <c r="BP63" s="36">
        <v>0</v>
      </c>
      <c r="BQ63" s="36">
        <v>0</v>
      </c>
      <c r="BR63" s="43"/>
    </row>
    <row r="64" spans="1:70" ht="15" outlineLevel="1">
      <c r="A64" s="55" t="s">
        <v>58</v>
      </c>
      <c r="B64" s="56"/>
      <c r="C64" s="56"/>
      <c r="D64" s="56"/>
      <c r="E64" s="56"/>
      <c r="F64" s="47">
        <v>0</v>
      </c>
      <c r="G64" s="47">
        <v>0</v>
      </c>
      <c r="H64" s="47">
        <v>0</v>
      </c>
      <c r="I64" s="47">
        <v>0</v>
      </c>
      <c r="J64" s="47">
        <v>0</v>
      </c>
      <c r="K64" s="47">
        <v>0</v>
      </c>
      <c r="L64" s="47">
        <v>0</v>
      </c>
      <c r="M64" s="47">
        <v>0</v>
      </c>
      <c r="N64" s="47">
        <v>0</v>
      </c>
      <c r="O64" s="47">
        <v>0</v>
      </c>
      <c r="P64" s="47">
        <v>0</v>
      </c>
      <c r="Q64" s="47">
        <v>0</v>
      </c>
      <c r="R64" s="43"/>
      <c r="S64" s="47">
        <v>0</v>
      </c>
      <c r="T64" s="47">
        <v>0</v>
      </c>
      <c r="U64" s="47">
        <v>0</v>
      </c>
      <c r="V64" s="47">
        <v>0</v>
      </c>
      <c r="W64" s="47">
        <v>0</v>
      </c>
      <c r="X64" s="47">
        <v>0</v>
      </c>
      <c r="Y64" s="47">
        <v>0</v>
      </c>
      <c r="Z64" s="47">
        <v>0</v>
      </c>
      <c r="AA64" s="47">
        <v>0</v>
      </c>
      <c r="AB64" s="47">
        <v>0</v>
      </c>
      <c r="AC64" s="47">
        <v>0</v>
      </c>
      <c r="AD64" s="47">
        <v>0</v>
      </c>
      <c r="AE64" s="43"/>
      <c r="AF64" s="47">
        <v>0</v>
      </c>
      <c r="AG64" s="47">
        <v>0</v>
      </c>
      <c r="AH64" s="47">
        <v>0</v>
      </c>
      <c r="AI64" s="47">
        <v>0</v>
      </c>
      <c r="AJ64" s="47">
        <v>0</v>
      </c>
      <c r="AK64" s="47">
        <v>0</v>
      </c>
      <c r="AL64" s="47">
        <v>0</v>
      </c>
      <c r="AM64" s="47">
        <v>0</v>
      </c>
      <c r="AN64" s="47">
        <v>0</v>
      </c>
      <c r="AO64" s="47">
        <v>0</v>
      </c>
      <c r="AP64" s="47">
        <v>0</v>
      </c>
      <c r="AQ64" s="47">
        <v>0</v>
      </c>
      <c r="AR64" s="43"/>
      <c r="AS64" s="47">
        <v>0</v>
      </c>
      <c r="AT64" s="47">
        <v>0</v>
      </c>
      <c r="AU64" s="47">
        <v>0</v>
      </c>
      <c r="AV64" s="47">
        <v>0</v>
      </c>
      <c r="AW64" s="47">
        <v>0</v>
      </c>
      <c r="AX64" s="47">
        <v>0</v>
      </c>
      <c r="AY64" s="47">
        <v>0</v>
      </c>
      <c r="AZ64" s="47">
        <v>0</v>
      </c>
      <c r="BA64" s="47">
        <v>0</v>
      </c>
      <c r="BB64" s="47">
        <v>0</v>
      </c>
      <c r="BC64" s="47">
        <v>0</v>
      </c>
      <c r="BD64" s="47">
        <v>0</v>
      </c>
      <c r="BE64" s="43"/>
      <c r="BF64" s="47">
        <v>0</v>
      </c>
      <c r="BG64" s="47">
        <v>0</v>
      </c>
      <c r="BH64" s="47">
        <v>0</v>
      </c>
      <c r="BI64" s="47">
        <v>0</v>
      </c>
      <c r="BJ64" s="47">
        <v>0</v>
      </c>
      <c r="BK64" s="47">
        <v>0</v>
      </c>
      <c r="BL64" s="47">
        <v>0</v>
      </c>
      <c r="BM64" s="47">
        <v>0</v>
      </c>
      <c r="BN64" s="47">
        <v>0</v>
      </c>
      <c r="BO64" s="47">
        <v>0</v>
      </c>
      <c r="BP64" s="47">
        <v>0</v>
      </c>
      <c r="BQ64" s="47">
        <v>0</v>
      </c>
      <c r="BR64" s="43"/>
    </row>
    <row r="65" spans="1:70" ht="15" outlineLevel="1">
      <c r="A65" s="34" t="s">
        <v>85</v>
      </c>
      <c r="F65" s="36">
        <f>SUM(F56:F64)</f>
        <v>0</v>
      </c>
      <c r="G65" s="36">
        <f t="shared" ref="G65:P65" si="10">SUM(G56:G64)</f>
        <v>0</v>
      </c>
      <c r="H65" s="36">
        <f t="shared" si="10"/>
        <v>0</v>
      </c>
      <c r="I65" s="36">
        <f t="shared" si="10"/>
        <v>0</v>
      </c>
      <c r="J65" s="36">
        <f t="shared" si="10"/>
        <v>0</v>
      </c>
      <c r="K65" s="36">
        <f t="shared" si="10"/>
        <v>0</v>
      </c>
      <c r="L65" s="36">
        <f t="shared" si="10"/>
        <v>0</v>
      </c>
      <c r="M65" s="36">
        <f t="shared" si="10"/>
        <v>0</v>
      </c>
      <c r="N65" s="36">
        <f t="shared" si="10"/>
        <v>0</v>
      </c>
      <c r="O65" s="36">
        <f t="shared" si="10"/>
        <v>0</v>
      </c>
      <c r="P65" s="36">
        <f t="shared" si="10"/>
        <v>0</v>
      </c>
      <c r="Q65" s="36">
        <f>SUM(Q56:Q64)</f>
        <v>0</v>
      </c>
      <c r="R65" s="36"/>
      <c r="S65" s="36">
        <f>SUM(S56:S64)</f>
        <v>0</v>
      </c>
      <c r="T65" s="36">
        <f t="shared" ref="T65:AC65" si="11">SUM(T56:T64)</f>
        <v>0</v>
      </c>
      <c r="U65" s="36">
        <f t="shared" si="11"/>
        <v>0</v>
      </c>
      <c r="V65" s="36">
        <f t="shared" si="11"/>
        <v>0</v>
      </c>
      <c r="W65" s="36">
        <f t="shared" si="11"/>
        <v>0</v>
      </c>
      <c r="X65" s="36">
        <f t="shared" si="11"/>
        <v>0</v>
      </c>
      <c r="Y65" s="36">
        <f t="shared" si="11"/>
        <v>0</v>
      </c>
      <c r="Z65" s="36">
        <f t="shared" si="11"/>
        <v>0</v>
      </c>
      <c r="AA65" s="36">
        <f t="shared" si="11"/>
        <v>0</v>
      </c>
      <c r="AB65" s="36">
        <f t="shared" si="11"/>
        <v>0</v>
      </c>
      <c r="AC65" s="36">
        <f t="shared" si="11"/>
        <v>0</v>
      </c>
      <c r="AD65" s="36">
        <f>SUM(AD56:AD64)</f>
        <v>0</v>
      </c>
      <c r="AE65" s="43"/>
      <c r="AF65" s="36">
        <f>SUM(AF56:AF64)</f>
        <v>0</v>
      </c>
      <c r="AG65" s="36">
        <f t="shared" ref="AG65:AP65" si="12">SUM(AG56:AG64)</f>
        <v>0</v>
      </c>
      <c r="AH65" s="36">
        <f t="shared" si="12"/>
        <v>0</v>
      </c>
      <c r="AI65" s="36">
        <f t="shared" si="12"/>
        <v>0</v>
      </c>
      <c r="AJ65" s="36">
        <f t="shared" si="12"/>
        <v>0</v>
      </c>
      <c r="AK65" s="36">
        <f t="shared" si="12"/>
        <v>0</v>
      </c>
      <c r="AL65" s="36">
        <f t="shared" si="12"/>
        <v>0</v>
      </c>
      <c r="AM65" s="36">
        <f t="shared" si="12"/>
        <v>0</v>
      </c>
      <c r="AN65" s="36">
        <f t="shared" si="12"/>
        <v>0</v>
      </c>
      <c r="AO65" s="36">
        <f t="shared" si="12"/>
        <v>0</v>
      </c>
      <c r="AP65" s="36">
        <f t="shared" si="12"/>
        <v>0</v>
      </c>
      <c r="AQ65" s="36">
        <f>SUM(AQ56:AQ64)</f>
        <v>0</v>
      </c>
      <c r="AR65" s="43"/>
      <c r="AS65" s="36">
        <f>SUM(AS56:AS64)</f>
        <v>0</v>
      </c>
      <c r="AT65" s="36">
        <f t="shared" ref="AT65:BC65" si="13">SUM(AT56:AT64)</f>
        <v>0</v>
      </c>
      <c r="AU65" s="36">
        <f t="shared" si="13"/>
        <v>0</v>
      </c>
      <c r="AV65" s="36">
        <f t="shared" si="13"/>
        <v>0</v>
      </c>
      <c r="AW65" s="36">
        <f t="shared" si="13"/>
        <v>0</v>
      </c>
      <c r="AX65" s="36">
        <f t="shared" si="13"/>
        <v>0</v>
      </c>
      <c r="AY65" s="36">
        <f t="shared" si="13"/>
        <v>0</v>
      </c>
      <c r="AZ65" s="36">
        <f t="shared" si="13"/>
        <v>0</v>
      </c>
      <c r="BA65" s="36">
        <f t="shared" si="13"/>
        <v>0</v>
      </c>
      <c r="BB65" s="36">
        <f t="shared" si="13"/>
        <v>0</v>
      </c>
      <c r="BC65" s="36">
        <f t="shared" si="13"/>
        <v>0</v>
      </c>
      <c r="BD65" s="36">
        <f>SUM(BD56:BD64)</f>
        <v>0</v>
      </c>
      <c r="BE65" s="43"/>
      <c r="BF65" s="36">
        <f>SUM(BF56:BF64)</f>
        <v>0</v>
      </c>
      <c r="BG65" s="36">
        <f t="shared" ref="BG65:BP65" si="14">SUM(BG56:BG64)</f>
        <v>0</v>
      </c>
      <c r="BH65" s="36">
        <f t="shared" si="14"/>
        <v>0</v>
      </c>
      <c r="BI65" s="36">
        <f t="shared" si="14"/>
        <v>0</v>
      </c>
      <c r="BJ65" s="36">
        <f t="shared" si="14"/>
        <v>0</v>
      </c>
      <c r="BK65" s="36">
        <f t="shared" si="14"/>
        <v>0</v>
      </c>
      <c r="BL65" s="36">
        <f t="shared" si="14"/>
        <v>0</v>
      </c>
      <c r="BM65" s="36">
        <f t="shared" si="14"/>
        <v>0</v>
      </c>
      <c r="BN65" s="36">
        <f t="shared" si="14"/>
        <v>0</v>
      </c>
      <c r="BO65" s="36">
        <f t="shared" si="14"/>
        <v>0</v>
      </c>
      <c r="BP65" s="36">
        <f t="shared" si="14"/>
        <v>0</v>
      </c>
      <c r="BQ65" s="36">
        <f>SUM(BQ56:BQ64)</f>
        <v>0</v>
      </c>
      <c r="BR65" s="43"/>
    </row>
    <row r="66" spans="1:70" ht="14.25" outlineLevel="1">
      <c r="A66" s="31"/>
      <c r="R66" s="43"/>
      <c r="AE66" s="43"/>
      <c r="AR66" s="43"/>
      <c r="BE66" s="43"/>
      <c r="BR66" s="43"/>
    </row>
    <row r="67" spans="1:70" ht="15" outlineLevel="1">
      <c r="A67" s="34" t="s">
        <v>60</v>
      </c>
      <c r="R67" s="43"/>
      <c r="AE67" s="43"/>
      <c r="AR67" s="43"/>
      <c r="BE67" s="43"/>
      <c r="BR67" s="43"/>
    </row>
    <row r="68" spans="1:70" ht="15" outlineLevel="1">
      <c r="A68" s="27" t="s">
        <v>61</v>
      </c>
      <c r="F68" s="36">
        <v>0</v>
      </c>
      <c r="G68" s="36">
        <v>0</v>
      </c>
      <c r="H68" s="36">
        <v>0</v>
      </c>
      <c r="I68" s="36">
        <v>0</v>
      </c>
      <c r="J68" s="36">
        <v>0</v>
      </c>
      <c r="K68" s="36">
        <v>0</v>
      </c>
      <c r="L68" s="36">
        <v>0</v>
      </c>
      <c r="M68" s="36">
        <v>0</v>
      </c>
      <c r="N68" s="36">
        <v>0</v>
      </c>
      <c r="O68" s="36">
        <v>0</v>
      </c>
      <c r="P68" s="36">
        <v>0</v>
      </c>
      <c r="Q68" s="36">
        <v>0</v>
      </c>
      <c r="R68" s="43"/>
      <c r="S68" s="36">
        <v>0</v>
      </c>
      <c r="T68" s="36">
        <v>0</v>
      </c>
      <c r="U68" s="36">
        <v>0</v>
      </c>
      <c r="V68" s="36">
        <v>0</v>
      </c>
      <c r="W68" s="36">
        <v>0</v>
      </c>
      <c r="X68" s="36">
        <v>0</v>
      </c>
      <c r="Y68" s="36">
        <v>0</v>
      </c>
      <c r="Z68" s="36">
        <v>0</v>
      </c>
      <c r="AA68" s="36">
        <v>0</v>
      </c>
      <c r="AB68" s="36">
        <v>0</v>
      </c>
      <c r="AC68" s="36">
        <v>0</v>
      </c>
      <c r="AD68" s="36">
        <v>0</v>
      </c>
      <c r="AE68" s="43"/>
      <c r="AF68" s="36">
        <v>0</v>
      </c>
      <c r="AG68" s="36">
        <v>0</v>
      </c>
      <c r="AH68" s="36">
        <v>0</v>
      </c>
      <c r="AI68" s="36">
        <v>0</v>
      </c>
      <c r="AJ68" s="36">
        <v>0</v>
      </c>
      <c r="AK68" s="36">
        <v>0</v>
      </c>
      <c r="AL68" s="36">
        <v>0</v>
      </c>
      <c r="AM68" s="36">
        <v>0</v>
      </c>
      <c r="AN68" s="36">
        <v>0</v>
      </c>
      <c r="AO68" s="36">
        <v>0</v>
      </c>
      <c r="AP68" s="36">
        <v>0</v>
      </c>
      <c r="AQ68" s="36">
        <v>0</v>
      </c>
      <c r="AR68" s="43"/>
      <c r="AS68" s="36">
        <v>0</v>
      </c>
      <c r="AT68" s="36">
        <v>0</v>
      </c>
      <c r="AU68" s="36">
        <v>0</v>
      </c>
      <c r="AV68" s="36">
        <v>0</v>
      </c>
      <c r="AW68" s="36">
        <v>0</v>
      </c>
      <c r="AX68" s="36">
        <v>0</v>
      </c>
      <c r="AY68" s="36">
        <v>0</v>
      </c>
      <c r="AZ68" s="36">
        <v>0</v>
      </c>
      <c r="BA68" s="36">
        <v>0</v>
      </c>
      <c r="BB68" s="36">
        <v>0</v>
      </c>
      <c r="BC68" s="36">
        <v>0</v>
      </c>
      <c r="BD68" s="36">
        <v>0</v>
      </c>
      <c r="BE68" s="43"/>
      <c r="BF68" s="36">
        <v>0</v>
      </c>
      <c r="BG68" s="36">
        <v>0</v>
      </c>
      <c r="BH68" s="36">
        <v>0</v>
      </c>
      <c r="BI68" s="36">
        <v>0</v>
      </c>
      <c r="BJ68" s="36">
        <v>0</v>
      </c>
      <c r="BK68" s="36">
        <v>0</v>
      </c>
      <c r="BL68" s="36">
        <v>0</v>
      </c>
      <c r="BM68" s="36">
        <v>0</v>
      </c>
      <c r="BN68" s="36">
        <v>0</v>
      </c>
      <c r="BO68" s="36">
        <v>0</v>
      </c>
      <c r="BP68" s="36">
        <v>0</v>
      </c>
      <c r="BQ68" s="36">
        <v>0</v>
      </c>
      <c r="BR68" s="43"/>
    </row>
    <row r="69" spans="1:70" ht="15" outlineLevel="1">
      <c r="A69" s="27" t="s">
        <v>62</v>
      </c>
      <c r="F69" s="36">
        <v>0</v>
      </c>
      <c r="G69" s="36">
        <v>0</v>
      </c>
      <c r="H69" s="36">
        <v>0</v>
      </c>
      <c r="I69" s="36">
        <v>0</v>
      </c>
      <c r="J69" s="36">
        <v>0</v>
      </c>
      <c r="K69" s="36">
        <v>0</v>
      </c>
      <c r="L69" s="36">
        <v>0</v>
      </c>
      <c r="M69" s="36">
        <v>0</v>
      </c>
      <c r="N69" s="36">
        <v>0</v>
      </c>
      <c r="O69" s="36">
        <v>0</v>
      </c>
      <c r="P69" s="36">
        <v>0</v>
      </c>
      <c r="Q69" s="36">
        <v>0</v>
      </c>
      <c r="R69" s="43"/>
      <c r="S69" s="36">
        <v>0</v>
      </c>
      <c r="T69" s="36">
        <v>0</v>
      </c>
      <c r="U69" s="36">
        <v>0</v>
      </c>
      <c r="V69" s="36">
        <v>0</v>
      </c>
      <c r="W69" s="36">
        <v>0</v>
      </c>
      <c r="X69" s="36">
        <v>0</v>
      </c>
      <c r="Y69" s="36">
        <v>0</v>
      </c>
      <c r="Z69" s="36">
        <v>0</v>
      </c>
      <c r="AA69" s="36">
        <v>0</v>
      </c>
      <c r="AB69" s="36">
        <v>0</v>
      </c>
      <c r="AC69" s="36">
        <v>0</v>
      </c>
      <c r="AD69" s="36">
        <v>0</v>
      </c>
      <c r="AE69" s="43"/>
      <c r="AF69" s="36">
        <v>0</v>
      </c>
      <c r="AG69" s="36">
        <v>0</v>
      </c>
      <c r="AH69" s="36">
        <v>0</v>
      </c>
      <c r="AI69" s="36">
        <v>0</v>
      </c>
      <c r="AJ69" s="36">
        <v>0</v>
      </c>
      <c r="AK69" s="36">
        <v>0</v>
      </c>
      <c r="AL69" s="36">
        <v>0</v>
      </c>
      <c r="AM69" s="36">
        <v>0</v>
      </c>
      <c r="AN69" s="36">
        <v>0</v>
      </c>
      <c r="AO69" s="36">
        <v>0</v>
      </c>
      <c r="AP69" s="36">
        <v>0</v>
      </c>
      <c r="AQ69" s="36">
        <v>0</v>
      </c>
      <c r="AR69" s="43"/>
      <c r="AS69" s="36">
        <v>0</v>
      </c>
      <c r="AT69" s="36">
        <v>0</v>
      </c>
      <c r="AU69" s="36">
        <v>0</v>
      </c>
      <c r="AV69" s="36">
        <v>0</v>
      </c>
      <c r="AW69" s="36">
        <v>0</v>
      </c>
      <c r="AX69" s="36">
        <v>0</v>
      </c>
      <c r="AY69" s="36">
        <v>0</v>
      </c>
      <c r="AZ69" s="36">
        <v>0</v>
      </c>
      <c r="BA69" s="36">
        <v>0</v>
      </c>
      <c r="BB69" s="36">
        <v>0</v>
      </c>
      <c r="BC69" s="36">
        <v>0</v>
      </c>
      <c r="BD69" s="36">
        <v>0</v>
      </c>
      <c r="BE69" s="43"/>
      <c r="BF69" s="36">
        <v>0</v>
      </c>
      <c r="BG69" s="36">
        <v>0</v>
      </c>
      <c r="BH69" s="36">
        <v>0</v>
      </c>
      <c r="BI69" s="36">
        <v>0</v>
      </c>
      <c r="BJ69" s="36">
        <v>0</v>
      </c>
      <c r="BK69" s="36">
        <v>0</v>
      </c>
      <c r="BL69" s="36">
        <v>0</v>
      </c>
      <c r="BM69" s="36">
        <v>0</v>
      </c>
      <c r="BN69" s="36">
        <v>0</v>
      </c>
      <c r="BO69" s="36">
        <v>0</v>
      </c>
      <c r="BP69" s="36">
        <v>0</v>
      </c>
      <c r="BQ69" s="36">
        <v>0</v>
      </c>
      <c r="BR69" s="43"/>
    </row>
    <row r="70" spans="1:70" ht="15" outlineLevel="1">
      <c r="A70" s="27" t="s">
        <v>63</v>
      </c>
      <c r="F70" s="36">
        <v>0</v>
      </c>
      <c r="G70" s="36">
        <v>0</v>
      </c>
      <c r="H70" s="36">
        <v>0</v>
      </c>
      <c r="I70" s="36">
        <v>0</v>
      </c>
      <c r="J70" s="36">
        <v>0</v>
      </c>
      <c r="K70" s="36">
        <v>0</v>
      </c>
      <c r="L70" s="36">
        <v>0</v>
      </c>
      <c r="M70" s="36">
        <v>0</v>
      </c>
      <c r="N70" s="36">
        <v>0</v>
      </c>
      <c r="O70" s="36">
        <v>0</v>
      </c>
      <c r="P70" s="36">
        <v>0</v>
      </c>
      <c r="Q70" s="36">
        <v>0</v>
      </c>
      <c r="R70" s="43"/>
      <c r="S70" s="36">
        <v>0</v>
      </c>
      <c r="T70" s="36">
        <v>0</v>
      </c>
      <c r="U70" s="36">
        <v>0</v>
      </c>
      <c r="V70" s="36">
        <v>0</v>
      </c>
      <c r="W70" s="36">
        <v>0</v>
      </c>
      <c r="X70" s="36">
        <v>0</v>
      </c>
      <c r="Y70" s="36">
        <v>0</v>
      </c>
      <c r="Z70" s="36">
        <v>0</v>
      </c>
      <c r="AA70" s="36">
        <v>0</v>
      </c>
      <c r="AB70" s="36">
        <v>0</v>
      </c>
      <c r="AC70" s="36">
        <v>0</v>
      </c>
      <c r="AD70" s="36">
        <v>0</v>
      </c>
      <c r="AE70" s="43"/>
      <c r="AF70" s="36">
        <v>0</v>
      </c>
      <c r="AG70" s="36">
        <v>0</v>
      </c>
      <c r="AH70" s="36">
        <v>0</v>
      </c>
      <c r="AI70" s="36">
        <v>0</v>
      </c>
      <c r="AJ70" s="36">
        <v>0</v>
      </c>
      <c r="AK70" s="36">
        <v>0</v>
      </c>
      <c r="AL70" s="36">
        <v>0</v>
      </c>
      <c r="AM70" s="36">
        <v>0</v>
      </c>
      <c r="AN70" s="36">
        <v>0</v>
      </c>
      <c r="AO70" s="36">
        <v>0</v>
      </c>
      <c r="AP70" s="36">
        <v>0</v>
      </c>
      <c r="AQ70" s="36">
        <v>0</v>
      </c>
      <c r="AR70" s="43"/>
      <c r="AS70" s="36">
        <v>0</v>
      </c>
      <c r="AT70" s="36">
        <v>0</v>
      </c>
      <c r="AU70" s="36">
        <v>0</v>
      </c>
      <c r="AV70" s="36">
        <v>0</v>
      </c>
      <c r="AW70" s="36">
        <v>0</v>
      </c>
      <c r="AX70" s="36">
        <v>0</v>
      </c>
      <c r="AY70" s="36">
        <v>0</v>
      </c>
      <c r="AZ70" s="36">
        <v>0</v>
      </c>
      <c r="BA70" s="36">
        <v>0</v>
      </c>
      <c r="BB70" s="36">
        <v>0</v>
      </c>
      <c r="BC70" s="36">
        <v>0</v>
      </c>
      <c r="BD70" s="36">
        <v>0</v>
      </c>
      <c r="BE70" s="43"/>
      <c r="BF70" s="36">
        <v>0</v>
      </c>
      <c r="BG70" s="36">
        <v>0</v>
      </c>
      <c r="BH70" s="36">
        <v>0</v>
      </c>
      <c r="BI70" s="36">
        <v>0</v>
      </c>
      <c r="BJ70" s="36">
        <v>0</v>
      </c>
      <c r="BK70" s="36">
        <v>0</v>
      </c>
      <c r="BL70" s="36">
        <v>0</v>
      </c>
      <c r="BM70" s="36">
        <v>0</v>
      </c>
      <c r="BN70" s="36">
        <v>0</v>
      </c>
      <c r="BO70" s="36">
        <v>0</v>
      </c>
      <c r="BP70" s="36">
        <v>0</v>
      </c>
      <c r="BQ70" s="36">
        <v>0</v>
      </c>
      <c r="BR70" s="43"/>
    </row>
    <row r="71" spans="1:70" ht="15" outlineLevel="1">
      <c r="A71" s="27" t="s">
        <v>64</v>
      </c>
      <c r="F71" s="36">
        <v>0</v>
      </c>
      <c r="G71" s="36">
        <v>0</v>
      </c>
      <c r="H71" s="36">
        <v>0</v>
      </c>
      <c r="I71" s="36">
        <v>0</v>
      </c>
      <c r="J71" s="36">
        <v>0</v>
      </c>
      <c r="K71" s="36">
        <v>0</v>
      </c>
      <c r="L71" s="36">
        <v>0</v>
      </c>
      <c r="M71" s="36">
        <v>0</v>
      </c>
      <c r="N71" s="36">
        <v>0</v>
      </c>
      <c r="O71" s="36">
        <v>0</v>
      </c>
      <c r="P71" s="36">
        <v>0</v>
      </c>
      <c r="Q71" s="36">
        <v>0</v>
      </c>
      <c r="R71" s="43"/>
      <c r="S71" s="36">
        <v>0</v>
      </c>
      <c r="T71" s="36">
        <v>0</v>
      </c>
      <c r="U71" s="36">
        <v>0</v>
      </c>
      <c r="V71" s="36">
        <v>0</v>
      </c>
      <c r="W71" s="36">
        <v>0</v>
      </c>
      <c r="X71" s="36">
        <v>0</v>
      </c>
      <c r="Y71" s="36">
        <v>0</v>
      </c>
      <c r="Z71" s="36">
        <v>0</v>
      </c>
      <c r="AA71" s="36">
        <v>0</v>
      </c>
      <c r="AB71" s="36">
        <v>0</v>
      </c>
      <c r="AC71" s="36">
        <v>0</v>
      </c>
      <c r="AD71" s="36">
        <v>0</v>
      </c>
      <c r="AE71" s="43"/>
      <c r="AF71" s="36">
        <v>0</v>
      </c>
      <c r="AG71" s="36">
        <v>0</v>
      </c>
      <c r="AH71" s="36">
        <v>0</v>
      </c>
      <c r="AI71" s="36">
        <v>0</v>
      </c>
      <c r="AJ71" s="36">
        <v>0</v>
      </c>
      <c r="AK71" s="36">
        <v>0</v>
      </c>
      <c r="AL71" s="36">
        <v>0</v>
      </c>
      <c r="AM71" s="36">
        <v>0</v>
      </c>
      <c r="AN71" s="36">
        <v>0</v>
      </c>
      <c r="AO71" s="36">
        <v>0</v>
      </c>
      <c r="AP71" s="36">
        <v>0</v>
      </c>
      <c r="AQ71" s="36">
        <v>0</v>
      </c>
      <c r="AR71" s="43"/>
      <c r="AS71" s="36">
        <v>0</v>
      </c>
      <c r="AT71" s="36">
        <v>0</v>
      </c>
      <c r="AU71" s="36">
        <v>0</v>
      </c>
      <c r="AV71" s="36">
        <v>0</v>
      </c>
      <c r="AW71" s="36">
        <v>0</v>
      </c>
      <c r="AX71" s="36">
        <v>0</v>
      </c>
      <c r="AY71" s="36">
        <v>0</v>
      </c>
      <c r="AZ71" s="36">
        <v>0</v>
      </c>
      <c r="BA71" s="36">
        <v>0</v>
      </c>
      <c r="BB71" s="36">
        <v>0</v>
      </c>
      <c r="BC71" s="36">
        <v>0</v>
      </c>
      <c r="BD71" s="36">
        <v>0</v>
      </c>
      <c r="BE71" s="43"/>
      <c r="BF71" s="36">
        <v>0</v>
      </c>
      <c r="BG71" s="36">
        <v>0</v>
      </c>
      <c r="BH71" s="36">
        <v>0</v>
      </c>
      <c r="BI71" s="36">
        <v>0</v>
      </c>
      <c r="BJ71" s="36">
        <v>0</v>
      </c>
      <c r="BK71" s="36">
        <v>0</v>
      </c>
      <c r="BL71" s="36">
        <v>0</v>
      </c>
      <c r="BM71" s="36">
        <v>0</v>
      </c>
      <c r="BN71" s="36">
        <v>0</v>
      </c>
      <c r="BO71" s="36">
        <v>0</v>
      </c>
      <c r="BP71" s="36">
        <v>0</v>
      </c>
      <c r="BQ71" s="36">
        <v>0</v>
      </c>
      <c r="BR71" s="43"/>
    </row>
    <row r="72" spans="1:70" ht="15" outlineLevel="1">
      <c r="A72" s="27" t="s">
        <v>65</v>
      </c>
      <c r="F72" s="36">
        <v>0</v>
      </c>
      <c r="G72" s="36">
        <v>0</v>
      </c>
      <c r="H72" s="36">
        <v>0</v>
      </c>
      <c r="I72" s="36">
        <v>0</v>
      </c>
      <c r="J72" s="36">
        <v>0</v>
      </c>
      <c r="K72" s="36">
        <v>0</v>
      </c>
      <c r="L72" s="36">
        <v>0</v>
      </c>
      <c r="M72" s="36">
        <v>0</v>
      </c>
      <c r="N72" s="36">
        <v>0</v>
      </c>
      <c r="O72" s="36">
        <v>0</v>
      </c>
      <c r="P72" s="36">
        <v>0</v>
      </c>
      <c r="Q72" s="36">
        <v>0</v>
      </c>
      <c r="R72" s="43"/>
      <c r="S72" s="36">
        <v>0</v>
      </c>
      <c r="T72" s="36">
        <v>0</v>
      </c>
      <c r="U72" s="36">
        <v>0</v>
      </c>
      <c r="V72" s="36">
        <v>0</v>
      </c>
      <c r="W72" s="36">
        <v>0</v>
      </c>
      <c r="X72" s="36">
        <v>0</v>
      </c>
      <c r="Y72" s="36">
        <v>0</v>
      </c>
      <c r="Z72" s="36">
        <v>0</v>
      </c>
      <c r="AA72" s="36">
        <v>0</v>
      </c>
      <c r="AB72" s="36">
        <v>0</v>
      </c>
      <c r="AC72" s="36">
        <v>0</v>
      </c>
      <c r="AD72" s="36">
        <v>0</v>
      </c>
      <c r="AE72" s="43"/>
      <c r="AF72" s="36">
        <v>0</v>
      </c>
      <c r="AG72" s="36">
        <v>0</v>
      </c>
      <c r="AH72" s="36">
        <v>0</v>
      </c>
      <c r="AI72" s="36">
        <v>0</v>
      </c>
      <c r="AJ72" s="36">
        <v>0</v>
      </c>
      <c r="AK72" s="36">
        <v>0</v>
      </c>
      <c r="AL72" s="36">
        <v>0</v>
      </c>
      <c r="AM72" s="36">
        <v>0</v>
      </c>
      <c r="AN72" s="36">
        <v>0</v>
      </c>
      <c r="AO72" s="36">
        <v>0</v>
      </c>
      <c r="AP72" s="36">
        <v>0</v>
      </c>
      <c r="AQ72" s="36">
        <v>0</v>
      </c>
      <c r="AR72" s="43"/>
      <c r="AS72" s="36">
        <v>0</v>
      </c>
      <c r="AT72" s="36">
        <v>0</v>
      </c>
      <c r="AU72" s="36">
        <v>0</v>
      </c>
      <c r="AV72" s="36">
        <v>0</v>
      </c>
      <c r="AW72" s="36">
        <v>0</v>
      </c>
      <c r="AX72" s="36">
        <v>0</v>
      </c>
      <c r="AY72" s="36">
        <v>0</v>
      </c>
      <c r="AZ72" s="36">
        <v>0</v>
      </c>
      <c r="BA72" s="36">
        <v>0</v>
      </c>
      <c r="BB72" s="36">
        <v>0</v>
      </c>
      <c r="BC72" s="36">
        <v>0</v>
      </c>
      <c r="BD72" s="36">
        <v>0</v>
      </c>
      <c r="BE72" s="43"/>
      <c r="BF72" s="36">
        <v>0</v>
      </c>
      <c r="BG72" s="36">
        <v>0</v>
      </c>
      <c r="BH72" s="36">
        <v>0</v>
      </c>
      <c r="BI72" s="36">
        <v>0</v>
      </c>
      <c r="BJ72" s="36">
        <v>0</v>
      </c>
      <c r="BK72" s="36">
        <v>0</v>
      </c>
      <c r="BL72" s="36">
        <v>0</v>
      </c>
      <c r="BM72" s="36">
        <v>0</v>
      </c>
      <c r="BN72" s="36">
        <v>0</v>
      </c>
      <c r="BO72" s="36">
        <v>0</v>
      </c>
      <c r="BP72" s="36">
        <v>0</v>
      </c>
      <c r="BQ72" s="36">
        <v>0</v>
      </c>
      <c r="BR72" s="43"/>
    </row>
    <row r="73" spans="1:70" ht="15" outlineLevel="1">
      <c r="A73" s="27" t="s">
        <v>66</v>
      </c>
      <c r="F73" s="36">
        <v>0</v>
      </c>
      <c r="G73" s="36">
        <v>0</v>
      </c>
      <c r="H73" s="36">
        <v>0</v>
      </c>
      <c r="I73" s="36">
        <v>0</v>
      </c>
      <c r="J73" s="36">
        <v>0</v>
      </c>
      <c r="K73" s="36">
        <v>0</v>
      </c>
      <c r="L73" s="36">
        <v>0</v>
      </c>
      <c r="M73" s="36">
        <v>0</v>
      </c>
      <c r="N73" s="36">
        <v>0</v>
      </c>
      <c r="O73" s="36">
        <v>0</v>
      </c>
      <c r="P73" s="36">
        <v>0</v>
      </c>
      <c r="Q73" s="36">
        <v>0</v>
      </c>
      <c r="R73" s="43"/>
      <c r="S73" s="36">
        <v>0</v>
      </c>
      <c r="T73" s="36">
        <v>0</v>
      </c>
      <c r="U73" s="36">
        <v>0</v>
      </c>
      <c r="V73" s="36">
        <v>0</v>
      </c>
      <c r="W73" s="36">
        <v>0</v>
      </c>
      <c r="X73" s="36">
        <v>0</v>
      </c>
      <c r="Y73" s="36">
        <v>0</v>
      </c>
      <c r="Z73" s="36">
        <v>0</v>
      </c>
      <c r="AA73" s="36">
        <v>0</v>
      </c>
      <c r="AB73" s="36">
        <v>0</v>
      </c>
      <c r="AC73" s="36">
        <v>0</v>
      </c>
      <c r="AD73" s="36">
        <v>0</v>
      </c>
      <c r="AE73" s="43"/>
      <c r="AF73" s="36">
        <v>0</v>
      </c>
      <c r="AG73" s="36">
        <v>0</v>
      </c>
      <c r="AH73" s="36">
        <v>0</v>
      </c>
      <c r="AI73" s="36">
        <v>0</v>
      </c>
      <c r="AJ73" s="36">
        <v>0</v>
      </c>
      <c r="AK73" s="36">
        <v>0</v>
      </c>
      <c r="AL73" s="36">
        <v>0</v>
      </c>
      <c r="AM73" s="36">
        <v>0</v>
      </c>
      <c r="AN73" s="36">
        <v>0</v>
      </c>
      <c r="AO73" s="36">
        <v>0</v>
      </c>
      <c r="AP73" s="36">
        <v>0</v>
      </c>
      <c r="AQ73" s="36">
        <v>0</v>
      </c>
      <c r="AR73" s="43"/>
      <c r="AS73" s="36">
        <v>0</v>
      </c>
      <c r="AT73" s="36">
        <v>0</v>
      </c>
      <c r="AU73" s="36">
        <v>0</v>
      </c>
      <c r="AV73" s="36">
        <v>0</v>
      </c>
      <c r="AW73" s="36">
        <v>0</v>
      </c>
      <c r="AX73" s="36">
        <v>0</v>
      </c>
      <c r="AY73" s="36">
        <v>0</v>
      </c>
      <c r="AZ73" s="36">
        <v>0</v>
      </c>
      <c r="BA73" s="36">
        <v>0</v>
      </c>
      <c r="BB73" s="36">
        <v>0</v>
      </c>
      <c r="BC73" s="36">
        <v>0</v>
      </c>
      <c r="BD73" s="36">
        <v>0</v>
      </c>
      <c r="BE73" s="43"/>
      <c r="BF73" s="36">
        <v>0</v>
      </c>
      <c r="BG73" s="36">
        <v>0</v>
      </c>
      <c r="BH73" s="36">
        <v>0</v>
      </c>
      <c r="BI73" s="36">
        <v>0</v>
      </c>
      <c r="BJ73" s="36">
        <v>0</v>
      </c>
      <c r="BK73" s="36">
        <v>0</v>
      </c>
      <c r="BL73" s="36">
        <v>0</v>
      </c>
      <c r="BM73" s="36">
        <v>0</v>
      </c>
      <c r="BN73" s="36">
        <v>0</v>
      </c>
      <c r="BO73" s="36">
        <v>0</v>
      </c>
      <c r="BP73" s="36">
        <v>0</v>
      </c>
      <c r="BQ73" s="36">
        <v>0</v>
      </c>
      <c r="BR73" s="43"/>
    </row>
    <row r="74" spans="1:70" ht="15" outlineLevel="1">
      <c r="A74" s="27" t="s">
        <v>67</v>
      </c>
      <c r="F74" s="36">
        <v>0</v>
      </c>
      <c r="G74" s="36">
        <v>0</v>
      </c>
      <c r="H74" s="36">
        <v>0</v>
      </c>
      <c r="I74" s="36">
        <v>0</v>
      </c>
      <c r="J74" s="36">
        <v>0</v>
      </c>
      <c r="K74" s="36">
        <v>0</v>
      </c>
      <c r="L74" s="36">
        <v>0</v>
      </c>
      <c r="M74" s="36">
        <v>0</v>
      </c>
      <c r="N74" s="36">
        <v>0</v>
      </c>
      <c r="O74" s="36">
        <v>0</v>
      </c>
      <c r="P74" s="36">
        <v>0</v>
      </c>
      <c r="Q74" s="36">
        <v>0</v>
      </c>
      <c r="R74" s="43"/>
      <c r="S74" s="36">
        <v>0</v>
      </c>
      <c r="T74" s="36">
        <v>0</v>
      </c>
      <c r="U74" s="36">
        <v>0</v>
      </c>
      <c r="V74" s="36">
        <v>0</v>
      </c>
      <c r="W74" s="36">
        <v>0</v>
      </c>
      <c r="X74" s="36">
        <v>0</v>
      </c>
      <c r="Y74" s="36">
        <v>0</v>
      </c>
      <c r="Z74" s="36">
        <v>0</v>
      </c>
      <c r="AA74" s="36">
        <v>0</v>
      </c>
      <c r="AB74" s="36">
        <v>0</v>
      </c>
      <c r="AC74" s="36">
        <v>0</v>
      </c>
      <c r="AD74" s="36">
        <v>0</v>
      </c>
      <c r="AE74" s="43"/>
      <c r="AF74" s="36">
        <v>0</v>
      </c>
      <c r="AG74" s="36">
        <v>0</v>
      </c>
      <c r="AH74" s="36">
        <v>0</v>
      </c>
      <c r="AI74" s="36">
        <v>0</v>
      </c>
      <c r="AJ74" s="36">
        <v>0</v>
      </c>
      <c r="AK74" s="36">
        <v>0</v>
      </c>
      <c r="AL74" s="36">
        <v>0</v>
      </c>
      <c r="AM74" s="36">
        <v>0</v>
      </c>
      <c r="AN74" s="36">
        <v>0</v>
      </c>
      <c r="AO74" s="36">
        <v>0</v>
      </c>
      <c r="AP74" s="36">
        <v>0</v>
      </c>
      <c r="AQ74" s="36">
        <v>0</v>
      </c>
      <c r="AR74" s="43"/>
      <c r="AS74" s="36">
        <v>0</v>
      </c>
      <c r="AT74" s="36">
        <v>0</v>
      </c>
      <c r="AU74" s="36">
        <v>0</v>
      </c>
      <c r="AV74" s="36">
        <v>0</v>
      </c>
      <c r="AW74" s="36">
        <v>0</v>
      </c>
      <c r="AX74" s="36">
        <v>0</v>
      </c>
      <c r="AY74" s="36">
        <v>0</v>
      </c>
      <c r="AZ74" s="36">
        <v>0</v>
      </c>
      <c r="BA74" s="36">
        <v>0</v>
      </c>
      <c r="BB74" s="36">
        <v>0</v>
      </c>
      <c r="BC74" s="36">
        <v>0</v>
      </c>
      <c r="BD74" s="36">
        <v>0</v>
      </c>
      <c r="BE74" s="43"/>
      <c r="BF74" s="36">
        <v>0</v>
      </c>
      <c r="BG74" s="36">
        <v>0</v>
      </c>
      <c r="BH74" s="36">
        <v>0</v>
      </c>
      <c r="BI74" s="36">
        <v>0</v>
      </c>
      <c r="BJ74" s="36">
        <v>0</v>
      </c>
      <c r="BK74" s="36">
        <v>0</v>
      </c>
      <c r="BL74" s="36">
        <v>0</v>
      </c>
      <c r="BM74" s="36">
        <v>0</v>
      </c>
      <c r="BN74" s="36">
        <v>0</v>
      </c>
      <c r="BO74" s="36">
        <v>0</v>
      </c>
      <c r="BP74" s="36">
        <v>0</v>
      </c>
      <c r="BQ74" s="36">
        <v>0</v>
      </c>
      <c r="BR74" s="43"/>
    </row>
    <row r="75" spans="1:70" ht="15" outlineLevel="1">
      <c r="A75" s="27" t="s">
        <v>68</v>
      </c>
      <c r="F75" s="36">
        <v>0</v>
      </c>
      <c r="G75" s="36">
        <v>0</v>
      </c>
      <c r="H75" s="36">
        <v>0</v>
      </c>
      <c r="I75" s="36">
        <v>0</v>
      </c>
      <c r="J75" s="36">
        <v>0</v>
      </c>
      <c r="K75" s="36">
        <v>0</v>
      </c>
      <c r="L75" s="36">
        <v>0</v>
      </c>
      <c r="M75" s="36">
        <v>0</v>
      </c>
      <c r="N75" s="36">
        <v>0</v>
      </c>
      <c r="O75" s="36">
        <v>0</v>
      </c>
      <c r="P75" s="36">
        <v>0</v>
      </c>
      <c r="Q75" s="36">
        <v>0</v>
      </c>
      <c r="R75" s="43"/>
      <c r="S75" s="36">
        <v>0</v>
      </c>
      <c r="T75" s="36">
        <v>0</v>
      </c>
      <c r="U75" s="36">
        <v>0</v>
      </c>
      <c r="V75" s="36">
        <v>0</v>
      </c>
      <c r="W75" s="36">
        <v>0</v>
      </c>
      <c r="X75" s="36">
        <v>0</v>
      </c>
      <c r="Y75" s="36">
        <v>0</v>
      </c>
      <c r="Z75" s="36">
        <v>0</v>
      </c>
      <c r="AA75" s="36">
        <v>0</v>
      </c>
      <c r="AB75" s="36">
        <v>0</v>
      </c>
      <c r="AC75" s="36">
        <v>0</v>
      </c>
      <c r="AD75" s="36">
        <v>0</v>
      </c>
      <c r="AE75" s="43"/>
      <c r="AF75" s="36">
        <v>0</v>
      </c>
      <c r="AG75" s="36">
        <v>0</v>
      </c>
      <c r="AH75" s="36">
        <v>0</v>
      </c>
      <c r="AI75" s="36">
        <v>0</v>
      </c>
      <c r="AJ75" s="36">
        <v>0</v>
      </c>
      <c r="AK75" s="36">
        <v>0</v>
      </c>
      <c r="AL75" s="36">
        <v>0</v>
      </c>
      <c r="AM75" s="36">
        <v>0</v>
      </c>
      <c r="AN75" s="36">
        <v>0</v>
      </c>
      <c r="AO75" s="36">
        <v>0</v>
      </c>
      <c r="AP75" s="36">
        <v>0</v>
      </c>
      <c r="AQ75" s="36">
        <v>0</v>
      </c>
      <c r="AR75" s="43"/>
      <c r="AS75" s="36">
        <v>0</v>
      </c>
      <c r="AT75" s="36">
        <v>0</v>
      </c>
      <c r="AU75" s="36">
        <v>0</v>
      </c>
      <c r="AV75" s="36">
        <v>0</v>
      </c>
      <c r="AW75" s="36">
        <v>0</v>
      </c>
      <c r="AX75" s="36">
        <v>0</v>
      </c>
      <c r="AY75" s="36">
        <v>0</v>
      </c>
      <c r="AZ75" s="36">
        <v>0</v>
      </c>
      <c r="BA75" s="36">
        <v>0</v>
      </c>
      <c r="BB75" s="36">
        <v>0</v>
      </c>
      <c r="BC75" s="36">
        <v>0</v>
      </c>
      <c r="BD75" s="36">
        <v>0</v>
      </c>
      <c r="BE75" s="43"/>
      <c r="BF75" s="36">
        <v>0</v>
      </c>
      <c r="BG75" s="36">
        <v>0</v>
      </c>
      <c r="BH75" s="36">
        <v>0</v>
      </c>
      <c r="BI75" s="36">
        <v>0</v>
      </c>
      <c r="BJ75" s="36">
        <v>0</v>
      </c>
      <c r="BK75" s="36">
        <v>0</v>
      </c>
      <c r="BL75" s="36">
        <v>0</v>
      </c>
      <c r="BM75" s="36">
        <v>0</v>
      </c>
      <c r="BN75" s="36">
        <v>0</v>
      </c>
      <c r="BO75" s="36">
        <v>0</v>
      </c>
      <c r="BP75" s="36">
        <v>0</v>
      </c>
      <c r="BQ75" s="36">
        <v>0</v>
      </c>
      <c r="BR75" s="43"/>
    </row>
    <row r="76" spans="1:70" ht="15" outlineLevel="1">
      <c r="A76" s="27" t="s">
        <v>69</v>
      </c>
      <c r="F76" s="36">
        <v>0</v>
      </c>
      <c r="G76" s="36">
        <v>0</v>
      </c>
      <c r="H76" s="36">
        <v>0</v>
      </c>
      <c r="I76" s="36">
        <v>0</v>
      </c>
      <c r="J76" s="36">
        <v>0</v>
      </c>
      <c r="K76" s="36">
        <v>0</v>
      </c>
      <c r="L76" s="36">
        <v>0</v>
      </c>
      <c r="M76" s="36">
        <v>0</v>
      </c>
      <c r="N76" s="36">
        <v>0</v>
      </c>
      <c r="O76" s="36">
        <v>0</v>
      </c>
      <c r="P76" s="36">
        <v>0</v>
      </c>
      <c r="Q76" s="36">
        <v>0</v>
      </c>
      <c r="R76" s="43"/>
      <c r="S76" s="36">
        <v>0</v>
      </c>
      <c r="T76" s="36">
        <v>0</v>
      </c>
      <c r="U76" s="36">
        <v>0</v>
      </c>
      <c r="V76" s="36">
        <v>0</v>
      </c>
      <c r="W76" s="36">
        <v>0</v>
      </c>
      <c r="X76" s="36">
        <v>0</v>
      </c>
      <c r="Y76" s="36">
        <v>0</v>
      </c>
      <c r="Z76" s="36">
        <v>0</v>
      </c>
      <c r="AA76" s="36">
        <v>0</v>
      </c>
      <c r="AB76" s="36">
        <v>0</v>
      </c>
      <c r="AC76" s="36">
        <v>0</v>
      </c>
      <c r="AD76" s="36">
        <v>0</v>
      </c>
      <c r="AE76" s="43"/>
      <c r="AF76" s="36">
        <v>0</v>
      </c>
      <c r="AG76" s="36">
        <v>0</v>
      </c>
      <c r="AH76" s="36">
        <v>0</v>
      </c>
      <c r="AI76" s="36">
        <v>0</v>
      </c>
      <c r="AJ76" s="36">
        <v>0</v>
      </c>
      <c r="AK76" s="36">
        <v>0</v>
      </c>
      <c r="AL76" s="36">
        <v>0</v>
      </c>
      <c r="AM76" s="36">
        <v>0</v>
      </c>
      <c r="AN76" s="36">
        <v>0</v>
      </c>
      <c r="AO76" s="36">
        <v>0</v>
      </c>
      <c r="AP76" s="36">
        <v>0</v>
      </c>
      <c r="AQ76" s="36">
        <v>0</v>
      </c>
      <c r="AR76" s="43"/>
      <c r="AS76" s="36">
        <v>0</v>
      </c>
      <c r="AT76" s="36">
        <v>0</v>
      </c>
      <c r="AU76" s="36">
        <v>0</v>
      </c>
      <c r="AV76" s="36">
        <v>0</v>
      </c>
      <c r="AW76" s="36">
        <v>0</v>
      </c>
      <c r="AX76" s="36">
        <v>0</v>
      </c>
      <c r="AY76" s="36">
        <v>0</v>
      </c>
      <c r="AZ76" s="36">
        <v>0</v>
      </c>
      <c r="BA76" s="36">
        <v>0</v>
      </c>
      <c r="BB76" s="36">
        <v>0</v>
      </c>
      <c r="BC76" s="36">
        <v>0</v>
      </c>
      <c r="BD76" s="36">
        <v>0</v>
      </c>
      <c r="BE76" s="43"/>
      <c r="BF76" s="36">
        <v>0</v>
      </c>
      <c r="BG76" s="36">
        <v>0</v>
      </c>
      <c r="BH76" s="36">
        <v>0</v>
      </c>
      <c r="BI76" s="36">
        <v>0</v>
      </c>
      <c r="BJ76" s="36">
        <v>0</v>
      </c>
      <c r="BK76" s="36">
        <v>0</v>
      </c>
      <c r="BL76" s="36">
        <v>0</v>
      </c>
      <c r="BM76" s="36">
        <v>0</v>
      </c>
      <c r="BN76" s="36">
        <v>0</v>
      </c>
      <c r="BO76" s="36">
        <v>0</v>
      </c>
      <c r="BP76" s="36">
        <v>0</v>
      </c>
      <c r="BQ76" s="36">
        <v>0</v>
      </c>
      <c r="BR76" s="43"/>
    </row>
    <row r="77" spans="1:70" ht="15" outlineLevel="1">
      <c r="A77" s="27" t="s">
        <v>70</v>
      </c>
      <c r="F77" s="36">
        <v>0</v>
      </c>
      <c r="G77" s="36">
        <v>0</v>
      </c>
      <c r="H77" s="36">
        <v>0</v>
      </c>
      <c r="I77" s="36">
        <v>0</v>
      </c>
      <c r="J77" s="36">
        <v>0</v>
      </c>
      <c r="K77" s="36">
        <v>0</v>
      </c>
      <c r="L77" s="36">
        <v>0</v>
      </c>
      <c r="M77" s="36">
        <v>0</v>
      </c>
      <c r="N77" s="36">
        <v>0</v>
      </c>
      <c r="O77" s="36">
        <v>0</v>
      </c>
      <c r="P77" s="36">
        <v>0</v>
      </c>
      <c r="Q77" s="36">
        <v>0</v>
      </c>
      <c r="R77" s="43"/>
      <c r="S77" s="36">
        <v>0</v>
      </c>
      <c r="T77" s="36">
        <v>0</v>
      </c>
      <c r="U77" s="36">
        <v>0</v>
      </c>
      <c r="V77" s="36">
        <v>0</v>
      </c>
      <c r="W77" s="36">
        <v>0</v>
      </c>
      <c r="X77" s="36">
        <v>0</v>
      </c>
      <c r="Y77" s="36">
        <v>0</v>
      </c>
      <c r="Z77" s="36">
        <v>0</v>
      </c>
      <c r="AA77" s="36">
        <v>0</v>
      </c>
      <c r="AB77" s="36">
        <v>0</v>
      </c>
      <c r="AC77" s="36">
        <v>0</v>
      </c>
      <c r="AD77" s="36">
        <v>0</v>
      </c>
      <c r="AE77" s="43"/>
      <c r="AF77" s="36">
        <v>0</v>
      </c>
      <c r="AG77" s="36">
        <v>0</v>
      </c>
      <c r="AH77" s="36">
        <v>0</v>
      </c>
      <c r="AI77" s="36">
        <v>0</v>
      </c>
      <c r="AJ77" s="36">
        <v>0</v>
      </c>
      <c r="AK77" s="36">
        <v>0</v>
      </c>
      <c r="AL77" s="36">
        <v>0</v>
      </c>
      <c r="AM77" s="36">
        <v>0</v>
      </c>
      <c r="AN77" s="36">
        <v>0</v>
      </c>
      <c r="AO77" s="36">
        <v>0</v>
      </c>
      <c r="AP77" s="36">
        <v>0</v>
      </c>
      <c r="AQ77" s="36">
        <v>0</v>
      </c>
      <c r="AR77" s="43"/>
      <c r="AS77" s="36">
        <v>0</v>
      </c>
      <c r="AT77" s="36">
        <v>0</v>
      </c>
      <c r="AU77" s="36">
        <v>0</v>
      </c>
      <c r="AV77" s="36">
        <v>0</v>
      </c>
      <c r="AW77" s="36">
        <v>0</v>
      </c>
      <c r="AX77" s="36">
        <v>0</v>
      </c>
      <c r="AY77" s="36">
        <v>0</v>
      </c>
      <c r="AZ77" s="36">
        <v>0</v>
      </c>
      <c r="BA77" s="36">
        <v>0</v>
      </c>
      <c r="BB77" s="36">
        <v>0</v>
      </c>
      <c r="BC77" s="36">
        <v>0</v>
      </c>
      <c r="BD77" s="36">
        <v>0</v>
      </c>
      <c r="BE77" s="43"/>
      <c r="BF77" s="36">
        <v>0</v>
      </c>
      <c r="BG77" s="36">
        <v>0</v>
      </c>
      <c r="BH77" s="36">
        <v>0</v>
      </c>
      <c r="BI77" s="36">
        <v>0</v>
      </c>
      <c r="BJ77" s="36">
        <v>0</v>
      </c>
      <c r="BK77" s="36">
        <v>0</v>
      </c>
      <c r="BL77" s="36">
        <v>0</v>
      </c>
      <c r="BM77" s="36">
        <v>0</v>
      </c>
      <c r="BN77" s="36">
        <v>0</v>
      </c>
      <c r="BO77" s="36">
        <v>0</v>
      </c>
      <c r="BP77" s="36">
        <v>0</v>
      </c>
      <c r="BQ77" s="36">
        <v>0</v>
      </c>
      <c r="BR77" s="43"/>
    </row>
    <row r="78" spans="1:70" ht="15" outlineLevel="1">
      <c r="A78" s="57" t="s">
        <v>71</v>
      </c>
      <c r="B78" s="56"/>
      <c r="C78" s="56"/>
      <c r="D78" s="56"/>
      <c r="E78" s="56"/>
      <c r="F78" s="47">
        <v>0</v>
      </c>
      <c r="G78" s="47">
        <v>0</v>
      </c>
      <c r="H78" s="47">
        <v>0</v>
      </c>
      <c r="I78" s="47">
        <v>0</v>
      </c>
      <c r="J78" s="47">
        <v>0</v>
      </c>
      <c r="K78" s="47">
        <v>0</v>
      </c>
      <c r="L78" s="47">
        <v>0</v>
      </c>
      <c r="M78" s="47">
        <v>0</v>
      </c>
      <c r="N78" s="47">
        <v>0</v>
      </c>
      <c r="O78" s="47">
        <v>0</v>
      </c>
      <c r="P78" s="47">
        <v>0</v>
      </c>
      <c r="Q78" s="47">
        <v>0</v>
      </c>
      <c r="R78" s="43"/>
      <c r="S78" s="47">
        <v>0</v>
      </c>
      <c r="T78" s="47">
        <v>0</v>
      </c>
      <c r="U78" s="47">
        <v>0</v>
      </c>
      <c r="V78" s="47">
        <v>0</v>
      </c>
      <c r="W78" s="47">
        <v>0</v>
      </c>
      <c r="X78" s="47">
        <v>0</v>
      </c>
      <c r="Y78" s="47">
        <v>0</v>
      </c>
      <c r="Z78" s="47">
        <v>0</v>
      </c>
      <c r="AA78" s="47">
        <v>0</v>
      </c>
      <c r="AB78" s="47">
        <v>0</v>
      </c>
      <c r="AC78" s="47">
        <v>0</v>
      </c>
      <c r="AD78" s="47">
        <v>0</v>
      </c>
      <c r="AE78" s="43"/>
      <c r="AF78" s="47">
        <v>0</v>
      </c>
      <c r="AG78" s="47">
        <v>0</v>
      </c>
      <c r="AH78" s="47">
        <v>0</v>
      </c>
      <c r="AI78" s="47">
        <v>0</v>
      </c>
      <c r="AJ78" s="47">
        <v>0</v>
      </c>
      <c r="AK78" s="47">
        <v>0</v>
      </c>
      <c r="AL78" s="47">
        <v>0</v>
      </c>
      <c r="AM78" s="47">
        <v>0</v>
      </c>
      <c r="AN78" s="47">
        <v>0</v>
      </c>
      <c r="AO78" s="47">
        <v>0</v>
      </c>
      <c r="AP78" s="47">
        <v>0</v>
      </c>
      <c r="AQ78" s="47">
        <v>0</v>
      </c>
      <c r="AR78" s="43"/>
      <c r="AS78" s="47">
        <v>0</v>
      </c>
      <c r="AT78" s="47">
        <v>0</v>
      </c>
      <c r="AU78" s="47">
        <v>0</v>
      </c>
      <c r="AV78" s="47">
        <v>0</v>
      </c>
      <c r="AW78" s="47">
        <v>0</v>
      </c>
      <c r="AX78" s="47">
        <v>0</v>
      </c>
      <c r="AY78" s="47">
        <v>0</v>
      </c>
      <c r="AZ78" s="47">
        <v>0</v>
      </c>
      <c r="BA78" s="47">
        <v>0</v>
      </c>
      <c r="BB78" s="47">
        <v>0</v>
      </c>
      <c r="BC78" s="47">
        <v>0</v>
      </c>
      <c r="BD78" s="47">
        <v>0</v>
      </c>
      <c r="BE78" s="43"/>
      <c r="BF78" s="47">
        <v>0</v>
      </c>
      <c r="BG78" s="47">
        <v>0</v>
      </c>
      <c r="BH78" s="47">
        <v>0</v>
      </c>
      <c r="BI78" s="47">
        <v>0</v>
      </c>
      <c r="BJ78" s="47">
        <v>0</v>
      </c>
      <c r="BK78" s="47">
        <v>0</v>
      </c>
      <c r="BL78" s="47">
        <v>0</v>
      </c>
      <c r="BM78" s="47">
        <v>0</v>
      </c>
      <c r="BN78" s="47">
        <v>0</v>
      </c>
      <c r="BO78" s="47">
        <v>0</v>
      </c>
      <c r="BP78" s="47">
        <v>0</v>
      </c>
      <c r="BQ78" s="47">
        <v>0</v>
      </c>
      <c r="BR78" s="43"/>
    </row>
    <row r="79" spans="1:70" ht="15" outlineLevel="1">
      <c r="A79" s="34" t="s">
        <v>72</v>
      </c>
      <c r="F79" s="36">
        <f>SUM(F68:F78)</f>
        <v>0</v>
      </c>
      <c r="G79" s="36">
        <f t="shared" ref="G79:P79" si="15">SUM(G68:G78)</f>
        <v>0</v>
      </c>
      <c r="H79" s="36">
        <f t="shared" si="15"/>
        <v>0</v>
      </c>
      <c r="I79" s="36">
        <f t="shared" si="15"/>
        <v>0</v>
      </c>
      <c r="J79" s="36">
        <f t="shared" si="15"/>
        <v>0</v>
      </c>
      <c r="K79" s="36">
        <f t="shared" si="15"/>
        <v>0</v>
      </c>
      <c r="L79" s="36">
        <f t="shared" si="15"/>
        <v>0</v>
      </c>
      <c r="M79" s="36">
        <f t="shared" si="15"/>
        <v>0</v>
      </c>
      <c r="N79" s="36">
        <f t="shared" si="15"/>
        <v>0</v>
      </c>
      <c r="O79" s="36">
        <f t="shared" si="15"/>
        <v>0</v>
      </c>
      <c r="P79" s="36">
        <f t="shared" si="15"/>
        <v>0</v>
      </c>
      <c r="Q79" s="36">
        <f>SUM(Q68:Q78)</f>
        <v>0</v>
      </c>
      <c r="R79" s="43"/>
      <c r="S79" s="36">
        <f>SUM(S68:S78)</f>
        <v>0</v>
      </c>
      <c r="T79" s="36">
        <f t="shared" ref="T79:AC79" si="16">SUM(T68:T78)</f>
        <v>0</v>
      </c>
      <c r="U79" s="36">
        <f t="shared" si="16"/>
        <v>0</v>
      </c>
      <c r="V79" s="36">
        <f t="shared" si="16"/>
        <v>0</v>
      </c>
      <c r="W79" s="36">
        <f t="shared" si="16"/>
        <v>0</v>
      </c>
      <c r="X79" s="36">
        <f t="shared" si="16"/>
        <v>0</v>
      </c>
      <c r="Y79" s="36">
        <f t="shared" si="16"/>
        <v>0</v>
      </c>
      <c r="Z79" s="36">
        <f t="shared" si="16"/>
        <v>0</v>
      </c>
      <c r="AA79" s="36">
        <f t="shared" si="16"/>
        <v>0</v>
      </c>
      <c r="AB79" s="36">
        <f t="shared" si="16"/>
        <v>0</v>
      </c>
      <c r="AC79" s="36">
        <f t="shared" si="16"/>
        <v>0</v>
      </c>
      <c r="AD79" s="36">
        <f>SUM(AD68:AD78)</f>
        <v>0</v>
      </c>
      <c r="AE79" s="43"/>
      <c r="AF79" s="36">
        <f>SUM(AF68:AF78)</f>
        <v>0</v>
      </c>
      <c r="AG79" s="36">
        <f t="shared" ref="AG79:AP79" si="17">SUM(AG68:AG78)</f>
        <v>0</v>
      </c>
      <c r="AH79" s="36">
        <f t="shared" si="17"/>
        <v>0</v>
      </c>
      <c r="AI79" s="36">
        <f t="shared" si="17"/>
        <v>0</v>
      </c>
      <c r="AJ79" s="36">
        <f t="shared" si="17"/>
        <v>0</v>
      </c>
      <c r="AK79" s="36">
        <f t="shared" si="17"/>
        <v>0</v>
      </c>
      <c r="AL79" s="36">
        <f t="shared" si="17"/>
        <v>0</v>
      </c>
      <c r="AM79" s="36">
        <f t="shared" si="17"/>
        <v>0</v>
      </c>
      <c r="AN79" s="36">
        <f t="shared" si="17"/>
        <v>0</v>
      </c>
      <c r="AO79" s="36">
        <f t="shared" si="17"/>
        <v>0</v>
      </c>
      <c r="AP79" s="36">
        <f t="shared" si="17"/>
        <v>0</v>
      </c>
      <c r="AQ79" s="36">
        <f>SUM(AQ68:AQ78)</f>
        <v>0</v>
      </c>
      <c r="AR79" s="43"/>
      <c r="AS79" s="36">
        <f>SUM(AS68:AS78)</f>
        <v>0</v>
      </c>
      <c r="AT79" s="36">
        <f t="shared" ref="AT79:BC79" si="18">SUM(AT68:AT78)</f>
        <v>0</v>
      </c>
      <c r="AU79" s="36">
        <f t="shared" si="18"/>
        <v>0</v>
      </c>
      <c r="AV79" s="36">
        <f t="shared" si="18"/>
        <v>0</v>
      </c>
      <c r="AW79" s="36">
        <f t="shared" si="18"/>
        <v>0</v>
      </c>
      <c r="AX79" s="36">
        <f t="shared" si="18"/>
        <v>0</v>
      </c>
      <c r="AY79" s="36">
        <f t="shared" si="18"/>
        <v>0</v>
      </c>
      <c r="AZ79" s="36">
        <f t="shared" si="18"/>
        <v>0</v>
      </c>
      <c r="BA79" s="36">
        <f t="shared" si="18"/>
        <v>0</v>
      </c>
      <c r="BB79" s="36">
        <f t="shared" si="18"/>
        <v>0</v>
      </c>
      <c r="BC79" s="36">
        <f t="shared" si="18"/>
        <v>0</v>
      </c>
      <c r="BD79" s="36">
        <f>SUM(BD68:BD78)</f>
        <v>0</v>
      </c>
      <c r="BE79" s="43"/>
      <c r="BF79" s="36">
        <f>SUM(BF68:BF78)</f>
        <v>0</v>
      </c>
      <c r="BG79" s="36">
        <f t="shared" ref="BG79:BP79" si="19">SUM(BG68:BG78)</f>
        <v>0</v>
      </c>
      <c r="BH79" s="36">
        <f t="shared" si="19"/>
        <v>0</v>
      </c>
      <c r="BI79" s="36">
        <f t="shared" si="19"/>
        <v>0</v>
      </c>
      <c r="BJ79" s="36">
        <f t="shared" si="19"/>
        <v>0</v>
      </c>
      <c r="BK79" s="36">
        <f t="shared" si="19"/>
        <v>0</v>
      </c>
      <c r="BL79" s="36">
        <f t="shared" si="19"/>
        <v>0</v>
      </c>
      <c r="BM79" s="36">
        <f t="shared" si="19"/>
        <v>0</v>
      </c>
      <c r="BN79" s="36">
        <f t="shared" si="19"/>
        <v>0</v>
      </c>
      <c r="BO79" s="36">
        <f t="shared" si="19"/>
        <v>0</v>
      </c>
      <c r="BP79" s="36">
        <f t="shared" si="19"/>
        <v>0</v>
      </c>
      <c r="BQ79" s="36">
        <f>SUM(BQ68:BQ78)</f>
        <v>0</v>
      </c>
      <c r="BR79" s="43"/>
    </row>
    <row r="80" spans="1:70" ht="14.25" outlineLevel="1">
      <c r="A80" s="31"/>
      <c r="R80" s="43"/>
      <c r="AE80" s="43"/>
      <c r="AR80" s="43"/>
      <c r="BE80" s="43"/>
      <c r="BR80" s="43"/>
    </row>
    <row r="81" spans="1:70" ht="15" outlineLevel="1">
      <c r="A81" s="34" t="s">
        <v>73</v>
      </c>
      <c r="F81" s="36">
        <f>F65+F79</f>
        <v>0</v>
      </c>
      <c r="G81" s="36">
        <f t="shared" ref="G81:P81" si="20">G65+G79</f>
        <v>0</v>
      </c>
      <c r="H81" s="36">
        <f t="shared" si="20"/>
        <v>0</v>
      </c>
      <c r="I81" s="36">
        <f t="shared" si="20"/>
        <v>0</v>
      </c>
      <c r="J81" s="36">
        <f t="shared" si="20"/>
        <v>0</v>
      </c>
      <c r="K81" s="36">
        <f t="shared" si="20"/>
        <v>0</v>
      </c>
      <c r="L81" s="36">
        <f t="shared" si="20"/>
        <v>0</v>
      </c>
      <c r="M81" s="36">
        <f t="shared" si="20"/>
        <v>0</v>
      </c>
      <c r="N81" s="36">
        <f t="shared" si="20"/>
        <v>0</v>
      </c>
      <c r="O81" s="36">
        <f t="shared" si="20"/>
        <v>0</v>
      </c>
      <c r="P81" s="36">
        <f t="shared" si="20"/>
        <v>0</v>
      </c>
      <c r="Q81" s="36">
        <f>Q65+Q79</f>
        <v>0</v>
      </c>
      <c r="R81" s="43"/>
      <c r="S81" s="36">
        <f>S65+S79</f>
        <v>0</v>
      </c>
      <c r="T81" s="36">
        <f t="shared" ref="T81:AC81" si="21">T65+T79</f>
        <v>0</v>
      </c>
      <c r="U81" s="36">
        <f t="shared" si="21"/>
        <v>0</v>
      </c>
      <c r="V81" s="36">
        <f t="shared" si="21"/>
        <v>0</v>
      </c>
      <c r="W81" s="36">
        <f t="shared" si="21"/>
        <v>0</v>
      </c>
      <c r="X81" s="36">
        <f t="shared" si="21"/>
        <v>0</v>
      </c>
      <c r="Y81" s="36">
        <f t="shared" si="21"/>
        <v>0</v>
      </c>
      <c r="Z81" s="36">
        <f t="shared" si="21"/>
        <v>0</v>
      </c>
      <c r="AA81" s="36">
        <f t="shared" si="21"/>
        <v>0</v>
      </c>
      <c r="AB81" s="36">
        <f t="shared" si="21"/>
        <v>0</v>
      </c>
      <c r="AC81" s="36">
        <f t="shared" si="21"/>
        <v>0</v>
      </c>
      <c r="AD81" s="36">
        <f>AD65+AD79</f>
        <v>0</v>
      </c>
      <c r="AE81" s="43"/>
      <c r="AF81" s="36">
        <f>AF65+AF79</f>
        <v>0</v>
      </c>
      <c r="AG81" s="36">
        <f t="shared" ref="AG81:AP81" si="22">AG65+AG79</f>
        <v>0</v>
      </c>
      <c r="AH81" s="36">
        <f t="shared" si="22"/>
        <v>0</v>
      </c>
      <c r="AI81" s="36">
        <f t="shared" si="22"/>
        <v>0</v>
      </c>
      <c r="AJ81" s="36">
        <f t="shared" si="22"/>
        <v>0</v>
      </c>
      <c r="AK81" s="36">
        <f t="shared" si="22"/>
        <v>0</v>
      </c>
      <c r="AL81" s="36">
        <f t="shared" si="22"/>
        <v>0</v>
      </c>
      <c r="AM81" s="36">
        <f t="shared" si="22"/>
        <v>0</v>
      </c>
      <c r="AN81" s="36">
        <f t="shared" si="22"/>
        <v>0</v>
      </c>
      <c r="AO81" s="36">
        <f t="shared" si="22"/>
        <v>0</v>
      </c>
      <c r="AP81" s="36">
        <f t="shared" si="22"/>
        <v>0</v>
      </c>
      <c r="AQ81" s="36">
        <f>AQ65+AQ79</f>
        <v>0</v>
      </c>
      <c r="AR81" s="43"/>
      <c r="AS81" s="36">
        <f>AS65+AS79</f>
        <v>0</v>
      </c>
      <c r="AT81" s="36">
        <f t="shared" ref="AT81:BC81" si="23">AT65+AT79</f>
        <v>0</v>
      </c>
      <c r="AU81" s="36">
        <f t="shared" si="23"/>
        <v>0</v>
      </c>
      <c r="AV81" s="36">
        <f t="shared" si="23"/>
        <v>0</v>
      </c>
      <c r="AW81" s="36">
        <f t="shared" si="23"/>
        <v>0</v>
      </c>
      <c r="AX81" s="36">
        <f t="shared" si="23"/>
        <v>0</v>
      </c>
      <c r="AY81" s="36">
        <f t="shared" si="23"/>
        <v>0</v>
      </c>
      <c r="AZ81" s="36">
        <f t="shared" si="23"/>
        <v>0</v>
      </c>
      <c r="BA81" s="36">
        <f t="shared" si="23"/>
        <v>0</v>
      </c>
      <c r="BB81" s="36">
        <f t="shared" si="23"/>
        <v>0</v>
      </c>
      <c r="BC81" s="36">
        <f t="shared" si="23"/>
        <v>0</v>
      </c>
      <c r="BD81" s="36">
        <f>BD65+BD79</f>
        <v>0</v>
      </c>
      <c r="BE81" s="43"/>
      <c r="BF81" s="36">
        <f>BF65+BF79</f>
        <v>0</v>
      </c>
      <c r="BG81" s="36">
        <f t="shared" ref="BG81:BP81" si="24">BG65+BG79</f>
        <v>0</v>
      </c>
      <c r="BH81" s="36">
        <f t="shared" si="24"/>
        <v>0</v>
      </c>
      <c r="BI81" s="36">
        <f t="shared" si="24"/>
        <v>0</v>
      </c>
      <c r="BJ81" s="36">
        <f t="shared" si="24"/>
        <v>0</v>
      </c>
      <c r="BK81" s="36">
        <f t="shared" si="24"/>
        <v>0</v>
      </c>
      <c r="BL81" s="36">
        <f t="shared" si="24"/>
        <v>0</v>
      </c>
      <c r="BM81" s="36">
        <f t="shared" si="24"/>
        <v>0</v>
      </c>
      <c r="BN81" s="36">
        <f t="shared" si="24"/>
        <v>0</v>
      </c>
      <c r="BO81" s="36">
        <f t="shared" si="24"/>
        <v>0</v>
      </c>
      <c r="BP81" s="36">
        <f t="shared" si="24"/>
        <v>0</v>
      </c>
      <c r="BQ81" s="36">
        <f>BQ65+BQ79</f>
        <v>0</v>
      </c>
      <c r="BR81" s="43"/>
    </row>
    <row r="82" spans="1:70" ht="15" outlineLevel="1">
      <c r="A82" s="51" t="s">
        <v>74</v>
      </c>
      <c r="F82" s="53">
        <f>IF(ISERROR(F81/F65),0,(F81/F65))</f>
        <v>0</v>
      </c>
      <c r="G82" s="53">
        <f t="shared" ref="G82:P82" si="25">IF(ISERROR(G81/G65),0,(G81/G65))</f>
        <v>0</v>
      </c>
      <c r="H82" s="53">
        <f t="shared" si="25"/>
        <v>0</v>
      </c>
      <c r="I82" s="53">
        <f t="shared" si="25"/>
        <v>0</v>
      </c>
      <c r="J82" s="53">
        <f t="shared" si="25"/>
        <v>0</v>
      </c>
      <c r="K82" s="53">
        <f t="shared" si="25"/>
        <v>0</v>
      </c>
      <c r="L82" s="53">
        <f t="shared" si="25"/>
        <v>0</v>
      </c>
      <c r="M82" s="53">
        <f t="shared" si="25"/>
        <v>0</v>
      </c>
      <c r="N82" s="53">
        <f t="shared" si="25"/>
        <v>0</v>
      </c>
      <c r="O82" s="53">
        <f t="shared" si="25"/>
        <v>0</v>
      </c>
      <c r="P82" s="53">
        <f t="shared" si="25"/>
        <v>0</v>
      </c>
      <c r="Q82" s="53">
        <f>IF(ISERROR(Q81/Q65),0,(Q81/Q65))</f>
        <v>0</v>
      </c>
      <c r="R82" s="43"/>
      <c r="S82" s="53">
        <f>IF(ISERROR(S81/S65),0,(S81/S65))</f>
        <v>0</v>
      </c>
      <c r="T82" s="53">
        <f t="shared" ref="T82:AC82" si="26">IF(ISERROR(T81/T65),0,(T81/T65))</f>
        <v>0</v>
      </c>
      <c r="U82" s="53">
        <f t="shared" si="26"/>
        <v>0</v>
      </c>
      <c r="V82" s="53">
        <f t="shared" si="26"/>
        <v>0</v>
      </c>
      <c r="W82" s="53">
        <f t="shared" si="26"/>
        <v>0</v>
      </c>
      <c r="X82" s="53">
        <f t="shared" si="26"/>
        <v>0</v>
      </c>
      <c r="Y82" s="53">
        <f t="shared" si="26"/>
        <v>0</v>
      </c>
      <c r="Z82" s="53">
        <f t="shared" si="26"/>
        <v>0</v>
      </c>
      <c r="AA82" s="53">
        <f t="shared" si="26"/>
        <v>0</v>
      </c>
      <c r="AB82" s="53">
        <f t="shared" si="26"/>
        <v>0</v>
      </c>
      <c r="AC82" s="53">
        <f t="shared" si="26"/>
        <v>0</v>
      </c>
      <c r="AD82" s="53">
        <f>IF(ISERROR(AD81/AD65),0,(AD81/AD65))</f>
        <v>0</v>
      </c>
      <c r="AE82" s="43"/>
      <c r="AF82" s="53">
        <f>IF(ISERROR(AF81/AF65),0,(AF81/AF65))</f>
        <v>0</v>
      </c>
      <c r="AG82" s="53">
        <f t="shared" ref="AG82:AP82" si="27">IF(ISERROR(AG81/AG65),0,(AG81/AG65))</f>
        <v>0</v>
      </c>
      <c r="AH82" s="53">
        <f t="shared" si="27"/>
        <v>0</v>
      </c>
      <c r="AI82" s="53">
        <f t="shared" si="27"/>
        <v>0</v>
      </c>
      <c r="AJ82" s="53">
        <f t="shared" si="27"/>
        <v>0</v>
      </c>
      <c r="AK82" s="53">
        <f t="shared" si="27"/>
        <v>0</v>
      </c>
      <c r="AL82" s="53">
        <f t="shared" si="27"/>
        <v>0</v>
      </c>
      <c r="AM82" s="53">
        <f t="shared" si="27"/>
        <v>0</v>
      </c>
      <c r="AN82" s="53">
        <f t="shared" si="27"/>
        <v>0</v>
      </c>
      <c r="AO82" s="53">
        <f t="shared" si="27"/>
        <v>0</v>
      </c>
      <c r="AP82" s="53">
        <f t="shared" si="27"/>
        <v>0</v>
      </c>
      <c r="AQ82" s="53">
        <f>IF(ISERROR(AQ81/AQ65),0,(AQ81/AQ65))</f>
        <v>0</v>
      </c>
      <c r="AR82" s="43"/>
      <c r="AS82" s="53">
        <f>IF(ISERROR(AS81/AS65),0,(AS81/AS65))</f>
        <v>0</v>
      </c>
      <c r="AT82" s="53">
        <f t="shared" ref="AT82:BC82" si="28">IF(ISERROR(AT81/AT65),0,(AT81/AT65))</f>
        <v>0</v>
      </c>
      <c r="AU82" s="53">
        <f t="shared" si="28"/>
        <v>0</v>
      </c>
      <c r="AV82" s="53">
        <f t="shared" si="28"/>
        <v>0</v>
      </c>
      <c r="AW82" s="53">
        <f t="shared" si="28"/>
        <v>0</v>
      </c>
      <c r="AX82" s="53">
        <f t="shared" si="28"/>
        <v>0</v>
      </c>
      <c r="AY82" s="53">
        <f t="shared" si="28"/>
        <v>0</v>
      </c>
      <c r="AZ82" s="53">
        <f t="shared" si="28"/>
        <v>0</v>
      </c>
      <c r="BA82" s="53">
        <f t="shared" si="28"/>
        <v>0</v>
      </c>
      <c r="BB82" s="53">
        <f t="shared" si="28"/>
        <v>0</v>
      </c>
      <c r="BC82" s="53">
        <f t="shared" si="28"/>
        <v>0</v>
      </c>
      <c r="BD82" s="53">
        <f>IF(ISERROR(BD81/BD65),0,(BD81/BD65))</f>
        <v>0</v>
      </c>
      <c r="BE82" s="43"/>
      <c r="BF82" s="53">
        <f>IF(ISERROR(BF81/BF65),0,(BF81/BF65))</f>
        <v>0</v>
      </c>
      <c r="BG82" s="53">
        <f t="shared" ref="BG82:BP82" si="29">IF(ISERROR(BG81/BG65),0,(BG81/BG65))</f>
        <v>0</v>
      </c>
      <c r="BH82" s="53">
        <f t="shared" si="29"/>
        <v>0</v>
      </c>
      <c r="BI82" s="53">
        <f t="shared" si="29"/>
        <v>0</v>
      </c>
      <c r="BJ82" s="53">
        <f t="shared" si="29"/>
        <v>0</v>
      </c>
      <c r="BK82" s="53">
        <f t="shared" si="29"/>
        <v>0</v>
      </c>
      <c r="BL82" s="53">
        <f t="shared" si="29"/>
        <v>0</v>
      </c>
      <c r="BM82" s="53">
        <f t="shared" si="29"/>
        <v>0</v>
      </c>
      <c r="BN82" s="53">
        <f t="shared" si="29"/>
        <v>0</v>
      </c>
      <c r="BO82" s="53">
        <f t="shared" si="29"/>
        <v>0</v>
      </c>
      <c r="BP82" s="53">
        <f t="shared" si="29"/>
        <v>0</v>
      </c>
      <c r="BQ82" s="53">
        <f>IF(ISERROR(BQ81/BQ65),0,(BQ81/BQ65))</f>
        <v>0</v>
      </c>
      <c r="BR82" s="43"/>
    </row>
    <row r="83" spans="1:70" ht="14.25" outlineLevel="1">
      <c r="A83" s="31"/>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row>
    <row r="84" spans="1:70" ht="15" outlineLevel="1">
      <c r="A84" s="34" t="s">
        <v>75</v>
      </c>
      <c r="F84" s="36">
        <v>0</v>
      </c>
      <c r="G84" s="36">
        <v>0</v>
      </c>
      <c r="H84" s="36">
        <v>0</v>
      </c>
      <c r="I84" s="36">
        <v>0</v>
      </c>
      <c r="J84" s="36">
        <v>0</v>
      </c>
      <c r="K84" s="36">
        <v>0</v>
      </c>
      <c r="L84" s="36">
        <v>0</v>
      </c>
      <c r="M84" s="36">
        <v>0</v>
      </c>
      <c r="N84" s="36">
        <v>0</v>
      </c>
      <c r="O84" s="36">
        <v>0</v>
      </c>
      <c r="P84" s="36">
        <v>0</v>
      </c>
      <c r="Q84" s="36">
        <v>0</v>
      </c>
      <c r="R84" s="43"/>
      <c r="S84" s="36">
        <v>0</v>
      </c>
      <c r="T84" s="36">
        <v>0</v>
      </c>
      <c r="U84" s="36">
        <v>0</v>
      </c>
      <c r="V84" s="36">
        <v>0</v>
      </c>
      <c r="W84" s="36">
        <v>0</v>
      </c>
      <c r="X84" s="36">
        <v>0</v>
      </c>
      <c r="Y84" s="36">
        <v>0</v>
      </c>
      <c r="Z84" s="36">
        <v>0</v>
      </c>
      <c r="AA84" s="36">
        <v>0</v>
      </c>
      <c r="AB84" s="36">
        <v>0</v>
      </c>
      <c r="AC84" s="36">
        <v>0</v>
      </c>
      <c r="AD84" s="36">
        <v>0</v>
      </c>
      <c r="AE84" s="43"/>
      <c r="AF84" s="36">
        <v>0</v>
      </c>
      <c r="AG84" s="36">
        <v>0</v>
      </c>
      <c r="AH84" s="36">
        <v>0</v>
      </c>
      <c r="AI84" s="36">
        <v>0</v>
      </c>
      <c r="AJ84" s="36">
        <v>0</v>
      </c>
      <c r="AK84" s="36">
        <v>0</v>
      </c>
      <c r="AL84" s="36">
        <v>0</v>
      </c>
      <c r="AM84" s="36">
        <v>0</v>
      </c>
      <c r="AN84" s="36">
        <v>0</v>
      </c>
      <c r="AO84" s="36">
        <v>0</v>
      </c>
      <c r="AP84" s="36">
        <v>0</v>
      </c>
      <c r="AQ84" s="36">
        <v>0</v>
      </c>
      <c r="AR84" s="43"/>
      <c r="AS84" s="36">
        <v>0</v>
      </c>
      <c r="AT84" s="36">
        <v>0</v>
      </c>
      <c r="AU84" s="36">
        <v>0</v>
      </c>
      <c r="AV84" s="36">
        <v>0</v>
      </c>
      <c r="AW84" s="36">
        <v>0</v>
      </c>
      <c r="AX84" s="36">
        <v>0</v>
      </c>
      <c r="AY84" s="36">
        <v>0</v>
      </c>
      <c r="AZ84" s="36">
        <v>0</v>
      </c>
      <c r="BA84" s="36">
        <v>0</v>
      </c>
      <c r="BB84" s="36">
        <v>0</v>
      </c>
      <c r="BC84" s="36">
        <v>0</v>
      </c>
      <c r="BD84" s="36">
        <v>0</v>
      </c>
      <c r="BE84" s="43"/>
      <c r="BF84" s="36">
        <v>0</v>
      </c>
      <c r="BG84" s="36">
        <v>0</v>
      </c>
      <c r="BH84" s="36">
        <v>0</v>
      </c>
      <c r="BI84" s="36">
        <v>0</v>
      </c>
      <c r="BJ84" s="36">
        <v>0</v>
      </c>
      <c r="BK84" s="36">
        <v>0</v>
      </c>
      <c r="BL84" s="36">
        <v>0</v>
      </c>
      <c r="BM84" s="36">
        <v>0</v>
      </c>
      <c r="BN84" s="36">
        <v>0</v>
      </c>
      <c r="BO84" s="36">
        <v>0</v>
      </c>
      <c r="BP84" s="36">
        <v>0</v>
      </c>
      <c r="BQ84" s="36">
        <v>0</v>
      </c>
      <c r="BR84" s="43"/>
    </row>
    <row r="85" spans="1:70" ht="14.25" outlineLevel="1">
      <c r="A85" s="31"/>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row>
    <row r="86" spans="1:70" ht="15" outlineLevel="1">
      <c r="A86" s="34" t="s">
        <v>76</v>
      </c>
      <c r="F86" s="50">
        <f>F79+F84</f>
        <v>0</v>
      </c>
      <c r="G86" s="50">
        <f t="shared" ref="G86:P86" si="30">G79+G84</f>
        <v>0</v>
      </c>
      <c r="H86" s="50">
        <f t="shared" si="30"/>
        <v>0</v>
      </c>
      <c r="I86" s="50">
        <f t="shared" si="30"/>
        <v>0</v>
      </c>
      <c r="J86" s="50">
        <f t="shared" si="30"/>
        <v>0</v>
      </c>
      <c r="K86" s="50">
        <f t="shared" si="30"/>
        <v>0</v>
      </c>
      <c r="L86" s="50">
        <f t="shared" si="30"/>
        <v>0</v>
      </c>
      <c r="M86" s="50">
        <f t="shared" si="30"/>
        <v>0</v>
      </c>
      <c r="N86" s="50">
        <f t="shared" si="30"/>
        <v>0</v>
      </c>
      <c r="O86" s="50">
        <f t="shared" si="30"/>
        <v>0</v>
      </c>
      <c r="P86" s="50">
        <f t="shared" si="30"/>
        <v>0</v>
      </c>
      <c r="Q86" s="50">
        <f>Q79+Q84</f>
        <v>0</v>
      </c>
      <c r="R86" s="43"/>
      <c r="S86" s="50">
        <f>S79+S84</f>
        <v>0</v>
      </c>
      <c r="T86" s="50">
        <f t="shared" ref="T86:AC86" si="31">T79+T84</f>
        <v>0</v>
      </c>
      <c r="U86" s="50">
        <f t="shared" si="31"/>
        <v>0</v>
      </c>
      <c r="V86" s="50">
        <f t="shared" si="31"/>
        <v>0</v>
      </c>
      <c r="W86" s="50">
        <f t="shared" si="31"/>
        <v>0</v>
      </c>
      <c r="X86" s="50">
        <f t="shared" si="31"/>
        <v>0</v>
      </c>
      <c r="Y86" s="50">
        <f t="shared" si="31"/>
        <v>0</v>
      </c>
      <c r="Z86" s="50">
        <f t="shared" si="31"/>
        <v>0</v>
      </c>
      <c r="AA86" s="50">
        <f t="shared" si="31"/>
        <v>0</v>
      </c>
      <c r="AB86" s="50">
        <f t="shared" si="31"/>
        <v>0</v>
      </c>
      <c r="AC86" s="50">
        <f t="shared" si="31"/>
        <v>0</v>
      </c>
      <c r="AD86" s="50">
        <f>AD79+AD84</f>
        <v>0</v>
      </c>
      <c r="AE86" s="43"/>
      <c r="AF86" s="50">
        <f>AF79+AF84</f>
        <v>0</v>
      </c>
      <c r="AG86" s="50">
        <f t="shared" ref="AG86:AP86" si="32">AG79+AG84</f>
        <v>0</v>
      </c>
      <c r="AH86" s="50">
        <f t="shared" si="32"/>
        <v>0</v>
      </c>
      <c r="AI86" s="50">
        <f t="shared" si="32"/>
        <v>0</v>
      </c>
      <c r="AJ86" s="50">
        <f t="shared" si="32"/>
        <v>0</v>
      </c>
      <c r="AK86" s="50">
        <f t="shared" si="32"/>
        <v>0</v>
      </c>
      <c r="AL86" s="50">
        <f t="shared" si="32"/>
        <v>0</v>
      </c>
      <c r="AM86" s="50">
        <f t="shared" si="32"/>
        <v>0</v>
      </c>
      <c r="AN86" s="50">
        <f t="shared" si="32"/>
        <v>0</v>
      </c>
      <c r="AO86" s="50">
        <f t="shared" si="32"/>
        <v>0</v>
      </c>
      <c r="AP86" s="50">
        <f t="shared" si="32"/>
        <v>0</v>
      </c>
      <c r="AQ86" s="50">
        <f>AQ79+AQ84</f>
        <v>0</v>
      </c>
      <c r="AR86" s="43"/>
      <c r="AS86" s="50">
        <f>AS79+AS84</f>
        <v>0</v>
      </c>
      <c r="AT86" s="50">
        <f t="shared" ref="AT86:BC86" si="33">AT79+AT84</f>
        <v>0</v>
      </c>
      <c r="AU86" s="50">
        <f t="shared" si="33"/>
        <v>0</v>
      </c>
      <c r="AV86" s="50">
        <f t="shared" si="33"/>
        <v>0</v>
      </c>
      <c r="AW86" s="50">
        <f t="shared" si="33"/>
        <v>0</v>
      </c>
      <c r="AX86" s="50">
        <f t="shared" si="33"/>
        <v>0</v>
      </c>
      <c r="AY86" s="50">
        <f t="shared" si="33"/>
        <v>0</v>
      </c>
      <c r="AZ86" s="50">
        <f t="shared" si="33"/>
        <v>0</v>
      </c>
      <c r="BA86" s="50">
        <f t="shared" si="33"/>
        <v>0</v>
      </c>
      <c r="BB86" s="50">
        <f t="shared" si="33"/>
        <v>0</v>
      </c>
      <c r="BC86" s="50">
        <f t="shared" si="33"/>
        <v>0</v>
      </c>
      <c r="BD86" s="50">
        <f>BD79+BD84</f>
        <v>0</v>
      </c>
      <c r="BE86" s="43"/>
      <c r="BF86" s="50">
        <f>BF79+BF84</f>
        <v>0</v>
      </c>
      <c r="BG86" s="50">
        <f t="shared" ref="BG86:BP86" si="34">BG79+BG84</f>
        <v>0</v>
      </c>
      <c r="BH86" s="50">
        <f t="shared" si="34"/>
        <v>0</v>
      </c>
      <c r="BI86" s="50">
        <f t="shared" si="34"/>
        <v>0</v>
      </c>
      <c r="BJ86" s="50">
        <f t="shared" si="34"/>
        <v>0</v>
      </c>
      <c r="BK86" s="50">
        <f t="shared" si="34"/>
        <v>0</v>
      </c>
      <c r="BL86" s="50">
        <f t="shared" si="34"/>
        <v>0</v>
      </c>
      <c r="BM86" s="50">
        <f t="shared" si="34"/>
        <v>0</v>
      </c>
      <c r="BN86" s="50">
        <f t="shared" si="34"/>
        <v>0</v>
      </c>
      <c r="BO86" s="50">
        <f t="shared" si="34"/>
        <v>0</v>
      </c>
      <c r="BP86" s="50">
        <f t="shared" si="34"/>
        <v>0</v>
      </c>
      <c r="BQ86" s="50">
        <f>BQ79+BQ84</f>
        <v>0</v>
      </c>
      <c r="BR86" s="43"/>
    </row>
    <row r="87" spans="1:70" ht="15" outlineLevel="1">
      <c r="A87" s="34" t="s">
        <v>77</v>
      </c>
      <c r="F87" s="53">
        <f>IF(ISERROR(F86/F65),0,(F86/F65))</f>
        <v>0</v>
      </c>
      <c r="G87" s="53">
        <f t="shared" ref="G87:P87" si="35">IF(ISERROR(G86/G65),0,(G86/G65))</f>
        <v>0</v>
      </c>
      <c r="H87" s="53">
        <f t="shared" si="35"/>
        <v>0</v>
      </c>
      <c r="I87" s="53">
        <f t="shared" si="35"/>
        <v>0</v>
      </c>
      <c r="J87" s="53">
        <f t="shared" si="35"/>
        <v>0</v>
      </c>
      <c r="K87" s="53">
        <f t="shared" si="35"/>
        <v>0</v>
      </c>
      <c r="L87" s="53">
        <f t="shared" si="35"/>
        <v>0</v>
      </c>
      <c r="M87" s="53">
        <f t="shared" si="35"/>
        <v>0</v>
      </c>
      <c r="N87" s="53">
        <f t="shared" si="35"/>
        <v>0</v>
      </c>
      <c r="O87" s="53">
        <f t="shared" si="35"/>
        <v>0</v>
      </c>
      <c r="P87" s="53">
        <f t="shared" si="35"/>
        <v>0</v>
      </c>
      <c r="Q87" s="53">
        <f>IF(ISERROR(Q86/Q65),0,(Q86/Q65))</f>
        <v>0</v>
      </c>
      <c r="R87" s="43"/>
      <c r="S87" s="53">
        <f>IF(ISERROR(S86/S65),0,(S86/S65))</f>
        <v>0</v>
      </c>
      <c r="T87" s="53">
        <f t="shared" ref="T87:AC87" si="36">IF(ISERROR(T86/T65),0,(T86/T65))</f>
        <v>0</v>
      </c>
      <c r="U87" s="53">
        <f t="shared" si="36"/>
        <v>0</v>
      </c>
      <c r="V87" s="53">
        <f t="shared" si="36"/>
        <v>0</v>
      </c>
      <c r="W87" s="53">
        <f t="shared" si="36"/>
        <v>0</v>
      </c>
      <c r="X87" s="53">
        <f t="shared" si="36"/>
        <v>0</v>
      </c>
      <c r="Y87" s="53">
        <f t="shared" si="36"/>
        <v>0</v>
      </c>
      <c r="Z87" s="53">
        <f t="shared" si="36"/>
        <v>0</v>
      </c>
      <c r="AA87" s="53">
        <f t="shared" si="36"/>
        <v>0</v>
      </c>
      <c r="AB87" s="53">
        <f t="shared" si="36"/>
        <v>0</v>
      </c>
      <c r="AC87" s="53">
        <f t="shared" si="36"/>
        <v>0</v>
      </c>
      <c r="AD87" s="53">
        <f>IF(ISERROR(AD86/AD65),0,(AD86/AD65))</f>
        <v>0</v>
      </c>
      <c r="AE87" s="43"/>
      <c r="AF87" s="53">
        <f>IF(ISERROR(AF86/AF65),0,(AF86/AF65))</f>
        <v>0</v>
      </c>
      <c r="AG87" s="53">
        <f t="shared" ref="AG87:AP87" si="37">IF(ISERROR(AG86/AG65),0,(AG86/AG65))</f>
        <v>0</v>
      </c>
      <c r="AH87" s="53">
        <f t="shared" si="37"/>
        <v>0</v>
      </c>
      <c r="AI87" s="53">
        <f t="shared" si="37"/>
        <v>0</v>
      </c>
      <c r="AJ87" s="53">
        <f t="shared" si="37"/>
        <v>0</v>
      </c>
      <c r="AK87" s="53">
        <f t="shared" si="37"/>
        <v>0</v>
      </c>
      <c r="AL87" s="53">
        <f t="shared" si="37"/>
        <v>0</v>
      </c>
      <c r="AM87" s="53">
        <f t="shared" si="37"/>
        <v>0</v>
      </c>
      <c r="AN87" s="53">
        <f t="shared" si="37"/>
        <v>0</v>
      </c>
      <c r="AO87" s="53">
        <f t="shared" si="37"/>
        <v>0</v>
      </c>
      <c r="AP87" s="53">
        <f t="shared" si="37"/>
        <v>0</v>
      </c>
      <c r="AQ87" s="53">
        <f>IF(ISERROR(AQ86/AQ65),0,(AQ86/AQ65))</f>
        <v>0</v>
      </c>
      <c r="AR87" s="43"/>
      <c r="AS87" s="53">
        <f>IF(ISERROR(AS86/AS65),0,(AS86/AS65))</f>
        <v>0</v>
      </c>
      <c r="AT87" s="53">
        <f t="shared" ref="AT87:BC87" si="38">IF(ISERROR(AT86/AT65),0,(AT86/AT65))</f>
        <v>0</v>
      </c>
      <c r="AU87" s="53">
        <f t="shared" si="38"/>
        <v>0</v>
      </c>
      <c r="AV87" s="53">
        <f t="shared" si="38"/>
        <v>0</v>
      </c>
      <c r="AW87" s="53">
        <f t="shared" si="38"/>
        <v>0</v>
      </c>
      <c r="AX87" s="53">
        <f t="shared" si="38"/>
        <v>0</v>
      </c>
      <c r="AY87" s="53">
        <f t="shared" si="38"/>
        <v>0</v>
      </c>
      <c r="AZ87" s="53">
        <f t="shared" si="38"/>
        <v>0</v>
      </c>
      <c r="BA87" s="53">
        <f t="shared" si="38"/>
        <v>0</v>
      </c>
      <c r="BB87" s="53">
        <f t="shared" si="38"/>
        <v>0</v>
      </c>
      <c r="BC87" s="53">
        <f t="shared" si="38"/>
        <v>0</v>
      </c>
      <c r="BD87" s="53">
        <f>IF(ISERROR(BD86/BD65),0,(BD86/BD65))</f>
        <v>0</v>
      </c>
      <c r="BE87" s="43"/>
      <c r="BF87" s="53">
        <f>IF(ISERROR(BF86/BF65),0,(BF86/BF65))</f>
        <v>0</v>
      </c>
      <c r="BG87" s="53">
        <f t="shared" ref="BG87:BP87" si="39">IF(ISERROR(BG86/BG65),0,(BG86/BG65))</f>
        <v>0</v>
      </c>
      <c r="BH87" s="53">
        <f t="shared" si="39"/>
        <v>0</v>
      </c>
      <c r="BI87" s="53">
        <f t="shared" si="39"/>
        <v>0</v>
      </c>
      <c r="BJ87" s="53">
        <f t="shared" si="39"/>
        <v>0</v>
      </c>
      <c r="BK87" s="53">
        <f t="shared" si="39"/>
        <v>0</v>
      </c>
      <c r="BL87" s="53">
        <f t="shared" si="39"/>
        <v>0</v>
      </c>
      <c r="BM87" s="53">
        <f t="shared" si="39"/>
        <v>0</v>
      </c>
      <c r="BN87" s="53">
        <f t="shared" si="39"/>
        <v>0</v>
      </c>
      <c r="BO87" s="53">
        <f t="shared" si="39"/>
        <v>0</v>
      </c>
      <c r="BP87" s="53">
        <f t="shared" si="39"/>
        <v>0</v>
      </c>
      <c r="BQ87" s="53">
        <f>IF(ISERROR(BQ86/BQ65),0,(BQ86/BQ65))</f>
        <v>0</v>
      </c>
      <c r="BR87" s="43"/>
    </row>
    <row r="88" spans="1:70" ht="14.25" outlineLevel="1">
      <c r="A88" s="31"/>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row>
    <row r="89" spans="1:70" ht="15" outlineLevel="1">
      <c r="A89" s="34" t="s">
        <v>78</v>
      </c>
      <c r="F89" s="36">
        <v>0</v>
      </c>
      <c r="G89" s="36">
        <v>0</v>
      </c>
      <c r="H89" s="36">
        <v>0</v>
      </c>
      <c r="I89" s="36">
        <v>0</v>
      </c>
      <c r="J89" s="36">
        <v>0</v>
      </c>
      <c r="K89" s="36">
        <v>0</v>
      </c>
      <c r="L89" s="36">
        <v>0</v>
      </c>
      <c r="M89" s="36">
        <v>0</v>
      </c>
      <c r="N89" s="36">
        <v>0</v>
      </c>
      <c r="O89" s="36">
        <v>0</v>
      </c>
      <c r="P89" s="36">
        <v>0</v>
      </c>
      <c r="Q89" s="36">
        <v>0</v>
      </c>
      <c r="R89" s="43"/>
      <c r="S89" s="36">
        <v>0</v>
      </c>
      <c r="T89" s="36">
        <v>0</v>
      </c>
      <c r="U89" s="36">
        <v>0</v>
      </c>
      <c r="V89" s="36">
        <v>0</v>
      </c>
      <c r="W89" s="36">
        <v>0</v>
      </c>
      <c r="X89" s="36">
        <v>0</v>
      </c>
      <c r="Y89" s="36">
        <v>0</v>
      </c>
      <c r="Z89" s="36">
        <v>0</v>
      </c>
      <c r="AA89" s="36">
        <v>0</v>
      </c>
      <c r="AB89" s="36">
        <v>0</v>
      </c>
      <c r="AC89" s="36">
        <v>0</v>
      </c>
      <c r="AD89" s="36">
        <v>0</v>
      </c>
      <c r="AE89" s="43"/>
      <c r="AF89" s="36">
        <v>0</v>
      </c>
      <c r="AG89" s="36">
        <v>0</v>
      </c>
      <c r="AH89" s="36">
        <v>0</v>
      </c>
      <c r="AI89" s="36">
        <v>0</v>
      </c>
      <c r="AJ89" s="36">
        <v>0</v>
      </c>
      <c r="AK89" s="36">
        <v>0</v>
      </c>
      <c r="AL89" s="36">
        <v>0</v>
      </c>
      <c r="AM89" s="36">
        <v>0</v>
      </c>
      <c r="AN89" s="36">
        <v>0</v>
      </c>
      <c r="AO89" s="36">
        <v>0</v>
      </c>
      <c r="AP89" s="36">
        <v>0</v>
      </c>
      <c r="AQ89" s="36">
        <v>0</v>
      </c>
      <c r="AR89" s="43"/>
      <c r="AS89" s="36">
        <v>0</v>
      </c>
      <c r="AT89" s="36">
        <v>0</v>
      </c>
      <c r="AU89" s="36">
        <v>0</v>
      </c>
      <c r="AV89" s="36">
        <v>0</v>
      </c>
      <c r="AW89" s="36">
        <v>0</v>
      </c>
      <c r="AX89" s="36">
        <v>0</v>
      </c>
      <c r="AY89" s="36">
        <v>0</v>
      </c>
      <c r="AZ89" s="36">
        <v>0</v>
      </c>
      <c r="BA89" s="36">
        <v>0</v>
      </c>
      <c r="BB89" s="36">
        <v>0</v>
      </c>
      <c r="BC89" s="36">
        <v>0</v>
      </c>
      <c r="BD89" s="36">
        <v>0</v>
      </c>
      <c r="BE89" s="43"/>
      <c r="BF89" s="36">
        <v>0</v>
      </c>
      <c r="BG89" s="36">
        <v>0</v>
      </c>
      <c r="BH89" s="36">
        <v>0</v>
      </c>
      <c r="BI89" s="36">
        <v>0</v>
      </c>
      <c r="BJ89" s="36">
        <v>0</v>
      </c>
      <c r="BK89" s="36">
        <v>0</v>
      </c>
      <c r="BL89" s="36">
        <v>0</v>
      </c>
      <c r="BM89" s="36">
        <v>0</v>
      </c>
      <c r="BN89" s="36">
        <v>0</v>
      </c>
      <c r="BO89" s="36">
        <v>0</v>
      </c>
      <c r="BP89" s="36">
        <v>0</v>
      </c>
      <c r="BQ89" s="36">
        <v>0</v>
      </c>
      <c r="BR89" s="43"/>
    </row>
    <row r="90" spans="1:70" ht="14.25" outlineLevel="1">
      <c r="A90" s="31"/>
      <c r="F90" s="43"/>
      <c r="G90" s="43"/>
      <c r="H90" s="43"/>
      <c r="I90" s="43"/>
      <c r="J90" s="43"/>
      <c r="K90" s="43"/>
      <c r="L90" s="43"/>
      <c r="M90" s="43"/>
      <c r="N90" s="43"/>
      <c r="O90" s="43"/>
      <c r="P90" s="43"/>
      <c r="Q90" s="43"/>
      <c r="R90" s="43"/>
      <c r="S90" s="43"/>
      <c r="T90" s="43"/>
      <c r="U90" s="43"/>
      <c r="V90" s="43"/>
      <c r="W90" s="43"/>
      <c r="X90" s="43"/>
      <c r="Y90" s="43"/>
      <c r="Z90" s="43"/>
      <c r="AA90" s="43"/>
      <c r="AB90" s="43"/>
      <c r="AC90" s="43"/>
      <c r="AD90" s="43"/>
      <c r="AE90" s="43"/>
      <c r="AF90" s="43"/>
      <c r="AG90" s="43"/>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row>
    <row r="91" spans="1:70" ht="15" outlineLevel="1">
      <c r="A91" s="34" t="s">
        <v>79</v>
      </c>
      <c r="F91" s="50">
        <f>F86+F89</f>
        <v>0</v>
      </c>
      <c r="G91" s="50">
        <f t="shared" ref="G91:P91" si="40">G86+G89</f>
        <v>0</v>
      </c>
      <c r="H91" s="50">
        <f t="shared" si="40"/>
        <v>0</v>
      </c>
      <c r="I91" s="50">
        <f t="shared" si="40"/>
        <v>0</v>
      </c>
      <c r="J91" s="50">
        <f t="shared" si="40"/>
        <v>0</v>
      </c>
      <c r="K91" s="50">
        <f t="shared" si="40"/>
        <v>0</v>
      </c>
      <c r="L91" s="50">
        <f t="shared" si="40"/>
        <v>0</v>
      </c>
      <c r="M91" s="50">
        <f t="shared" si="40"/>
        <v>0</v>
      </c>
      <c r="N91" s="50">
        <f t="shared" si="40"/>
        <v>0</v>
      </c>
      <c r="O91" s="50">
        <f t="shared" si="40"/>
        <v>0</v>
      </c>
      <c r="P91" s="50">
        <f t="shared" si="40"/>
        <v>0</v>
      </c>
      <c r="Q91" s="50">
        <f>Q86+Q89</f>
        <v>0</v>
      </c>
      <c r="R91" s="43"/>
      <c r="S91" s="50">
        <f>S86+S89</f>
        <v>0</v>
      </c>
      <c r="T91" s="50">
        <f t="shared" ref="T91:AC91" si="41">T86+T89</f>
        <v>0</v>
      </c>
      <c r="U91" s="50">
        <f t="shared" si="41"/>
        <v>0</v>
      </c>
      <c r="V91" s="50">
        <f t="shared" si="41"/>
        <v>0</v>
      </c>
      <c r="W91" s="50">
        <f t="shared" si="41"/>
        <v>0</v>
      </c>
      <c r="X91" s="50">
        <f t="shared" si="41"/>
        <v>0</v>
      </c>
      <c r="Y91" s="50">
        <f t="shared" si="41"/>
        <v>0</v>
      </c>
      <c r="Z91" s="50">
        <f t="shared" si="41"/>
        <v>0</v>
      </c>
      <c r="AA91" s="50">
        <f t="shared" si="41"/>
        <v>0</v>
      </c>
      <c r="AB91" s="50">
        <f t="shared" si="41"/>
        <v>0</v>
      </c>
      <c r="AC91" s="50">
        <f t="shared" si="41"/>
        <v>0</v>
      </c>
      <c r="AD91" s="50">
        <f>AD86+AD89</f>
        <v>0</v>
      </c>
      <c r="AE91" s="43"/>
      <c r="AF91" s="50">
        <f>AF86+AF89</f>
        <v>0</v>
      </c>
      <c r="AG91" s="50">
        <f t="shared" ref="AG91:AP91" si="42">AG86+AG89</f>
        <v>0</v>
      </c>
      <c r="AH91" s="50">
        <f t="shared" si="42"/>
        <v>0</v>
      </c>
      <c r="AI91" s="50">
        <f t="shared" si="42"/>
        <v>0</v>
      </c>
      <c r="AJ91" s="50">
        <f t="shared" si="42"/>
        <v>0</v>
      </c>
      <c r="AK91" s="50">
        <f t="shared" si="42"/>
        <v>0</v>
      </c>
      <c r="AL91" s="50">
        <f t="shared" si="42"/>
        <v>0</v>
      </c>
      <c r="AM91" s="50">
        <f t="shared" si="42"/>
        <v>0</v>
      </c>
      <c r="AN91" s="50">
        <f t="shared" si="42"/>
        <v>0</v>
      </c>
      <c r="AO91" s="50">
        <f t="shared" si="42"/>
        <v>0</v>
      </c>
      <c r="AP91" s="50">
        <f t="shared" si="42"/>
        <v>0</v>
      </c>
      <c r="AQ91" s="50">
        <f>AQ86+AQ89</f>
        <v>0</v>
      </c>
      <c r="AR91" s="43"/>
      <c r="AS91" s="50">
        <f>AS86+AS89</f>
        <v>0</v>
      </c>
      <c r="AT91" s="50">
        <f t="shared" ref="AT91:BC91" si="43">AT86+AT89</f>
        <v>0</v>
      </c>
      <c r="AU91" s="50">
        <f t="shared" si="43"/>
        <v>0</v>
      </c>
      <c r="AV91" s="50">
        <f t="shared" si="43"/>
        <v>0</v>
      </c>
      <c r="AW91" s="50">
        <f t="shared" si="43"/>
        <v>0</v>
      </c>
      <c r="AX91" s="50">
        <f t="shared" si="43"/>
        <v>0</v>
      </c>
      <c r="AY91" s="50">
        <f t="shared" si="43"/>
        <v>0</v>
      </c>
      <c r="AZ91" s="50">
        <f t="shared" si="43"/>
        <v>0</v>
      </c>
      <c r="BA91" s="50">
        <f t="shared" si="43"/>
        <v>0</v>
      </c>
      <c r="BB91" s="50">
        <f t="shared" si="43"/>
        <v>0</v>
      </c>
      <c r="BC91" s="50">
        <f t="shared" si="43"/>
        <v>0</v>
      </c>
      <c r="BD91" s="50">
        <f>BD86+BD89</f>
        <v>0</v>
      </c>
      <c r="BE91" s="43"/>
      <c r="BF91" s="50">
        <f>BF86+BF89</f>
        <v>0</v>
      </c>
      <c r="BG91" s="50">
        <f t="shared" ref="BG91:BP91" si="44">BG86+BG89</f>
        <v>0</v>
      </c>
      <c r="BH91" s="50">
        <f t="shared" si="44"/>
        <v>0</v>
      </c>
      <c r="BI91" s="50">
        <f t="shared" si="44"/>
        <v>0</v>
      </c>
      <c r="BJ91" s="50">
        <f t="shared" si="44"/>
        <v>0</v>
      </c>
      <c r="BK91" s="50">
        <f t="shared" si="44"/>
        <v>0</v>
      </c>
      <c r="BL91" s="50">
        <f t="shared" si="44"/>
        <v>0</v>
      </c>
      <c r="BM91" s="50">
        <f t="shared" si="44"/>
        <v>0</v>
      </c>
      <c r="BN91" s="50">
        <f t="shared" si="44"/>
        <v>0</v>
      </c>
      <c r="BO91" s="50">
        <f t="shared" si="44"/>
        <v>0</v>
      </c>
      <c r="BP91" s="50">
        <f t="shared" si="44"/>
        <v>0</v>
      </c>
      <c r="BQ91" s="50">
        <f>BQ86+BQ89</f>
        <v>0</v>
      </c>
      <c r="BR91" s="43"/>
    </row>
    <row r="92" spans="1:70" ht="15" outlineLevel="1">
      <c r="A92" s="34" t="s">
        <v>80</v>
      </c>
      <c r="F92" s="53">
        <f>IF(ISERROR(F91/F65),0,(F91/F65))</f>
        <v>0</v>
      </c>
      <c r="G92" s="53">
        <f t="shared" ref="G92:P92" si="45">IF(ISERROR(G91/G65),0,(G91/G65))</f>
        <v>0</v>
      </c>
      <c r="H92" s="53">
        <f t="shared" si="45"/>
        <v>0</v>
      </c>
      <c r="I92" s="53">
        <f t="shared" si="45"/>
        <v>0</v>
      </c>
      <c r="J92" s="53">
        <f t="shared" si="45"/>
        <v>0</v>
      </c>
      <c r="K92" s="53">
        <f t="shared" si="45"/>
        <v>0</v>
      </c>
      <c r="L92" s="53">
        <f t="shared" si="45"/>
        <v>0</v>
      </c>
      <c r="M92" s="53">
        <f t="shared" si="45"/>
        <v>0</v>
      </c>
      <c r="N92" s="53">
        <f t="shared" si="45"/>
        <v>0</v>
      </c>
      <c r="O92" s="53">
        <f t="shared" si="45"/>
        <v>0</v>
      </c>
      <c r="P92" s="53">
        <f t="shared" si="45"/>
        <v>0</v>
      </c>
      <c r="Q92" s="53">
        <f>IF(ISERROR(Q91/Q65),0,(Q91/Q65))</f>
        <v>0</v>
      </c>
      <c r="R92" s="43"/>
      <c r="S92" s="53">
        <f>IF(ISERROR(S91/S65),0,(S91/S65))</f>
        <v>0</v>
      </c>
      <c r="T92" s="53">
        <f t="shared" ref="T92:AC92" si="46">IF(ISERROR(T91/T65),0,(T91/T65))</f>
        <v>0</v>
      </c>
      <c r="U92" s="53">
        <f t="shared" si="46"/>
        <v>0</v>
      </c>
      <c r="V92" s="53">
        <f t="shared" si="46"/>
        <v>0</v>
      </c>
      <c r="W92" s="53">
        <f t="shared" si="46"/>
        <v>0</v>
      </c>
      <c r="X92" s="53">
        <f t="shared" si="46"/>
        <v>0</v>
      </c>
      <c r="Y92" s="53">
        <f t="shared" si="46"/>
        <v>0</v>
      </c>
      <c r="Z92" s="53">
        <f t="shared" si="46"/>
        <v>0</v>
      </c>
      <c r="AA92" s="53">
        <f t="shared" si="46"/>
        <v>0</v>
      </c>
      <c r="AB92" s="53">
        <f t="shared" si="46"/>
        <v>0</v>
      </c>
      <c r="AC92" s="53">
        <f t="shared" si="46"/>
        <v>0</v>
      </c>
      <c r="AD92" s="53">
        <f>IF(ISERROR(AD91/AD65),0,(AD91/AD65))</f>
        <v>0</v>
      </c>
      <c r="AE92" s="43"/>
      <c r="AF92" s="53">
        <f>IF(ISERROR(AF91/AF65),0,(AF91/AF65))</f>
        <v>0</v>
      </c>
      <c r="AG92" s="53">
        <f t="shared" ref="AG92:AP92" si="47">IF(ISERROR(AG91/AG65),0,(AG91/AG65))</f>
        <v>0</v>
      </c>
      <c r="AH92" s="53">
        <f t="shared" si="47"/>
        <v>0</v>
      </c>
      <c r="AI92" s="53">
        <f t="shared" si="47"/>
        <v>0</v>
      </c>
      <c r="AJ92" s="53">
        <f t="shared" si="47"/>
        <v>0</v>
      </c>
      <c r="AK92" s="53">
        <f t="shared" si="47"/>
        <v>0</v>
      </c>
      <c r="AL92" s="53">
        <f t="shared" si="47"/>
        <v>0</v>
      </c>
      <c r="AM92" s="53">
        <f t="shared" si="47"/>
        <v>0</v>
      </c>
      <c r="AN92" s="53">
        <f t="shared" si="47"/>
        <v>0</v>
      </c>
      <c r="AO92" s="53">
        <f t="shared" si="47"/>
        <v>0</v>
      </c>
      <c r="AP92" s="53">
        <f t="shared" si="47"/>
        <v>0</v>
      </c>
      <c r="AQ92" s="53">
        <f>IF(ISERROR(AQ91/AQ65),0,(AQ91/AQ65))</f>
        <v>0</v>
      </c>
      <c r="AR92" s="43"/>
      <c r="AS92" s="53">
        <f>IF(ISERROR(AS91/AS65),0,(AS91/AS65))</f>
        <v>0</v>
      </c>
      <c r="AT92" s="53">
        <f t="shared" ref="AT92:BC92" si="48">IF(ISERROR(AT91/AT65),0,(AT91/AT65))</f>
        <v>0</v>
      </c>
      <c r="AU92" s="53">
        <f t="shared" si="48"/>
        <v>0</v>
      </c>
      <c r="AV92" s="53">
        <f t="shared" si="48"/>
        <v>0</v>
      </c>
      <c r="AW92" s="53">
        <f t="shared" si="48"/>
        <v>0</v>
      </c>
      <c r="AX92" s="53">
        <f t="shared" si="48"/>
        <v>0</v>
      </c>
      <c r="AY92" s="53">
        <f t="shared" si="48"/>
        <v>0</v>
      </c>
      <c r="AZ92" s="53">
        <f t="shared" si="48"/>
        <v>0</v>
      </c>
      <c r="BA92" s="53">
        <f t="shared" si="48"/>
        <v>0</v>
      </c>
      <c r="BB92" s="53">
        <f t="shared" si="48"/>
        <v>0</v>
      </c>
      <c r="BC92" s="53">
        <f t="shared" si="48"/>
        <v>0</v>
      </c>
      <c r="BD92" s="53">
        <f>IF(ISERROR(BD91/BD65),0,(BD91/BD65))</f>
        <v>0</v>
      </c>
      <c r="BE92" s="43"/>
      <c r="BF92" s="53">
        <f>IF(ISERROR(BF91/BF65),0,(BF91/BF65))</f>
        <v>0</v>
      </c>
      <c r="BG92" s="53">
        <f t="shared" ref="BG92:BP92" si="49">IF(ISERROR(BG91/BG65),0,(BG91/BG65))</f>
        <v>0</v>
      </c>
      <c r="BH92" s="53">
        <f t="shared" si="49"/>
        <v>0</v>
      </c>
      <c r="BI92" s="53">
        <f t="shared" si="49"/>
        <v>0</v>
      </c>
      <c r="BJ92" s="53">
        <f t="shared" si="49"/>
        <v>0</v>
      </c>
      <c r="BK92" s="53">
        <f t="shared" si="49"/>
        <v>0</v>
      </c>
      <c r="BL92" s="53">
        <f t="shared" si="49"/>
        <v>0</v>
      </c>
      <c r="BM92" s="53">
        <f t="shared" si="49"/>
        <v>0</v>
      </c>
      <c r="BN92" s="53">
        <f t="shared" si="49"/>
        <v>0</v>
      </c>
      <c r="BO92" s="53">
        <f t="shared" si="49"/>
        <v>0</v>
      </c>
      <c r="BP92" s="53">
        <f t="shared" si="49"/>
        <v>0</v>
      </c>
      <c r="BQ92" s="53">
        <f>IF(ISERROR(BQ91/BQ65),0,(BQ91/BQ65))</f>
        <v>0</v>
      </c>
      <c r="BR92" s="43"/>
    </row>
    <row r="93" spans="1:70" ht="14.25" outlineLevel="1">
      <c r="A93" s="31"/>
      <c r="F93" s="43"/>
      <c r="G93" s="43"/>
      <c r="H93" s="43"/>
      <c r="I93" s="43"/>
      <c r="J93" s="43"/>
      <c r="K93" s="43"/>
      <c r="L93" s="43"/>
      <c r="M93" s="43"/>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row>
    <row r="94" spans="1:70" ht="15" outlineLevel="1">
      <c r="A94" s="34" t="s">
        <v>81</v>
      </c>
      <c r="F94" s="36">
        <v>0</v>
      </c>
      <c r="G94" s="36">
        <v>0</v>
      </c>
      <c r="H94" s="36">
        <v>0</v>
      </c>
      <c r="I94" s="36">
        <v>0</v>
      </c>
      <c r="J94" s="36">
        <v>0</v>
      </c>
      <c r="K94" s="36">
        <v>0</v>
      </c>
      <c r="L94" s="36">
        <v>0</v>
      </c>
      <c r="M94" s="36">
        <v>0</v>
      </c>
      <c r="N94" s="36">
        <v>0</v>
      </c>
      <c r="O94" s="36">
        <v>0</v>
      </c>
      <c r="P94" s="36">
        <v>0</v>
      </c>
      <c r="Q94" s="36">
        <v>0</v>
      </c>
      <c r="R94" s="43"/>
      <c r="S94" s="36">
        <v>0</v>
      </c>
      <c r="T94" s="36">
        <v>0</v>
      </c>
      <c r="U94" s="36">
        <v>0</v>
      </c>
      <c r="V94" s="36">
        <v>0</v>
      </c>
      <c r="W94" s="36">
        <v>0</v>
      </c>
      <c r="X94" s="36">
        <v>0</v>
      </c>
      <c r="Y94" s="36">
        <v>0</v>
      </c>
      <c r="Z94" s="36">
        <v>0</v>
      </c>
      <c r="AA94" s="36">
        <v>0</v>
      </c>
      <c r="AB94" s="36">
        <v>0</v>
      </c>
      <c r="AC94" s="36">
        <v>0</v>
      </c>
      <c r="AD94" s="36">
        <v>0</v>
      </c>
      <c r="AE94" s="43"/>
      <c r="AF94" s="36">
        <v>0</v>
      </c>
      <c r="AG94" s="36">
        <v>0</v>
      </c>
      <c r="AH94" s="36">
        <v>0</v>
      </c>
      <c r="AI94" s="36">
        <v>0</v>
      </c>
      <c r="AJ94" s="36">
        <v>0</v>
      </c>
      <c r="AK94" s="36">
        <v>0</v>
      </c>
      <c r="AL94" s="36">
        <v>0</v>
      </c>
      <c r="AM94" s="36">
        <v>0</v>
      </c>
      <c r="AN94" s="36">
        <v>0</v>
      </c>
      <c r="AO94" s="36">
        <v>0</v>
      </c>
      <c r="AP94" s="36">
        <v>0</v>
      </c>
      <c r="AQ94" s="36">
        <v>0</v>
      </c>
      <c r="AR94" s="43"/>
      <c r="AS94" s="36">
        <v>0</v>
      </c>
      <c r="AT94" s="36">
        <v>0</v>
      </c>
      <c r="AU94" s="36">
        <v>0</v>
      </c>
      <c r="AV94" s="36">
        <v>0</v>
      </c>
      <c r="AW94" s="36">
        <v>0</v>
      </c>
      <c r="AX94" s="36">
        <v>0</v>
      </c>
      <c r="AY94" s="36">
        <v>0</v>
      </c>
      <c r="AZ94" s="36">
        <v>0</v>
      </c>
      <c r="BA94" s="36">
        <v>0</v>
      </c>
      <c r="BB94" s="36">
        <v>0</v>
      </c>
      <c r="BC94" s="36">
        <v>0</v>
      </c>
      <c r="BD94" s="36">
        <v>0</v>
      </c>
      <c r="BE94" s="43"/>
      <c r="BF94" s="36">
        <v>0</v>
      </c>
      <c r="BG94" s="36">
        <v>0</v>
      </c>
      <c r="BH94" s="36">
        <v>0</v>
      </c>
      <c r="BI94" s="36">
        <v>0</v>
      </c>
      <c r="BJ94" s="36">
        <v>0</v>
      </c>
      <c r="BK94" s="36">
        <v>0</v>
      </c>
      <c r="BL94" s="36">
        <v>0</v>
      </c>
      <c r="BM94" s="36">
        <v>0</v>
      </c>
      <c r="BN94" s="36">
        <v>0</v>
      </c>
      <c r="BO94" s="36">
        <v>0</v>
      </c>
      <c r="BP94" s="36">
        <v>0</v>
      </c>
      <c r="BQ94" s="36">
        <v>0</v>
      </c>
      <c r="BR94" s="43"/>
    </row>
    <row r="95" spans="1:70" ht="14.25" outlineLevel="1">
      <c r="A95" s="31"/>
      <c r="F95" s="43"/>
      <c r="G95" s="43"/>
      <c r="H95" s="43"/>
      <c r="I95" s="43"/>
      <c r="J95" s="43"/>
      <c r="K95" s="43"/>
      <c r="L95" s="43"/>
      <c r="M95" s="43"/>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row>
    <row r="96" spans="1:70" ht="15" outlineLevel="1">
      <c r="A96" s="34" t="s">
        <v>82</v>
      </c>
      <c r="F96" s="50">
        <f>F91+F94</f>
        <v>0</v>
      </c>
      <c r="G96" s="50">
        <f t="shared" ref="G96:P96" si="50">G91+G94</f>
        <v>0</v>
      </c>
      <c r="H96" s="50">
        <f t="shared" si="50"/>
        <v>0</v>
      </c>
      <c r="I96" s="50">
        <f t="shared" si="50"/>
        <v>0</v>
      </c>
      <c r="J96" s="50">
        <f t="shared" si="50"/>
        <v>0</v>
      </c>
      <c r="K96" s="50">
        <f t="shared" si="50"/>
        <v>0</v>
      </c>
      <c r="L96" s="50">
        <f t="shared" si="50"/>
        <v>0</v>
      </c>
      <c r="M96" s="50">
        <f t="shared" si="50"/>
        <v>0</v>
      </c>
      <c r="N96" s="50">
        <f t="shared" si="50"/>
        <v>0</v>
      </c>
      <c r="O96" s="50">
        <f t="shared" si="50"/>
        <v>0</v>
      </c>
      <c r="P96" s="50">
        <f t="shared" si="50"/>
        <v>0</v>
      </c>
      <c r="Q96" s="50">
        <f>Q91+Q94</f>
        <v>0</v>
      </c>
      <c r="S96" s="50">
        <f>S91+S94</f>
        <v>0</v>
      </c>
      <c r="T96" s="50">
        <f t="shared" ref="T96:AC96" si="51">T91+T94</f>
        <v>0</v>
      </c>
      <c r="U96" s="50">
        <f t="shared" si="51"/>
        <v>0</v>
      </c>
      <c r="V96" s="50">
        <f t="shared" si="51"/>
        <v>0</v>
      </c>
      <c r="W96" s="50">
        <f t="shared" si="51"/>
        <v>0</v>
      </c>
      <c r="X96" s="50">
        <f t="shared" si="51"/>
        <v>0</v>
      </c>
      <c r="Y96" s="50">
        <f t="shared" si="51"/>
        <v>0</v>
      </c>
      <c r="Z96" s="50">
        <f t="shared" si="51"/>
        <v>0</v>
      </c>
      <c r="AA96" s="50">
        <f t="shared" si="51"/>
        <v>0</v>
      </c>
      <c r="AB96" s="50">
        <f t="shared" si="51"/>
        <v>0</v>
      </c>
      <c r="AC96" s="50">
        <f t="shared" si="51"/>
        <v>0</v>
      </c>
      <c r="AD96" s="50">
        <f>AD91+AD94</f>
        <v>0</v>
      </c>
      <c r="AF96" s="50">
        <f>AF91+AF94</f>
        <v>0</v>
      </c>
      <c r="AG96" s="50">
        <f t="shared" ref="AG96:AP96" si="52">AG91+AG94</f>
        <v>0</v>
      </c>
      <c r="AH96" s="50">
        <f t="shared" si="52"/>
        <v>0</v>
      </c>
      <c r="AI96" s="50">
        <f t="shared" si="52"/>
        <v>0</v>
      </c>
      <c r="AJ96" s="50">
        <f t="shared" si="52"/>
        <v>0</v>
      </c>
      <c r="AK96" s="50">
        <f t="shared" si="52"/>
        <v>0</v>
      </c>
      <c r="AL96" s="50">
        <f t="shared" si="52"/>
        <v>0</v>
      </c>
      <c r="AM96" s="50">
        <f t="shared" si="52"/>
        <v>0</v>
      </c>
      <c r="AN96" s="50">
        <f t="shared" si="52"/>
        <v>0</v>
      </c>
      <c r="AO96" s="50">
        <f t="shared" si="52"/>
        <v>0</v>
      </c>
      <c r="AP96" s="50">
        <f t="shared" si="52"/>
        <v>0</v>
      </c>
      <c r="AQ96" s="50">
        <f>AQ91+AQ94</f>
        <v>0</v>
      </c>
      <c r="AS96" s="50">
        <f>AS91+AS94</f>
        <v>0</v>
      </c>
      <c r="AT96" s="50">
        <f t="shared" ref="AT96:BC96" si="53">AT91+AT94</f>
        <v>0</v>
      </c>
      <c r="AU96" s="50">
        <f t="shared" si="53"/>
        <v>0</v>
      </c>
      <c r="AV96" s="50">
        <f t="shared" si="53"/>
        <v>0</v>
      </c>
      <c r="AW96" s="50">
        <f t="shared" si="53"/>
        <v>0</v>
      </c>
      <c r="AX96" s="50">
        <f t="shared" si="53"/>
        <v>0</v>
      </c>
      <c r="AY96" s="50">
        <f t="shared" si="53"/>
        <v>0</v>
      </c>
      <c r="AZ96" s="50">
        <f t="shared" si="53"/>
        <v>0</v>
      </c>
      <c r="BA96" s="50">
        <f t="shared" si="53"/>
        <v>0</v>
      </c>
      <c r="BB96" s="50">
        <f t="shared" si="53"/>
        <v>0</v>
      </c>
      <c r="BC96" s="50">
        <f t="shared" si="53"/>
        <v>0</v>
      </c>
      <c r="BD96" s="50">
        <f>BD91+BD94</f>
        <v>0</v>
      </c>
      <c r="BF96" s="50">
        <f>BF91+BF94</f>
        <v>0</v>
      </c>
      <c r="BG96" s="50">
        <f t="shared" ref="BG96:BP96" si="54">BG91+BG94</f>
        <v>0</v>
      </c>
      <c r="BH96" s="50">
        <f t="shared" si="54"/>
        <v>0</v>
      </c>
      <c r="BI96" s="50">
        <f t="shared" si="54"/>
        <v>0</v>
      </c>
      <c r="BJ96" s="50">
        <f t="shared" si="54"/>
        <v>0</v>
      </c>
      <c r="BK96" s="50">
        <f t="shared" si="54"/>
        <v>0</v>
      </c>
      <c r="BL96" s="50">
        <f t="shared" si="54"/>
        <v>0</v>
      </c>
      <c r="BM96" s="50">
        <f t="shared" si="54"/>
        <v>0</v>
      </c>
      <c r="BN96" s="50">
        <f t="shared" si="54"/>
        <v>0</v>
      </c>
      <c r="BO96" s="50">
        <f t="shared" si="54"/>
        <v>0</v>
      </c>
      <c r="BP96" s="50">
        <f t="shared" si="54"/>
        <v>0</v>
      </c>
      <c r="BQ96" s="50">
        <f>BQ91+BQ94</f>
        <v>0</v>
      </c>
    </row>
    <row r="97" spans="1:69" ht="15" outlineLevel="1">
      <c r="A97" s="34" t="s">
        <v>83</v>
      </c>
      <c r="F97" s="53">
        <f>IF(ISERROR(F96/F65),0,(F96/F65))</f>
        <v>0</v>
      </c>
      <c r="G97" s="53">
        <f t="shared" ref="G97:P97" si="55">IF(ISERROR(G96/G65),0,(G96/G65))</f>
        <v>0</v>
      </c>
      <c r="H97" s="53">
        <f t="shared" si="55"/>
        <v>0</v>
      </c>
      <c r="I97" s="53">
        <f t="shared" si="55"/>
        <v>0</v>
      </c>
      <c r="J97" s="53">
        <f t="shared" si="55"/>
        <v>0</v>
      </c>
      <c r="K97" s="53">
        <f t="shared" si="55"/>
        <v>0</v>
      </c>
      <c r="L97" s="53">
        <f t="shared" si="55"/>
        <v>0</v>
      </c>
      <c r="M97" s="53">
        <f t="shared" si="55"/>
        <v>0</v>
      </c>
      <c r="N97" s="53">
        <f t="shared" si="55"/>
        <v>0</v>
      </c>
      <c r="O97" s="53">
        <f t="shared" si="55"/>
        <v>0</v>
      </c>
      <c r="P97" s="53">
        <f t="shared" si="55"/>
        <v>0</v>
      </c>
      <c r="Q97" s="53">
        <f>IF(ISERROR(Q96/Q65),0,(Q96/Q65))</f>
        <v>0</v>
      </c>
      <c r="S97" s="53">
        <f>IF(ISERROR(S96/S65),0,(S96/S65))</f>
        <v>0</v>
      </c>
      <c r="T97" s="53">
        <f t="shared" ref="T97:AC97" si="56">IF(ISERROR(T96/T65),0,(T96/T65))</f>
        <v>0</v>
      </c>
      <c r="U97" s="53">
        <f t="shared" si="56"/>
        <v>0</v>
      </c>
      <c r="V97" s="53">
        <f t="shared" si="56"/>
        <v>0</v>
      </c>
      <c r="W97" s="53">
        <f t="shared" si="56"/>
        <v>0</v>
      </c>
      <c r="X97" s="53">
        <f t="shared" si="56"/>
        <v>0</v>
      </c>
      <c r="Y97" s="53">
        <f t="shared" si="56"/>
        <v>0</v>
      </c>
      <c r="Z97" s="53">
        <f t="shared" si="56"/>
        <v>0</v>
      </c>
      <c r="AA97" s="53">
        <f t="shared" si="56"/>
        <v>0</v>
      </c>
      <c r="AB97" s="53">
        <f t="shared" si="56"/>
        <v>0</v>
      </c>
      <c r="AC97" s="53">
        <f t="shared" si="56"/>
        <v>0</v>
      </c>
      <c r="AD97" s="53">
        <f>IF(ISERROR(AD96/AD65),0,(AD96/AD65))</f>
        <v>0</v>
      </c>
      <c r="AF97" s="53">
        <f>IF(ISERROR(AF96/AF65),0,(AF96/AF65))</f>
        <v>0</v>
      </c>
      <c r="AG97" s="53">
        <f t="shared" ref="AG97:AP97" si="57">IF(ISERROR(AG96/AG65),0,(AG96/AG65))</f>
        <v>0</v>
      </c>
      <c r="AH97" s="53">
        <f t="shared" si="57"/>
        <v>0</v>
      </c>
      <c r="AI97" s="53">
        <f t="shared" si="57"/>
        <v>0</v>
      </c>
      <c r="AJ97" s="53">
        <f t="shared" si="57"/>
        <v>0</v>
      </c>
      <c r="AK97" s="53">
        <f t="shared" si="57"/>
        <v>0</v>
      </c>
      <c r="AL97" s="53">
        <f t="shared" si="57"/>
        <v>0</v>
      </c>
      <c r="AM97" s="53">
        <f t="shared" si="57"/>
        <v>0</v>
      </c>
      <c r="AN97" s="53">
        <f t="shared" si="57"/>
        <v>0</v>
      </c>
      <c r="AO97" s="53">
        <f t="shared" si="57"/>
        <v>0</v>
      </c>
      <c r="AP97" s="53">
        <f t="shared" si="57"/>
        <v>0</v>
      </c>
      <c r="AQ97" s="53">
        <f>IF(ISERROR(AQ96/AQ65),0,(AQ96/AQ65))</f>
        <v>0</v>
      </c>
      <c r="AS97" s="53">
        <f>IF(ISERROR(AS96/AS65),0,(AS96/AS65))</f>
        <v>0</v>
      </c>
      <c r="AT97" s="53">
        <f t="shared" ref="AT97:BC97" si="58">IF(ISERROR(AT96/AT65),0,(AT96/AT65))</f>
        <v>0</v>
      </c>
      <c r="AU97" s="53">
        <f t="shared" si="58"/>
        <v>0</v>
      </c>
      <c r="AV97" s="53">
        <f t="shared" si="58"/>
        <v>0</v>
      </c>
      <c r="AW97" s="53">
        <f t="shared" si="58"/>
        <v>0</v>
      </c>
      <c r="AX97" s="53">
        <f t="shared" si="58"/>
        <v>0</v>
      </c>
      <c r="AY97" s="53">
        <f t="shared" si="58"/>
        <v>0</v>
      </c>
      <c r="AZ97" s="53">
        <f t="shared" si="58"/>
        <v>0</v>
      </c>
      <c r="BA97" s="53">
        <f t="shared" si="58"/>
        <v>0</v>
      </c>
      <c r="BB97" s="53">
        <f t="shared" si="58"/>
        <v>0</v>
      </c>
      <c r="BC97" s="53">
        <f t="shared" si="58"/>
        <v>0</v>
      </c>
      <c r="BD97" s="53">
        <f>IF(ISERROR(BD96/BD65),0,(BD96/BD65))</f>
        <v>0</v>
      </c>
      <c r="BF97" s="53">
        <f>IF(ISERROR(BF96/BF65),0,(BF96/BF65))</f>
        <v>0</v>
      </c>
      <c r="BG97" s="53">
        <f t="shared" ref="BG97:BP97" si="59">IF(ISERROR(BG96/BG65),0,(BG96/BG65))</f>
        <v>0</v>
      </c>
      <c r="BH97" s="53">
        <f t="shared" si="59"/>
        <v>0</v>
      </c>
      <c r="BI97" s="53">
        <f t="shared" si="59"/>
        <v>0</v>
      </c>
      <c r="BJ97" s="53">
        <f t="shared" si="59"/>
        <v>0</v>
      </c>
      <c r="BK97" s="53">
        <f t="shared" si="59"/>
        <v>0</v>
      </c>
      <c r="BL97" s="53">
        <f t="shared" si="59"/>
        <v>0</v>
      </c>
      <c r="BM97" s="53">
        <f t="shared" si="59"/>
        <v>0</v>
      </c>
      <c r="BN97" s="53">
        <f t="shared" si="59"/>
        <v>0</v>
      </c>
      <c r="BO97" s="53">
        <f t="shared" si="59"/>
        <v>0</v>
      </c>
      <c r="BP97" s="53">
        <f t="shared" si="59"/>
        <v>0</v>
      </c>
      <c r="BQ97" s="53">
        <f>IF(ISERROR(BQ96/BQ65),0,(BQ96/BQ65))</f>
        <v>0</v>
      </c>
    </row>
    <row r="98" spans="1:69" outlineLevel="1"/>
    <row r="99" spans="1:69">
      <c r="A99" s="58"/>
    </row>
  </sheetData>
  <conditionalFormatting sqref="A5:BR5">
    <cfRule type="expression" dxfId="249" priority="3" stopIfTrue="1">
      <formula>ErrorsPresent&gt;0</formula>
    </cfRule>
    <cfRule type="expression" dxfId="248" priority="4" stopIfTrue="1">
      <formula>ErrorsPresent&lt;0</formula>
    </cfRule>
  </conditionalFormatting>
  <conditionalFormatting sqref="A1">
    <cfRule type="expression" dxfId="247" priority="11" stopIfTrue="1">
      <formula>ErrorsPresent&gt;0</formula>
    </cfRule>
    <cfRule type="expression" dxfId="246" priority="12" stopIfTrue="1">
      <formula>ErrorsPresent&lt;0</formula>
    </cfRule>
  </conditionalFormatting>
  <conditionalFormatting sqref="A1">
    <cfRule type="expression" dxfId="245" priority="9" stopIfTrue="1">
      <formula>Error_Error&lt;0</formula>
    </cfRule>
    <cfRule type="expression" dxfId="244" priority="10" stopIfTrue="1">
      <formula>Error_Error&gt;0</formula>
    </cfRule>
  </conditionalFormatting>
  <conditionalFormatting sqref="B1:BR1">
    <cfRule type="expression" dxfId="243" priority="7" stopIfTrue="1">
      <formula>ErrorsPresent&gt;0</formula>
    </cfRule>
    <cfRule type="expression" dxfId="242" priority="8" stopIfTrue="1">
      <formula>ErrorsPresent&lt;0</formula>
    </cfRule>
  </conditionalFormatting>
  <conditionalFormatting sqref="B1:BR1">
    <cfRule type="expression" dxfId="241" priority="5" stopIfTrue="1">
      <formula>Error_Error&lt;0</formula>
    </cfRule>
    <cfRule type="expression" dxfId="240" priority="6" stopIfTrue="1">
      <formula>Error_Error&gt;0</formula>
    </cfRule>
  </conditionalFormatting>
  <conditionalFormatting sqref="A53:BR53">
    <cfRule type="expression" dxfId="239" priority="1" stopIfTrue="1">
      <formula>ErrorsPresent&gt;0</formula>
    </cfRule>
    <cfRule type="expression" dxfId="238" priority="2" stopIfTrue="1">
      <formula>ErrorsPresent&lt;0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U34"/>
  <sheetViews>
    <sheetView showGridLines="0" zoomScale="90" zoomScaleNormal="90" workbookViewId="0">
      <selection activeCell="F16" sqref="F16"/>
    </sheetView>
  </sheetViews>
  <sheetFormatPr defaultRowHeight="15" customHeight="1" zeroHeight="1" outlineLevelRow="1"/>
  <cols>
    <col min="1" max="1" width="15" style="85" customWidth="1"/>
    <col min="2" max="5" width="9.140625" style="85"/>
    <col min="6" max="18" width="11.5703125" style="85" bestFit="1" customWidth="1"/>
    <col min="19" max="197" width="11.5703125" style="85" customWidth="1"/>
    <col min="198" max="198" width="4.140625" style="85" customWidth="1"/>
    <col min="199" max="199" width="2.28515625" style="85" customWidth="1"/>
    <col min="200" max="201" width="9.140625" style="85"/>
    <col min="202" max="202" width="2.28515625" style="85" customWidth="1"/>
    <col min="203" max="16384" width="9.140625" style="85"/>
  </cols>
  <sheetData>
    <row r="1" spans="1:203">
      <c r="A1" s="83" t="s">
        <v>206</v>
      </c>
      <c r="B1" s="23"/>
      <c r="C1" s="23"/>
      <c r="D1" s="23"/>
      <c r="E1" s="84">
        <f>IF(SUM(GQ:GT)&gt;0,1,0)</f>
        <v>0</v>
      </c>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row>
    <row r="2" spans="1:203" ht="15.75">
      <c r="A2" s="25" t="s">
        <v>355</v>
      </c>
    </row>
    <row r="3" spans="1:203" ht="15.75">
      <c r="A3"/>
    </row>
    <row r="4" spans="1:203" ht="20.25" customHeight="1"/>
    <row r="5" spans="1:203" s="87" customFormat="1" ht="12" customHeight="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c r="EC5" s="86"/>
      <c r="ED5" s="86"/>
      <c r="EE5" s="86"/>
      <c r="EF5" s="86"/>
      <c r="EG5" s="86"/>
      <c r="EH5" s="86"/>
      <c r="EI5" s="86"/>
      <c r="EJ5" s="86"/>
      <c r="EK5" s="86"/>
      <c r="EL5" s="86"/>
      <c r="EM5" s="86"/>
      <c r="EN5" s="86"/>
      <c r="EO5" s="86"/>
      <c r="EP5" s="86"/>
      <c r="EQ5" s="86"/>
      <c r="ER5" s="86"/>
      <c r="ES5" s="86"/>
      <c r="ET5" s="86"/>
      <c r="EU5" s="86"/>
      <c r="EV5" s="86"/>
      <c r="EW5" s="86"/>
      <c r="EX5" s="86"/>
      <c r="EY5" s="86"/>
      <c r="EZ5" s="86"/>
      <c r="FA5" s="86"/>
      <c r="FB5" s="86"/>
      <c r="FC5" s="86"/>
      <c r="FD5" s="86"/>
      <c r="FE5" s="86"/>
      <c r="FF5" s="86"/>
      <c r="FG5" s="86"/>
      <c r="FH5" s="86"/>
      <c r="FI5" s="86"/>
      <c r="FJ5" s="86"/>
      <c r="FK5" s="86"/>
      <c r="FL5" s="86"/>
      <c r="FM5" s="86"/>
      <c r="FN5" s="86"/>
      <c r="FO5" s="86"/>
      <c r="FP5" s="86"/>
      <c r="FQ5" s="86"/>
      <c r="FR5" s="86"/>
      <c r="FS5" s="86"/>
      <c r="FT5" s="86"/>
      <c r="FU5" s="86"/>
      <c r="FV5" s="86"/>
      <c r="FW5" s="86"/>
      <c r="FX5" s="86"/>
      <c r="FY5" s="86"/>
      <c r="FZ5" s="86"/>
      <c r="GA5" s="86"/>
      <c r="GB5" s="86"/>
      <c r="GC5" s="86"/>
      <c r="GD5" s="86"/>
      <c r="GE5" s="86"/>
      <c r="GF5" s="86"/>
      <c r="GG5" s="86"/>
      <c r="GH5" s="86"/>
      <c r="GI5" s="86"/>
      <c r="GJ5" s="86"/>
      <c r="GK5" s="86"/>
      <c r="GL5" s="86"/>
      <c r="GM5" s="86"/>
      <c r="GN5" s="86"/>
      <c r="GO5" s="86"/>
      <c r="GP5" s="86"/>
      <c r="GQ5" s="86"/>
      <c r="GR5" s="86"/>
      <c r="GS5" s="86"/>
      <c r="GT5" s="86"/>
      <c r="GU5" s="86"/>
    </row>
    <row r="6" spans="1:203" hidden="1" outlineLevel="1">
      <c r="GQ6" s="88"/>
      <c r="GR6" s="89" t="s">
        <v>140</v>
      </c>
      <c r="GS6" s="89" t="s">
        <v>141</v>
      </c>
      <c r="GT6" s="88"/>
    </row>
    <row r="7" spans="1:203" hidden="1" outlineLevel="1">
      <c r="F7" s="90" t="s">
        <v>142</v>
      </c>
      <c r="G7" s="90" t="s">
        <v>143</v>
      </c>
      <c r="H7" s="90" t="s">
        <v>144</v>
      </c>
      <c r="I7" s="90" t="s">
        <v>145</v>
      </c>
      <c r="J7" s="90" t="s">
        <v>146</v>
      </c>
      <c r="K7" s="90" t="s">
        <v>147</v>
      </c>
      <c r="L7" s="90" t="s">
        <v>148</v>
      </c>
      <c r="M7" s="90" t="s">
        <v>149</v>
      </c>
      <c r="N7" s="90" t="s">
        <v>150</v>
      </c>
      <c r="O7" s="90" t="s">
        <v>151</v>
      </c>
      <c r="P7" s="90" t="s">
        <v>152</v>
      </c>
      <c r="Q7" s="90" t="s">
        <v>153</v>
      </c>
      <c r="GQ7" s="88"/>
      <c r="GR7" s="89"/>
      <c r="GS7" s="89"/>
      <c r="GT7" s="88"/>
    </row>
    <row r="8" spans="1:203" collapsed="1">
      <c r="GQ8" s="88"/>
      <c r="GR8" s="89"/>
      <c r="GS8" s="89"/>
      <c r="GT8" s="88"/>
    </row>
    <row r="9" spans="1:203">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86"/>
      <c r="EA9" s="86"/>
      <c r="EB9" s="86"/>
      <c r="EC9" s="86"/>
      <c r="ED9" s="86"/>
      <c r="EE9" s="86"/>
      <c r="EF9" s="86"/>
      <c r="EG9" s="86"/>
      <c r="EH9" s="86"/>
      <c r="EI9" s="86"/>
      <c r="EJ9" s="86"/>
      <c r="EK9" s="86"/>
      <c r="EL9" s="86"/>
      <c r="EM9" s="86"/>
      <c r="EN9" s="86"/>
      <c r="EO9" s="86"/>
      <c r="EP9" s="86"/>
      <c r="EQ9" s="86"/>
      <c r="ER9" s="86"/>
      <c r="ES9" s="86"/>
      <c r="ET9" s="86"/>
      <c r="EU9" s="86"/>
      <c r="EV9" s="86"/>
      <c r="EW9" s="86"/>
      <c r="EX9" s="86"/>
      <c r="EY9" s="86"/>
      <c r="EZ9" s="86"/>
      <c r="FA9" s="86"/>
      <c r="FB9" s="86"/>
      <c r="FC9" s="86"/>
      <c r="FD9" s="86"/>
      <c r="FE9" s="86"/>
      <c r="FF9" s="86"/>
      <c r="FG9" s="86"/>
      <c r="FH9" s="86"/>
      <c r="FI9" s="86"/>
      <c r="FJ9" s="86"/>
      <c r="FK9" s="86"/>
      <c r="FL9" s="86"/>
      <c r="FM9" s="86"/>
      <c r="FN9" s="86"/>
      <c r="FO9" s="86"/>
      <c r="FP9" s="86"/>
      <c r="FQ9" s="86"/>
      <c r="FR9" s="86"/>
      <c r="FS9" s="86"/>
      <c r="FT9" s="86"/>
      <c r="FU9" s="86"/>
      <c r="FV9" s="86"/>
      <c r="FW9" s="86"/>
      <c r="FX9" s="86"/>
      <c r="FY9" s="86"/>
      <c r="FZ9" s="86"/>
      <c r="GA9" s="86"/>
      <c r="GB9" s="86"/>
      <c r="GC9" s="86"/>
      <c r="GD9" s="86"/>
      <c r="GE9" s="86"/>
      <c r="GF9" s="86"/>
      <c r="GG9" s="86"/>
      <c r="GH9" s="86"/>
      <c r="GI9" s="86"/>
      <c r="GJ9" s="86"/>
      <c r="GK9" s="86"/>
      <c r="GL9" s="86"/>
      <c r="GM9" s="86"/>
      <c r="GN9" s="86"/>
      <c r="GO9" s="86"/>
      <c r="GP9" s="86"/>
      <c r="GQ9" s="86"/>
      <c r="GR9" s="86"/>
      <c r="GS9" s="86"/>
      <c r="GT9" s="86"/>
      <c r="GU9" s="86"/>
    </row>
    <row r="10" spans="1:203">
      <c r="GQ10" s="88"/>
      <c r="GR10" s="89"/>
      <c r="GS10" s="89"/>
      <c r="GT10" s="88"/>
    </row>
    <row r="11" spans="1:203">
      <c r="A11" s="91" t="s">
        <v>155</v>
      </c>
      <c r="F11" s="92">
        <v>41944</v>
      </c>
      <c r="G11" s="93">
        <f t="shared" ref="G11:BR11" si="0">F12+1</f>
        <v>41974</v>
      </c>
      <c r="H11" s="93">
        <f t="shared" si="0"/>
        <v>42005</v>
      </c>
      <c r="I11" s="93">
        <f t="shared" si="0"/>
        <v>42036</v>
      </c>
      <c r="J11" s="93">
        <f t="shared" si="0"/>
        <v>42064</v>
      </c>
      <c r="K11" s="93">
        <f t="shared" si="0"/>
        <v>42095</v>
      </c>
      <c r="L11" s="93">
        <f t="shared" si="0"/>
        <v>42125</v>
      </c>
      <c r="M11" s="93">
        <f t="shared" si="0"/>
        <v>42156</v>
      </c>
      <c r="N11" s="93">
        <f t="shared" si="0"/>
        <v>42186</v>
      </c>
      <c r="O11" s="93">
        <f t="shared" si="0"/>
        <v>42217</v>
      </c>
      <c r="P11" s="93">
        <f t="shared" si="0"/>
        <v>42248</v>
      </c>
      <c r="Q11" s="93">
        <f t="shared" si="0"/>
        <v>42278</v>
      </c>
      <c r="R11" s="93">
        <f t="shared" si="0"/>
        <v>42309</v>
      </c>
      <c r="S11" s="93">
        <f t="shared" si="0"/>
        <v>42339</v>
      </c>
      <c r="T11" s="93">
        <f t="shared" si="0"/>
        <v>42370</v>
      </c>
      <c r="U11" s="93">
        <f t="shared" si="0"/>
        <v>42401</v>
      </c>
      <c r="V11" s="93">
        <f t="shared" si="0"/>
        <v>42430</v>
      </c>
      <c r="W11" s="93">
        <f t="shared" si="0"/>
        <v>42461</v>
      </c>
      <c r="X11" s="93">
        <f t="shared" si="0"/>
        <v>42491</v>
      </c>
      <c r="Y11" s="93">
        <f t="shared" si="0"/>
        <v>42522</v>
      </c>
      <c r="Z11" s="93">
        <f t="shared" si="0"/>
        <v>42552</v>
      </c>
      <c r="AA11" s="93">
        <f t="shared" si="0"/>
        <v>42583</v>
      </c>
      <c r="AB11" s="93">
        <f t="shared" si="0"/>
        <v>42614</v>
      </c>
      <c r="AC11" s="93">
        <f t="shared" si="0"/>
        <v>42644</v>
      </c>
      <c r="AD11" s="93">
        <f t="shared" si="0"/>
        <v>42675</v>
      </c>
      <c r="AE11" s="93">
        <f t="shared" si="0"/>
        <v>42705</v>
      </c>
      <c r="AF11" s="93">
        <f t="shared" si="0"/>
        <v>42736</v>
      </c>
      <c r="AG11" s="93">
        <f t="shared" si="0"/>
        <v>42767</v>
      </c>
      <c r="AH11" s="93">
        <f t="shared" si="0"/>
        <v>42795</v>
      </c>
      <c r="AI11" s="93">
        <f t="shared" si="0"/>
        <v>42826</v>
      </c>
      <c r="AJ11" s="93">
        <f t="shared" si="0"/>
        <v>42856</v>
      </c>
      <c r="AK11" s="93">
        <f t="shared" si="0"/>
        <v>42887</v>
      </c>
      <c r="AL11" s="93">
        <f t="shared" si="0"/>
        <v>42917</v>
      </c>
      <c r="AM11" s="93">
        <f t="shared" si="0"/>
        <v>42948</v>
      </c>
      <c r="AN11" s="93">
        <f t="shared" si="0"/>
        <v>42979</v>
      </c>
      <c r="AO11" s="93">
        <f t="shared" si="0"/>
        <v>43009</v>
      </c>
      <c r="AP11" s="93">
        <f t="shared" si="0"/>
        <v>43040</v>
      </c>
      <c r="AQ11" s="93">
        <f t="shared" si="0"/>
        <v>43070</v>
      </c>
      <c r="AR11" s="93">
        <f t="shared" si="0"/>
        <v>43101</v>
      </c>
      <c r="AS11" s="93">
        <f t="shared" si="0"/>
        <v>43132</v>
      </c>
      <c r="AT11" s="93">
        <f t="shared" si="0"/>
        <v>43160</v>
      </c>
      <c r="AU11" s="93">
        <f t="shared" si="0"/>
        <v>43191</v>
      </c>
      <c r="AV11" s="93">
        <f t="shared" si="0"/>
        <v>43221</v>
      </c>
      <c r="AW11" s="93">
        <f t="shared" si="0"/>
        <v>43252</v>
      </c>
      <c r="AX11" s="93">
        <f t="shared" si="0"/>
        <v>43282</v>
      </c>
      <c r="AY11" s="93">
        <f t="shared" si="0"/>
        <v>43313</v>
      </c>
      <c r="AZ11" s="93">
        <f t="shared" si="0"/>
        <v>43344</v>
      </c>
      <c r="BA11" s="93">
        <f t="shared" si="0"/>
        <v>43374</v>
      </c>
      <c r="BB11" s="93">
        <f t="shared" si="0"/>
        <v>43405</v>
      </c>
      <c r="BC11" s="93">
        <f t="shared" si="0"/>
        <v>43435</v>
      </c>
      <c r="BD11" s="93">
        <f t="shared" si="0"/>
        <v>43466</v>
      </c>
      <c r="BE11" s="93">
        <f t="shared" si="0"/>
        <v>43497</v>
      </c>
      <c r="BF11" s="93">
        <f t="shared" si="0"/>
        <v>43525</v>
      </c>
      <c r="BG11" s="93">
        <f t="shared" si="0"/>
        <v>43556</v>
      </c>
      <c r="BH11" s="93">
        <f t="shared" si="0"/>
        <v>43586</v>
      </c>
      <c r="BI11" s="93">
        <f t="shared" si="0"/>
        <v>43617</v>
      </c>
      <c r="BJ11" s="93">
        <f t="shared" si="0"/>
        <v>43647</v>
      </c>
      <c r="BK11" s="93">
        <f t="shared" si="0"/>
        <v>43678</v>
      </c>
      <c r="BL11" s="93">
        <f t="shared" si="0"/>
        <v>43709</v>
      </c>
      <c r="BM11" s="93">
        <f t="shared" si="0"/>
        <v>43739</v>
      </c>
      <c r="BN11" s="93">
        <f t="shared" si="0"/>
        <v>43770</v>
      </c>
      <c r="BO11" s="93">
        <f t="shared" si="0"/>
        <v>43800</v>
      </c>
      <c r="BP11" s="93">
        <f t="shared" si="0"/>
        <v>43831</v>
      </c>
      <c r="BQ11" s="93">
        <f t="shared" si="0"/>
        <v>43862</v>
      </c>
      <c r="BR11" s="93">
        <f t="shared" si="0"/>
        <v>43891</v>
      </c>
      <c r="BS11" s="93">
        <f t="shared" ref="BS11:ED11" si="1">BR12+1</f>
        <v>43922</v>
      </c>
      <c r="BT11" s="93">
        <f t="shared" si="1"/>
        <v>43952</v>
      </c>
      <c r="BU11" s="93">
        <f t="shared" si="1"/>
        <v>43983</v>
      </c>
      <c r="BV11" s="93">
        <f t="shared" si="1"/>
        <v>44013</v>
      </c>
      <c r="BW11" s="93">
        <f t="shared" si="1"/>
        <v>44044</v>
      </c>
      <c r="BX11" s="93">
        <f t="shared" si="1"/>
        <v>44075</v>
      </c>
      <c r="BY11" s="93">
        <f t="shared" si="1"/>
        <v>44105</v>
      </c>
      <c r="BZ11" s="93">
        <f t="shared" si="1"/>
        <v>44136</v>
      </c>
      <c r="CA11" s="93">
        <f t="shared" si="1"/>
        <v>44166</v>
      </c>
      <c r="CB11" s="93">
        <f t="shared" si="1"/>
        <v>44197</v>
      </c>
      <c r="CC11" s="93">
        <f t="shared" si="1"/>
        <v>44228</v>
      </c>
      <c r="CD11" s="93">
        <f t="shared" si="1"/>
        <v>44256</v>
      </c>
      <c r="CE11" s="93">
        <f t="shared" si="1"/>
        <v>44287</v>
      </c>
      <c r="CF11" s="93">
        <f t="shared" si="1"/>
        <v>44317</v>
      </c>
      <c r="CG11" s="93">
        <f t="shared" si="1"/>
        <v>44348</v>
      </c>
      <c r="CH11" s="93">
        <f t="shared" si="1"/>
        <v>44378</v>
      </c>
      <c r="CI11" s="93">
        <f t="shared" si="1"/>
        <v>44409</v>
      </c>
      <c r="CJ11" s="93">
        <f t="shared" si="1"/>
        <v>44440</v>
      </c>
      <c r="CK11" s="93">
        <f t="shared" si="1"/>
        <v>44470</v>
      </c>
      <c r="CL11" s="93">
        <f t="shared" si="1"/>
        <v>44501</v>
      </c>
      <c r="CM11" s="93">
        <f t="shared" si="1"/>
        <v>44531</v>
      </c>
      <c r="CN11" s="93">
        <f t="shared" si="1"/>
        <v>44562</v>
      </c>
      <c r="CO11" s="93">
        <f t="shared" si="1"/>
        <v>44593</v>
      </c>
      <c r="CP11" s="93">
        <f t="shared" si="1"/>
        <v>44621</v>
      </c>
      <c r="CQ11" s="93">
        <f t="shared" si="1"/>
        <v>44652</v>
      </c>
      <c r="CR11" s="93">
        <f t="shared" si="1"/>
        <v>44682</v>
      </c>
      <c r="CS11" s="93">
        <f t="shared" si="1"/>
        <v>44713</v>
      </c>
      <c r="CT11" s="93">
        <f t="shared" si="1"/>
        <v>44743</v>
      </c>
      <c r="CU11" s="93">
        <f t="shared" si="1"/>
        <v>44774</v>
      </c>
      <c r="CV11" s="93">
        <f t="shared" si="1"/>
        <v>44805</v>
      </c>
      <c r="CW11" s="93">
        <f t="shared" si="1"/>
        <v>44835</v>
      </c>
      <c r="CX11" s="93">
        <f t="shared" si="1"/>
        <v>44866</v>
      </c>
      <c r="CY11" s="93">
        <f t="shared" si="1"/>
        <v>44896</v>
      </c>
      <c r="CZ11" s="93">
        <f t="shared" si="1"/>
        <v>44927</v>
      </c>
      <c r="DA11" s="93">
        <f t="shared" si="1"/>
        <v>44958</v>
      </c>
      <c r="DB11" s="93">
        <f t="shared" si="1"/>
        <v>44986</v>
      </c>
      <c r="DC11" s="93">
        <f t="shared" si="1"/>
        <v>45017</v>
      </c>
      <c r="DD11" s="93">
        <f t="shared" si="1"/>
        <v>45047</v>
      </c>
      <c r="DE11" s="93">
        <f t="shared" si="1"/>
        <v>45078</v>
      </c>
      <c r="DF11" s="93">
        <f t="shared" si="1"/>
        <v>45108</v>
      </c>
      <c r="DG11" s="93">
        <f t="shared" si="1"/>
        <v>45139</v>
      </c>
      <c r="DH11" s="93">
        <f t="shared" si="1"/>
        <v>45170</v>
      </c>
      <c r="DI11" s="93">
        <f t="shared" si="1"/>
        <v>45200</v>
      </c>
      <c r="DJ11" s="93">
        <f t="shared" si="1"/>
        <v>45231</v>
      </c>
      <c r="DK11" s="93">
        <f t="shared" si="1"/>
        <v>45261</v>
      </c>
      <c r="DL11" s="93">
        <f t="shared" si="1"/>
        <v>45292</v>
      </c>
      <c r="DM11" s="93">
        <f t="shared" si="1"/>
        <v>45323</v>
      </c>
      <c r="DN11" s="93">
        <f t="shared" si="1"/>
        <v>45352</v>
      </c>
      <c r="DO11" s="93">
        <f t="shared" si="1"/>
        <v>45383</v>
      </c>
      <c r="DP11" s="93">
        <f t="shared" si="1"/>
        <v>45413</v>
      </c>
      <c r="DQ11" s="93">
        <f t="shared" si="1"/>
        <v>45444</v>
      </c>
      <c r="DR11" s="93">
        <f t="shared" si="1"/>
        <v>45474</v>
      </c>
      <c r="DS11" s="93">
        <f t="shared" si="1"/>
        <v>45505</v>
      </c>
      <c r="DT11" s="93">
        <f t="shared" si="1"/>
        <v>45536</v>
      </c>
      <c r="DU11" s="93">
        <f t="shared" si="1"/>
        <v>45566</v>
      </c>
      <c r="DV11" s="93">
        <f t="shared" si="1"/>
        <v>45597</v>
      </c>
      <c r="DW11" s="93">
        <f t="shared" si="1"/>
        <v>45627</v>
      </c>
      <c r="DX11" s="93">
        <f t="shared" si="1"/>
        <v>45658</v>
      </c>
      <c r="DY11" s="93">
        <f t="shared" si="1"/>
        <v>45689</v>
      </c>
      <c r="DZ11" s="93">
        <f t="shared" si="1"/>
        <v>45717</v>
      </c>
      <c r="EA11" s="93">
        <f t="shared" si="1"/>
        <v>45748</v>
      </c>
      <c r="EB11" s="93">
        <f t="shared" si="1"/>
        <v>45778</v>
      </c>
      <c r="EC11" s="93">
        <f t="shared" si="1"/>
        <v>45809</v>
      </c>
      <c r="ED11" s="93">
        <f t="shared" si="1"/>
        <v>45839</v>
      </c>
      <c r="EE11" s="93">
        <f t="shared" ref="EE11:GO11" si="2">ED12+1</f>
        <v>45870</v>
      </c>
      <c r="EF11" s="93">
        <f t="shared" si="2"/>
        <v>45901</v>
      </c>
      <c r="EG11" s="93">
        <f t="shared" si="2"/>
        <v>45931</v>
      </c>
      <c r="EH11" s="93">
        <f t="shared" si="2"/>
        <v>45962</v>
      </c>
      <c r="EI11" s="93">
        <f t="shared" si="2"/>
        <v>45992</v>
      </c>
      <c r="EJ11" s="93">
        <f t="shared" si="2"/>
        <v>46023</v>
      </c>
      <c r="EK11" s="93">
        <f t="shared" si="2"/>
        <v>46054</v>
      </c>
      <c r="EL11" s="93">
        <f t="shared" si="2"/>
        <v>46082</v>
      </c>
      <c r="EM11" s="93">
        <f t="shared" si="2"/>
        <v>46113</v>
      </c>
      <c r="EN11" s="93">
        <f t="shared" si="2"/>
        <v>46143</v>
      </c>
      <c r="EO11" s="93">
        <f t="shared" si="2"/>
        <v>46174</v>
      </c>
      <c r="EP11" s="93">
        <f t="shared" si="2"/>
        <v>46204</v>
      </c>
      <c r="EQ11" s="93">
        <f t="shared" si="2"/>
        <v>46235</v>
      </c>
      <c r="ER11" s="93">
        <f t="shared" si="2"/>
        <v>46266</v>
      </c>
      <c r="ES11" s="93">
        <f t="shared" si="2"/>
        <v>46296</v>
      </c>
      <c r="ET11" s="93">
        <f t="shared" si="2"/>
        <v>46327</v>
      </c>
      <c r="EU11" s="93">
        <f t="shared" si="2"/>
        <v>46357</v>
      </c>
      <c r="EV11" s="93">
        <f t="shared" si="2"/>
        <v>46388</v>
      </c>
      <c r="EW11" s="93">
        <f t="shared" si="2"/>
        <v>46419</v>
      </c>
      <c r="EX11" s="93">
        <f t="shared" si="2"/>
        <v>46447</v>
      </c>
      <c r="EY11" s="93">
        <f t="shared" si="2"/>
        <v>46478</v>
      </c>
      <c r="EZ11" s="93">
        <f t="shared" si="2"/>
        <v>46508</v>
      </c>
      <c r="FA11" s="93">
        <f t="shared" si="2"/>
        <v>46539</v>
      </c>
      <c r="FB11" s="93">
        <f t="shared" si="2"/>
        <v>46569</v>
      </c>
      <c r="FC11" s="93">
        <f t="shared" si="2"/>
        <v>46600</v>
      </c>
      <c r="FD11" s="93">
        <f t="shared" si="2"/>
        <v>46631</v>
      </c>
      <c r="FE11" s="93">
        <f t="shared" si="2"/>
        <v>46661</v>
      </c>
      <c r="FF11" s="93">
        <f t="shared" si="2"/>
        <v>46692</v>
      </c>
      <c r="FG11" s="93">
        <f t="shared" si="2"/>
        <v>46722</v>
      </c>
      <c r="FH11" s="93">
        <f t="shared" si="2"/>
        <v>46753</v>
      </c>
      <c r="FI11" s="93">
        <f t="shared" si="2"/>
        <v>46784</v>
      </c>
      <c r="FJ11" s="93">
        <f t="shared" si="2"/>
        <v>46813</v>
      </c>
      <c r="FK11" s="93">
        <f t="shared" si="2"/>
        <v>46844</v>
      </c>
      <c r="FL11" s="93">
        <f t="shared" si="2"/>
        <v>46874</v>
      </c>
      <c r="FM11" s="93">
        <f t="shared" si="2"/>
        <v>46905</v>
      </c>
      <c r="FN11" s="93">
        <f t="shared" si="2"/>
        <v>46935</v>
      </c>
      <c r="FO11" s="93">
        <f t="shared" si="2"/>
        <v>46966</v>
      </c>
      <c r="FP11" s="93">
        <f t="shared" si="2"/>
        <v>46997</v>
      </c>
      <c r="FQ11" s="93">
        <f t="shared" si="2"/>
        <v>47027</v>
      </c>
      <c r="FR11" s="93">
        <f t="shared" si="2"/>
        <v>47058</v>
      </c>
      <c r="FS11" s="93">
        <f t="shared" si="2"/>
        <v>47088</v>
      </c>
      <c r="FT11" s="93">
        <f t="shared" si="2"/>
        <v>47119</v>
      </c>
      <c r="FU11" s="93">
        <f t="shared" si="2"/>
        <v>47150</v>
      </c>
      <c r="FV11" s="93">
        <f t="shared" si="2"/>
        <v>47178</v>
      </c>
      <c r="FW11" s="93">
        <f t="shared" si="2"/>
        <v>47209</v>
      </c>
      <c r="FX11" s="93">
        <f t="shared" si="2"/>
        <v>47239</v>
      </c>
      <c r="FY11" s="93">
        <f t="shared" si="2"/>
        <v>47270</v>
      </c>
      <c r="FZ11" s="93">
        <f t="shared" si="2"/>
        <v>47300</v>
      </c>
      <c r="GA11" s="93">
        <f t="shared" si="2"/>
        <v>47331</v>
      </c>
      <c r="GB11" s="93">
        <f t="shared" si="2"/>
        <v>47362</v>
      </c>
      <c r="GC11" s="93">
        <f t="shared" si="2"/>
        <v>47392</v>
      </c>
      <c r="GD11" s="93">
        <f t="shared" si="2"/>
        <v>47423</v>
      </c>
      <c r="GE11" s="93">
        <f t="shared" si="2"/>
        <v>47453</v>
      </c>
      <c r="GF11" s="93">
        <f t="shared" si="2"/>
        <v>47484</v>
      </c>
      <c r="GG11" s="93">
        <f t="shared" si="2"/>
        <v>47515</v>
      </c>
      <c r="GH11" s="93">
        <f t="shared" si="2"/>
        <v>47543</v>
      </c>
      <c r="GI11" s="93">
        <f t="shared" si="2"/>
        <v>47574</v>
      </c>
      <c r="GJ11" s="93">
        <f t="shared" si="2"/>
        <v>47604</v>
      </c>
      <c r="GK11" s="93">
        <f t="shared" si="2"/>
        <v>47635</v>
      </c>
      <c r="GL11" s="93">
        <f t="shared" si="2"/>
        <v>47665</v>
      </c>
      <c r="GM11" s="93">
        <f t="shared" si="2"/>
        <v>47696</v>
      </c>
      <c r="GN11" s="93">
        <f t="shared" si="2"/>
        <v>47727</v>
      </c>
      <c r="GO11" s="93">
        <f t="shared" si="2"/>
        <v>47757</v>
      </c>
      <c r="GQ11" s="88"/>
      <c r="GR11" s="94"/>
      <c r="GS11" s="94"/>
      <c r="GT11" s="88"/>
    </row>
    <row r="12" spans="1:203">
      <c r="A12" s="95" t="s">
        <v>156</v>
      </c>
      <c r="F12" s="92">
        <f t="shared" ref="F12:BQ12" si="3">DATE(YEAR(F11),MONTH(F11)+1,DAY(F11)-1)</f>
        <v>41973</v>
      </c>
      <c r="G12" s="93">
        <f t="shared" si="3"/>
        <v>42004</v>
      </c>
      <c r="H12" s="93">
        <f t="shared" si="3"/>
        <v>42035</v>
      </c>
      <c r="I12" s="93">
        <f t="shared" si="3"/>
        <v>42063</v>
      </c>
      <c r="J12" s="93">
        <f t="shared" si="3"/>
        <v>42094</v>
      </c>
      <c r="K12" s="93">
        <f t="shared" si="3"/>
        <v>42124</v>
      </c>
      <c r="L12" s="93">
        <f t="shared" si="3"/>
        <v>42155</v>
      </c>
      <c r="M12" s="93">
        <f t="shared" si="3"/>
        <v>42185</v>
      </c>
      <c r="N12" s="93">
        <f t="shared" si="3"/>
        <v>42216</v>
      </c>
      <c r="O12" s="93">
        <f t="shared" si="3"/>
        <v>42247</v>
      </c>
      <c r="P12" s="93">
        <f t="shared" si="3"/>
        <v>42277</v>
      </c>
      <c r="Q12" s="93">
        <f t="shared" si="3"/>
        <v>42308</v>
      </c>
      <c r="R12" s="93">
        <f t="shared" si="3"/>
        <v>42338</v>
      </c>
      <c r="S12" s="93">
        <f t="shared" si="3"/>
        <v>42369</v>
      </c>
      <c r="T12" s="93">
        <f t="shared" si="3"/>
        <v>42400</v>
      </c>
      <c r="U12" s="93">
        <f t="shared" si="3"/>
        <v>42429</v>
      </c>
      <c r="V12" s="93">
        <f t="shared" si="3"/>
        <v>42460</v>
      </c>
      <c r="W12" s="93">
        <f t="shared" si="3"/>
        <v>42490</v>
      </c>
      <c r="X12" s="93">
        <f t="shared" si="3"/>
        <v>42521</v>
      </c>
      <c r="Y12" s="93">
        <f t="shared" si="3"/>
        <v>42551</v>
      </c>
      <c r="Z12" s="93">
        <f t="shared" si="3"/>
        <v>42582</v>
      </c>
      <c r="AA12" s="93">
        <f t="shared" si="3"/>
        <v>42613</v>
      </c>
      <c r="AB12" s="93">
        <f t="shared" si="3"/>
        <v>42643</v>
      </c>
      <c r="AC12" s="93">
        <f t="shared" si="3"/>
        <v>42674</v>
      </c>
      <c r="AD12" s="93">
        <f t="shared" si="3"/>
        <v>42704</v>
      </c>
      <c r="AE12" s="93">
        <f t="shared" si="3"/>
        <v>42735</v>
      </c>
      <c r="AF12" s="93">
        <f t="shared" si="3"/>
        <v>42766</v>
      </c>
      <c r="AG12" s="93">
        <f t="shared" si="3"/>
        <v>42794</v>
      </c>
      <c r="AH12" s="93">
        <f t="shared" si="3"/>
        <v>42825</v>
      </c>
      <c r="AI12" s="93">
        <f t="shared" si="3"/>
        <v>42855</v>
      </c>
      <c r="AJ12" s="93">
        <f t="shared" si="3"/>
        <v>42886</v>
      </c>
      <c r="AK12" s="93">
        <f t="shared" si="3"/>
        <v>42916</v>
      </c>
      <c r="AL12" s="93">
        <f t="shared" si="3"/>
        <v>42947</v>
      </c>
      <c r="AM12" s="93">
        <f t="shared" si="3"/>
        <v>42978</v>
      </c>
      <c r="AN12" s="93">
        <f t="shared" si="3"/>
        <v>43008</v>
      </c>
      <c r="AO12" s="93">
        <f t="shared" si="3"/>
        <v>43039</v>
      </c>
      <c r="AP12" s="93">
        <f t="shared" si="3"/>
        <v>43069</v>
      </c>
      <c r="AQ12" s="93">
        <f t="shared" si="3"/>
        <v>43100</v>
      </c>
      <c r="AR12" s="93">
        <f t="shared" si="3"/>
        <v>43131</v>
      </c>
      <c r="AS12" s="93">
        <f t="shared" si="3"/>
        <v>43159</v>
      </c>
      <c r="AT12" s="93">
        <f t="shared" si="3"/>
        <v>43190</v>
      </c>
      <c r="AU12" s="93">
        <f t="shared" si="3"/>
        <v>43220</v>
      </c>
      <c r="AV12" s="93">
        <f t="shared" si="3"/>
        <v>43251</v>
      </c>
      <c r="AW12" s="93">
        <f t="shared" si="3"/>
        <v>43281</v>
      </c>
      <c r="AX12" s="93">
        <f t="shared" si="3"/>
        <v>43312</v>
      </c>
      <c r="AY12" s="93">
        <f t="shared" si="3"/>
        <v>43343</v>
      </c>
      <c r="AZ12" s="93">
        <f t="shared" si="3"/>
        <v>43373</v>
      </c>
      <c r="BA12" s="93">
        <f t="shared" si="3"/>
        <v>43404</v>
      </c>
      <c r="BB12" s="93">
        <f t="shared" si="3"/>
        <v>43434</v>
      </c>
      <c r="BC12" s="93">
        <f t="shared" si="3"/>
        <v>43465</v>
      </c>
      <c r="BD12" s="93">
        <f t="shared" si="3"/>
        <v>43496</v>
      </c>
      <c r="BE12" s="93">
        <f t="shared" si="3"/>
        <v>43524</v>
      </c>
      <c r="BF12" s="93">
        <f t="shared" si="3"/>
        <v>43555</v>
      </c>
      <c r="BG12" s="93">
        <f t="shared" si="3"/>
        <v>43585</v>
      </c>
      <c r="BH12" s="93">
        <f t="shared" si="3"/>
        <v>43616</v>
      </c>
      <c r="BI12" s="93">
        <f t="shared" si="3"/>
        <v>43646</v>
      </c>
      <c r="BJ12" s="93">
        <f t="shared" si="3"/>
        <v>43677</v>
      </c>
      <c r="BK12" s="93">
        <f t="shared" si="3"/>
        <v>43708</v>
      </c>
      <c r="BL12" s="93">
        <f t="shared" si="3"/>
        <v>43738</v>
      </c>
      <c r="BM12" s="93">
        <f t="shared" si="3"/>
        <v>43769</v>
      </c>
      <c r="BN12" s="93">
        <f t="shared" si="3"/>
        <v>43799</v>
      </c>
      <c r="BO12" s="93">
        <f t="shared" si="3"/>
        <v>43830</v>
      </c>
      <c r="BP12" s="93">
        <f t="shared" si="3"/>
        <v>43861</v>
      </c>
      <c r="BQ12" s="93">
        <f t="shared" si="3"/>
        <v>43890</v>
      </c>
      <c r="BR12" s="93">
        <f t="shared" ref="BR12:EC12" si="4">DATE(YEAR(BR11),MONTH(BR11)+1,DAY(BR11)-1)</f>
        <v>43921</v>
      </c>
      <c r="BS12" s="93">
        <f t="shared" si="4"/>
        <v>43951</v>
      </c>
      <c r="BT12" s="93">
        <f t="shared" si="4"/>
        <v>43982</v>
      </c>
      <c r="BU12" s="93">
        <f t="shared" si="4"/>
        <v>44012</v>
      </c>
      <c r="BV12" s="93">
        <f t="shared" si="4"/>
        <v>44043</v>
      </c>
      <c r="BW12" s="93">
        <f t="shared" si="4"/>
        <v>44074</v>
      </c>
      <c r="BX12" s="93">
        <f t="shared" si="4"/>
        <v>44104</v>
      </c>
      <c r="BY12" s="93">
        <f t="shared" si="4"/>
        <v>44135</v>
      </c>
      <c r="BZ12" s="93">
        <f t="shared" si="4"/>
        <v>44165</v>
      </c>
      <c r="CA12" s="93">
        <f t="shared" si="4"/>
        <v>44196</v>
      </c>
      <c r="CB12" s="93">
        <f t="shared" si="4"/>
        <v>44227</v>
      </c>
      <c r="CC12" s="93">
        <f t="shared" si="4"/>
        <v>44255</v>
      </c>
      <c r="CD12" s="93">
        <f t="shared" si="4"/>
        <v>44286</v>
      </c>
      <c r="CE12" s="93">
        <f t="shared" si="4"/>
        <v>44316</v>
      </c>
      <c r="CF12" s="93">
        <f t="shared" si="4"/>
        <v>44347</v>
      </c>
      <c r="CG12" s="93">
        <f t="shared" si="4"/>
        <v>44377</v>
      </c>
      <c r="CH12" s="93">
        <f t="shared" si="4"/>
        <v>44408</v>
      </c>
      <c r="CI12" s="93">
        <f t="shared" si="4"/>
        <v>44439</v>
      </c>
      <c r="CJ12" s="93">
        <f t="shared" si="4"/>
        <v>44469</v>
      </c>
      <c r="CK12" s="93">
        <f t="shared" si="4"/>
        <v>44500</v>
      </c>
      <c r="CL12" s="93">
        <f t="shared" si="4"/>
        <v>44530</v>
      </c>
      <c r="CM12" s="93">
        <f t="shared" si="4"/>
        <v>44561</v>
      </c>
      <c r="CN12" s="93">
        <f t="shared" si="4"/>
        <v>44592</v>
      </c>
      <c r="CO12" s="93">
        <f t="shared" si="4"/>
        <v>44620</v>
      </c>
      <c r="CP12" s="93">
        <f t="shared" si="4"/>
        <v>44651</v>
      </c>
      <c r="CQ12" s="93">
        <f t="shared" si="4"/>
        <v>44681</v>
      </c>
      <c r="CR12" s="93">
        <f t="shared" si="4"/>
        <v>44712</v>
      </c>
      <c r="CS12" s="93">
        <f t="shared" si="4"/>
        <v>44742</v>
      </c>
      <c r="CT12" s="93">
        <f t="shared" si="4"/>
        <v>44773</v>
      </c>
      <c r="CU12" s="93">
        <f t="shared" si="4"/>
        <v>44804</v>
      </c>
      <c r="CV12" s="93">
        <f t="shared" si="4"/>
        <v>44834</v>
      </c>
      <c r="CW12" s="93">
        <f t="shared" si="4"/>
        <v>44865</v>
      </c>
      <c r="CX12" s="93">
        <f t="shared" si="4"/>
        <v>44895</v>
      </c>
      <c r="CY12" s="93">
        <f t="shared" si="4"/>
        <v>44926</v>
      </c>
      <c r="CZ12" s="93">
        <f t="shared" si="4"/>
        <v>44957</v>
      </c>
      <c r="DA12" s="93">
        <f t="shared" si="4"/>
        <v>44985</v>
      </c>
      <c r="DB12" s="93">
        <f t="shared" si="4"/>
        <v>45016</v>
      </c>
      <c r="DC12" s="93">
        <f t="shared" si="4"/>
        <v>45046</v>
      </c>
      <c r="DD12" s="93">
        <f t="shared" si="4"/>
        <v>45077</v>
      </c>
      <c r="DE12" s="93">
        <f t="shared" si="4"/>
        <v>45107</v>
      </c>
      <c r="DF12" s="93">
        <f t="shared" si="4"/>
        <v>45138</v>
      </c>
      <c r="DG12" s="93">
        <f t="shared" si="4"/>
        <v>45169</v>
      </c>
      <c r="DH12" s="93">
        <f t="shared" si="4"/>
        <v>45199</v>
      </c>
      <c r="DI12" s="93">
        <f t="shared" si="4"/>
        <v>45230</v>
      </c>
      <c r="DJ12" s="93">
        <f t="shared" si="4"/>
        <v>45260</v>
      </c>
      <c r="DK12" s="93">
        <f t="shared" si="4"/>
        <v>45291</v>
      </c>
      <c r="DL12" s="93">
        <f t="shared" si="4"/>
        <v>45322</v>
      </c>
      <c r="DM12" s="93">
        <f t="shared" si="4"/>
        <v>45351</v>
      </c>
      <c r="DN12" s="93">
        <f t="shared" si="4"/>
        <v>45382</v>
      </c>
      <c r="DO12" s="93">
        <f t="shared" si="4"/>
        <v>45412</v>
      </c>
      <c r="DP12" s="93">
        <f t="shared" si="4"/>
        <v>45443</v>
      </c>
      <c r="DQ12" s="93">
        <f t="shared" si="4"/>
        <v>45473</v>
      </c>
      <c r="DR12" s="93">
        <f t="shared" si="4"/>
        <v>45504</v>
      </c>
      <c r="DS12" s="93">
        <f t="shared" si="4"/>
        <v>45535</v>
      </c>
      <c r="DT12" s="93">
        <f t="shared" si="4"/>
        <v>45565</v>
      </c>
      <c r="DU12" s="93">
        <f t="shared" si="4"/>
        <v>45596</v>
      </c>
      <c r="DV12" s="93">
        <f t="shared" si="4"/>
        <v>45626</v>
      </c>
      <c r="DW12" s="93">
        <f t="shared" si="4"/>
        <v>45657</v>
      </c>
      <c r="DX12" s="93">
        <f t="shared" si="4"/>
        <v>45688</v>
      </c>
      <c r="DY12" s="93">
        <f t="shared" si="4"/>
        <v>45716</v>
      </c>
      <c r="DZ12" s="93">
        <f t="shared" si="4"/>
        <v>45747</v>
      </c>
      <c r="EA12" s="93">
        <f t="shared" si="4"/>
        <v>45777</v>
      </c>
      <c r="EB12" s="93">
        <f t="shared" si="4"/>
        <v>45808</v>
      </c>
      <c r="EC12" s="93">
        <f t="shared" si="4"/>
        <v>45838</v>
      </c>
      <c r="ED12" s="93">
        <f t="shared" ref="ED12:GO12" si="5">DATE(YEAR(ED11),MONTH(ED11)+1,DAY(ED11)-1)</f>
        <v>45869</v>
      </c>
      <c r="EE12" s="93">
        <f t="shared" si="5"/>
        <v>45900</v>
      </c>
      <c r="EF12" s="93">
        <f t="shared" si="5"/>
        <v>45930</v>
      </c>
      <c r="EG12" s="93">
        <f t="shared" si="5"/>
        <v>45961</v>
      </c>
      <c r="EH12" s="93">
        <f t="shared" si="5"/>
        <v>45991</v>
      </c>
      <c r="EI12" s="93">
        <f t="shared" si="5"/>
        <v>46022</v>
      </c>
      <c r="EJ12" s="93">
        <f t="shared" si="5"/>
        <v>46053</v>
      </c>
      <c r="EK12" s="93">
        <f t="shared" si="5"/>
        <v>46081</v>
      </c>
      <c r="EL12" s="93">
        <f t="shared" si="5"/>
        <v>46112</v>
      </c>
      <c r="EM12" s="93">
        <f t="shared" si="5"/>
        <v>46142</v>
      </c>
      <c r="EN12" s="93">
        <f t="shared" si="5"/>
        <v>46173</v>
      </c>
      <c r="EO12" s="93">
        <f t="shared" si="5"/>
        <v>46203</v>
      </c>
      <c r="EP12" s="93">
        <f t="shared" si="5"/>
        <v>46234</v>
      </c>
      <c r="EQ12" s="93">
        <f t="shared" si="5"/>
        <v>46265</v>
      </c>
      <c r="ER12" s="93">
        <f t="shared" si="5"/>
        <v>46295</v>
      </c>
      <c r="ES12" s="93">
        <f t="shared" si="5"/>
        <v>46326</v>
      </c>
      <c r="ET12" s="93">
        <f t="shared" si="5"/>
        <v>46356</v>
      </c>
      <c r="EU12" s="93">
        <f t="shared" si="5"/>
        <v>46387</v>
      </c>
      <c r="EV12" s="93">
        <f t="shared" si="5"/>
        <v>46418</v>
      </c>
      <c r="EW12" s="93">
        <f t="shared" si="5"/>
        <v>46446</v>
      </c>
      <c r="EX12" s="93">
        <f t="shared" si="5"/>
        <v>46477</v>
      </c>
      <c r="EY12" s="93">
        <f t="shared" si="5"/>
        <v>46507</v>
      </c>
      <c r="EZ12" s="93">
        <f t="shared" si="5"/>
        <v>46538</v>
      </c>
      <c r="FA12" s="93">
        <f t="shared" si="5"/>
        <v>46568</v>
      </c>
      <c r="FB12" s="93">
        <f t="shared" si="5"/>
        <v>46599</v>
      </c>
      <c r="FC12" s="93">
        <f t="shared" si="5"/>
        <v>46630</v>
      </c>
      <c r="FD12" s="93">
        <f t="shared" si="5"/>
        <v>46660</v>
      </c>
      <c r="FE12" s="93">
        <f t="shared" si="5"/>
        <v>46691</v>
      </c>
      <c r="FF12" s="93">
        <f t="shared" si="5"/>
        <v>46721</v>
      </c>
      <c r="FG12" s="93">
        <f t="shared" si="5"/>
        <v>46752</v>
      </c>
      <c r="FH12" s="93">
        <f t="shared" si="5"/>
        <v>46783</v>
      </c>
      <c r="FI12" s="93">
        <f t="shared" si="5"/>
        <v>46812</v>
      </c>
      <c r="FJ12" s="93">
        <f t="shared" si="5"/>
        <v>46843</v>
      </c>
      <c r="FK12" s="93">
        <f t="shared" si="5"/>
        <v>46873</v>
      </c>
      <c r="FL12" s="93">
        <f t="shared" si="5"/>
        <v>46904</v>
      </c>
      <c r="FM12" s="93">
        <f t="shared" si="5"/>
        <v>46934</v>
      </c>
      <c r="FN12" s="93">
        <f t="shared" si="5"/>
        <v>46965</v>
      </c>
      <c r="FO12" s="93">
        <f t="shared" si="5"/>
        <v>46996</v>
      </c>
      <c r="FP12" s="93">
        <f t="shared" si="5"/>
        <v>47026</v>
      </c>
      <c r="FQ12" s="93">
        <f t="shared" si="5"/>
        <v>47057</v>
      </c>
      <c r="FR12" s="93">
        <f t="shared" si="5"/>
        <v>47087</v>
      </c>
      <c r="FS12" s="93">
        <f t="shared" si="5"/>
        <v>47118</v>
      </c>
      <c r="FT12" s="93">
        <f t="shared" si="5"/>
        <v>47149</v>
      </c>
      <c r="FU12" s="93">
        <f t="shared" si="5"/>
        <v>47177</v>
      </c>
      <c r="FV12" s="93">
        <f t="shared" si="5"/>
        <v>47208</v>
      </c>
      <c r="FW12" s="93">
        <f t="shared" si="5"/>
        <v>47238</v>
      </c>
      <c r="FX12" s="93">
        <f t="shared" si="5"/>
        <v>47269</v>
      </c>
      <c r="FY12" s="93">
        <f t="shared" si="5"/>
        <v>47299</v>
      </c>
      <c r="FZ12" s="93">
        <f t="shared" si="5"/>
        <v>47330</v>
      </c>
      <c r="GA12" s="93">
        <f t="shared" si="5"/>
        <v>47361</v>
      </c>
      <c r="GB12" s="93">
        <f t="shared" si="5"/>
        <v>47391</v>
      </c>
      <c r="GC12" s="93">
        <f t="shared" si="5"/>
        <v>47422</v>
      </c>
      <c r="GD12" s="93">
        <f t="shared" si="5"/>
        <v>47452</v>
      </c>
      <c r="GE12" s="93">
        <f t="shared" si="5"/>
        <v>47483</v>
      </c>
      <c r="GF12" s="93">
        <f t="shared" si="5"/>
        <v>47514</v>
      </c>
      <c r="GG12" s="93">
        <f t="shared" si="5"/>
        <v>47542</v>
      </c>
      <c r="GH12" s="93">
        <f t="shared" si="5"/>
        <v>47573</v>
      </c>
      <c r="GI12" s="93">
        <f t="shared" si="5"/>
        <v>47603</v>
      </c>
      <c r="GJ12" s="93">
        <f t="shared" si="5"/>
        <v>47634</v>
      </c>
      <c r="GK12" s="93">
        <f t="shared" si="5"/>
        <v>47664</v>
      </c>
      <c r="GL12" s="93">
        <f t="shared" si="5"/>
        <v>47695</v>
      </c>
      <c r="GM12" s="93">
        <f t="shared" si="5"/>
        <v>47726</v>
      </c>
      <c r="GN12" s="93">
        <f t="shared" si="5"/>
        <v>47756</v>
      </c>
      <c r="GO12" s="93">
        <f t="shared" si="5"/>
        <v>47787</v>
      </c>
      <c r="GQ12" s="88"/>
      <c r="GS12" s="94"/>
      <c r="GT12" s="88"/>
    </row>
    <row r="13" spans="1:203">
      <c r="A13" s="95" t="s">
        <v>157</v>
      </c>
      <c r="F13" s="90">
        <v>1</v>
      </c>
      <c r="G13" s="96">
        <f>F13+1</f>
        <v>2</v>
      </c>
      <c r="H13" s="97">
        <f t="shared" ref="H13:BS13" si="6">G13+1</f>
        <v>3</v>
      </c>
      <c r="I13" s="97">
        <f t="shared" si="6"/>
        <v>4</v>
      </c>
      <c r="J13" s="97">
        <f t="shared" si="6"/>
        <v>5</v>
      </c>
      <c r="K13" s="97">
        <f t="shared" si="6"/>
        <v>6</v>
      </c>
      <c r="L13" s="97">
        <f t="shared" si="6"/>
        <v>7</v>
      </c>
      <c r="M13" s="97">
        <f t="shared" si="6"/>
        <v>8</v>
      </c>
      <c r="N13" s="97">
        <f t="shared" si="6"/>
        <v>9</v>
      </c>
      <c r="O13" s="97">
        <f t="shared" si="6"/>
        <v>10</v>
      </c>
      <c r="P13" s="97">
        <f t="shared" si="6"/>
        <v>11</v>
      </c>
      <c r="Q13" s="97">
        <f t="shared" si="6"/>
        <v>12</v>
      </c>
      <c r="R13" s="97">
        <f t="shared" si="6"/>
        <v>13</v>
      </c>
      <c r="S13" s="97">
        <f t="shared" si="6"/>
        <v>14</v>
      </c>
      <c r="T13" s="97">
        <f t="shared" si="6"/>
        <v>15</v>
      </c>
      <c r="U13" s="97">
        <f t="shared" si="6"/>
        <v>16</v>
      </c>
      <c r="V13" s="97">
        <f t="shared" si="6"/>
        <v>17</v>
      </c>
      <c r="W13" s="97">
        <f t="shared" si="6"/>
        <v>18</v>
      </c>
      <c r="X13" s="97">
        <f t="shared" si="6"/>
        <v>19</v>
      </c>
      <c r="Y13" s="97">
        <f t="shared" si="6"/>
        <v>20</v>
      </c>
      <c r="Z13" s="97">
        <f t="shared" si="6"/>
        <v>21</v>
      </c>
      <c r="AA13" s="97">
        <f t="shared" si="6"/>
        <v>22</v>
      </c>
      <c r="AB13" s="97">
        <f t="shared" si="6"/>
        <v>23</v>
      </c>
      <c r="AC13" s="97">
        <f t="shared" si="6"/>
        <v>24</v>
      </c>
      <c r="AD13" s="97">
        <f t="shared" si="6"/>
        <v>25</v>
      </c>
      <c r="AE13" s="97">
        <f t="shared" si="6"/>
        <v>26</v>
      </c>
      <c r="AF13" s="97">
        <f t="shared" si="6"/>
        <v>27</v>
      </c>
      <c r="AG13" s="97">
        <f t="shared" si="6"/>
        <v>28</v>
      </c>
      <c r="AH13" s="97">
        <f t="shared" si="6"/>
        <v>29</v>
      </c>
      <c r="AI13" s="97">
        <f t="shared" si="6"/>
        <v>30</v>
      </c>
      <c r="AJ13" s="97">
        <f t="shared" si="6"/>
        <v>31</v>
      </c>
      <c r="AK13" s="97">
        <f t="shared" si="6"/>
        <v>32</v>
      </c>
      <c r="AL13" s="97">
        <f t="shared" si="6"/>
        <v>33</v>
      </c>
      <c r="AM13" s="97">
        <f t="shared" si="6"/>
        <v>34</v>
      </c>
      <c r="AN13" s="97">
        <f t="shared" si="6"/>
        <v>35</v>
      </c>
      <c r="AO13" s="97">
        <f t="shared" si="6"/>
        <v>36</v>
      </c>
      <c r="AP13" s="97">
        <f t="shared" si="6"/>
        <v>37</v>
      </c>
      <c r="AQ13" s="97">
        <f t="shared" si="6"/>
        <v>38</v>
      </c>
      <c r="AR13" s="97">
        <f t="shared" si="6"/>
        <v>39</v>
      </c>
      <c r="AS13" s="97">
        <f t="shared" si="6"/>
        <v>40</v>
      </c>
      <c r="AT13" s="97">
        <f t="shared" si="6"/>
        <v>41</v>
      </c>
      <c r="AU13" s="97">
        <f t="shared" si="6"/>
        <v>42</v>
      </c>
      <c r="AV13" s="97">
        <f t="shared" si="6"/>
        <v>43</v>
      </c>
      <c r="AW13" s="97">
        <f t="shared" si="6"/>
        <v>44</v>
      </c>
      <c r="AX13" s="97">
        <f t="shared" si="6"/>
        <v>45</v>
      </c>
      <c r="AY13" s="97">
        <f t="shared" si="6"/>
        <v>46</v>
      </c>
      <c r="AZ13" s="97">
        <f t="shared" si="6"/>
        <v>47</v>
      </c>
      <c r="BA13" s="97">
        <f t="shared" si="6"/>
        <v>48</v>
      </c>
      <c r="BB13" s="97">
        <f t="shared" si="6"/>
        <v>49</v>
      </c>
      <c r="BC13" s="97">
        <f t="shared" si="6"/>
        <v>50</v>
      </c>
      <c r="BD13" s="97">
        <f t="shared" si="6"/>
        <v>51</v>
      </c>
      <c r="BE13" s="97">
        <f t="shared" si="6"/>
        <v>52</v>
      </c>
      <c r="BF13" s="97">
        <f t="shared" si="6"/>
        <v>53</v>
      </c>
      <c r="BG13" s="97">
        <f t="shared" si="6"/>
        <v>54</v>
      </c>
      <c r="BH13" s="97">
        <f t="shared" si="6"/>
        <v>55</v>
      </c>
      <c r="BI13" s="97">
        <f t="shared" si="6"/>
        <v>56</v>
      </c>
      <c r="BJ13" s="97">
        <f t="shared" si="6"/>
        <v>57</v>
      </c>
      <c r="BK13" s="97">
        <f t="shared" si="6"/>
        <v>58</v>
      </c>
      <c r="BL13" s="97">
        <f t="shared" si="6"/>
        <v>59</v>
      </c>
      <c r="BM13" s="97">
        <f t="shared" si="6"/>
        <v>60</v>
      </c>
      <c r="BN13" s="97">
        <f t="shared" si="6"/>
        <v>61</v>
      </c>
      <c r="BO13" s="97">
        <f t="shared" si="6"/>
        <v>62</v>
      </c>
      <c r="BP13" s="97">
        <f t="shared" si="6"/>
        <v>63</v>
      </c>
      <c r="BQ13" s="97">
        <f t="shared" si="6"/>
        <v>64</v>
      </c>
      <c r="BR13" s="97">
        <f t="shared" si="6"/>
        <v>65</v>
      </c>
      <c r="BS13" s="97">
        <f t="shared" si="6"/>
        <v>66</v>
      </c>
      <c r="BT13" s="97">
        <f t="shared" ref="BT13:EE13" si="7">BS13+1</f>
        <v>67</v>
      </c>
      <c r="BU13" s="97">
        <f t="shared" si="7"/>
        <v>68</v>
      </c>
      <c r="BV13" s="97">
        <f t="shared" si="7"/>
        <v>69</v>
      </c>
      <c r="BW13" s="97">
        <f t="shared" si="7"/>
        <v>70</v>
      </c>
      <c r="BX13" s="97">
        <f t="shared" si="7"/>
        <v>71</v>
      </c>
      <c r="BY13" s="97">
        <f t="shared" si="7"/>
        <v>72</v>
      </c>
      <c r="BZ13" s="97">
        <f t="shared" si="7"/>
        <v>73</v>
      </c>
      <c r="CA13" s="97">
        <f t="shared" si="7"/>
        <v>74</v>
      </c>
      <c r="CB13" s="97">
        <f t="shared" si="7"/>
        <v>75</v>
      </c>
      <c r="CC13" s="97">
        <f t="shared" si="7"/>
        <v>76</v>
      </c>
      <c r="CD13" s="97">
        <f t="shared" si="7"/>
        <v>77</v>
      </c>
      <c r="CE13" s="97">
        <f t="shared" si="7"/>
        <v>78</v>
      </c>
      <c r="CF13" s="97">
        <f t="shared" si="7"/>
        <v>79</v>
      </c>
      <c r="CG13" s="97">
        <f t="shared" si="7"/>
        <v>80</v>
      </c>
      <c r="CH13" s="97">
        <f t="shared" si="7"/>
        <v>81</v>
      </c>
      <c r="CI13" s="97">
        <f t="shared" si="7"/>
        <v>82</v>
      </c>
      <c r="CJ13" s="97">
        <f t="shared" si="7"/>
        <v>83</v>
      </c>
      <c r="CK13" s="97">
        <f t="shared" si="7"/>
        <v>84</v>
      </c>
      <c r="CL13" s="97">
        <f t="shared" si="7"/>
        <v>85</v>
      </c>
      <c r="CM13" s="97">
        <f t="shared" si="7"/>
        <v>86</v>
      </c>
      <c r="CN13" s="97">
        <f t="shared" si="7"/>
        <v>87</v>
      </c>
      <c r="CO13" s="97">
        <f t="shared" si="7"/>
        <v>88</v>
      </c>
      <c r="CP13" s="97">
        <f t="shared" si="7"/>
        <v>89</v>
      </c>
      <c r="CQ13" s="97">
        <f t="shared" si="7"/>
        <v>90</v>
      </c>
      <c r="CR13" s="97">
        <f t="shared" si="7"/>
        <v>91</v>
      </c>
      <c r="CS13" s="97">
        <f t="shared" si="7"/>
        <v>92</v>
      </c>
      <c r="CT13" s="97">
        <f t="shared" si="7"/>
        <v>93</v>
      </c>
      <c r="CU13" s="97">
        <f t="shared" si="7"/>
        <v>94</v>
      </c>
      <c r="CV13" s="97">
        <f t="shared" si="7"/>
        <v>95</v>
      </c>
      <c r="CW13" s="97">
        <f t="shared" si="7"/>
        <v>96</v>
      </c>
      <c r="CX13" s="97">
        <f t="shared" si="7"/>
        <v>97</v>
      </c>
      <c r="CY13" s="97">
        <f t="shared" si="7"/>
        <v>98</v>
      </c>
      <c r="CZ13" s="97">
        <f t="shared" si="7"/>
        <v>99</v>
      </c>
      <c r="DA13" s="97">
        <f t="shared" si="7"/>
        <v>100</v>
      </c>
      <c r="DB13" s="97">
        <f t="shared" si="7"/>
        <v>101</v>
      </c>
      <c r="DC13" s="97">
        <f t="shared" si="7"/>
        <v>102</v>
      </c>
      <c r="DD13" s="97">
        <f t="shared" si="7"/>
        <v>103</v>
      </c>
      <c r="DE13" s="97">
        <f t="shared" si="7"/>
        <v>104</v>
      </c>
      <c r="DF13" s="97">
        <f t="shared" si="7"/>
        <v>105</v>
      </c>
      <c r="DG13" s="97">
        <f t="shared" si="7"/>
        <v>106</v>
      </c>
      <c r="DH13" s="97">
        <f t="shared" si="7"/>
        <v>107</v>
      </c>
      <c r="DI13" s="97">
        <f t="shared" si="7"/>
        <v>108</v>
      </c>
      <c r="DJ13" s="97">
        <f t="shared" si="7"/>
        <v>109</v>
      </c>
      <c r="DK13" s="97">
        <f t="shared" si="7"/>
        <v>110</v>
      </c>
      <c r="DL13" s="97">
        <f t="shared" si="7"/>
        <v>111</v>
      </c>
      <c r="DM13" s="97">
        <f t="shared" si="7"/>
        <v>112</v>
      </c>
      <c r="DN13" s="97">
        <f t="shared" si="7"/>
        <v>113</v>
      </c>
      <c r="DO13" s="97">
        <f t="shared" si="7"/>
        <v>114</v>
      </c>
      <c r="DP13" s="97">
        <f t="shared" si="7"/>
        <v>115</v>
      </c>
      <c r="DQ13" s="97">
        <f t="shared" si="7"/>
        <v>116</v>
      </c>
      <c r="DR13" s="97">
        <f t="shared" si="7"/>
        <v>117</v>
      </c>
      <c r="DS13" s="97">
        <f t="shared" si="7"/>
        <v>118</v>
      </c>
      <c r="DT13" s="97">
        <f t="shared" si="7"/>
        <v>119</v>
      </c>
      <c r="DU13" s="97">
        <f t="shared" si="7"/>
        <v>120</v>
      </c>
      <c r="DV13" s="97">
        <f t="shared" si="7"/>
        <v>121</v>
      </c>
      <c r="DW13" s="97">
        <f t="shared" si="7"/>
        <v>122</v>
      </c>
      <c r="DX13" s="97">
        <f t="shared" si="7"/>
        <v>123</v>
      </c>
      <c r="DY13" s="97">
        <f t="shared" si="7"/>
        <v>124</v>
      </c>
      <c r="DZ13" s="97">
        <f t="shared" si="7"/>
        <v>125</v>
      </c>
      <c r="EA13" s="97">
        <f t="shared" si="7"/>
        <v>126</v>
      </c>
      <c r="EB13" s="97">
        <f t="shared" si="7"/>
        <v>127</v>
      </c>
      <c r="EC13" s="97">
        <f t="shared" si="7"/>
        <v>128</v>
      </c>
      <c r="ED13" s="97">
        <f t="shared" si="7"/>
        <v>129</v>
      </c>
      <c r="EE13" s="97">
        <f t="shared" si="7"/>
        <v>130</v>
      </c>
      <c r="EF13" s="97">
        <f t="shared" ref="EF13:GO13" si="8">EE13+1</f>
        <v>131</v>
      </c>
      <c r="EG13" s="97">
        <f t="shared" si="8"/>
        <v>132</v>
      </c>
      <c r="EH13" s="97">
        <f t="shared" si="8"/>
        <v>133</v>
      </c>
      <c r="EI13" s="97">
        <f t="shared" si="8"/>
        <v>134</v>
      </c>
      <c r="EJ13" s="97">
        <f t="shared" si="8"/>
        <v>135</v>
      </c>
      <c r="EK13" s="97">
        <f t="shared" si="8"/>
        <v>136</v>
      </c>
      <c r="EL13" s="97">
        <f t="shared" si="8"/>
        <v>137</v>
      </c>
      <c r="EM13" s="97">
        <f t="shared" si="8"/>
        <v>138</v>
      </c>
      <c r="EN13" s="97">
        <f t="shared" si="8"/>
        <v>139</v>
      </c>
      <c r="EO13" s="97">
        <f t="shared" si="8"/>
        <v>140</v>
      </c>
      <c r="EP13" s="97">
        <f t="shared" si="8"/>
        <v>141</v>
      </c>
      <c r="EQ13" s="97">
        <f t="shared" si="8"/>
        <v>142</v>
      </c>
      <c r="ER13" s="97">
        <f t="shared" si="8"/>
        <v>143</v>
      </c>
      <c r="ES13" s="97">
        <f t="shared" si="8"/>
        <v>144</v>
      </c>
      <c r="ET13" s="97">
        <f t="shared" si="8"/>
        <v>145</v>
      </c>
      <c r="EU13" s="97">
        <f t="shared" si="8"/>
        <v>146</v>
      </c>
      <c r="EV13" s="97">
        <f t="shared" si="8"/>
        <v>147</v>
      </c>
      <c r="EW13" s="97">
        <f t="shared" si="8"/>
        <v>148</v>
      </c>
      <c r="EX13" s="97">
        <f t="shared" si="8"/>
        <v>149</v>
      </c>
      <c r="EY13" s="97">
        <f t="shared" si="8"/>
        <v>150</v>
      </c>
      <c r="EZ13" s="97">
        <f t="shared" si="8"/>
        <v>151</v>
      </c>
      <c r="FA13" s="97">
        <f t="shared" si="8"/>
        <v>152</v>
      </c>
      <c r="FB13" s="97">
        <f t="shared" si="8"/>
        <v>153</v>
      </c>
      <c r="FC13" s="97">
        <f t="shared" si="8"/>
        <v>154</v>
      </c>
      <c r="FD13" s="97">
        <f t="shared" si="8"/>
        <v>155</v>
      </c>
      <c r="FE13" s="97">
        <f t="shared" si="8"/>
        <v>156</v>
      </c>
      <c r="FF13" s="97">
        <f t="shared" si="8"/>
        <v>157</v>
      </c>
      <c r="FG13" s="97">
        <f t="shared" si="8"/>
        <v>158</v>
      </c>
      <c r="FH13" s="97">
        <f t="shared" si="8"/>
        <v>159</v>
      </c>
      <c r="FI13" s="97">
        <f t="shared" si="8"/>
        <v>160</v>
      </c>
      <c r="FJ13" s="97">
        <f t="shared" si="8"/>
        <v>161</v>
      </c>
      <c r="FK13" s="97">
        <f t="shared" si="8"/>
        <v>162</v>
      </c>
      <c r="FL13" s="97">
        <f t="shared" si="8"/>
        <v>163</v>
      </c>
      <c r="FM13" s="97">
        <f t="shared" si="8"/>
        <v>164</v>
      </c>
      <c r="FN13" s="97">
        <f t="shared" si="8"/>
        <v>165</v>
      </c>
      <c r="FO13" s="97">
        <f t="shared" si="8"/>
        <v>166</v>
      </c>
      <c r="FP13" s="97">
        <f t="shared" si="8"/>
        <v>167</v>
      </c>
      <c r="FQ13" s="97">
        <f t="shared" si="8"/>
        <v>168</v>
      </c>
      <c r="FR13" s="97">
        <f t="shared" si="8"/>
        <v>169</v>
      </c>
      <c r="FS13" s="97">
        <f t="shared" si="8"/>
        <v>170</v>
      </c>
      <c r="FT13" s="97">
        <f t="shared" si="8"/>
        <v>171</v>
      </c>
      <c r="FU13" s="97">
        <f t="shared" si="8"/>
        <v>172</v>
      </c>
      <c r="FV13" s="97">
        <f t="shared" si="8"/>
        <v>173</v>
      </c>
      <c r="FW13" s="97">
        <f t="shared" si="8"/>
        <v>174</v>
      </c>
      <c r="FX13" s="97">
        <f t="shared" si="8"/>
        <v>175</v>
      </c>
      <c r="FY13" s="97">
        <f t="shared" si="8"/>
        <v>176</v>
      </c>
      <c r="FZ13" s="97">
        <f t="shared" si="8"/>
        <v>177</v>
      </c>
      <c r="GA13" s="97">
        <f t="shared" si="8"/>
        <v>178</v>
      </c>
      <c r="GB13" s="97">
        <f t="shared" si="8"/>
        <v>179</v>
      </c>
      <c r="GC13" s="97">
        <f t="shared" si="8"/>
        <v>180</v>
      </c>
      <c r="GD13" s="97">
        <f t="shared" si="8"/>
        <v>181</v>
      </c>
      <c r="GE13" s="97">
        <f t="shared" si="8"/>
        <v>182</v>
      </c>
      <c r="GF13" s="97">
        <f t="shared" si="8"/>
        <v>183</v>
      </c>
      <c r="GG13" s="97">
        <f t="shared" si="8"/>
        <v>184</v>
      </c>
      <c r="GH13" s="97">
        <f t="shared" si="8"/>
        <v>185</v>
      </c>
      <c r="GI13" s="97">
        <f t="shared" si="8"/>
        <v>186</v>
      </c>
      <c r="GJ13" s="97">
        <f t="shared" si="8"/>
        <v>187</v>
      </c>
      <c r="GK13" s="97">
        <f t="shared" si="8"/>
        <v>188</v>
      </c>
      <c r="GL13" s="97">
        <f t="shared" si="8"/>
        <v>189</v>
      </c>
      <c r="GM13" s="97">
        <f t="shared" si="8"/>
        <v>190</v>
      </c>
      <c r="GN13" s="97">
        <f t="shared" si="8"/>
        <v>191</v>
      </c>
      <c r="GO13" s="97">
        <f t="shared" si="8"/>
        <v>192</v>
      </c>
      <c r="GQ13" s="88"/>
      <c r="GR13" s="84">
        <v>0</v>
      </c>
      <c r="GS13" s="94"/>
      <c r="GT13" s="88"/>
    </row>
    <row r="14" spans="1:203">
      <c r="A14" s="95" t="s">
        <v>158</v>
      </c>
      <c r="F14" s="98">
        <v>12</v>
      </c>
      <c r="G14" s="99">
        <v>13</v>
      </c>
      <c r="H14" s="99">
        <v>14</v>
      </c>
      <c r="I14" s="99">
        <v>15</v>
      </c>
      <c r="J14" s="99">
        <v>16</v>
      </c>
      <c r="K14" s="99">
        <v>17</v>
      </c>
      <c r="L14" s="99">
        <v>18</v>
      </c>
      <c r="M14" s="99">
        <v>19</v>
      </c>
      <c r="N14" s="99">
        <v>20</v>
      </c>
      <c r="O14" s="99">
        <v>21</v>
      </c>
      <c r="P14" s="99">
        <v>22</v>
      </c>
      <c r="Q14" s="99">
        <v>23</v>
      </c>
      <c r="R14" s="99">
        <v>24</v>
      </c>
      <c r="S14" s="99">
        <v>25</v>
      </c>
      <c r="T14" s="99">
        <v>26</v>
      </c>
      <c r="U14" s="99">
        <v>27</v>
      </c>
      <c r="V14" s="99">
        <v>28</v>
      </c>
      <c r="W14" s="99">
        <v>29</v>
      </c>
      <c r="X14" s="99">
        <v>30</v>
      </c>
      <c r="Y14" s="99">
        <v>31</v>
      </c>
      <c r="Z14" s="99">
        <v>32</v>
      </c>
      <c r="AA14" s="99">
        <v>33</v>
      </c>
      <c r="AB14" s="99">
        <v>34</v>
      </c>
      <c r="AC14" s="99">
        <v>35</v>
      </c>
      <c r="AD14" s="99">
        <v>36</v>
      </c>
      <c r="AE14" s="99">
        <v>37</v>
      </c>
      <c r="AF14" s="99">
        <v>38</v>
      </c>
      <c r="AG14" s="99">
        <v>39</v>
      </c>
      <c r="AH14" s="99">
        <v>40</v>
      </c>
      <c r="AI14" s="99">
        <v>41</v>
      </c>
      <c r="AJ14" s="99">
        <v>42</v>
      </c>
      <c r="AK14" s="99">
        <v>43</v>
      </c>
      <c r="AL14" s="99">
        <v>44</v>
      </c>
      <c r="AM14" s="99">
        <v>45</v>
      </c>
      <c r="AN14" s="99">
        <v>46</v>
      </c>
      <c r="AO14" s="99">
        <v>47</v>
      </c>
      <c r="AP14" s="99">
        <v>48</v>
      </c>
      <c r="AQ14" s="99">
        <v>49</v>
      </c>
      <c r="AR14" s="99">
        <v>50</v>
      </c>
      <c r="AS14" s="99">
        <v>51</v>
      </c>
      <c r="AT14" s="99">
        <v>52</v>
      </c>
      <c r="AU14" s="99">
        <v>53</v>
      </c>
      <c r="AV14" s="99">
        <v>54</v>
      </c>
      <c r="AW14" s="99">
        <v>55</v>
      </c>
      <c r="AX14" s="99">
        <v>56</v>
      </c>
      <c r="AY14" s="99">
        <v>57</v>
      </c>
      <c r="AZ14" s="99">
        <v>58</v>
      </c>
      <c r="BA14" s="99">
        <v>59</v>
      </c>
      <c r="BB14" s="99">
        <v>60</v>
      </c>
      <c r="BC14" s="99">
        <v>61</v>
      </c>
      <c r="BD14" s="99">
        <v>62</v>
      </c>
      <c r="BE14" s="99">
        <v>63</v>
      </c>
      <c r="BF14" s="99">
        <v>64</v>
      </c>
      <c r="BG14" s="99">
        <v>65</v>
      </c>
      <c r="BH14" s="99">
        <v>66</v>
      </c>
      <c r="BI14" s="99">
        <v>67</v>
      </c>
      <c r="BJ14" s="99">
        <v>68</v>
      </c>
      <c r="BK14" s="99">
        <v>69</v>
      </c>
      <c r="BL14" s="99">
        <v>70</v>
      </c>
      <c r="BM14" s="99">
        <v>71</v>
      </c>
      <c r="BN14" s="99">
        <v>72</v>
      </c>
      <c r="BO14" s="99">
        <v>73</v>
      </c>
      <c r="BP14" s="99">
        <v>74</v>
      </c>
      <c r="BQ14" s="99">
        <v>75</v>
      </c>
      <c r="BR14" s="99">
        <v>76</v>
      </c>
      <c r="BS14" s="99">
        <v>77</v>
      </c>
      <c r="BT14" s="99">
        <v>78</v>
      </c>
      <c r="BU14" s="99">
        <v>79</v>
      </c>
      <c r="BV14" s="99">
        <v>80</v>
      </c>
      <c r="BW14" s="99">
        <v>81</v>
      </c>
      <c r="BX14" s="99">
        <v>82</v>
      </c>
      <c r="BY14" s="99">
        <v>83</v>
      </c>
      <c r="BZ14" s="99">
        <v>84</v>
      </c>
      <c r="CA14" s="99">
        <v>85</v>
      </c>
      <c r="CB14" s="99">
        <v>86</v>
      </c>
      <c r="CC14" s="99">
        <v>87</v>
      </c>
      <c r="CD14" s="99">
        <v>88</v>
      </c>
      <c r="CE14" s="99">
        <v>89</v>
      </c>
      <c r="CF14" s="99">
        <v>90</v>
      </c>
      <c r="CG14" s="99">
        <v>91</v>
      </c>
      <c r="CH14" s="99">
        <v>92</v>
      </c>
      <c r="CI14" s="99">
        <v>93</v>
      </c>
      <c r="CJ14" s="99">
        <v>94</v>
      </c>
      <c r="CK14" s="99">
        <v>95</v>
      </c>
      <c r="CL14" s="99">
        <v>96</v>
      </c>
      <c r="CM14" s="99">
        <v>97</v>
      </c>
      <c r="CN14" s="99">
        <v>98</v>
      </c>
      <c r="CO14" s="99">
        <v>99</v>
      </c>
      <c r="CP14" s="99">
        <v>100</v>
      </c>
      <c r="CQ14" s="99">
        <v>101</v>
      </c>
      <c r="CR14" s="99">
        <v>102</v>
      </c>
      <c r="CS14" s="99">
        <v>103</v>
      </c>
      <c r="CT14" s="99">
        <v>104</v>
      </c>
      <c r="CU14" s="99">
        <v>105</v>
      </c>
      <c r="CV14" s="99">
        <v>106</v>
      </c>
      <c r="CW14" s="99">
        <v>107</v>
      </c>
      <c r="CX14" s="99">
        <v>108</v>
      </c>
      <c r="CY14" s="99">
        <v>109</v>
      </c>
      <c r="CZ14" s="99">
        <v>110</v>
      </c>
      <c r="DA14" s="99">
        <v>111</v>
      </c>
      <c r="DB14" s="99">
        <v>112</v>
      </c>
      <c r="DC14" s="99">
        <v>113</v>
      </c>
      <c r="DD14" s="99">
        <v>114</v>
      </c>
      <c r="DE14" s="99">
        <v>115</v>
      </c>
      <c r="DF14" s="99">
        <v>116</v>
      </c>
      <c r="DG14" s="99">
        <v>117</v>
      </c>
      <c r="DH14" s="99">
        <v>118</v>
      </c>
      <c r="DI14" s="99">
        <v>119</v>
      </c>
      <c r="DJ14" s="99">
        <v>120</v>
      </c>
      <c r="DK14" s="99">
        <v>121</v>
      </c>
      <c r="DL14" s="99">
        <v>122</v>
      </c>
      <c r="DM14" s="99">
        <v>123</v>
      </c>
      <c r="DN14" s="99">
        <v>124</v>
      </c>
      <c r="DO14" s="99">
        <v>125</v>
      </c>
      <c r="DP14" s="99">
        <v>126</v>
      </c>
      <c r="DQ14" s="99">
        <v>127</v>
      </c>
      <c r="DR14" s="99">
        <v>128</v>
      </c>
      <c r="DS14" s="99">
        <v>129</v>
      </c>
      <c r="DT14" s="99">
        <v>130</v>
      </c>
      <c r="DU14" s="99">
        <v>131</v>
      </c>
      <c r="DV14" s="99">
        <v>132</v>
      </c>
      <c r="DW14" s="99">
        <v>133</v>
      </c>
      <c r="DX14" s="99">
        <v>134</v>
      </c>
      <c r="DY14" s="99">
        <v>135</v>
      </c>
      <c r="DZ14" s="99">
        <v>136</v>
      </c>
      <c r="EA14" s="99">
        <v>137</v>
      </c>
      <c r="EB14" s="99">
        <v>138</v>
      </c>
      <c r="EC14" s="99">
        <v>139</v>
      </c>
      <c r="ED14" s="99">
        <v>140</v>
      </c>
      <c r="EE14" s="99">
        <v>141</v>
      </c>
      <c r="EF14" s="99">
        <v>142</v>
      </c>
      <c r="EG14" s="99">
        <v>143</v>
      </c>
      <c r="EH14" s="99">
        <v>144</v>
      </c>
      <c r="EI14" s="99">
        <v>145</v>
      </c>
      <c r="EJ14" s="99">
        <v>146</v>
      </c>
      <c r="EK14" s="99">
        <v>147</v>
      </c>
      <c r="EL14" s="99">
        <v>148</v>
      </c>
      <c r="EM14" s="99">
        <v>149</v>
      </c>
      <c r="EN14" s="99">
        <v>150</v>
      </c>
      <c r="EO14" s="99">
        <v>151</v>
      </c>
      <c r="EP14" s="99">
        <v>152</v>
      </c>
      <c r="EQ14" s="99">
        <v>153</v>
      </c>
      <c r="ER14" s="99">
        <v>154</v>
      </c>
      <c r="ES14" s="99">
        <v>155</v>
      </c>
      <c r="ET14" s="99">
        <v>156</v>
      </c>
      <c r="EU14" s="99">
        <v>157</v>
      </c>
      <c r="EV14" s="99">
        <v>158</v>
      </c>
      <c r="EW14" s="99">
        <v>159</v>
      </c>
      <c r="EX14" s="99">
        <v>160</v>
      </c>
      <c r="EY14" s="99">
        <v>161</v>
      </c>
      <c r="EZ14" s="99">
        <v>162</v>
      </c>
      <c r="FA14" s="99">
        <v>163</v>
      </c>
      <c r="FB14" s="99">
        <v>164</v>
      </c>
      <c r="FC14" s="99">
        <v>165</v>
      </c>
      <c r="FD14" s="99">
        <v>166</v>
      </c>
      <c r="FE14" s="99">
        <v>167</v>
      </c>
      <c r="FF14" s="99">
        <v>168</v>
      </c>
      <c r="FG14" s="99">
        <v>169</v>
      </c>
      <c r="FH14" s="99">
        <v>170</v>
      </c>
      <c r="FI14" s="99">
        <v>171</v>
      </c>
      <c r="FJ14" s="99">
        <v>172</v>
      </c>
      <c r="FK14" s="99">
        <v>173</v>
      </c>
      <c r="FL14" s="99">
        <v>174</v>
      </c>
      <c r="FM14" s="99">
        <v>175</v>
      </c>
      <c r="FN14" s="99">
        <v>176</v>
      </c>
      <c r="FO14" s="99">
        <v>177</v>
      </c>
      <c r="FP14" s="99">
        <v>178</v>
      </c>
      <c r="FQ14" s="99">
        <v>179</v>
      </c>
      <c r="FR14" s="99">
        <v>180</v>
      </c>
      <c r="FS14" s="99">
        <v>181</v>
      </c>
      <c r="FT14" s="99">
        <v>182</v>
      </c>
      <c r="FU14" s="99">
        <v>183</v>
      </c>
      <c r="FV14" s="99">
        <v>184</v>
      </c>
      <c r="FW14" s="99">
        <v>185</v>
      </c>
      <c r="FX14" s="99">
        <v>186</v>
      </c>
      <c r="FY14" s="99">
        <v>187</v>
      </c>
      <c r="FZ14" s="99">
        <v>188</v>
      </c>
      <c r="GA14" s="99">
        <v>189</v>
      </c>
      <c r="GB14" s="99">
        <v>175</v>
      </c>
      <c r="GC14" s="99">
        <v>176</v>
      </c>
      <c r="GD14" s="99">
        <v>177</v>
      </c>
      <c r="GE14" s="99">
        <v>178</v>
      </c>
      <c r="GF14" s="99">
        <v>179</v>
      </c>
      <c r="GG14" s="99">
        <v>180</v>
      </c>
      <c r="GH14" s="99">
        <v>181</v>
      </c>
      <c r="GI14" s="99">
        <v>182</v>
      </c>
      <c r="GJ14" s="99">
        <v>183</v>
      </c>
      <c r="GK14" s="99">
        <v>184</v>
      </c>
      <c r="GL14" s="99">
        <v>185</v>
      </c>
      <c r="GM14" s="99">
        <v>186</v>
      </c>
      <c r="GN14" s="99">
        <v>187</v>
      </c>
      <c r="GO14" s="99">
        <v>188</v>
      </c>
      <c r="GQ14" s="88"/>
      <c r="GR14" s="84">
        <v>0</v>
      </c>
      <c r="GS14" s="94"/>
      <c r="GT14" s="88"/>
    </row>
    <row r="15" spans="1:203">
      <c r="A15" s="95" t="s">
        <v>159</v>
      </c>
      <c r="F15" s="100">
        <v>1</v>
      </c>
      <c r="G15" s="97">
        <v>2</v>
      </c>
      <c r="H15" s="97">
        <v>2</v>
      </c>
      <c r="I15" s="97">
        <v>2</v>
      </c>
      <c r="J15" s="97">
        <v>2</v>
      </c>
      <c r="K15" s="97">
        <v>2</v>
      </c>
      <c r="L15" s="97">
        <v>2</v>
      </c>
      <c r="M15" s="97">
        <v>2</v>
      </c>
      <c r="N15" s="97">
        <v>2</v>
      </c>
      <c r="O15" s="97">
        <v>2</v>
      </c>
      <c r="P15" s="97">
        <v>2</v>
      </c>
      <c r="Q15" s="97">
        <v>2</v>
      </c>
      <c r="R15" s="97">
        <v>2</v>
      </c>
      <c r="S15" s="97">
        <v>3</v>
      </c>
      <c r="T15" s="97">
        <v>3</v>
      </c>
      <c r="U15" s="97">
        <v>3</v>
      </c>
      <c r="V15" s="97">
        <v>3</v>
      </c>
      <c r="W15" s="97">
        <v>3</v>
      </c>
      <c r="X15" s="97">
        <v>3</v>
      </c>
      <c r="Y15" s="97">
        <v>3</v>
      </c>
      <c r="Z15" s="97">
        <v>3</v>
      </c>
      <c r="AA15" s="97">
        <v>3</v>
      </c>
      <c r="AB15" s="97">
        <v>3</v>
      </c>
      <c r="AC15" s="97">
        <v>3</v>
      </c>
      <c r="AD15" s="97">
        <v>3</v>
      </c>
      <c r="AE15" s="97">
        <v>4</v>
      </c>
      <c r="AF15" s="97">
        <v>4</v>
      </c>
      <c r="AG15" s="97">
        <v>4</v>
      </c>
      <c r="AH15" s="97">
        <v>4</v>
      </c>
      <c r="AI15" s="97">
        <v>4</v>
      </c>
      <c r="AJ15" s="97">
        <v>4</v>
      </c>
      <c r="AK15" s="97">
        <v>4</v>
      </c>
      <c r="AL15" s="97">
        <v>4</v>
      </c>
      <c r="AM15" s="97">
        <v>4</v>
      </c>
      <c r="AN15" s="97">
        <v>4</v>
      </c>
      <c r="AO15" s="97">
        <v>4</v>
      </c>
      <c r="AP15" s="97">
        <v>4</v>
      </c>
      <c r="AQ15" s="97">
        <v>5</v>
      </c>
      <c r="AR15" s="97">
        <v>5</v>
      </c>
      <c r="AS15" s="97">
        <v>5</v>
      </c>
      <c r="AT15" s="97">
        <v>5</v>
      </c>
      <c r="AU15" s="97">
        <v>5</v>
      </c>
      <c r="AV15" s="97">
        <v>5</v>
      </c>
      <c r="AW15" s="97">
        <v>5</v>
      </c>
      <c r="AX15" s="97">
        <v>5</v>
      </c>
      <c r="AY15" s="97">
        <v>5</v>
      </c>
      <c r="AZ15" s="97">
        <v>5</v>
      </c>
      <c r="BA15" s="97">
        <v>5</v>
      </c>
      <c r="BB15" s="97">
        <v>5</v>
      </c>
      <c r="BC15" s="97">
        <v>6</v>
      </c>
      <c r="BD15" s="97">
        <v>6</v>
      </c>
      <c r="BE15" s="97">
        <v>6</v>
      </c>
      <c r="BF15" s="97">
        <v>6</v>
      </c>
      <c r="BG15" s="97">
        <v>6</v>
      </c>
      <c r="BH15" s="97">
        <v>6</v>
      </c>
      <c r="BI15" s="97">
        <v>6</v>
      </c>
      <c r="BJ15" s="97">
        <v>6</v>
      </c>
      <c r="BK15" s="97">
        <v>6</v>
      </c>
      <c r="BL15" s="97">
        <v>6</v>
      </c>
      <c r="BM15" s="97">
        <v>6</v>
      </c>
      <c r="BN15" s="97">
        <v>6</v>
      </c>
      <c r="BO15" s="97">
        <v>7</v>
      </c>
      <c r="BP15" s="97">
        <v>7</v>
      </c>
      <c r="BQ15" s="97">
        <v>7</v>
      </c>
      <c r="BR15" s="97">
        <v>7</v>
      </c>
      <c r="BS15" s="97">
        <v>7</v>
      </c>
      <c r="BT15" s="97">
        <v>7</v>
      </c>
      <c r="BU15" s="97">
        <v>7</v>
      </c>
      <c r="BV15" s="97">
        <v>7</v>
      </c>
      <c r="BW15" s="97">
        <v>7</v>
      </c>
      <c r="BX15" s="97">
        <v>7</v>
      </c>
      <c r="BY15" s="97">
        <v>7</v>
      </c>
      <c r="BZ15" s="97">
        <v>7</v>
      </c>
      <c r="CA15" s="97">
        <v>8</v>
      </c>
      <c r="CB15" s="97">
        <v>8</v>
      </c>
      <c r="CC15" s="97">
        <v>8</v>
      </c>
      <c r="CD15" s="97">
        <v>8</v>
      </c>
      <c r="CE15" s="97">
        <v>8</v>
      </c>
      <c r="CF15" s="97">
        <v>8</v>
      </c>
      <c r="CG15" s="97">
        <v>8</v>
      </c>
      <c r="CH15" s="97">
        <v>8</v>
      </c>
      <c r="CI15" s="97">
        <v>8</v>
      </c>
      <c r="CJ15" s="97">
        <v>8</v>
      </c>
      <c r="CK15" s="97">
        <v>8</v>
      </c>
      <c r="CL15" s="97">
        <v>8</v>
      </c>
      <c r="CM15" s="97">
        <v>9</v>
      </c>
      <c r="CN15" s="97">
        <v>9</v>
      </c>
      <c r="CO15" s="97">
        <v>9</v>
      </c>
      <c r="CP15" s="97">
        <v>9</v>
      </c>
      <c r="CQ15" s="97">
        <v>9</v>
      </c>
      <c r="CR15" s="97">
        <v>9</v>
      </c>
      <c r="CS15" s="97">
        <v>9</v>
      </c>
      <c r="CT15" s="97">
        <v>9</v>
      </c>
      <c r="CU15" s="97">
        <v>9</v>
      </c>
      <c r="CV15" s="97">
        <v>9</v>
      </c>
      <c r="CW15" s="97">
        <v>9</v>
      </c>
      <c r="CX15" s="97">
        <v>9</v>
      </c>
      <c r="CY15" s="97">
        <v>10</v>
      </c>
      <c r="CZ15" s="97">
        <v>10</v>
      </c>
      <c r="DA15" s="97">
        <v>10</v>
      </c>
      <c r="DB15" s="97">
        <v>10</v>
      </c>
      <c r="DC15" s="97">
        <v>10</v>
      </c>
      <c r="DD15" s="97">
        <v>10</v>
      </c>
      <c r="DE15" s="97">
        <v>10</v>
      </c>
      <c r="DF15" s="97">
        <v>10</v>
      </c>
      <c r="DG15" s="97">
        <v>10</v>
      </c>
      <c r="DH15" s="97">
        <v>10</v>
      </c>
      <c r="DI15" s="97">
        <v>10</v>
      </c>
      <c r="DJ15" s="97">
        <v>10</v>
      </c>
      <c r="DK15" s="97">
        <v>11</v>
      </c>
      <c r="DL15" s="97">
        <v>11</v>
      </c>
      <c r="DM15" s="97">
        <v>11</v>
      </c>
      <c r="DN15" s="97">
        <v>11</v>
      </c>
      <c r="DO15" s="97">
        <v>11</v>
      </c>
      <c r="DP15" s="97">
        <v>11</v>
      </c>
      <c r="DQ15" s="97">
        <v>11</v>
      </c>
      <c r="DR15" s="97">
        <v>11</v>
      </c>
      <c r="DS15" s="97">
        <v>11</v>
      </c>
      <c r="DT15" s="97">
        <v>11</v>
      </c>
      <c r="DU15" s="97">
        <v>11</v>
      </c>
      <c r="DV15" s="97">
        <v>11</v>
      </c>
      <c r="DW15" s="97">
        <v>12</v>
      </c>
      <c r="DX15" s="97">
        <v>12</v>
      </c>
      <c r="DY15" s="97">
        <v>12</v>
      </c>
      <c r="DZ15" s="97">
        <v>12</v>
      </c>
      <c r="EA15" s="97">
        <v>12</v>
      </c>
      <c r="EB15" s="97">
        <v>12</v>
      </c>
      <c r="EC15" s="97">
        <v>12</v>
      </c>
      <c r="ED15" s="97">
        <v>12</v>
      </c>
      <c r="EE15" s="97">
        <v>12</v>
      </c>
      <c r="EF15" s="97">
        <v>12</v>
      </c>
      <c r="EG15" s="97">
        <v>12</v>
      </c>
      <c r="EH15" s="97">
        <v>12</v>
      </c>
      <c r="EI15" s="97">
        <v>13</v>
      </c>
      <c r="EJ15" s="97">
        <v>13</v>
      </c>
      <c r="EK15" s="97">
        <v>13</v>
      </c>
      <c r="EL15" s="97">
        <v>13</v>
      </c>
      <c r="EM15" s="97">
        <v>13</v>
      </c>
      <c r="EN15" s="97">
        <v>13</v>
      </c>
      <c r="EO15" s="97">
        <v>13</v>
      </c>
      <c r="EP15" s="97">
        <v>13</v>
      </c>
      <c r="EQ15" s="97">
        <v>13</v>
      </c>
      <c r="ER15" s="97">
        <v>13</v>
      </c>
      <c r="ES15" s="97">
        <v>13</v>
      </c>
      <c r="ET15" s="97">
        <v>13</v>
      </c>
      <c r="EU15" s="97">
        <v>14</v>
      </c>
      <c r="EV15" s="97">
        <v>14</v>
      </c>
      <c r="EW15" s="97">
        <v>14</v>
      </c>
      <c r="EX15" s="97">
        <v>14</v>
      </c>
      <c r="EY15" s="97">
        <v>14</v>
      </c>
      <c r="EZ15" s="97">
        <v>14</v>
      </c>
      <c r="FA15" s="97">
        <v>14</v>
      </c>
      <c r="FB15" s="97">
        <v>14</v>
      </c>
      <c r="FC15" s="97">
        <v>14</v>
      </c>
      <c r="FD15" s="97">
        <v>14</v>
      </c>
      <c r="FE15" s="97">
        <v>14</v>
      </c>
      <c r="FF15" s="97">
        <v>14</v>
      </c>
      <c r="FG15" s="97">
        <v>15</v>
      </c>
      <c r="FH15" s="97">
        <v>15</v>
      </c>
      <c r="FI15" s="97">
        <v>15</v>
      </c>
      <c r="FJ15" s="97">
        <v>15</v>
      </c>
      <c r="FK15" s="97">
        <v>15</v>
      </c>
      <c r="FL15" s="97">
        <v>15</v>
      </c>
      <c r="FM15" s="97">
        <v>15</v>
      </c>
      <c r="FN15" s="97">
        <v>15</v>
      </c>
      <c r="FO15" s="97">
        <v>15</v>
      </c>
      <c r="FP15" s="97">
        <v>15</v>
      </c>
      <c r="FQ15" s="97">
        <v>15</v>
      </c>
      <c r="FR15" s="97">
        <v>15</v>
      </c>
      <c r="FS15" s="97">
        <v>16</v>
      </c>
      <c r="FT15" s="97">
        <v>16</v>
      </c>
      <c r="FU15" s="97">
        <v>16</v>
      </c>
      <c r="FV15" s="97">
        <v>16</v>
      </c>
      <c r="FW15" s="97">
        <v>16</v>
      </c>
      <c r="FX15" s="97">
        <v>16</v>
      </c>
      <c r="FY15" s="97">
        <v>16</v>
      </c>
      <c r="FZ15" s="97">
        <v>16</v>
      </c>
      <c r="GA15" s="97">
        <v>16</v>
      </c>
      <c r="GB15" s="97">
        <v>0</v>
      </c>
      <c r="GC15" s="97">
        <v>0</v>
      </c>
      <c r="GD15" s="97">
        <v>0</v>
      </c>
      <c r="GE15" s="97">
        <v>0</v>
      </c>
      <c r="GF15" s="97">
        <v>0</v>
      </c>
      <c r="GG15" s="97">
        <v>0</v>
      </c>
      <c r="GH15" s="97">
        <v>0</v>
      </c>
      <c r="GI15" s="97">
        <v>0</v>
      </c>
      <c r="GJ15" s="97">
        <v>0</v>
      </c>
      <c r="GK15" s="97">
        <v>0</v>
      </c>
      <c r="GL15" s="97">
        <v>0</v>
      </c>
      <c r="GM15" s="97">
        <v>0</v>
      </c>
      <c r="GN15" s="97">
        <v>0</v>
      </c>
      <c r="GO15" s="97">
        <v>0</v>
      </c>
      <c r="GQ15" s="88"/>
      <c r="GR15" s="94"/>
      <c r="GS15" s="94"/>
      <c r="GT15" s="88"/>
    </row>
    <row r="16" spans="1:203">
      <c r="A16" s="101" t="s">
        <v>160</v>
      </c>
      <c r="F16" s="100">
        <v>12</v>
      </c>
      <c r="G16" s="97">
        <v>1</v>
      </c>
      <c r="H16" s="97">
        <v>2</v>
      </c>
      <c r="I16" s="97">
        <v>3</v>
      </c>
      <c r="J16" s="97">
        <v>4</v>
      </c>
      <c r="K16" s="97">
        <v>5</v>
      </c>
      <c r="L16" s="97">
        <v>6</v>
      </c>
      <c r="M16" s="97">
        <v>7</v>
      </c>
      <c r="N16" s="97">
        <v>8</v>
      </c>
      <c r="O16" s="97">
        <v>9</v>
      </c>
      <c r="P16" s="97">
        <v>10</v>
      </c>
      <c r="Q16" s="97">
        <v>11</v>
      </c>
      <c r="R16" s="97">
        <v>12</v>
      </c>
      <c r="S16" s="97">
        <v>1</v>
      </c>
      <c r="T16" s="97">
        <v>2</v>
      </c>
      <c r="U16" s="97">
        <v>3</v>
      </c>
      <c r="V16" s="97">
        <v>4</v>
      </c>
      <c r="W16" s="97">
        <v>5</v>
      </c>
      <c r="X16" s="97">
        <v>6</v>
      </c>
      <c r="Y16" s="97">
        <v>7</v>
      </c>
      <c r="Z16" s="97">
        <v>8</v>
      </c>
      <c r="AA16" s="97">
        <v>9</v>
      </c>
      <c r="AB16" s="97">
        <v>10</v>
      </c>
      <c r="AC16" s="97">
        <v>11</v>
      </c>
      <c r="AD16" s="97">
        <v>12</v>
      </c>
      <c r="AE16" s="97">
        <v>1</v>
      </c>
      <c r="AF16" s="97">
        <v>2</v>
      </c>
      <c r="AG16" s="97">
        <v>3</v>
      </c>
      <c r="AH16" s="97">
        <v>4</v>
      </c>
      <c r="AI16" s="97">
        <v>5</v>
      </c>
      <c r="AJ16" s="97">
        <v>6</v>
      </c>
      <c r="AK16" s="97">
        <v>7</v>
      </c>
      <c r="AL16" s="97">
        <v>8</v>
      </c>
      <c r="AM16" s="97">
        <v>9</v>
      </c>
      <c r="AN16" s="97">
        <v>10</v>
      </c>
      <c r="AO16" s="97">
        <v>11</v>
      </c>
      <c r="AP16" s="97">
        <v>12</v>
      </c>
      <c r="AQ16" s="97">
        <v>1</v>
      </c>
      <c r="AR16" s="97">
        <v>2</v>
      </c>
      <c r="AS16" s="97">
        <v>3</v>
      </c>
      <c r="AT16" s="97">
        <v>4</v>
      </c>
      <c r="AU16" s="97">
        <v>5</v>
      </c>
      <c r="AV16" s="97">
        <v>6</v>
      </c>
      <c r="AW16" s="97">
        <v>7</v>
      </c>
      <c r="AX16" s="97">
        <v>8</v>
      </c>
      <c r="AY16" s="97">
        <v>9</v>
      </c>
      <c r="AZ16" s="97">
        <v>10</v>
      </c>
      <c r="BA16" s="97">
        <v>11</v>
      </c>
      <c r="BB16" s="97">
        <v>12</v>
      </c>
      <c r="BC16" s="97">
        <v>1</v>
      </c>
      <c r="BD16" s="97">
        <v>2</v>
      </c>
      <c r="BE16" s="97">
        <v>3</v>
      </c>
      <c r="BF16" s="97">
        <v>4</v>
      </c>
      <c r="BG16" s="97">
        <v>5</v>
      </c>
      <c r="BH16" s="97">
        <v>6</v>
      </c>
      <c r="BI16" s="97">
        <v>7</v>
      </c>
      <c r="BJ16" s="97">
        <v>8</v>
      </c>
      <c r="BK16" s="97">
        <v>9</v>
      </c>
      <c r="BL16" s="97">
        <v>10</v>
      </c>
      <c r="BM16" s="97">
        <v>11</v>
      </c>
      <c r="BN16" s="97">
        <v>12</v>
      </c>
      <c r="BO16" s="97">
        <v>1</v>
      </c>
      <c r="BP16" s="97">
        <v>2</v>
      </c>
      <c r="BQ16" s="97">
        <v>3</v>
      </c>
      <c r="BR16" s="97">
        <v>4</v>
      </c>
      <c r="BS16" s="97">
        <v>5</v>
      </c>
      <c r="BT16" s="97">
        <v>6</v>
      </c>
      <c r="BU16" s="97">
        <v>7</v>
      </c>
      <c r="BV16" s="97">
        <v>8</v>
      </c>
      <c r="BW16" s="97">
        <v>9</v>
      </c>
      <c r="BX16" s="97">
        <v>10</v>
      </c>
      <c r="BY16" s="97">
        <v>11</v>
      </c>
      <c r="BZ16" s="97">
        <v>12</v>
      </c>
      <c r="CA16" s="97">
        <v>1</v>
      </c>
      <c r="CB16" s="97">
        <v>2</v>
      </c>
      <c r="CC16" s="97">
        <v>3</v>
      </c>
      <c r="CD16" s="97">
        <v>4</v>
      </c>
      <c r="CE16" s="97">
        <v>5</v>
      </c>
      <c r="CF16" s="97">
        <v>6</v>
      </c>
      <c r="CG16" s="97">
        <v>7</v>
      </c>
      <c r="CH16" s="97">
        <v>8</v>
      </c>
      <c r="CI16" s="97">
        <v>9</v>
      </c>
      <c r="CJ16" s="97">
        <v>10</v>
      </c>
      <c r="CK16" s="97">
        <v>11</v>
      </c>
      <c r="CL16" s="97">
        <v>12</v>
      </c>
      <c r="CM16" s="97">
        <v>1</v>
      </c>
      <c r="CN16" s="97">
        <v>2</v>
      </c>
      <c r="CO16" s="97">
        <v>3</v>
      </c>
      <c r="CP16" s="97">
        <v>4</v>
      </c>
      <c r="CQ16" s="97">
        <v>5</v>
      </c>
      <c r="CR16" s="97">
        <v>6</v>
      </c>
      <c r="CS16" s="97">
        <v>7</v>
      </c>
      <c r="CT16" s="97">
        <v>8</v>
      </c>
      <c r="CU16" s="97">
        <v>9</v>
      </c>
      <c r="CV16" s="97">
        <v>10</v>
      </c>
      <c r="CW16" s="97">
        <v>11</v>
      </c>
      <c r="CX16" s="97">
        <v>12</v>
      </c>
      <c r="CY16" s="97">
        <v>1</v>
      </c>
      <c r="CZ16" s="97">
        <v>2</v>
      </c>
      <c r="DA16" s="97">
        <v>3</v>
      </c>
      <c r="DB16" s="97">
        <v>4</v>
      </c>
      <c r="DC16" s="97">
        <v>5</v>
      </c>
      <c r="DD16" s="97">
        <v>6</v>
      </c>
      <c r="DE16" s="97">
        <v>7</v>
      </c>
      <c r="DF16" s="97">
        <v>8</v>
      </c>
      <c r="DG16" s="97">
        <v>9</v>
      </c>
      <c r="DH16" s="97">
        <v>10</v>
      </c>
      <c r="DI16" s="97">
        <v>11</v>
      </c>
      <c r="DJ16" s="97">
        <v>12</v>
      </c>
      <c r="DK16" s="97">
        <v>1</v>
      </c>
      <c r="DL16" s="97">
        <v>2</v>
      </c>
      <c r="DM16" s="97">
        <v>3</v>
      </c>
      <c r="DN16" s="97">
        <v>4</v>
      </c>
      <c r="DO16" s="97">
        <v>5</v>
      </c>
      <c r="DP16" s="97">
        <v>6</v>
      </c>
      <c r="DQ16" s="97">
        <v>7</v>
      </c>
      <c r="DR16" s="97">
        <v>8</v>
      </c>
      <c r="DS16" s="97">
        <v>9</v>
      </c>
      <c r="DT16" s="97">
        <v>10</v>
      </c>
      <c r="DU16" s="97">
        <v>11</v>
      </c>
      <c r="DV16" s="97">
        <v>12</v>
      </c>
      <c r="DW16" s="97">
        <v>1</v>
      </c>
      <c r="DX16" s="97">
        <v>2</v>
      </c>
      <c r="DY16" s="97">
        <v>3</v>
      </c>
      <c r="DZ16" s="97">
        <v>4</v>
      </c>
      <c r="EA16" s="97">
        <v>5</v>
      </c>
      <c r="EB16" s="97">
        <v>6</v>
      </c>
      <c r="EC16" s="97">
        <v>7</v>
      </c>
      <c r="ED16" s="97">
        <v>8</v>
      </c>
      <c r="EE16" s="97">
        <v>9</v>
      </c>
      <c r="EF16" s="97">
        <v>10</v>
      </c>
      <c r="EG16" s="97">
        <v>11</v>
      </c>
      <c r="EH16" s="97">
        <v>12</v>
      </c>
      <c r="EI16" s="97">
        <v>1</v>
      </c>
      <c r="EJ16" s="97">
        <v>2</v>
      </c>
      <c r="EK16" s="97">
        <v>3</v>
      </c>
      <c r="EL16" s="97">
        <v>4</v>
      </c>
      <c r="EM16" s="97">
        <v>5</v>
      </c>
      <c r="EN16" s="97">
        <v>6</v>
      </c>
      <c r="EO16" s="97">
        <v>7</v>
      </c>
      <c r="EP16" s="97">
        <v>8</v>
      </c>
      <c r="EQ16" s="97">
        <v>9</v>
      </c>
      <c r="ER16" s="97">
        <v>10</v>
      </c>
      <c r="ES16" s="97">
        <v>11</v>
      </c>
      <c r="ET16" s="97">
        <v>12</v>
      </c>
      <c r="EU16" s="97">
        <v>1</v>
      </c>
      <c r="EV16" s="97">
        <v>2</v>
      </c>
      <c r="EW16" s="97">
        <v>3</v>
      </c>
      <c r="EX16" s="97">
        <v>4</v>
      </c>
      <c r="EY16" s="97">
        <v>5</v>
      </c>
      <c r="EZ16" s="97">
        <v>6</v>
      </c>
      <c r="FA16" s="97">
        <v>7</v>
      </c>
      <c r="FB16" s="97">
        <v>8</v>
      </c>
      <c r="FC16" s="97">
        <v>9</v>
      </c>
      <c r="FD16" s="97">
        <v>10</v>
      </c>
      <c r="FE16" s="97">
        <v>11</v>
      </c>
      <c r="FF16" s="97">
        <v>12</v>
      </c>
      <c r="FG16" s="97">
        <v>1</v>
      </c>
      <c r="FH16" s="97">
        <v>2</v>
      </c>
      <c r="FI16" s="97">
        <v>3</v>
      </c>
      <c r="FJ16" s="97">
        <v>4</v>
      </c>
      <c r="FK16" s="97">
        <v>5</v>
      </c>
      <c r="FL16" s="97">
        <v>6</v>
      </c>
      <c r="FM16" s="97">
        <v>7</v>
      </c>
      <c r="FN16" s="97">
        <v>8</v>
      </c>
      <c r="FO16" s="97">
        <v>9</v>
      </c>
      <c r="FP16" s="97">
        <v>10</v>
      </c>
      <c r="FQ16" s="97">
        <v>11</v>
      </c>
      <c r="FR16" s="97">
        <v>12</v>
      </c>
      <c r="FS16" s="97">
        <v>1</v>
      </c>
      <c r="FT16" s="97">
        <v>2</v>
      </c>
      <c r="FU16" s="97">
        <v>3</v>
      </c>
      <c r="FV16" s="97">
        <v>4</v>
      </c>
      <c r="FW16" s="97">
        <v>5</v>
      </c>
      <c r="FX16" s="97">
        <v>6</v>
      </c>
      <c r="FY16" s="97">
        <v>7</v>
      </c>
      <c r="FZ16" s="97">
        <v>8</v>
      </c>
      <c r="GA16" s="97">
        <v>9</v>
      </c>
      <c r="GB16" s="97">
        <v>7</v>
      </c>
      <c r="GC16" s="97">
        <v>8</v>
      </c>
      <c r="GD16" s="97">
        <v>9</v>
      </c>
      <c r="GE16" s="97">
        <v>10</v>
      </c>
      <c r="GF16" s="97">
        <v>11</v>
      </c>
      <c r="GG16" s="97">
        <v>12</v>
      </c>
      <c r="GH16" s="97">
        <v>1</v>
      </c>
      <c r="GI16" s="97">
        <v>2</v>
      </c>
      <c r="GJ16" s="97">
        <v>3</v>
      </c>
      <c r="GK16" s="97">
        <v>4</v>
      </c>
      <c r="GL16" s="97">
        <v>5</v>
      </c>
      <c r="GM16" s="97">
        <v>6</v>
      </c>
      <c r="GN16" s="97">
        <v>7</v>
      </c>
      <c r="GO16" s="97">
        <v>8</v>
      </c>
      <c r="GQ16" s="88"/>
      <c r="GR16" s="94"/>
      <c r="GS16" s="94"/>
      <c r="GT16" s="88"/>
    </row>
    <row r="17" spans="1:203">
      <c r="A17" s="101" t="s">
        <v>161</v>
      </c>
      <c r="F17" s="100">
        <f>MONTH(F11)</f>
        <v>11</v>
      </c>
      <c r="G17" s="97">
        <f>MONTH(G11)</f>
        <v>12</v>
      </c>
      <c r="H17" s="97">
        <f t="shared" ref="H17:BS17" si="9">MONTH(H11)</f>
        <v>1</v>
      </c>
      <c r="I17" s="97">
        <f t="shared" si="9"/>
        <v>2</v>
      </c>
      <c r="J17" s="97">
        <f t="shared" si="9"/>
        <v>3</v>
      </c>
      <c r="K17" s="97">
        <f t="shared" si="9"/>
        <v>4</v>
      </c>
      <c r="L17" s="97">
        <f t="shared" si="9"/>
        <v>5</v>
      </c>
      <c r="M17" s="97">
        <f t="shared" si="9"/>
        <v>6</v>
      </c>
      <c r="N17" s="97">
        <f t="shared" si="9"/>
        <v>7</v>
      </c>
      <c r="O17" s="97">
        <f t="shared" si="9"/>
        <v>8</v>
      </c>
      <c r="P17" s="97">
        <f t="shared" si="9"/>
        <v>9</v>
      </c>
      <c r="Q17" s="97">
        <f t="shared" si="9"/>
        <v>10</v>
      </c>
      <c r="R17" s="97">
        <f t="shared" si="9"/>
        <v>11</v>
      </c>
      <c r="S17" s="97">
        <f t="shared" si="9"/>
        <v>12</v>
      </c>
      <c r="T17" s="97">
        <f t="shared" si="9"/>
        <v>1</v>
      </c>
      <c r="U17" s="97">
        <f t="shared" si="9"/>
        <v>2</v>
      </c>
      <c r="V17" s="97">
        <f t="shared" si="9"/>
        <v>3</v>
      </c>
      <c r="W17" s="97">
        <f t="shared" si="9"/>
        <v>4</v>
      </c>
      <c r="X17" s="97">
        <f t="shared" si="9"/>
        <v>5</v>
      </c>
      <c r="Y17" s="97">
        <f t="shared" si="9"/>
        <v>6</v>
      </c>
      <c r="Z17" s="97">
        <f t="shared" si="9"/>
        <v>7</v>
      </c>
      <c r="AA17" s="97">
        <f t="shared" si="9"/>
        <v>8</v>
      </c>
      <c r="AB17" s="97">
        <f t="shared" si="9"/>
        <v>9</v>
      </c>
      <c r="AC17" s="97">
        <f t="shared" si="9"/>
        <v>10</v>
      </c>
      <c r="AD17" s="97">
        <f t="shared" si="9"/>
        <v>11</v>
      </c>
      <c r="AE17" s="97">
        <f t="shared" si="9"/>
        <v>12</v>
      </c>
      <c r="AF17" s="97">
        <f t="shared" si="9"/>
        <v>1</v>
      </c>
      <c r="AG17" s="97">
        <f t="shared" si="9"/>
        <v>2</v>
      </c>
      <c r="AH17" s="97">
        <f t="shared" si="9"/>
        <v>3</v>
      </c>
      <c r="AI17" s="97">
        <f t="shared" si="9"/>
        <v>4</v>
      </c>
      <c r="AJ17" s="97">
        <f t="shared" si="9"/>
        <v>5</v>
      </c>
      <c r="AK17" s="97">
        <f t="shared" si="9"/>
        <v>6</v>
      </c>
      <c r="AL17" s="97">
        <f t="shared" si="9"/>
        <v>7</v>
      </c>
      <c r="AM17" s="97">
        <f t="shared" si="9"/>
        <v>8</v>
      </c>
      <c r="AN17" s="97">
        <f t="shared" si="9"/>
        <v>9</v>
      </c>
      <c r="AO17" s="97">
        <f t="shared" si="9"/>
        <v>10</v>
      </c>
      <c r="AP17" s="97">
        <f t="shared" si="9"/>
        <v>11</v>
      </c>
      <c r="AQ17" s="97">
        <f t="shared" si="9"/>
        <v>12</v>
      </c>
      <c r="AR17" s="97">
        <f t="shared" si="9"/>
        <v>1</v>
      </c>
      <c r="AS17" s="97">
        <f t="shared" si="9"/>
        <v>2</v>
      </c>
      <c r="AT17" s="97">
        <f t="shared" si="9"/>
        <v>3</v>
      </c>
      <c r="AU17" s="97">
        <f t="shared" si="9"/>
        <v>4</v>
      </c>
      <c r="AV17" s="97">
        <f t="shared" si="9"/>
        <v>5</v>
      </c>
      <c r="AW17" s="97">
        <f t="shared" si="9"/>
        <v>6</v>
      </c>
      <c r="AX17" s="97">
        <f t="shared" si="9"/>
        <v>7</v>
      </c>
      <c r="AY17" s="97">
        <f t="shared" si="9"/>
        <v>8</v>
      </c>
      <c r="AZ17" s="97">
        <f t="shared" si="9"/>
        <v>9</v>
      </c>
      <c r="BA17" s="97">
        <f t="shared" si="9"/>
        <v>10</v>
      </c>
      <c r="BB17" s="97">
        <f t="shared" si="9"/>
        <v>11</v>
      </c>
      <c r="BC17" s="97">
        <f t="shared" si="9"/>
        <v>12</v>
      </c>
      <c r="BD17" s="97">
        <f t="shared" si="9"/>
        <v>1</v>
      </c>
      <c r="BE17" s="97">
        <f t="shared" si="9"/>
        <v>2</v>
      </c>
      <c r="BF17" s="97">
        <f t="shared" si="9"/>
        <v>3</v>
      </c>
      <c r="BG17" s="97">
        <f t="shared" si="9"/>
        <v>4</v>
      </c>
      <c r="BH17" s="97">
        <f t="shared" si="9"/>
        <v>5</v>
      </c>
      <c r="BI17" s="97">
        <f t="shared" si="9"/>
        <v>6</v>
      </c>
      <c r="BJ17" s="97">
        <f t="shared" si="9"/>
        <v>7</v>
      </c>
      <c r="BK17" s="97">
        <f t="shared" si="9"/>
        <v>8</v>
      </c>
      <c r="BL17" s="97">
        <f t="shared" si="9"/>
        <v>9</v>
      </c>
      <c r="BM17" s="97">
        <f t="shared" si="9"/>
        <v>10</v>
      </c>
      <c r="BN17" s="97">
        <f t="shared" si="9"/>
        <v>11</v>
      </c>
      <c r="BO17" s="97">
        <f t="shared" si="9"/>
        <v>12</v>
      </c>
      <c r="BP17" s="97">
        <f t="shared" si="9"/>
        <v>1</v>
      </c>
      <c r="BQ17" s="97">
        <f t="shared" si="9"/>
        <v>2</v>
      </c>
      <c r="BR17" s="97">
        <f t="shared" si="9"/>
        <v>3</v>
      </c>
      <c r="BS17" s="97">
        <f t="shared" si="9"/>
        <v>4</v>
      </c>
      <c r="BT17" s="97">
        <f t="shared" ref="BT17:EE17" si="10">MONTH(BT11)</f>
        <v>5</v>
      </c>
      <c r="BU17" s="97">
        <f t="shared" si="10"/>
        <v>6</v>
      </c>
      <c r="BV17" s="97">
        <f t="shared" si="10"/>
        <v>7</v>
      </c>
      <c r="BW17" s="97">
        <f t="shared" si="10"/>
        <v>8</v>
      </c>
      <c r="BX17" s="97">
        <f t="shared" si="10"/>
        <v>9</v>
      </c>
      <c r="BY17" s="97">
        <f t="shared" si="10"/>
        <v>10</v>
      </c>
      <c r="BZ17" s="97">
        <f t="shared" si="10"/>
        <v>11</v>
      </c>
      <c r="CA17" s="97">
        <f t="shared" si="10"/>
        <v>12</v>
      </c>
      <c r="CB17" s="97">
        <f t="shared" si="10"/>
        <v>1</v>
      </c>
      <c r="CC17" s="97">
        <f t="shared" si="10"/>
        <v>2</v>
      </c>
      <c r="CD17" s="97">
        <f t="shared" si="10"/>
        <v>3</v>
      </c>
      <c r="CE17" s="97">
        <f t="shared" si="10"/>
        <v>4</v>
      </c>
      <c r="CF17" s="97">
        <f t="shared" si="10"/>
        <v>5</v>
      </c>
      <c r="CG17" s="97">
        <f t="shared" si="10"/>
        <v>6</v>
      </c>
      <c r="CH17" s="97">
        <f t="shared" si="10"/>
        <v>7</v>
      </c>
      <c r="CI17" s="97">
        <f t="shared" si="10"/>
        <v>8</v>
      </c>
      <c r="CJ17" s="97">
        <f t="shared" si="10"/>
        <v>9</v>
      </c>
      <c r="CK17" s="97">
        <f t="shared" si="10"/>
        <v>10</v>
      </c>
      <c r="CL17" s="97">
        <f t="shared" si="10"/>
        <v>11</v>
      </c>
      <c r="CM17" s="97">
        <f t="shared" si="10"/>
        <v>12</v>
      </c>
      <c r="CN17" s="97">
        <f t="shared" si="10"/>
        <v>1</v>
      </c>
      <c r="CO17" s="97">
        <f t="shared" si="10"/>
        <v>2</v>
      </c>
      <c r="CP17" s="97">
        <f t="shared" si="10"/>
        <v>3</v>
      </c>
      <c r="CQ17" s="97">
        <f t="shared" si="10"/>
        <v>4</v>
      </c>
      <c r="CR17" s="97">
        <f t="shared" si="10"/>
        <v>5</v>
      </c>
      <c r="CS17" s="97">
        <f t="shared" si="10"/>
        <v>6</v>
      </c>
      <c r="CT17" s="97">
        <f t="shared" si="10"/>
        <v>7</v>
      </c>
      <c r="CU17" s="97">
        <f t="shared" si="10"/>
        <v>8</v>
      </c>
      <c r="CV17" s="97">
        <f t="shared" si="10"/>
        <v>9</v>
      </c>
      <c r="CW17" s="97">
        <f t="shared" si="10"/>
        <v>10</v>
      </c>
      <c r="CX17" s="97">
        <f t="shared" si="10"/>
        <v>11</v>
      </c>
      <c r="CY17" s="97">
        <f t="shared" si="10"/>
        <v>12</v>
      </c>
      <c r="CZ17" s="97">
        <f t="shared" si="10"/>
        <v>1</v>
      </c>
      <c r="DA17" s="97">
        <f t="shared" si="10"/>
        <v>2</v>
      </c>
      <c r="DB17" s="97">
        <f t="shared" si="10"/>
        <v>3</v>
      </c>
      <c r="DC17" s="97">
        <f t="shared" si="10"/>
        <v>4</v>
      </c>
      <c r="DD17" s="97">
        <f t="shared" si="10"/>
        <v>5</v>
      </c>
      <c r="DE17" s="97">
        <f t="shared" si="10"/>
        <v>6</v>
      </c>
      <c r="DF17" s="97">
        <f t="shared" si="10"/>
        <v>7</v>
      </c>
      <c r="DG17" s="97">
        <f t="shared" si="10"/>
        <v>8</v>
      </c>
      <c r="DH17" s="97">
        <f t="shared" si="10"/>
        <v>9</v>
      </c>
      <c r="DI17" s="97">
        <f t="shared" si="10"/>
        <v>10</v>
      </c>
      <c r="DJ17" s="97">
        <f t="shared" si="10"/>
        <v>11</v>
      </c>
      <c r="DK17" s="97">
        <f t="shared" si="10"/>
        <v>12</v>
      </c>
      <c r="DL17" s="97">
        <f t="shared" si="10"/>
        <v>1</v>
      </c>
      <c r="DM17" s="97">
        <f t="shared" si="10"/>
        <v>2</v>
      </c>
      <c r="DN17" s="97">
        <f t="shared" si="10"/>
        <v>3</v>
      </c>
      <c r="DO17" s="97">
        <f t="shared" si="10"/>
        <v>4</v>
      </c>
      <c r="DP17" s="97">
        <f t="shared" si="10"/>
        <v>5</v>
      </c>
      <c r="DQ17" s="97">
        <f t="shared" si="10"/>
        <v>6</v>
      </c>
      <c r="DR17" s="97">
        <f t="shared" si="10"/>
        <v>7</v>
      </c>
      <c r="DS17" s="97">
        <f t="shared" si="10"/>
        <v>8</v>
      </c>
      <c r="DT17" s="97">
        <f t="shared" si="10"/>
        <v>9</v>
      </c>
      <c r="DU17" s="97">
        <f t="shared" si="10"/>
        <v>10</v>
      </c>
      <c r="DV17" s="97">
        <f t="shared" si="10"/>
        <v>11</v>
      </c>
      <c r="DW17" s="97">
        <f t="shared" si="10"/>
        <v>12</v>
      </c>
      <c r="DX17" s="97">
        <f t="shared" si="10"/>
        <v>1</v>
      </c>
      <c r="DY17" s="97">
        <f t="shared" si="10"/>
        <v>2</v>
      </c>
      <c r="DZ17" s="97">
        <f t="shared" si="10"/>
        <v>3</v>
      </c>
      <c r="EA17" s="97">
        <f t="shared" si="10"/>
        <v>4</v>
      </c>
      <c r="EB17" s="97">
        <f t="shared" si="10"/>
        <v>5</v>
      </c>
      <c r="EC17" s="97">
        <f t="shared" si="10"/>
        <v>6</v>
      </c>
      <c r="ED17" s="97">
        <f t="shared" si="10"/>
        <v>7</v>
      </c>
      <c r="EE17" s="97">
        <f t="shared" si="10"/>
        <v>8</v>
      </c>
      <c r="EF17" s="97">
        <f t="shared" ref="EF17:GO17" si="11">MONTH(EF11)</f>
        <v>9</v>
      </c>
      <c r="EG17" s="97">
        <f t="shared" si="11"/>
        <v>10</v>
      </c>
      <c r="EH17" s="97">
        <f t="shared" si="11"/>
        <v>11</v>
      </c>
      <c r="EI17" s="97">
        <f t="shared" si="11"/>
        <v>12</v>
      </c>
      <c r="EJ17" s="97">
        <f t="shared" si="11"/>
        <v>1</v>
      </c>
      <c r="EK17" s="97">
        <f t="shared" si="11"/>
        <v>2</v>
      </c>
      <c r="EL17" s="97">
        <f t="shared" si="11"/>
        <v>3</v>
      </c>
      <c r="EM17" s="97">
        <f t="shared" si="11"/>
        <v>4</v>
      </c>
      <c r="EN17" s="97">
        <f t="shared" si="11"/>
        <v>5</v>
      </c>
      <c r="EO17" s="97">
        <f t="shared" si="11"/>
        <v>6</v>
      </c>
      <c r="EP17" s="97">
        <f t="shared" si="11"/>
        <v>7</v>
      </c>
      <c r="EQ17" s="97">
        <f t="shared" si="11"/>
        <v>8</v>
      </c>
      <c r="ER17" s="97">
        <f t="shared" si="11"/>
        <v>9</v>
      </c>
      <c r="ES17" s="97">
        <f t="shared" si="11"/>
        <v>10</v>
      </c>
      <c r="ET17" s="97">
        <f t="shared" si="11"/>
        <v>11</v>
      </c>
      <c r="EU17" s="97">
        <f t="shared" si="11"/>
        <v>12</v>
      </c>
      <c r="EV17" s="97">
        <f t="shared" si="11"/>
        <v>1</v>
      </c>
      <c r="EW17" s="97">
        <f t="shared" si="11"/>
        <v>2</v>
      </c>
      <c r="EX17" s="97">
        <f t="shared" si="11"/>
        <v>3</v>
      </c>
      <c r="EY17" s="97">
        <f t="shared" si="11"/>
        <v>4</v>
      </c>
      <c r="EZ17" s="97">
        <f t="shared" si="11"/>
        <v>5</v>
      </c>
      <c r="FA17" s="97">
        <f t="shared" si="11"/>
        <v>6</v>
      </c>
      <c r="FB17" s="97">
        <f t="shared" si="11"/>
        <v>7</v>
      </c>
      <c r="FC17" s="97">
        <f t="shared" si="11"/>
        <v>8</v>
      </c>
      <c r="FD17" s="97">
        <f t="shared" si="11"/>
        <v>9</v>
      </c>
      <c r="FE17" s="97">
        <f t="shared" si="11"/>
        <v>10</v>
      </c>
      <c r="FF17" s="97">
        <f t="shared" si="11"/>
        <v>11</v>
      </c>
      <c r="FG17" s="97">
        <f t="shared" si="11"/>
        <v>12</v>
      </c>
      <c r="FH17" s="97">
        <f t="shared" si="11"/>
        <v>1</v>
      </c>
      <c r="FI17" s="97">
        <f t="shared" si="11"/>
        <v>2</v>
      </c>
      <c r="FJ17" s="97">
        <f t="shared" si="11"/>
        <v>3</v>
      </c>
      <c r="FK17" s="97">
        <f t="shared" si="11"/>
        <v>4</v>
      </c>
      <c r="FL17" s="97">
        <f t="shared" si="11"/>
        <v>5</v>
      </c>
      <c r="FM17" s="97">
        <f t="shared" si="11"/>
        <v>6</v>
      </c>
      <c r="FN17" s="97">
        <f t="shared" si="11"/>
        <v>7</v>
      </c>
      <c r="FO17" s="97">
        <f t="shared" si="11"/>
        <v>8</v>
      </c>
      <c r="FP17" s="97">
        <f t="shared" si="11"/>
        <v>9</v>
      </c>
      <c r="FQ17" s="97">
        <f t="shared" si="11"/>
        <v>10</v>
      </c>
      <c r="FR17" s="97">
        <f t="shared" si="11"/>
        <v>11</v>
      </c>
      <c r="FS17" s="97">
        <f t="shared" si="11"/>
        <v>12</v>
      </c>
      <c r="FT17" s="97">
        <f t="shared" si="11"/>
        <v>1</v>
      </c>
      <c r="FU17" s="97">
        <f t="shared" si="11"/>
        <v>2</v>
      </c>
      <c r="FV17" s="97">
        <f t="shared" si="11"/>
        <v>3</v>
      </c>
      <c r="FW17" s="97">
        <f t="shared" si="11"/>
        <v>4</v>
      </c>
      <c r="FX17" s="97">
        <f t="shared" si="11"/>
        <v>5</v>
      </c>
      <c r="FY17" s="97">
        <f t="shared" si="11"/>
        <v>6</v>
      </c>
      <c r="FZ17" s="97">
        <f t="shared" si="11"/>
        <v>7</v>
      </c>
      <c r="GA17" s="97">
        <f t="shared" si="11"/>
        <v>8</v>
      </c>
      <c r="GB17" s="97">
        <f t="shared" si="11"/>
        <v>9</v>
      </c>
      <c r="GC17" s="97">
        <f t="shared" si="11"/>
        <v>10</v>
      </c>
      <c r="GD17" s="97">
        <f t="shared" si="11"/>
        <v>11</v>
      </c>
      <c r="GE17" s="97">
        <f t="shared" si="11"/>
        <v>12</v>
      </c>
      <c r="GF17" s="97">
        <f t="shared" si="11"/>
        <v>1</v>
      </c>
      <c r="GG17" s="97">
        <f t="shared" si="11"/>
        <v>2</v>
      </c>
      <c r="GH17" s="97">
        <f t="shared" si="11"/>
        <v>3</v>
      </c>
      <c r="GI17" s="97">
        <f t="shared" si="11"/>
        <v>4</v>
      </c>
      <c r="GJ17" s="97">
        <f t="shared" si="11"/>
        <v>5</v>
      </c>
      <c r="GK17" s="97">
        <f t="shared" si="11"/>
        <v>6</v>
      </c>
      <c r="GL17" s="97">
        <f t="shared" si="11"/>
        <v>7</v>
      </c>
      <c r="GM17" s="97">
        <f t="shared" si="11"/>
        <v>8</v>
      </c>
      <c r="GN17" s="97">
        <f t="shared" si="11"/>
        <v>9</v>
      </c>
      <c r="GO17" s="97">
        <f t="shared" si="11"/>
        <v>10</v>
      </c>
      <c r="GQ17" s="88"/>
      <c r="GR17" s="94"/>
      <c r="GS17" s="94"/>
      <c r="GT17" s="102"/>
    </row>
    <row r="18" spans="1:203">
      <c r="A18" s="101" t="s">
        <v>162</v>
      </c>
      <c r="F18" s="100">
        <v>0</v>
      </c>
      <c r="G18" s="97">
        <v>0</v>
      </c>
      <c r="H18" s="97">
        <v>0</v>
      </c>
      <c r="I18" s="97">
        <v>0</v>
      </c>
      <c r="J18" s="97">
        <v>0</v>
      </c>
      <c r="K18" s="97">
        <v>0</v>
      </c>
      <c r="L18" s="97">
        <v>0</v>
      </c>
      <c r="M18" s="97">
        <v>0</v>
      </c>
      <c r="N18" s="97">
        <v>0</v>
      </c>
      <c r="O18" s="97">
        <v>0</v>
      </c>
      <c r="P18" s="97">
        <v>0</v>
      </c>
      <c r="Q18" s="97">
        <v>0</v>
      </c>
      <c r="R18" s="97">
        <v>0</v>
      </c>
      <c r="S18" s="97">
        <v>0</v>
      </c>
      <c r="T18" s="97">
        <v>0</v>
      </c>
      <c r="U18" s="97">
        <v>0</v>
      </c>
      <c r="V18" s="97">
        <v>0</v>
      </c>
      <c r="W18" s="97">
        <v>0</v>
      </c>
      <c r="X18" s="97">
        <v>0</v>
      </c>
      <c r="Y18" s="97">
        <v>0</v>
      </c>
      <c r="Z18" s="97">
        <v>0</v>
      </c>
      <c r="AA18" s="97">
        <v>0</v>
      </c>
      <c r="AB18" s="97">
        <v>0</v>
      </c>
      <c r="AC18" s="97">
        <v>0</v>
      </c>
      <c r="AD18" s="97">
        <v>0</v>
      </c>
      <c r="AE18" s="97">
        <v>0</v>
      </c>
      <c r="AF18" s="97">
        <v>0</v>
      </c>
      <c r="AG18" s="97">
        <v>0</v>
      </c>
      <c r="AH18" s="97">
        <v>0</v>
      </c>
      <c r="AI18" s="97">
        <v>0</v>
      </c>
      <c r="AJ18" s="97">
        <v>0</v>
      </c>
      <c r="AK18" s="97">
        <v>0</v>
      </c>
      <c r="AL18" s="97">
        <v>0</v>
      </c>
      <c r="AM18" s="97">
        <v>0</v>
      </c>
      <c r="AN18" s="97">
        <v>0</v>
      </c>
      <c r="AO18" s="97">
        <v>0</v>
      </c>
      <c r="AP18" s="97">
        <v>0</v>
      </c>
      <c r="AQ18" s="97">
        <v>0</v>
      </c>
      <c r="AR18" s="97">
        <v>0</v>
      </c>
      <c r="AS18" s="97">
        <v>0</v>
      </c>
      <c r="AT18" s="97">
        <v>0</v>
      </c>
      <c r="AU18" s="97">
        <v>0</v>
      </c>
      <c r="AV18" s="97">
        <v>0</v>
      </c>
      <c r="AW18" s="97">
        <v>0</v>
      </c>
      <c r="AX18" s="97">
        <v>0</v>
      </c>
      <c r="AY18" s="97">
        <v>0</v>
      </c>
      <c r="AZ18" s="97">
        <v>0</v>
      </c>
      <c r="BA18" s="97">
        <v>0</v>
      </c>
      <c r="BB18" s="97">
        <v>0</v>
      </c>
      <c r="BC18" s="97">
        <v>0</v>
      </c>
      <c r="BD18" s="97">
        <v>0</v>
      </c>
      <c r="BE18" s="97">
        <v>0</v>
      </c>
      <c r="BF18" s="97">
        <v>0</v>
      </c>
      <c r="BG18" s="97">
        <v>0</v>
      </c>
      <c r="BH18" s="97">
        <v>0</v>
      </c>
      <c r="BI18" s="97">
        <v>0</v>
      </c>
      <c r="BJ18" s="97">
        <v>0</v>
      </c>
      <c r="BK18" s="97">
        <v>0</v>
      </c>
      <c r="BL18" s="97">
        <v>0</v>
      </c>
      <c r="BM18" s="97">
        <v>0</v>
      </c>
      <c r="BN18" s="97">
        <v>0</v>
      </c>
      <c r="BO18" s="97">
        <v>0</v>
      </c>
      <c r="BP18" s="97">
        <v>0</v>
      </c>
      <c r="BQ18" s="97">
        <v>0</v>
      </c>
      <c r="BR18" s="97">
        <v>0</v>
      </c>
      <c r="BS18" s="97">
        <v>0</v>
      </c>
      <c r="BT18" s="97">
        <v>0</v>
      </c>
      <c r="BU18" s="97">
        <v>0</v>
      </c>
      <c r="BV18" s="97">
        <v>0</v>
      </c>
      <c r="BW18" s="97">
        <v>0</v>
      </c>
      <c r="BX18" s="97">
        <v>0</v>
      </c>
      <c r="BY18" s="97">
        <v>0</v>
      </c>
      <c r="BZ18" s="97">
        <v>0</v>
      </c>
      <c r="CA18" s="97">
        <v>0</v>
      </c>
      <c r="CB18" s="97">
        <v>0</v>
      </c>
      <c r="CC18" s="97">
        <v>0</v>
      </c>
      <c r="CD18" s="97">
        <v>0</v>
      </c>
      <c r="CE18" s="97">
        <v>0</v>
      </c>
      <c r="CF18" s="97">
        <v>0</v>
      </c>
      <c r="CG18" s="97">
        <v>0</v>
      </c>
      <c r="CH18" s="97">
        <v>0</v>
      </c>
      <c r="CI18" s="97">
        <v>0</v>
      </c>
      <c r="CJ18" s="97">
        <v>0</v>
      </c>
      <c r="CK18" s="97">
        <v>0</v>
      </c>
      <c r="CL18" s="97">
        <v>0</v>
      </c>
      <c r="CM18" s="97">
        <v>0</v>
      </c>
      <c r="CN18" s="97">
        <v>0</v>
      </c>
      <c r="CO18" s="97">
        <v>0</v>
      </c>
      <c r="CP18" s="97">
        <v>0</v>
      </c>
      <c r="CQ18" s="97">
        <v>0</v>
      </c>
      <c r="CR18" s="97">
        <v>0</v>
      </c>
      <c r="CS18" s="97">
        <v>0</v>
      </c>
      <c r="CT18" s="97">
        <v>0</v>
      </c>
      <c r="CU18" s="97">
        <v>0</v>
      </c>
      <c r="CV18" s="97">
        <v>0</v>
      </c>
      <c r="CW18" s="97">
        <v>0</v>
      </c>
      <c r="CX18" s="97">
        <v>0</v>
      </c>
      <c r="CY18" s="97">
        <v>0</v>
      </c>
      <c r="CZ18" s="97">
        <v>0</v>
      </c>
      <c r="DA18" s="97">
        <v>0</v>
      </c>
      <c r="DB18" s="97">
        <v>0</v>
      </c>
      <c r="DC18" s="97">
        <v>0</v>
      </c>
      <c r="DD18" s="97">
        <v>0</v>
      </c>
      <c r="DE18" s="97">
        <v>0</v>
      </c>
      <c r="DF18" s="97">
        <v>0</v>
      </c>
      <c r="DG18" s="97">
        <v>0</v>
      </c>
      <c r="DH18" s="97">
        <v>0</v>
      </c>
      <c r="DI18" s="97">
        <v>0</v>
      </c>
      <c r="DJ18" s="97">
        <v>0</v>
      </c>
      <c r="DK18" s="97">
        <v>0</v>
      </c>
      <c r="DL18" s="97">
        <v>0</v>
      </c>
      <c r="DM18" s="97">
        <v>0</v>
      </c>
      <c r="DN18" s="97">
        <v>0</v>
      </c>
      <c r="DO18" s="97">
        <v>0</v>
      </c>
      <c r="DP18" s="97">
        <v>0</v>
      </c>
      <c r="DQ18" s="97">
        <v>0</v>
      </c>
      <c r="DR18" s="97">
        <v>0</v>
      </c>
      <c r="DS18" s="97">
        <v>0</v>
      </c>
      <c r="DT18" s="97">
        <v>0</v>
      </c>
      <c r="DU18" s="97">
        <v>0</v>
      </c>
      <c r="DV18" s="97">
        <v>0</v>
      </c>
      <c r="DW18" s="97">
        <v>0</v>
      </c>
      <c r="DX18" s="97">
        <v>0</v>
      </c>
      <c r="DY18" s="97">
        <v>0</v>
      </c>
      <c r="DZ18" s="97">
        <v>0</v>
      </c>
      <c r="EA18" s="97">
        <v>0</v>
      </c>
      <c r="EB18" s="97">
        <v>0</v>
      </c>
      <c r="EC18" s="97">
        <v>0</v>
      </c>
      <c r="ED18" s="97">
        <v>0</v>
      </c>
      <c r="EE18" s="97">
        <v>0</v>
      </c>
      <c r="EF18" s="97">
        <v>0</v>
      </c>
      <c r="EG18" s="97">
        <v>0</v>
      </c>
      <c r="EH18" s="97">
        <v>0</v>
      </c>
      <c r="EI18" s="97">
        <v>0</v>
      </c>
      <c r="EJ18" s="97">
        <v>0</v>
      </c>
      <c r="EK18" s="97">
        <v>0</v>
      </c>
      <c r="EL18" s="97">
        <v>0</v>
      </c>
      <c r="EM18" s="97">
        <v>0</v>
      </c>
      <c r="EN18" s="97">
        <v>0</v>
      </c>
      <c r="EO18" s="97">
        <v>0</v>
      </c>
      <c r="EP18" s="97">
        <v>0</v>
      </c>
      <c r="EQ18" s="97">
        <v>0</v>
      </c>
      <c r="ER18" s="97">
        <v>0</v>
      </c>
      <c r="ES18" s="97">
        <v>0</v>
      </c>
      <c r="ET18" s="97">
        <v>0</v>
      </c>
      <c r="EU18" s="97">
        <v>0</v>
      </c>
      <c r="EV18" s="97">
        <v>0</v>
      </c>
      <c r="EW18" s="97">
        <v>0</v>
      </c>
      <c r="EX18" s="97">
        <v>0</v>
      </c>
      <c r="EY18" s="97">
        <v>0</v>
      </c>
      <c r="EZ18" s="97">
        <v>0</v>
      </c>
      <c r="FA18" s="97">
        <v>0</v>
      </c>
      <c r="FB18" s="97">
        <v>0</v>
      </c>
      <c r="FC18" s="97">
        <v>0</v>
      </c>
      <c r="FD18" s="97">
        <v>0</v>
      </c>
      <c r="FE18" s="97">
        <v>0</v>
      </c>
      <c r="FF18" s="97">
        <v>0</v>
      </c>
      <c r="FG18" s="97">
        <v>0</v>
      </c>
      <c r="FH18" s="97">
        <v>0</v>
      </c>
      <c r="FI18" s="97">
        <v>0</v>
      </c>
      <c r="FJ18" s="97">
        <v>0</v>
      </c>
      <c r="FK18" s="97">
        <v>0</v>
      </c>
      <c r="FL18" s="97">
        <v>0</v>
      </c>
      <c r="FM18" s="97">
        <v>0</v>
      </c>
      <c r="FN18" s="97">
        <v>0</v>
      </c>
      <c r="FO18" s="97">
        <v>0</v>
      </c>
      <c r="FP18" s="97">
        <v>0</v>
      </c>
      <c r="FQ18" s="97">
        <v>0</v>
      </c>
      <c r="FR18" s="97">
        <v>0</v>
      </c>
      <c r="FS18" s="97">
        <v>0</v>
      </c>
      <c r="FT18" s="97">
        <v>0</v>
      </c>
      <c r="FU18" s="97">
        <v>0</v>
      </c>
      <c r="FV18" s="97">
        <v>0</v>
      </c>
      <c r="FW18" s="97">
        <v>0</v>
      </c>
      <c r="FX18" s="97">
        <v>0</v>
      </c>
      <c r="FY18" s="97">
        <v>0</v>
      </c>
      <c r="FZ18" s="97">
        <v>0</v>
      </c>
      <c r="GA18" s="97">
        <v>0</v>
      </c>
      <c r="GB18" s="97">
        <v>0</v>
      </c>
      <c r="GC18" s="97">
        <v>0</v>
      </c>
      <c r="GD18" s="97">
        <v>0</v>
      </c>
      <c r="GE18" s="97">
        <v>0</v>
      </c>
      <c r="GF18" s="97">
        <v>0</v>
      </c>
      <c r="GG18" s="97">
        <v>0</v>
      </c>
      <c r="GH18" s="97">
        <v>0</v>
      </c>
      <c r="GI18" s="97">
        <v>0</v>
      </c>
      <c r="GJ18" s="97">
        <v>0</v>
      </c>
      <c r="GK18" s="97">
        <v>0</v>
      </c>
      <c r="GL18" s="97">
        <v>0</v>
      </c>
      <c r="GM18" s="97">
        <v>0</v>
      </c>
      <c r="GN18" s="97">
        <v>0</v>
      </c>
      <c r="GO18" s="97">
        <v>0</v>
      </c>
      <c r="GQ18" s="88"/>
      <c r="GR18" s="94"/>
      <c r="GS18" s="94"/>
      <c r="GT18" s="102"/>
    </row>
    <row r="19" spans="1:203">
      <c r="A19" s="101" t="s">
        <v>387</v>
      </c>
      <c r="F19" s="100" t="str">
        <f t="shared" ref="F19:BQ19" si="12">IF(F15=0,"M"&amp;F14,"Y"&amp;F15&amp;"M"&amp;F16)</f>
        <v>Y1M12</v>
      </c>
      <c r="G19" s="97" t="str">
        <f t="shared" si="12"/>
        <v>Y2M1</v>
      </c>
      <c r="H19" s="97" t="str">
        <f t="shared" si="12"/>
        <v>Y2M2</v>
      </c>
      <c r="I19" s="97" t="str">
        <f t="shared" si="12"/>
        <v>Y2M3</v>
      </c>
      <c r="J19" s="97" t="str">
        <f t="shared" si="12"/>
        <v>Y2M4</v>
      </c>
      <c r="K19" s="97" t="str">
        <f t="shared" si="12"/>
        <v>Y2M5</v>
      </c>
      <c r="L19" s="97" t="str">
        <f t="shared" si="12"/>
        <v>Y2M6</v>
      </c>
      <c r="M19" s="97" t="str">
        <f t="shared" si="12"/>
        <v>Y2M7</v>
      </c>
      <c r="N19" s="97" t="str">
        <f t="shared" si="12"/>
        <v>Y2M8</v>
      </c>
      <c r="O19" s="97" t="str">
        <f t="shared" si="12"/>
        <v>Y2M9</v>
      </c>
      <c r="P19" s="97" t="str">
        <f t="shared" si="12"/>
        <v>Y2M10</v>
      </c>
      <c r="Q19" s="97" t="str">
        <f t="shared" si="12"/>
        <v>Y2M11</v>
      </c>
      <c r="R19" s="97" t="str">
        <f t="shared" si="12"/>
        <v>Y2M12</v>
      </c>
      <c r="S19" s="97" t="str">
        <f t="shared" si="12"/>
        <v>Y3M1</v>
      </c>
      <c r="T19" s="97" t="str">
        <f t="shared" si="12"/>
        <v>Y3M2</v>
      </c>
      <c r="U19" s="97" t="str">
        <f t="shared" si="12"/>
        <v>Y3M3</v>
      </c>
      <c r="V19" s="97" t="str">
        <f t="shared" si="12"/>
        <v>Y3M4</v>
      </c>
      <c r="W19" s="97" t="str">
        <f t="shared" si="12"/>
        <v>Y3M5</v>
      </c>
      <c r="X19" s="97" t="str">
        <f t="shared" si="12"/>
        <v>Y3M6</v>
      </c>
      <c r="Y19" s="97" t="str">
        <f t="shared" si="12"/>
        <v>Y3M7</v>
      </c>
      <c r="Z19" s="97" t="str">
        <f t="shared" si="12"/>
        <v>Y3M8</v>
      </c>
      <c r="AA19" s="97" t="str">
        <f t="shared" si="12"/>
        <v>Y3M9</v>
      </c>
      <c r="AB19" s="97" t="str">
        <f t="shared" si="12"/>
        <v>Y3M10</v>
      </c>
      <c r="AC19" s="97" t="str">
        <f t="shared" si="12"/>
        <v>Y3M11</v>
      </c>
      <c r="AD19" s="97" t="str">
        <f t="shared" si="12"/>
        <v>Y3M12</v>
      </c>
      <c r="AE19" s="97" t="str">
        <f t="shared" si="12"/>
        <v>Y4M1</v>
      </c>
      <c r="AF19" s="97" t="str">
        <f t="shared" si="12"/>
        <v>Y4M2</v>
      </c>
      <c r="AG19" s="97" t="str">
        <f t="shared" si="12"/>
        <v>Y4M3</v>
      </c>
      <c r="AH19" s="97" t="str">
        <f t="shared" si="12"/>
        <v>Y4M4</v>
      </c>
      <c r="AI19" s="97" t="str">
        <f t="shared" si="12"/>
        <v>Y4M5</v>
      </c>
      <c r="AJ19" s="97" t="str">
        <f t="shared" si="12"/>
        <v>Y4M6</v>
      </c>
      <c r="AK19" s="97" t="str">
        <f t="shared" si="12"/>
        <v>Y4M7</v>
      </c>
      <c r="AL19" s="97" t="str">
        <f t="shared" si="12"/>
        <v>Y4M8</v>
      </c>
      <c r="AM19" s="97" t="str">
        <f t="shared" si="12"/>
        <v>Y4M9</v>
      </c>
      <c r="AN19" s="97" t="str">
        <f t="shared" si="12"/>
        <v>Y4M10</v>
      </c>
      <c r="AO19" s="97" t="str">
        <f t="shared" si="12"/>
        <v>Y4M11</v>
      </c>
      <c r="AP19" s="97" t="str">
        <f t="shared" si="12"/>
        <v>Y4M12</v>
      </c>
      <c r="AQ19" s="97" t="str">
        <f t="shared" si="12"/>
        <v>Y5M1</v>
      </c>
      <c r="AR19" s="97" t="str">
        <f t="shared" si="12"/>
        <v>Y5M2</v>
      </c>
      <c r="AS19" s="97" t="str">
        <f t="shared" si="12"/>
        <v>Y5M3</v>
      </c>
      <c r="AT19" s="97" t="str">
        <f t="shared" si="12"/>
        <v>Y5M4</v>
      </c>
      <c r="AU19" s="97" t="str">
        <f t="shared" si="12"/>
        <v>Y5M5</v>
      </c>
      <c r="AV19" s="97" t="str">
        <f t="shared" si="12"/>
        <v>Y5M6</v>
      </c>
      <c r="AW19" s="97" t="str">
        <f t="shared" si="12"/>
        <v>Y5M7</v>
      </c>
      <c r="AX19" s="97" t="str">
        <f t="shared" si="12"/>
        <v>Y5M8</v>
      </c>
      <c r="AY19" s="97" t="str">
        <f t="shared" si="12"/>
        <v>Y5M9</v>
      </c>
      <c r="AZ19" s="97" t="str">
        <f t="shared" si="12"/>
        <v>Y5M10</v>
      </c>
      <c r="BA19" s="97" t="str">
        <f t="shared" si="12"/>
        <v>Y5M11</v>
      </c>
      <c r="BB19" s="97" t="str">
        <f t="shared" si="12"/>
        <v>Y5M12</v>
      </c>
      <c r="BC19" s="97" t="str">
        <f t="shared" si="12"/>
        <v>Y6M1</v>
      </c>
      <c r="BD19" s="97" t="str">
        <f t="shared" si="12"/>
        <v>Y6M2</v>
      </c>
      <c r="BE19" s="97" t="str">
        <f t="shared" si="12"/>
        <v>Y6M3</v>
      </c>
      <c r="BF19" s="97" t="str">
        <f t="shared" si="12"/>
        <v>Y6M4</v>
      </c>
      <c r="BG19" s="97" t="str">
        <f t="shared" si="12"/>
        <v>Y6M5</v>
      </c>
      <c r="BH19" s="97" t="str">
        <f t="shared" si="12"/>
        <v>Y6M6</v>
      </c>
      <c r="BI19" s="97" t="str">
        <f t="shared" si="12"/>
        <v>Y6M7</v>
      </c>
      <c r="BJ19" s="97" t="str">
        <f t="shared" si="12"/>
        <v>Y6M8</v>
      </c>
      <c r="BK19" s="97" t="str">
        <f t="shared" si="12"/>
        <v>Y6M9</v>
      </c>
      <c r="BL19" s="97" t="str">
        <f t="shared" si="12"/>
        <v>Y6M10</v>
      </c>
      <c r="BM19" s="97" t="str">
        <f t="shared" si="12"/>
        <v>Y6M11</v>
      </c>
      <c r="BN19" s="97" t="str">
        <f t="shared" si="12"/>
        <v>Y6M12</v>
      </c>
      <c r="BO19" s="97" t="str">
        <f t="shared" si="12"/>
        <v>Y7M1</v>
      </c>
      <c r="BP19" s="97" t="str">
        <f t="shared" si="12"/>
        <v>Y7M2</v>
      </c>
      <c r="BQ19" s="97" t="str">
        <f t="shared" si="12"/>
        <v>Y7M3</v>
      </c>
      <c r="BR19" s="97" t="str">
        <f t="shared" ref="BR19:EC19" si="13">IF(BR15=0,"M"&amp;BR14,"Y"&amp;BR15&amp;"M"&amp;BR16)</f>
        <v>Y7M4</v>
      </c>
      <c r="BS19" s="97" t="str">
        <f t="shared" si="13"/>
        <v>Y7M5</v>
      </c>
      <c r="BT19" s="97" t="str">
        <f t="shared" si="13"/>
        <v>Y7M6</v>
      </c>
      <c r="BU19" s="97" t="str">
        <f t="shared" si="13"/>
        <v>Y7M7</v>
      </c>
      <c r="BV19" s="97" t="str">
        <f t="shared" si="13"/>
        <v>Y7M8</v>
      </c>
      <c r="BW19" s="97" t="str">
        <f t="shared" si="13"/>
        <v>Y7M9</v>
      </c>
      <c r="BX19" s="97" t="str">
        <f t="shared" si="13"/>
        <v>Y7M10</v>
      </c>
      <c r="BY19" s="97" t="str">
        <f t="shared" si="13"/>
        <v>Y7M11</v>
      </c>
      <c r="BZ19" s="97" t="str">
        <f t="shared" si="13"/>
        <v>Y7M12</v>
      </c>
      <c r="CA19" s="97" t="str">
        <f t="shared" si="13"/>
        <v>Y8M1</v>
      </c>
      <c r="CB19" s="97" t="str">
        <f t="shared" si="13"/>
        <v>Y8M2</v>
      </c>
      <c r="CC19" s="97" t="str">
        <f t="shared" si="13"/>
        <v>Y8M3</v>
      </c>
      <c r="CD19" s="97" t="str">
        <f t="shared" si="13"/>
        <v>Y8M4</v>
      </c>
      <c r="CE19" s="97" t="str">
        <f t="shared" si="13"/>
        <v>Y8M5</v>
      </c>
      <c r="CF19" s="97" t="str">
        <f t="shared" si="13"/>
        <v>Y8M6</v>
      </c>
      <c r="CG19" s="97" t="str">
        <f t="shared" si="13"/>
        <v>Y8M7</v>
      </c>
      <c r="CH19" s="97" t="str">
        <f t="shared" si="13"/>
        <v>Y8M8</v>
      </c>
      <c r="CI19" s="97" t="str">
        <f t="shared" si="13"/>
        <v>Y8M9</v>
      </c>
      <c r="CJ19" s="97" t="str">
        <f t="shared" si="13"/>
        <v>Y8M10</v>
      </c>
      <c r="CK19" s="97" t="str">
        <f t="shared" si="13"/>
        <v>Y8M11</v>
      </c>
      <c r="CL19" s="97" t="str">
        <f t="shared" si="13"/>
        <v>Y8M12</v>
      </c>
      <c r="CM19" s="97" t="str">
        <f t="shared" si="13"/>
        <v>Y9M1</v>
      </c>
      <c r="CN19" s="97" t="str">
        <f t="shared" si="13"/>
        <v>Y9M2</v>
      </c>
      <c r="CO19" s="97" t="str">
        <f t="shared" si="13"/>
        <v>Y9M3</v>
      </c>
      <c r="CP19" s="97" t="str">
        <f t="shared" si="13"/>
        <v>Y9M4</v>
      </c>
      <c r="CQ19" s="97" t="str">
        <f t="shared" si="13"/>
        <v>Y9M5</v>
      </c>
      <c r="CR19" s="97" t="str">
        <f t="shared" si="13"/>
        <v>Y9M6</v>
      </c>
      <c r="CS19" s="97" t="str">
        <f t="shared" si="13"/>
        <v>Y9M7</v>
      </c>
      <c r="CT19" s="97" t="str">
        <f t="shared" si="13"/>
        <v>Y9M8</v>
      </c>
      <c r="CU19" s="97" t="str">
        <f t="shared" si="13"/>
        <v>Y9M9</v>
      </c>
      <c r="CV19" s="97" t="str">
        <f t="shared" si="13"/>
        <v>Y9M10</v>
      </c>
      <c r="CW19" s="97" t="str">
        <f t="shared" si="13"/>
        <v>Y9M11</v>
      </c>
      <c r="CX19" s="97" t="str">
        <f t="shared" si="13"/>
        <v>Y9M12</v>
      </c>
      <c r="CY19" s="97" t="str">
        <f t="shared" si="13"/>
        <v>Y10M1</v>
      </c>
      <c r="CZ19" s="97" t="str">
        <f t="shared" si="13"/>
        <v>Y10M2</v>
      </c>
      <c r="DA19" s="97" t="str">
        <f t="shared" si="13"/>
        <v>Y10M3</v>
      </c>
      <c r="DB19" s="97" t="str">
        <f t="shared" si="13"/>
        <v>Y10M4</v>
      </c>
      <c r="DC19" s="97" t="str">
        <f t="shared" si="13"/>
        <v>Y10M5</v>
      </c>
      <c r="DD19" s="97" t="str">
        <f t="shared" si="13"/>
        <v>Y10M6</v>
      </c>
      <c r="DE19" s="97" t="str">
        <f t="shared" si="13"/>
        <v>Y10M7</v>
      </c>
      <c r="DF19" s="97" t="str">
        <f t="shared" si="13"/>
        <v>Y10M8</v>
      </c>
      <c r="DG19" s="97" t="str">
        <f t="shared" si="13"/>
        <v>Y10M9</v>
      </c>
      <c r="DH19" s="97" t="str">
        <f t="shared" si="13"/>
        <v>Y10M10</v>
      </c>
      <c r="DI19" s="97" t="str">
        <f t="shared" si="13"/>
        <v>Y10M11</v>
      </c>
      <c r="DJ19" s="97" t="str">
        <f t="shared" si="13"/>
        <v>Y10M12</v>
      </c>
      <c r="DK19" s="97" t="str">
        <f t="shared" si="13"/>
        <v>Y11M1</v>
      </c>
      <c r="DL19" s="97" t="str">
        <f t="shared" si="13"/>
        <v>Y11M2</v>
      </c>
      <c r="DM19" s="97" t="str">
        <f t="shared" si="13"/>
        <v>Y11M3</v>
      </c>
      <c r="DN19" s="97" t="str">
        <f t="shared" si="13"/>
        <v>Y11M4</v>
      </c>
      <c r="DO19" s="97" t="str">
        <f t="shared" si="13"/>
        <v>Y11M5</v>
      </c>
      <c r="DP19" s="97" t="str">
        <f t="shared" si="13"/>
        <v>Y11M6</v>
      </c>
      <c r="DQ19" s="97" t="str">
        <f t="shared" si="13"/>
        <v>Y11M7</v>
      </c>
      <c r="DR19" s="97" t="str">
        <f t="shared" si="13"/>
        <v>Y11M8</v>
      </c>
      <c r="DS19" s="97" t="str">
        <f t="shared" si="13"/>
        <v>Y11M9</v>
      </c>
      <c r="DT19" s="97" t="str">
        <f t="shared" si="13"/>
        <v>Y11M10</v>
      </c>
      <c r="DU19" s="97" t="str">
        <f t="shared" si="13"/>
        <v>Y11M11</v>
      </c>
      <c r="DV19" s="97" t="str">
        <f t="shared" si="13"/>
        <v>Y11M12</v>
      </c>
      <c r="DW19" s="97" t="str">
        <f t="shared" si="13"/>
        <v>Y12M1</v>
      </c>
      <c r="DX19" s="97" t="str">
        <f t="shared" si="13"/>
        <v>Y12M2</v>
      </c>
      <c r="DY19" s="97" t="str">
        <f t="shared" si="13"/>
        <v>Y12M3</v>
      </c>
      <c r="DZ19" s="97" t="str">
        <f t="shared" si="13"/>
        <v>Y12M4</v>
      </c>
      <c r="EA19" s="97" t="str">
        <f t="shared" si="13"/>
        <v>Y12M5</v>
      </c>
      <c r="EB19" s="97" t="str">
        <f t="shared" si="13"/>
        <v>Y12M6</v>
      </c>
      <c r="EC19" s="97" t="str">
        <f t="shared" si="13"/>
        <v>Y12M7</v>
      </c>
      <c r="ED19" s="97" t="str">
        <f t="shared" ref="ED19:GO19" si="14">IF(ED15=0,"M"&amp;ED14,"Y"&amp;ED15&amp;"M"&amp;ED16)</f>
        <v>Y12M8</v>
      </c>
      <c r="EE19" s="97" t="str">
        <f t="shared" si="14"/>
        <v>Y12M9</v>
      </c>
      <c r="EF19" s="97" t="str">
        <f t="shared" si="14"/>
        <v>Y12M10</v>
      </c>
      <c r="EG19" s="97" t="str">
        <f t="shared" si="14"/>
        <v>Y12M11</v>
      </c>
      <c r="EH19" s="97" t="str">
        <f t="shared" si="14"/>
        <v>Y12M12</v>
      </c>
      <c r="EI19" s="97" t="str">
        <f t="shared" si="14"/>
        <v>Y13M1</v>
      </c>
      <c r="EJ19" s="97" t="str">
        <f t="shared" si="14"/>
        <v>Y13M2</v>
      </c>
      <c r="EK19" s="97" t="str">
        <f t="shared" si="14"/>
        <v>Y13M3</v>
      </c>
      <c r="EL19" s="97" t="str">
        <f t="shared" si="14"/>
        <v>Y13M4</v>
      </c>
      <c r="EM19" s="97" t="str">
        <f t="shared" si="14"/>
        <v>Y13M5</v>
      </c>
      <c r="EN19" s="97" t="str">
        <f t="shared" si="14"/>
        <v>Y13M6</v>
      </c>
      <c r="EO19" s="97" t="str">
        <f t="shared" si="14"/>
        <v>Y13M7</v>
      </c>
      <c r="EP19" s="97" t="str">
        <f t="shared" si="14"/>
        <v>Y13M8</v>
      </c>
      <c r="EQ19" s="97" t="str">
        <f t="shared" si="14"/>
        <v>Y13M9</v>
      </c>
      <c r="ER19" s="97" t="str">
        <f t="shared" si="14"/>
        <v>Y13M10</v>
      </c>
      <c r="ES19" s="97" t="str">
        <f t="shared" si="14"/>
        <v>Y13M11</v>
      </c>
      <c r="ET19" s="97" t="str">
        <f t="shared" si="14"/>
        <v>Y13M12</v>
      </c>
      <c r="EU19" s="97" t="str">
        <f t="shared" si="14"/>
        <v>Y14M1</v>
      </c>
      <c r="EV19" s="97" t="str">
        <f t="shared" si="14"/>
        <v>Y14M2</v>
      </c>
      <c r="EW19" s="97" t="str">
        <f t="shared" si="14"/>
        <v>Y14M3</v>
      </c>
      <c r="EX19" s="97" t="str">
        <f t="shared" si="14"/>
        <v>Y14M4</v>
      </c>
      <c r="EY19" s="97" t="str">
        <f t="shared" si="14"/>
        <v>Y14M5</v>
      </c>
      <c r="EZ19" s="97" t="str">
        <f t="shared" si="14"/>
        <v>Y14M6</v>
      </c>
      <c r="FA19" s="97" t="str">
        <f t="shared" si="14"/>
        <v>Y14M7</v>
      </c>
      <c r="FB19" s="97" t="str">
        <f t="shared" si="14"/>
        <v>Y14M8</v>
      </c>
      <c r="FC19" s="97" t="str">
        <f t="shared" si="14"/>
        <v>Y14M9</v>
      </c>
      <c r="FD19" s="97" t="str">
        <f t="shared" si="14"/>
        <v>Y14M10</v>
      </c>
      <c r="FE19" s="97" t="str">
        <f t="shared" si="14"/>
        <v>Y14M11</v>
      </c>
      <c r="FF19" s="97" t="str">
        <f t="shared" si="14"/>
        <v>Y14M12</v>
      </c>
      <c r="FG19" s="97" t="str">
        <f t="shared" si="14"/>
        <v>Y15M1</v>
      </c>
      <c r="FH19" s="97" t="str">
        <f t="shared" si="14"/>
        <v>Y15M2</v>
      </c>
      <c r="FI19" s="97" t="str">
        <f t="shared" si="14"/>
        <v>Y15M3</v>
      </c>
      <c r="FJ19" s="97" t="str">
        <f t="shared" si="14"/>
        <v>Y15M4</v>
      </c>
      <c r="FK19" s="97" t="str">
        <f t="shared" si="14"/>
        <v>Y15M5</v>
      </c>
      <c r="FL19" s="97" t="str">
        <f t="shared" si="14"/>
        <v>Y15M6</v>
      </c>
      <c r="FM19" s="97" t="str">
        <f t="shared" si="14"/>
        <v>Y15M7</v>
      </c>
      <c r="FN19" s="97" t="str">
        <f t="shared" si="14"/>
        <v>Y15M8</v>
      </c>
      <c r="FO19" s="97" t="str">
        <f t="shared" si="14"/>
        <v>Y15M9</v>
      </c>
      <c r="FP19" s="97" t="str">
        <f t="shared" si="14"/>
        <v>Y15M10</v>
      </c>
      <c r="FQ19" s="97" t="str">
        <f t="shared" si="14"/>
        <v>Y15M11</v>
      </c>
      <c r="FR19" s="97" t="str">
        <f t="shared" si="14"/>
        <v>Y15M12</v>
      </c>
      <c r="FS19" s="97" t="str">
        <f t="shared" si="14"/>
        <v>Y16M1</v>
      </c>
      <c r="FT19" s="97" t="str">
        <f t="shared" si="14"/>
        <v>Y16M2</v>
      </c>
      <c r="FU19" s="97" t="str">
        <f t="shared" si="14"/>
        <v>Y16M3</v>
      </c>
      <c r="FV19" s="97" t="str">
        <f t="shared" si="14"/>
        <v>Y16M4</v>
      </c>
      <c r="FW19" s="97" t="str">
        <f t="shared" si="14"/>
        <v>Y16M5</v>
      </c>
      <c r="FX19" s="97" t="str">
        <f t="shared" si="14"/>
        <v>Y16M6</v>
      </c>
      <c r="FY19" s="97" t="str">
        <f t="shared" si="14"/>
        <v>Y16M7</v>
      </c>
      <c r="FZ19" s="97" t="str">
        <f t="shared" si="14"/>
        <v>Y16M8</v>
      </c>
      <c r="GA19" s="97" t="str">
        <f t="shared" si="14"/>
        <v>Y16M9</v>
      </c>
      <c r="GB19" s="97" t="str">
        <f t="shared" si="14"/>
        <v>M175</v>
      </c>
      <c r="GC19" s="97" t="str">
        <f t="shared" si="14"/>
        <v>M176</v>
      </c>
      <c r="GD19" s="97" t="str">
        <f t="shared" si="14"/>
        <v>M177</v>
      </c>
      <c r="GE19" s="97" t="str">
        <f t="shared" si="14"/>
        <v>M178</v>
      </c>
      <c r="GF19" s="97" t="str">
        <f t="shared" si="14"/>
        <v>M179</v>
      </c>
      <c r="GG19" s="97" t="str">
        <f t="shared" si="14"/>
        <v>M180</v>
      </c>
      <c r="GH19" s="97" t="str">
        <f t="shared" si="14"/>
        <v>M181</v>
      </c>
      <c r="GI19" s="97" t="str">
        <f t="shared" si="14"/>
        <v>M182</v>
      </c>
      <c r="GJ19" s="97" t="str">
        <f t="shared" si="14"/>
        <v>M183</v>
      </c>
      <c r="GK19" s="97" t="str">
        <f t="shared" si="14"/>
        <v>M184</v>
      </c>
      <c r="GL19" s="97" t="str">
        <f t="shared" si="14"/>
        <v>M185</v>
      </c>
      <c r="GM19" s="97" t="str">
        <f t="shared" si="14"/>
        <v>M186</v>
      </c>
      <c r="GN19" s="97" t="str">
        <f t="shared" si="14"/>
        <v>M187</v>
      </c>
      <c r="GO19" s="97" t="str">
        <f t="shared" si="14"/>
        <v>M188</v>
      </c>
      <c r="GQ19" s="88"/>
      <c r="GR19" s="94"/>
      <c r="GS19" s="94"/>
      <c r="GT19" s="102"/>
    </row>
    <row r="20" spans="1:203">
      <c r="A20" s="101" t="s">
        <v>163</v>
      </c>
      <c r="F20" s="100" t="str">
        <f t="shared" ref="F20:BQ20" si="15">IF(F14&lt;0,"Pre","Q"&amp;INT((F14-1)/3)+1)</f>
        <v>Q4</v>
      </c>
      <c r="G20" s="97" t="str">
        <f t="shared" si="15"/>
        <v>Q5</v>
      </c>
      <c r="H20" s="97" t="str">
        <f t="shared" si="15"/>
        <v>Q5</v>
      </c>
      <c r="I20" s="97" t="str">
        <f t="shared" si="15"/>
        <v>Q5</v>
      </c>
      <c r="J20" s="97" t="str">
        <f t="shared" si="15"/>
        <v>Q6</v>
      </c>
      <c r="K20" s="97" t="str">
        <f t="shared" si="15"/>
        <v>Q6</v>
      </c>
      <c r="L20" s="97" t="str">
        <f t="shared" si="15"/>
        <v>Q6</v>
      </c>
      <c r="M20" s="97" t="str">
        <f t="shared" si="15"/>
        <v>Q7</v>
      </c>
      <c r="N20" s="97" t="str">
        <f t="shared" si="15"/>
        <v>Q7</v>
      </c>
      <c r="O20" s="97" t="str">
        <f t="shared" si="15"/>
        <v>Q7</v>
      </c>
      <c r="P20" s="97" t="str">
        <f t="shared" si="15"/>
        <v>Q8</v>
      </c>
      <c r="Q20" s="97" t="str">
        <f t="shared" si="15"/>
        <v>Q8</v>
      </c>
      <c r="R20" s="97" t="str">
        <f t="shared" si="15"/>
        <v>Q8</v>
      </c>
      <c r="S20" s="97" t="str">
        <f t="shared" si="15"/>
        <v>Q9</v>
      </c>
      <c r="T20" s="97" t="str">
        <f t="shared" si="15"/>
        <v>Q9</v>
      </c>
      <c r="U20" s="97" t="str">
        <f t="shared" si="15"/>
        <v>Q9</v>
      </c>
      <c r="V20" s="97" t="str">
        <f t="shared" si="15"/>
        <v>Q10</v>
      </c>
      <c r="W20" s="97" t="str">
        <f t="shared" si="15"/>
        <v>Q10</v>
      </c>
      <c r="X20" s="97" t="str">
        <f t="shared" si="15"/>
        <v>Q10</v>
      </c>
      <c r="Y20" s="97" t="str">
        <f t="shared" si="15"/>
        <v>Q11</v>
      </c>
      <c r="Z20" s="97" t="str">
        <f t="shared" si="15"/>
        <v>Q11</v>
      </c>
      <c r="AA20" s="97" t="str">
        <f t="shared" si="15"/>
        <v>Q11</v>
      </c>
      <c r="AB20" s="97" t="str">
        <f t="shared" si="15"/>
        <v>Q12</v>
      </c>
      <c r="AC20" s="97" t="str">
        <f t="shared" si="15"/>
        <v>Q12</v>
      </c>
      <c r="AD20" s="97" t="str">
        <f t="shared" si="15"/>
        <v>Q12</v>
      </c>
      <c r="AE20" s="97" t="str">
        <f t="shared" si="15"/>
        <v>Q13</v>
      </c>
      <c r="AF20" s="97" t="str">
        <f t="shared" si="15"/>
        <v>Q13</v>
      </c>
      <c r="AG20" s="97" t="str">
        <f t="shared" si="15"/>
        <v>Q13</v>
      </c>
      <c r="AH20" s="97" t="str">
        <f t="shared" si="15"/>
        <v>Q14</v>
      </c>
      <c r="AI20" s="97" t="str">
        <f t="shared" si="15"/>
        <v>Q14</v>
      </c>
      <c r="AJ20" s="97" t="str">
        <f t="shared" si="15"/>
        <v>Q14</v>
      </c>
      <c r="AK20" s="97" t="str">
        <f t="shared" si="15"/>
        <v>Q15</v>
      </c>
      <c r="AL20" s="97" t="str">
        <f t="shared" si="15"/>
        <v>Q15</v>
      </c>
      <c r="AM20" s="97" t="str">
        <f t="shared" si="15"/>
        <v>Q15</v>
      </c>
      <c r="AN20" s="97" t="str">
        <f t="shared" si="15"/>
        <v>Q16</v>
      </c>
      <c r="AO20" s="97" t="str">
        <f t="shared" si="15"/>
        <v>Q16</v>
      </c>
      <c r="AP20" s="97" t="str">
        <f t="shared" si="15"/>
        <v>Q16</v>
      </c>
      <c r="AQ20" s="97" t="str">
        <f t="shared" si="15"/>
        <v>Q17</v>
      </c>
      <c r="AR20" s="97" t="str">
        <f t="shared" si="15"/>
        <v>Q17</v>
      </c>
      <c r="AS20" s="97" t="str">
        <f t="shared" si="15"/>
        <v>Q17</v>
      </c>
      <c r="AT20" s="97" t="str">
        <f t="shared" si="15"/>
        <v>Q18</v>
      </c>
      <c r="AU20" s="97" t="str">
        <f t="shared" si="15"/>
        <v>Q18</v>
      </c>
      <c r="AV20" s="97" t="str">
        <f t="shared" si="15"/>
        <v>Q18</v>
      </c>
      <c r="AW20" s="97" t="str">
        <f t="shared" si="15"/>
        <v>Q19</v>
      </c>
      <c r="AX20" s="97" t="str">
        <f t="shared" si="15"/>
        <v>Q19</v>
      </c>
      <c r="AY20" s="97" t="str">
        <f t="shared" si="15"/>
        <v>Q19</v>
      </c>
      <c r="AZ20" s="97" t="str">
        <f t="shared" si="15"/>
        <v>Q20</v>
      </c>
      <c r="BA20" s="97" t="str">
        <f t="shared" si="15"/>
        <v>Q20</v>
      </c>
      <c r="BB20" s="97" t="str">
        <f t="shared" si="15"/>
        <v>Q20</v>
      </c>
      <c r="BC20" s="97" t="str">
        <f t="shared" si="15"/>
        <v>Q21</v>
      </c>
      <c r="BD20" s="97" t="str">
        <f t="shared" si="15"/>
        <v>Q21</v>
      </c>
      <c r="BE20" s="97" t="str">
        <f t="shared" si="15"/>
        <v>Q21</v>
      </c>
      <c r="BF20" s="97" t="str">
        <f t="shared" si="15"/>
        <v>Q22</v>
      </c>
      <c r="BG20" s="97" t="str">
        <f t="shared" si="15"/>
        <v>Q22</v>
      </c>
      <c r="BH20" s="97" t="str">
        <f t="shared" si="15"/>
        <v>Q22</v>
      </c>
      <c r="BI20" s="97" t="str">
        <f t="shared" si="15"/>
        <v>Q23</v>
      </c>
      <c r="BJ20" s="97" t="str">
        <f t="shared" si="15"/>
        <v>Q23</v>
      </c>
      <c r="BK20" s="97" t="str">
        <f t="shared" si="15"/>
        <v>Q23</v>
      </c>
      <c r="BL20" s="97" t="str">
        <f t="shared" si="15"/>
        <v>Q24</v>
      </c>
      <c r="BM20" s="97" t="str">
        <f t="shared" si="15"/>
        <v>Q24</v>
      </c>
      <c r="BN20" s="97" t="str">
        <f t="shared" si="15"/>
        <v>Q24</v>
      </c>
      <c r="BO20" s="97" t="str">
        <f t="shared" si="15"/>
        <v>Q25</v>
      </c>
      <c r="BP20" s="97" t="str">
        <f t="shared" si="15"/>
        <v>Q25</v>
      </c>
      <c r="BQ20" s="97" t="str">
        <f t="shared" si="15"/>
        <v>Q25</v>
      </c>
      <c r="BR20" s="97" t="str">
        <f t="shared" ref="BR20:EC20" si="16">IF(BR14&lt;0,"Pre","Q"&amp;INT((BR14-1)/3)+1)</f>
        <v>Q26</v>
      </c>
      <c r="BS20" s="97" t="str">
        <f t="shared" si="16"/>
        <v>Q26</v>
      </c>
      <c r="BT20" s="97" t="str">
        <f t="shared" si="16"/>
        <v>Q26</v>
      </c>
      <c r="BU20" s="97" t="str">
        <f t="shared" si="16"/>
        <v>Q27</v>
      </c>
      <c r="BV20" s="97" t="str">
        <f t="shared" si="16"/>
        <v>Q27</v>
      </c>
      <c r="BW20" s="97" t="str">
        <f t="shared" si="16"/>
        <v>Q27</v>
      </c>
      <c r="BX20" s="97" t="str">
        <f t="shared" si="16"/>
        <v>Q28</v>
      </c>
      <c r="BY20" s="97" t="str">
        <f t="shared" si="16"/>
        <v>Q28</v>
      </c>
      <c r="BZ20" s="97" t="str">
        <f t="shared" si="16"/>
        <v>Q28</v>
      </c>
      <c r="CA20" s="97" t="str">
        <f t="shared" si="16"/>
        <v>Q29</v>
      </c>
      <c r="CB20" s="97" t="str">
        <f t="shared" si="16"/>
        <v>Q29</v>
      </c>
      <c r="CC20" s="97" t="str">
        <f t="shared" si="16"/>
        <v>Q29</v>
      </c>
      <c r="CD20" s="97" t="str">
        <f t="shared" si="16"/>
        <v>Q30</v>
      </c>
      <c r="CE20" s="97" t="str">
        <f t="shared" si="16"/>
        <v>Q30</v>
      </c>
      <c r="CF20" s="97" t="str">
        <f t="shared" si="16"/>
        <v>Q30</v>
      </c>
      <c r="CG20" s="97" t="str">
        <f t="shared" si="16"/>
        <v>Q31</v>
      </c>
      <c r="CH20" s="97" t="str">
        <f t="shared" si="16"/>
        <v>Q31</v>
      </c>
      <c r="CI20" s="97" t="str">
        <f t="shared" si="16"/>
        <v>Q31</v>
      </c>
      <c r="CJ20" s="97" t="str">
        <f t="shared" si="16"/>
        <v>Q32</v>
      </c>
      <c r="CK20" s="97" t="str">
        <f t="shared" si="16"/>
        <v>Q32</v>
      </c>
      <c r="CL20" s="97" t="str">
        <f t="shared" si="16"/>
        <v>Q32</v>
      </c>
      <c r="CM20" s="97" t="str">
        <f t="shared" si="16"/>
        <v>Q33</v>
      </c>
      <c r="CN20" s="97" t="str">
        <f t="shared" si="16"/>
        <v>Q33</v>
      </c>
      <c r="CO20" s="97" t="str">
        <f t="shared" si="16"/>
        <v>Q33</v>
      </c>
      <c r="CP20" s="97" t="str">
        <f t="shared" si="16"/>
        <v>Q34</v>
      </c>
      <c r="CQ20" s="97" t="str">
        <f t="shared" si="16"/>
        <v>Q34</v>
      </c>
      <c r="CR20" s="97" t="str">
        <f t="shared" si="16"/>
        <v>Q34</v>
      </c>
      <c r="CS20" s="97" t="str">
        <f t="shared" si="16"/>
        <v>Q35</v>
      </c>
      <c r="CT20" s="97" t="str">
        <f t="shared" si="16"/>
        <v>Q35</v>
      </c>
      <c r="CU20" s="97" t="str">
        <f t="shared" si="16"/>
        <v>Q35</v>
      </c>
      <c r="CV20" s="97" t="str">
        <f t="shared" si="16"/>
        <v>Q36</v>
      </c>
      <c r="CW20" s="97" t="str">
        <f t="shared" si="16"/>
        <v>Q36</v>
      </c>
      <c r="CX20" s="97" t="str">
        <f t="shared" si="16"/>
        <v>Q36</v>
      </c>
      <c r="CY20" s="97" t="str">
        <f t="shared" si="16"/>
        <v>Q37</v>
      </c>
      <c r="CZ20" s="97" t="str">
        <f t="shared" si="16"/>
        <v>Q37</v>
      </c>
      <c r="DA20" s="97" t="str">
        <f t="shared" si="16"/>
        <v>Q37</v>
      </c>
      <c r="DB20" s="97" t="str">
        <f t="shared" si="16"/>
        <v>Q38</v>
      </c>
      <c r="DC20" s="97" t="str">
        <f t="shared" si="16"/>
        <v>Q38</v>
      </c>
      <c r="DD20" s="97" t="str">
        <f t="shared" si="16"/>
        <v>Q38</v>
      </c>
      <c r="DE20" s="97" t="str">
        <f t="shared" si="16"/>
        <v>Q39</v>
      </c>
      <c r="DF20" s="97" t="str">
        <f t="shared" si="16"/>
        <v>Q39</v>
      </c>
      <c r="DG20" s="97" t="str">
        <f t="shared" si="16"/>
        <v>Q39</v>
      </c>
      <c r="DH20" s="97" t="str">
        <f t="shared" si="16"/>
        <v>Q40</v>
      </c>
      <c r="DI20" s="97" t="str">
        <f t="shared" si="16"/>
        <v>Q40</v>
      </c>
      <c r="DJ20" s="97" t="str">
        <f t="shared" si="16"/>
        <v>Q40</v>
      </c>
      <c r="DK20" s="97" t="str">
        <f t="shared" si="16"/>
        <v>Q41</v>
      </c>
      <c r="DL20" s="97" t="str">
        <f t="shared" si="16"/>
        <v>Q41</v>
      </c>
      <c r="DM20" s="97" t="str">
        <f t="shared" si="16"/>
        <v>Q41</v>
      </c>
      <c r="DN20" s="97" t="str">
        <f t="shared" si="16"/>
        <v>Q42</v>
      </c>
      <c r="DO20" s="97" t="str">
        <f t="shared" si="16"/>
        <v>Q42</v>
      </c>
      <c r="DP20" s="97" t="str">
        <f t="shared" si="16"/>
        <v>Q42</v>
      </c>
      <c r="DQ20" s="97" t="str">
        <f t="shared" si="16"/>
        <v>Q43</v>
      </c>
      <c r="DR20" s="97" t="str">
        <f t="shared" si="16"/>
        <v>Q43</v>
      </c>
      <c r="DS20" s="97" t="str">
        <f t="shared" si="16"/>
        <v>Q43</v>
      </c>
      <c r="DT20" s="97" t="str">
        <f t="shared" si="16"/>
        <v>Q44</v>
      </c>
      <c r="DU20" s="97" t="str">
        <f t="shared" si="16"/>
        <v>Q44</v>
      </c>
      <c r="DV20" s="97" t="str">
        <f t="shared" si="16"/>
        <v>Q44</v>
      </c>
      <c r="DW20" s="97" t="str">
        <f t="shared" si="16"/>
        <v>Q45</v>
      </c>
      <c r="DX20" s="97" t="str">
        <f t="shared" si="16"/>
        <v>Q45</v>
      </c>
      <c r="DY20" s="97" t="str">
        <f t="shared" si="16"/>
        <v>Q45</v>
      </c>
      <c r="DZ20" s="97" t="str">
        <f t="shared" si="16"/>
        <v>Q46</v>
      </c>
      <c r="EA20" s="97" t="str">
        <f t="shared" si="16"/>
        <v>Q46</v>
      </c>
      <c r="EB20" s="97" t="str">
        <f t="shared" si="16"/>
        <v>Q46</v>
      </c>
      <c r="EC20" s="97" t="str">
        <f t="shared" si="16"/>
        <v>Q47</v>
      </c>
      <c r="ED20" s="97" t="str">
        <f t="shared" ref="ED20:GO20" si="17">IF(ED14&lt;0,"Pre","Q"&amp;INT((ED14-1)/3)+1)</f>
        <v>Q47</v>
      </c>
      <c r="EE20" s="97" t="str">
        <f t="shared" si="17"/>
        <v>Q47</v>
      </c>
      <c r="EF20" s="97" t="str">
        <f t="shared" si="17"/>
        <v>Q48</v>
      </c>
      <c r="EG20" s="97" t="str">
        <f t="shared" si="17"/>
        <v>Q48</v>
      </c>
      <c r="EH20" s="97" t="str">
        <f t="shared" si="17"/>
        <v>Q48</v>
      </c>
      <c r="EI20" s="97" t="str">
        <f t="shared" si="17"/>
        <v>Q49</v>
      </c>
      <c r="EJ20" s="97" t="str">
        <f t="shared" si="17"/>
        <v>Q49</v>
      </c>
      <c r="EK20" s="97" t="str">
        <f t="shared" si="17"/>
        <v>Q49</v>
      </c>
      <c r="EL20" s="97" t="str">
        <f t="shared" si="17"/>
        <v>Q50</v>
      </c>
      <c r="EM20" s="97" t="str">
        <f t="shared" si="17"/>
        <v>Q50</v>
      </c>
      <c r="EN20" s="97" t="str">
        <f t="shared" si="17"/>
        <v>Q50</v>
      </c>
      <c r="EO20" s="97" t="str">
        <f t="shared" si="17"/>
        <v>Q51</v>
      </c>
      <c r="EP20" s="97" t="str">
        <f t="shared" si="17"/>
        <v>Q51</v>
      </c>
      <c r="EQ20" s="97" t="str">
        <f t="shared" si="17"/>
        <v>Q51</v>
      </c>
      <c r="ER20" s="97" t="str">
        <f t="shared" si="17"/>
        <v>Q52</v>
      </c>
      <c r="ES20" s="97" t="str">
        <f t="shared" si="17"/>
        <v>Q52</v>
      </c>
      <c r="ET20" s="97" t="str">
        <f t="shared" si="17"/>
        <v>Q52</v>
      </c>
      <c r="EU20" s="97" t="str">
        <f t="shared" si="17"/>
        <v>Q53</v>
      </c>
      <c r="EV20" s="97" t="str">
        <f t="shared" si="17"/>
        <v>Q53</v>
      </c>
      <c r="EW20" s="97" t="str">
        <f t="shared" si="17"/>
        <v>Q53</v>
      </c>
      <c r="EX20" s="97" t="str">
        <f t="shared" si="17"/>
        <v>Q54</v>
      </c>
      <c r="EY20" s="97" t="str">
        <f t="shared" si="17"/>
        <v>Q54</v>
      </c>
      <c r="EZ20" s="97" t="str">
        <f t="shared" si="17"/>
        <v>Q54</v>
      </c>
      <c r="FA20" s="97" t="str">
        <f t="shared" si="17"/>
        <v>Q55</v>
      </c>
      <c r="FB20" s="97" t="str">
        <f t="shared" si="17"/>
        <v>Q55</v>
      </c>
      <c r="FC20" s="97" t="str">
        <f t="shared" si="17"/>
        <v>Q55</v>
      </c>
      <c r="FD20" s="97" t="str">
        <f t="shared" si="17"/>
        <v>Q56</v>
      </c>
      <c r="FE20" s="97" t="str">
        <f t="shared" si="17"/>
        <v>Q56</v>
      </c>
      <c r="FF20" s="97" t="str">
        <f t="shared" si="17"/>
        <v>Q56</v>
      </c>
      <c r="FG20" s="97" t="str">
        <f t="shared" si="17"/>
        <v>Q57</v>
      </c>
      <c r="FH20" s="97" t="str">
        <f t="shared" si="17"/>
        <v>Q57</v>
      </c>
      <c r="FI20" s="97" t="str">
        <f t="shared" si="17"/>
        <v>Q57</v>
      </c>
      <c r="FJ20" s="97" t="str">
        <f t="shared" si="17"/>
        <v>Q58</v>
      </c>
      <c r="FK20" s="97" t="str">
        <f t="shared" si="17"/>
        <v>Q58</v>
      </c>
      <c r="FL20" s="97" t="str">
        <f t="shared" si="17"/>
        <v>Q58</v>
      </c>
      <c r="FM20" s="97" t="str">
        <f t="shared" si="17"/>
        <v>Q59</v>
      </c>
      <c r="FN20" s="97" t="str">
        <f t="shared" si="17"/>
        <v>Q59</v>
      </c>
      <c r="FO20" s="97" t="str">
        <f t="shared" si="17"/>
        <v>Q59</v>
      </c>
      <c r="FP20" s="97" t="str">
        <f t="shared" si="17"/>
        <v>Q60</v>
      </c>
      <c r="FQ20" s="97" t="str">
        <f t="shared" si="17"/>
        <v>Q60</v>
      </c>
      <c r="FR20" s="97" t="str">
        <f t="shared" si="17"/>
        <v>Q60</v>
      </c>
      <c r="FS20" s="97" t="str">
        <f t="shared" si="17"/>
        <v>Q61</v>
      </c>
      <c r="FT20" s="97" t="str">
        <f t="shared" si="17"/>
        <v>Q61</v>
      </c>
      <c r="FU20" s="97" t="str">
        <f t="shared" si="17"/>
        <v>Q61</v>
      </c>
      <c r="FV20" s="97" t="str">
        <f t="shared" si="17"/>
        <v>Q62</v>
      </c>
      <c r="FW20" s="97" t="str">
        <f t="shared" si="17"/>
        <v>Q62</v>
      </c>
      <c r="FX20" s="97" t="str">
        <f t="shared" si="17"/>
        <v>Q62</v>
      </c>
      <c r="FY20" s="97" t="str">
        <f t="shared" si="17"/>
        <v>Q63</v>
      </c>
      <c r="FZ20" s="97" t="str">
        <f t="shared" si="17"/>
        <v>Q63</v>
      </c>
      <c r="GA20" s="97" t="str">
        <f t="shared" si="17"/>
        <v>Q63</v>
      </c>
      <c r="GB20" s="97" t="str">
        <f t="shared" si="17"/>
        <v>Q59</v>
      </c>
      <c r="GC20" s="97" t="str">
        <f t="shared" si="17"/>
        <v>Q59</v>
      </c>
      <c r="GD20" s="97" t="str">
        <f t="shared" si="17"/>
        <v>Q59</v>
      </c>
      <c r="GE20" s="97" t="str">
        <f t="shared" si="17"/>
        <v>Q60</v>
      </c>
      <c r="GF20" s="97" t="str">
        <f t="shared" si="17"/>
        <v>Q60</v>
      </c>
      <c r="GG20" s="97" t="str">
        <f t="shared" si="17"/>
        <v>Q60</v>
      </c>
      <c r="GH20" s="97" t="str">
        <f t="shared" si="17"/>
        <v>Q61</v>
      </c>
      <c r="GI20" s="97" t="str">
        <f t="shared" si="17"/>
        <v>Q61</v>
      </c>
      <c r="GJ20" s="97" t="str">
        <f t="shared" si="17"/>
        <v>Q61</v>
      </c>
      <c r="GK20" s="97" t="str">
        <f t="shared" si="17"/>
        <v>Q62</v>
      </c>
      <c r="GL20" s="97" t="str">
        <f t="shared" si="17"/>
        <v>Q62</v>
      </c>
      <c r="GM20" s="97" t="str">
        <f t="shared" si="17"/>
        <v>Q62</v>
      </c>
      <c r="GN20" s="97" t="str">
        <f t="shared" si="17"/>
        <v>Q63</v>
      </c>
      <c r="GO20" s="97" t="str">
        <f t="shared" si="17"/>
        <v>Q63</v>
      </c>
      <c r="GQ20" s="88"/>
      <c r="GR20" s="94"/>
      <c r="GS20" s="94"/>
      <c r="GT20" s="102"/>
    </row>
    <row r="21" spans="1:203">
      <c r="A21" s="101" t="s">
        <v>164</v>
      </c>
      <c r="F21" s="100">
        <v>1</v>
      </c>
      <c r="G21" s="97">
        <v>1</v>
      </c>
      <c r="H21" s="97">
        <v>1</v>
      </c>
      <c r="I21" s="97">
        <v>1</v>
      </c>
      <c r="J21" s="97">
        <v>1</v>
      </c>
      <c r="K21" s="97">
        <v>1</v>
      </c>
      <c r="L21" s="97">
        <v>1</v>
      </c>
      <c r="M21" s="97">
        <v>1</v>
      </c>
      <c r="N21" s="97">
        <v>1</v>
      </c>
      <c r="O21" s="97">
        <v>1</v>
      </c>
      <c r="P21" s="97">
        <v>1</v>
      </c>
      <c r="Q21" s="97">
        <v>1</v>
      </c>
      <c r="R21" s="97">
        <v>1</v>
      </c>
      <c r="S21" s="97">
        <v>1</v>
      </c>
      <c r="T21" s="97">
        <v>1</v>
      </c>
      <c r="U21" s="97">
        <v>1</v>
      </c>
      <c r="V21" s="97">
        <v>1</v>
      </c>
      <c r="W21" s="97">
        <v>1</v>
      </c>
      <c r="X21" s="97">
        <v>1</v>
      </c>
      <c r="Y21" s="97">
        <v>1</v>
      </c>
      <c r="Z21" s="97">
        <v>1</v>
      </c>
      <c r="AA21" s="97">
        <v>1</v>
      </c>
      <c r="AB21" s="97">
        <v>1</v>
      </c>
      <c r="AC21" s="97">
        <v>1</v>
      </c>
      <c r="AD21" s="97">
        <v>1</v>
      </c>
      <c r="AE21" s="97">
        <v>1</v>
      </c>
      <c r="AF21" s="97">
        <v>1</v>
      </c>
      <c r="AG21" s="97">
        <v>1</v>
      </c>
      <c r="AH21" s="97">
        <v>1</v>
      </c>
      <c r="AI21" s="97">
        <v>1</v>
      </c>
      <c r="AJ21" s="97">
        <v>1</v>
      </c>
      <c r="AK21" s="97">
        <v>1</v>
      </c>
      <c r="AL21" s="97">
        <v>1</v>
      </c>
      <c r="AM21" s="97">
        <v>1</v>
      </c>
      <c r="AN21" s="97">
        <v>1</v>
      </c>
      <c r="AO21" s="97">
        <v>1</v>
      </c>
      <c r="AP21" s="97">
        <v>1</v>
      </c>
      <c r="AQ21" s="97">
        <v>1</v>
      </c>
      <c r="AR21" s="97">
        <v>1</v>
      </c>
      <c r="AS21" s="97">
        <v>1</v>
      </c>
      <c r="AT21" s="97">
        <v>1</v>
      </c>
      <c r="AU21" s="97">
        <v>1</v>
      </c>
      <c r="AV21" s="97">
        <v>1</v>
      </c>
      <c r="AW21" s="97">
        <v>1</v>
      </c>
      <c r="AX21" s="97">
        <v>1</v>
      </c>
      <c r="AY21" s="97">
        <v>1</v>
      </c>
      <c r="AZ21" s="97">
        <v>1</v>
      </c>
      <c r="BA21" s="97">
        <v>1</v>
      </c>
      <c r="BB21" s="97">
        <v>1</v>
      </c>
      <c r="BC21" s="97">
        <v>1</v>
      </c>
      <c r="BD21" s="97">
        <v>1</v>
      </c>
      <c r="BE21" s="97">
        <v>1</v>
      </c>
      <c r="BF21" s="97">
        <v>1</v>
      </c>
      <c r="BG21" s="97">
        <v>1</v>
      </c>
      <c r="BH21" s="97">
        <v>1</v>
      </c>
      <c r="BI21" s="97">
        <v>1</v>
      </c>
      <c r="BJ21" s="97">
        <v>1</v>
      </c>
      <c r="BK21" s="97">
        <v>1</v>
      </c>
      <c r="BL21" s="97">
        <v>1</v>
      </c>
      <c r="BM21" s="97">
        <v>1</v>
      </c>
      <c r="BN21" s="97">
        <v>1</v>
      </c>
      <c r="BO21" s="97">
        <v>1</v>
      </c>
      <c r="BP21" s="97">
        <v>1</v>
      </c>
      <c r="BQ21" s="97">
        <v>1</v>
      </c>
      <c r="BR21" s="97">
        <v>1</v>
      </c>
      <c r="BS21" s="97">
        <v>1</v>
      </c>
      <c r="BT21" s="97">
        <v>1</v>
      </c>
      <c r="BU21" s="97">
        <v>1</v>
      </c>
      <c r="BV21" s="97">
        <v>1</v>
      </c>
      <c r="BW21" s="97">
        <v>1</v>
      </c>
      <c r="BX21" s="97">
        <v>1</v>
      </c>
      <c r="BY21" s="97">
        <v>1</v>
      </c>
      <c r="BZ21" s="97">
        <v>1</v>
      </c>
      <c r="CA21" s="97">
        <v>1</v>
      </c>
      <c r="CB21" s="97">
        <v>1</v>
      </c>
      <c r="CC21" s="97">
        <v>1</v>
      </c>
      <c r="CD21" s="97">
        <v>1</v>
      </c>
      <c r="CE21" s="97">
        <v>1</v>
      </c>
      <c r="CF21" s="97">
        <v>1</v>
      </c>
      <c r="CG21" s="97">
        <v>1</v>
      </c>
      <c r="CH21" s="97">
        <v>1</v>
      </c>
      <c r="CI21" s="97">
        <v>1</v>
      </c>
      <c r="CJ21" s="97">
        <v>1</v>
      </c>
      <c r="CK21" s="97">
        <v>1</v>
      </c>
      <c r="CL21" s="97">
        <v>1</v>
      </c>
      <c r="CM21" s="97">
        <v>1</v>
      </c>
      <c r="CN21" s="97">
        <v>1</v>
      </c>
      <c r="CO21" s="97">
        <v>1</v>
      </c>
      <c r="CP21" s="97">
        <v>1</v>
      </c>
      <c r="CQ21" s="97">
        <v>1</v>
      </c>
      <c r="CR21" s="97">
        <v>1</v>
      </c>
      <c r="CS21" s="97">
        <v>1</v>
      </c>
      <c r="CT21" s="97">
        <v>1</v>
      </c>
      <c r="CU21" s="97">
        <v>1</v>
      </c>
      <c r="CV21" s="97">
        <v>1</v>
      </c>
      <c r="CW21" s="97">
        <v>1</v>
      </c>
      <c r="CX21" s="97">
        <v>1</v>
      </c>
      <c r="CY21" s="97">
        <v>1</v>
      </c>
      <c r="CZ21" s="97">
        <v>1</v>
      </c>
      <c r="DA21" s="97">
        <v>1</v>
      </c>
      <c r="DB21" s="97">
        <v>1</v>
      </c>
      <c r="DC21" s="97">
        <v>1</v>
      </c>
      <c r="DD21" s="97">
        <v>1</v>
      </c>
      <c r="DE21" s="97">
        <v>1</v>
      </c>
      <c r="DF21" s="97">
        <v>1</v>
      </c>
      <c r="DG21" s="97">
        <v>1</v>
      </c>
      <c r="DH21" s="97">
        <v>1</v>
      </c>
      <c r="DI21" s="97">
        <v>0</v>
      </c>
      <c r="DJ21" s="97">
        <v>0</v>
      </c>
      <c r="DK21" s="97">
        <v>0</v>
      </c>
      <c r="DL21" s="97">
        <v>0</v>
      </c>
      <c r="DM21" s="97">
        <v>0</v>
      </c>
      <c r="DN21" s="97">
        <v>0</v>
      </c>
      <c r="DO21" s="97">
        <v>0</v>
      </c>
      <c r="DP21" s="97">
        <v>0</v>
      </c>
      <c r="DQ21" s="97">
        <v>0</v>
      </c>
      <c r="DR21" s="97">
        <v>0</v>
      </c>
      <c r="DS21" s="97">
        <v>0</v>
      </c>
      <c r="DT21" s="97">
        <v>0</v>
      </c>
      <c r="DU21" s="97">
        <v>0</v>
      </c>
      <c r="DV21" s="97">
        <v>0</v>
      </c>
      <c r="DW21" s="97">
        <v>0</v>
      </c>
      <c r="DX21" s="97">
        <v>0</v>
      </c>
      <c r="DY21" s="97">
        <v>0</v>
      </c>
      <c r="DZ21" s="97">
        <v>0</v>
      </c>
      <c r="EA21" s="97">
        <v>0</v>
      </c>
      <c r="EB21" s="97">
        <v>0</v>
      </c>
      <c r="EC21" s="97">
        <v>0</v>
      </c>
      <c r="ED21" s="97">
        <v>0</v>
      </c>
      <c r="EE21" s="97">
        <v>0</v>
      </c>
      <c r="EF21" s="97">
        <v>0</v>
      </c>
      <c r="EG21" s="97">
        <v>0</v>
      </c>
      <c r="EH21" s="97">
        <v>0</v>
      </c>
      <c r="EI21" s="97">
        <v>0</v>
      </c>
      <c r="EJ21" s="97">
        <v>0</v>
      </c>
      <c r="EK21" s="97">
        <v>0</v>
      </c>
      <c r="EL21" s="97">
        <v>0</v>
      </c>
      <c r="EM21" s="97">
        <v>0</v>
      </c>
      <c r="EN21" s="97">
        <v>0</v>
      </c>
      <c r="EO21" s="97">
        <v>0</v>
      </c>
      <c r="EP21" s="97">
        <v>0</v>
      </c>
      <c r="EQ21" s="97">
        <v>0</v>
      </c>
      <c r="ER21" s="97">
        <v>0</v>
      </c>
      <c r="ES21" s="97">
        <v>0</v>
      </c>
      <c r="ET21" s="97">
        <v>0</v>
      </c>
      <c r="EU21" s="97">
        <v>0</v>
      </c>
      <c r="EV21" s="97">
        <v>0</v>
      </c>
      <c r="EW21" s="97">
        <v>0</v>
      </c>
      <c r="EX21" s="97">
        <v>0</v>
      </c>
      <c r="EY21" s="97">
        <v>0</v>
      </c>
      <c r="EZ21" s="97">
        <v>0</v>
      </c>
      <c r="FA21" s="97">
        <v>0</v>
      </c>
      <c r="FB21" s="97">
        <v>0</v>
      </c>
      <c r="FC21" s="97">
        <v>0</v>
      </c>
      <c r="FD21" s="97">
        <v>0</v>
      </c>
      <c r="FE21" s="97">
        <v>0</v>
      </c>
      <c r="FF21" s="97">
        <v>0</v>
      </c>
      <c r="FG21" s="97">
        <v>0</v>
      </c>
      <c r="FH21" s="97">
        <v>0</v>
      </c>
      <c r="FI21" s="97">
        <v>0</v>
      </c>
      <c r="FJ21" s="97">
        <v>0</v>
      </c>
      <c r="FK21" s="97">
        <v>0</v>
      </c>
      <c r="FL21" s="97">
        <v>0</v>
      </c>
      <c r="FM21" s="97">
        <v>0</v>
      </c>
      <c r="FN21" s="97">
        <v>0</v>
      </c>
      <c r="FO21" s="97">
        <v>0</v>
      </c>
      <c r="FP21" s="97">
        <v>0</v>
      </c>
      <c r="FQ21" s="97">
        <v>0</v>
      </c>
      <c r="FR21" s="97">
        <v>0</v>
      </c>
      <c r="FS21" s="97">
        <v>0</v>
      </c>
      <c r="FT21" s="97">
        <v>0</v>
      </c>
      <c r="FU21" s="97">
        <v>0</v>
      </c>
      <c r="FV21" s="97">
        <v>0</v>
      </c>
      <c r="FW21" s="97">
        <v>0</v>
      </c>
      <c r="FX21" s="97">
        <v>0</v>
      </c>
      <c r="FY21" s="97">
        <v>0</v>
      </c>
      <c r="FZ21" s="97">
        <v>0</v>
      </c>
      <c r="GA21" s="97">
        <v>0</v>
      </c>
      <c r="GB21" s="97">
        <v>0</v>
      </c>
      <c r="GC21" s="97">
        <v>0</v>
      </c>
      <c r="GD21" s="97">
        <v>0</v>
      </c>
      <c r="GE21" s="97">
        <v>0</v>
      </c>
      <c r="GF21" s="97">
        <v>0</v>
      </c>
      <c r="GG21" s="97">
        <v>0</v>
      </c>
      <c r="GH21" s="97">
        <v>0</v>
      </c>
      <c r="GI21" s="97">
        <v>0</v>
      </c>
      <c r="GJ21" s="97">
        <v>0</v>
      </c>
      <c r="GK21" s="97">
        <v>0</v>
      </c>
      <c r="GL21" s="97">
        <v>0</v>
      </c>
      <c r="GM21" s="97">
        <v>0</v>
      </c>
      <c r="GN21" s="97">
        <v>0</v>
      </c>
      <c r="GO21" s="97">
        <v>0</v>
      </c>
      <c r="GQ21" s="88"/>
      <c r="GR21" s="94"/>
      <c r="GS21" s="94"/>
      <c r="GT21" s="102"/>
    </row>
    <row r="22" spans="1:203">
      <c r="A22" s="101" t="s">
        <v>165</v>
      </c>
      <c r="F22" s="100">
        <v>107</v>
      </c>
      <c r="G22" s="100">
        <f>IF(F22&gt;0,F22-1,0)</f>
        <v>106</v>
      </c>
      <c r="H22" s="97">
        <f t="shared" ref="H22:BS22" si="18">IF(G22&gt;0,G22-1,0)</f>
        <v>105</v>
      </c>
      <c r="I22" s="97">
        <f t="shared" si="18"/>
        <v>104</v>
      </c>
      <c r="J22" s="97">
        <f t="shared" si="18"/>
        <v>103</v>
      </c>
      <c r="K22" s="97">
        <f t="shared" si="18"/>
        <v>102</v>
      </c>
      <c r="L22" s="97">
        <f t="shared" si="18"/>
        <v>101</v>
      </c>
      <c r="M22" s="97">
        <f t="shared" si="18"/>
        <v>100</v>
      </c>
      <c r="N22" s="97">
        <f t="shared" si="18"/>
        <v>99</v>
      </c>
      <c r="O22" s="97">
        <f t="shared" si="18"/>
        <v>98</v>
      </c>
      <c r="P22" s="97">
        <f t="shared" si="18"/>
        <v>97</v>
      </c>
      <c r="Q22" s="97">
        <f t="shared" si="18"/>
        <v>96</v>
      </c>
      <c r="R22" s="97">
        <f t="shared" si="18"/>
        <v>95</v>
      </c>
      <c r="S22" s="97">
        <f t="shared" si="18"/>
        <v>94</v>
      </c>
      <c r="T22" s="97">
        <f t="shared" si="18"/>
        <v>93</v>
      </c>
      <c r="U22" s="97">
        <f t="shared" si="18"/>
        <v>92</v>
      </c>
      <c r="V22" s="97">
        <f t="shared" si="18"/>
        <v>91</v>
      </c>
      <c r="W22" s="97">
        <f t="shared" si="18"/>
        <v>90</v>
      </c>
      <c r="X22" s="97">
        <f t="shared" si="18"/>
        <v>89</v>
      </c>
      <c r="Y22" s="97">
        <f t="shared" si="18"/>
        <v>88</v>
      </c>
      <c r="Z22" s="97">
        <f t="shared" si="18"/>
        <v>87</v>
      </c>
      <c r="AA22" s="97">
        <f t="shared" si="18"/>
        <v>86</v>
      </c>
      <c r="AB22" s="97">
        <f t="shared" si="18"/>
        <v>85</v>
      </c>
      <c r="AC22" s="97">
        <f t="shared" si="18"/>
        <v>84</v>
      </c>
      <c r="AD22" s="97">
        <f t="shared" si="18"/>
        <v>83</v>
      </c>
      <c r="AE22" s="97">
        <f t="shared" si="18"/>
        <v>82</v>
      </c>
      <c r="AF22" s="97">
        <f t="shared" si="18"/>
        <v>81</v>
      </c>
      <c r="AG22" s="97">
        <f t="shared" si="18"/>
        <v>80</v>
      </c>
      <c r="AH22" s="97">
        <f t="shared" si="18"/>
        <v>79</v>
      </c>
      <c r="AI22" s="97">
        <f t="shared" si="18"/>
        <v>78</v>
      </c>
      <c r="AJ22" s="97">
        <f t="shared" si="18"/>
        <v>77</v>
      </c>
      <c r="AK22" s="97">
        <f t="shared" si="18"/>
        <v>76</v>
      </c>
      <c r="AL22" s="97">
        <f t="shared" si="18"/>
        <v>75</v>
      </c>
      <c r="AM22" s="97">
        <f t="shared" si="18"/>
        <v>74</v>
      </c>
      <c r="AN22" s="97">
        <f t="shared" si="18"/>
        <v>73</v>
      </c>
      <c r="AO22" s="97">
        <f t="shared" si="18"/>
        <v>72</v>
      </c>
      <c r="AP22" s="97">
        <f t="shared" si="18"/>
        <v>71</v>
      </c>
      <c r="AQ22" s="97">
        <f t="shared" si="18"/>
        <v>70</v>
      </c>
      <c r="AR22" s="97">
        <f t="shared" si="18"/>
        <v>69</v>
      </c>
      <c r="AS22" s="97">
        <f t="shared" si="18"/>
        <v>68</v>
      </c>
      <c r="AT22" s="97">
        <f t="shared" si="18"/>
        <v>67</v>
      </c>
      <c r="AU22" s="97">
        <f t="shared" si="18"/>
        <v>66</v>
      </c>
      <c r="AV22" s="97">
        <f t="shared" si="18"/>
        <v>65</v>
      </c>
      <c r="AW22" s="97">
        <f t="shared" si="18"/>
        <v>64</v>
      </c>
      <c r="AX22" s="97">
        <f t="shared" si="18"/>
        <v>63</v>
      </c>
      <c r="AY22" s="97">
        <f t="shared" si="18"/>
        <v>62</v>
      </c>
      <c r="AZ22" s="97">
        <f t="shared" si="18"/>
        <v>61</v>
      </c>
      <c r="BA22" s="97">
        <f t="shared" si="18"/>
        <v>60</v>
      </c>
      <c r="BB22" s="97">
        <f t="shared" si="18"/>
        <v>59</v>
      </c>
      <c r="BC22" s="97">
        <f t="shared" si="18"/>
        <v>58</v>
      </c>
      <c r="BD22" s="97">
        <f t="shared" si="18"/>
        <v>57</v>
      </c>
      <c r="BE22" s="97">
        <f t="shared" si="18"/>
        <v>56</v>
      </c>
      <c r="BF22" s="97">
        <f t="shared" si="18"/>
        <v>55</v>
      </c>
      <c r="BG22" s="97">
        <f t="shared" si="18"/>
        <v>54</v>
      </c>
      <c r="BH22" s="97">
        <f t="shared" si="18"/>
        <v>53</v>
      </c>
      <c r="BI22" s="97">
        <f t="shared" si="18"/>
        <v>52</v>
      </c>
      <c r="BJ22" s="97">
        <f t="shared" si="18"/>
        <v>51</v>
      </c>
      <c r="BK22" s="97">
        <f t="shared" si="18"/>
        <v>50</v>
      </c>
      <c r="BL22" s="97">
        <f t="shared" si="18"/>
        <v>49</v>
      </c>
      <c r="BM22" s="97">
        <f t="shared" si="18"/>
        <v>48</v>
      </c>
      <c r="BN22" s="97">
        <f t="shared" si="18"/>
        <v>47</v>
      </c>
      <c r="BO22" s="97">
        <f t="shared" si="18"/>
        <v>46</v>
      </c>
      <c r="BP22" s="97">
        <f t="shared" si="18"/>
        <v>45</v>
      </c>
      <c r="BQ22" s="97">
        <f t="shared" si="18"/>
        <v>44</v>
      </c>
      <c r="BR22" s="97">
        <f t="shared" si="18"/>
        <v>43</v>
      </c>
      <c r="BS22" s="97">
        <f t="shared" si="18"/>
        <v>42</v>
      </c>
      <c r="BT22" s="97">
        <f t="shared" ref="BT22:EE22" si="19">IF(BS22&gt;0,BS22-1,0)</f>
        <v>41</v>
      </c>
      <c r="BU22" s="97">
        <f t="shared" si="19"/>
        <v>40</v>
      </c>
      <c r="BV22" s="97">
        <f t="shared" si="19"/>
        <v>39</v>
      </c>
      <c r="BW22" s="97">
        <f t="shared" si="19"/>
        <v>38</v>
      </c>
      <c r="BX22" s="97">
        <f t="shared" si="19"/>
        <v>37</v>
      </c>
      <c r="BY22" s="97">
        <f t="shared" si="19"/>
        <v>36</v>
      </c>
      <c r="BZ22" s="97">
        <f t="shared" si="19"/>
        <v>35</v>
      </c>
      <c r="CA22" s="97">
        <f t="shared" si="19"/>
        <v>34</v>
      </c>
      <c r="CB22" s="97">
        <f t="shared" si="19"/>
        <v>33</v>
      </c>
      <c r="CC22" s="97">
        <f t="shared" si="19"/>
        <v>32</v>
      </c>
      <c r="CD22" s="97">
        <f t="shared" si="19"/>
        <v>31</v>
      </c>
      <c r="CE22" s="97">
        <f t="shared" si="19"/>
        <v>30</v>
      </c>
      <c r="CF22" s="97">
        <f t="shared" si="19"/>
        <v>29</v>
      </c>
      <c r="CG22" s="97">
        <f t="shared" si="19"/>
        <v>28</v>
      </c>
      <c r="CH22" s="97">
        <f t="shared" si="19"/>
        <v>27</v>
      </c>
      <c r="CI22" s="97">
        <f t="shared" si="19"/>
        <v>26</v>
      </c>
      <c r="CJ22" s="97">
        <f t="shared" si="19"/>
        <v>25</v>
      </c>
      <c r="CK22" s="97">
        <f t="shared" si="19"/>
        <v>24</v>
      </c>
      <c r="CL22" s="97">
        <f t="shared" si="19"/>
        <v>23</v>
      </c>
      <c r="CM22" s="97">
        <f t="shared" si="19"/>
        <v>22</v>
      </c>
      <c r="CN22" s="97">
        <f t="shared" si="19"/>
        <v>21</v>
      </c>
      <c r="CO22" s="97">
        <f t="shared" si="19"/>
        <v>20</v>
      </c>
      <c r="CP22" s="97">
        <f t="shared" si="19"/>
        <v>19</v>
      </c>
      <c r="CQ22" s="97">
        <f t="shared" si="19"/>
        <v>18</v>
      </c>
      <c r="CR22" s="97">
        <f t="shared" si="19"/>
        <v>17</v>
      </c>
      <c r="CS22" s="97">
        <f t="shared" si="19"/>
        <v>16</v>
      </c>
      <c r="CT22" s="97">
        <f t="shared" si="19"/>
        <v>15</v>
      </c>
      <c r="CU22" s="97">
        <f t="shared" si="19"/>
        <v>14</v>
      </c>
      <c r="CV22" s="97">
        <f t="shared" si="19"/>
        <v>13</v>
      </c>
      <c r="CW22" s="97">
        <f t="shared" si="19"/>
        <v>12</v>
      </c>
      <c r="CX22" s="97">
        <f t="shared" si="19"/>
        <v>11</v>
      </c>
      <c r="CY22" s="97">
        <f t="shared" si="19"/>
        <v>10</v>
      </c>
      <c r="CZ22" s="97">
        <f t="shared" si="19"/>
        <v>9</v>
      </c>
      <c r="DA22" s="97">
        <f t="shared" si="19"/>
        <v>8</v>
      </c>
      <c r="DB22" s="97">
        <f t="shared" si="19"/>
        <v>7</v>
      </c>
      <c r="DC22" s="97">
        <f t="shared" si="19"/>
        <v>6</v>
      </c>
      <c r="DD22" s="97">
        <f t="shared" si="19"/>
        <v>5</v>
      </c>
      <c r="DE22" s="97">
        <f t="shared" si="19"/>
        <v>4</v>
      </c>
      <c r="DF22" s="97">
        <f t="shared" si="19"/>
        <v>3</v>
      </c>
      <c r="DG22" s="97">
        <f t="shared" si="19"/>
        <v>2</v>
      </c>
      <c r="DH22" s="97">
        <f t="shared" si="19"/>
        <v>1</v>
      </c>
      <c r="DI22" s="97">
        <f t="shared" si="19"/>
        <v>0</v>
      </c>
      <c r="DJ22" s="97">
        <f t="shared" si="19"/>
        <v>0</v>
      </c>
      <c r="DK22" s="97">
        <f t="shared" si="19"/>
        <v>0</v>
      </c>
      <c r="DL22" s="97">
        <f t="shared" si="19"/>
        <v>0</v>
      </c>
      <c r="DM22" s="97">
        <f t="shared" si="19"/>
        <v>0</v>
      </c>
      <c r="DN22" s="97">
        <f t="shared" si="19"/>
        <v>0</v>
      </c>
      <c r="DO22" s="97">
        <f t="shared" si="19"/>
        <v>0</v>
      </c>
      <c r="DP22" s="97">
        <f t="shared" si="19"/>
        <v>0</v>
      </c>
      <c r="DQ22" s="97">
        <f t="shared" si="19"/>
        <v>0</v>
      </c>
      <c r="DR22" s="97">
        <f t="shared" si="19"/>
        <v>0</v>
      </c>
      <c r="DS22" s="97">
        <f t="shared" si="19"/>
        <v>0</v>
      </c>
      <c r="DT22" s="97">
        <f t="shared" si="19"/>
        <v>0</v>
      </c>
      <c r="DU22" s="97">
        <f t="shared" si="19"/>
        <v>0</v>
      </c>
      <c r="DV22" s="97">
        <f t="shared" si="19"/>
        <v>0</v>
      </c>
      <c r="DW22" s="97">
        <f t="shared" si="19"/>
        <v>0</v>
      </c>
      <c r="DX22" s="97">
        <f t="shared" si="19"/>
        <v>0</v>
      </c>
      <c r="DY22" s="97">
        <f t="shared" si="19"/>
        <v>0</v>
      </c>
      <c r="DZ22" s="97">
        <f t="shared" si="19"/>
        <v>0</v>
      </c>
      <c r="EA22" s="97">
        <f t="shared" si="19"/>
        <v>0</v>
      </c>
      <c r="EB22" s="97">
        <f t="shared" si="19"/>
        <v>0</v>
      </c>
      <c r="EC22" s="97">
        <f t="shared" si="19"/>
        <v>0</v>
      </c>
      <c r="ED22" s="97">
        <f t="shared" si="19"/>
        <v>0</v>
      </c>
      <c r="EE22" s="97">
        <f t="shared" si="19"/>
        <v>0</v>
      </c>
      <c r="EF22" s="97">
        <f t="shared" ref="EF22:GO22" si="20">IF(EE22&gt;0,EE22-1,0)</f>
        <v>0</v>
      </c>
      <c r="EG22" s="97">
        <f t="shared" si="20"/>
        <v>0</v>
      </c>
      <c r="EH22" s="97">
        <f t="shared" si="20"/>
        <v>0</v>
      </c>
      <c r="EI22" s="97">
        <f t="shared" si="20"/>
        <v>0</v>
      </c>
      <c r="EJ22" s="97">
        <f t="shared" si="20"/>
        <v>0</v>
      </c>
      <c r="EK22" s="97">
        <f t="shared" si="20"/>
        <v>0</v>
      </c>
      <c r="EL22" s="97">
        <f t="shared" si="20"/>
        <v>0</v>
      </c>
      <c r="EM22" s="97">
        <f t="shared" si="20"/>
        <v>0</v>
      </c>
      <c r="EN22" s="97">
        <f t="shared" si="20"/>
        <v>0</v>
      </c>
      <c r="EO22" s="97">
        <f t="shared" si="20"/>
        <v>0</v>
      </c>
      <c r="EP22" s="97">
        <f t="shared" si="20"/>
        <v>0</v>
      </c>
      <c r="EQ22" s="97">
        <f t="shared" si="20"/>
        <v>0</v>
      </c>
      <c r="ER22" s="97">
        <f t="shared" si="20"/>
        <v>0</v>
      </c>
      <c r="ES22" s="97">
        <f t="shared" si="20"/>
        <v>0</v>
      </c>
      <c r="ET22" s="97">
        <f t="shared" si="20"/>
        <v>0</v>
      </c>
      <c r="EU22" s="97">
        <f t="shared" si="20"/>
        <v>0</v>
      </c>
      <c r="EV22" s="97">
        <f t="shared" si="20"/>
        <v>0</v>
      </c>
      <c r="EW22" s="97">
        <f t="shared" si="20"/>
        <v>0</v>
      </c>
      <c r="EX22" s="97">
        <f t="shared" si="20"/>
        <v>0</v>
      </c>
      <c r="EY22" s="97">
        <f t="shared" si="20"/>
        <v>0</v>
      </c>
      <c r="EZ22" s="97">
        <f t="shared" si="20"/>
        <v>0</v>
      </c>
      <c r="FA22" s="97">
        <f t="shared" si="20"/>
        <v>0</v>
      </c>
      <c r="FB22" s="97">
        <f t="shared" si="20"/>
        <v>0</v>
      </c>
      <c r="FC22" s="97">
        <f t="shared" si="20"/>
        <v>0</v>
      </c>
      <c r="FD22" s="97">
        <f t="shared" si="20"/>
        <v>0</v>
      </c>
      <c r="FE22" s="97">
        <f t="shared" si="20"/>
        <v>0</v>
      </c>
      <c r="FF22" s="97">
        <f t="shared" si="20"/>
        <v>0</v>
      </c>
      <c r="FG22" s="97">
        <f t="shared" si="20"/>
        <v>0</v>
      </c>
      <c r="FH22" s="97">
        <f t="shared" si="20"/>
        <v>0</v>
      </c>
      <c r="FI22" s="97">
        <f t="shared" si="20"/>
        <v>0</v>
      </c>
      <c r="FJ22" s="97">
        <f t="shared" si="20"/>
        <v>0</v>
      </c>
      <c r="FK22" s="97">
        <f t="shared" si="20"/>
        <v>0</v>
      </c>
      <c r="FL22" s="97">
        <f t="shared" si="20"/>
        <v>0</v>
      </c>
      <c r="FM22" s="97">
        <f t="shared" si="20"/>
        <v>0</v>
      </c>
      <c r="FN22" s="97">
        <f t="shared" si="20"/>
        <v>0</v>
      </c>
      <c r="FO22" s="97">
        <f t="shared" si="20"/>
        <v>0</v>
      </c>
      <c r="FP22" s="97">
        <f t="shared" si="20"/>
        <v>0</v>
      </c>
      <c r="FQ22" s="97">
        <f t="shared" si="20"/>
        <v>0</v>
      </c>
      <c r="FR22" s="97">
        <f t="shared" si="20"/>
        <v>0</v>
      </c>
      <c r="FS22" s="97">
        <f t="shared" si="20"/>
        <v>0</v>
      </c>
      <c r="FT22" s="97">
        <f t="shared" si="20"/>
        <v>0</v>
      </c>
      <c r="FU22" s="97">
        <f t="shared" si="20"/>
        <v>0</v>
      </c>
      <c r="FV22" s="97">
        <f t="shared" si="20"/>
        <v>0</v>
      </c>
      <c r="FW22" s="97">
        <f t="shared" si="20"/>
        <v>0</v>
      </c>
      <c r="FX22" s="97">
        <f t="shared" si="20"/>
        <v>0</v>
      </c>
      <c r="FY22" s="97">
        <f t="shared" si="20"/>
        <v>0</v>
      </c>
      <c r="FZ22" s="97">
        <f t="shared" si="20"/>
        <v>0</v>
      </c>
      <c r="GA22" s="97">
        <f t="shared" si="20"/>
        <v>0</v>
      </c>
      <c r="GB22" s="97">
        <f t="shared" si="20"/>
        <v>0</v>
      </c>
      <c r="GC22" s="97">
        <f t="shared" si="20"/>
        <v>0</v>
      </c>
      <c r="GD22" s="97">
        <f t="shared" si="20"/>
        <v>0</v>
      </c>
      <c r="GE22" s="97">
        <f t="shared" si="20"/>
        <v>0</v>
      </c>
      <c r="GF22" s="97">
        <f t="shared" si="20"/>
        <v>0</v>
      </c>
      <c r="GG22" s="97">
        <f t="shared" si="20"/>
        <v>0</v>
      </c>
      <c r="GH22" s="97">
        <f t="shared" si="20"/>
        <v>0</v>
      </c>
      <c r="GI22" s="97">
        <f t="shared" si="20"/>
        <v>0</v>
      </c>
      <c r="GJ22" s="97">
        <f t="shared" si="20"/>
        <v>0</v>
      </c>
      <c r="GK22" s="97">
        <f t="shared" si="20"/>
        <v>0</v>
      </c>
      <c r="GL22" s="97">
        <f t="shared" si="20"/>
        <v>0</v>
      </c>
      <c r="GM22" s="97">
        <f t="shared" si="20"/>
        <v>0</v>
      </c>
      <c r="GN22" s="97">
        <f t="shared" si="20"/>
        <v>0</v>
      </c>
      <c r="GO22" s="97">
        <f t="shared" si="20"/>
        <v>0</v>
      </c>
      <c r="GQ22" s="88"/>
      <c r="GR22" s="94"/>
      <c r="GS22" s="94"/>
      <c r="GT22" s="102"/>
    </row>
    <row r="23" spans="1:203">
      <c r="A23" s="101" t="s">
        <v>166</v>
      </c>
      <c r="F23" s="100" t="s">
        <v>169</v>
      </c>
      <c r="G23" s="100" t="s">
        <v>169</v>
      </c>
      <c r="H23" s="97" t="s">
        <v>169</v>
      </c>
      <c r="I23" s="97" t="s">
        <v>169</v>
      </c>
      <c r="J23" s="97" t="s">
        <v>169</v>
      </c>
      <c r="K23" s="97" t="s">
        <v>170</v>
      </c>
      <c r="L23" s="97" t="s">
        <v>170</v>
      </c>
      <c r="M23" s="97" t="s">
        <v>170</v>
      </c>
      <c r="N23" s="97" t="s">
        <v>170</v>
      </c>
      <c r="O23" s="97" t="s">
        <v>170</v>
      </c>
      <c r="P23" s="97" t="s">
        <v>170</v>
      </c>
      <c r="Q23" s="97" t="s">
        <v>170</v>
      </c>
      <c r="R23" s="97" t="s">
        <v>170</v>
      </c>
      <c r="S23" s="97" t="s">
        <v>170</v>
      </c>
      <c r="T23" s="97" t="s">
        <v>170</v>
      </c>
      <c r="U23" s="97" t="s">
        <v>170</v>
      </c>
      <c r="V23" s="97" t="s">
        <v>170</v>
      </c>
      <c r="W23" s="97" t="s">
        <v>171</v>
      </c>
      <c r="X23" s="97" t="s">
        <v>171</v>
      </c>
      <c r="Y23" s="97" t="s">
        <v>171</v>
      </c>
      <c r="Z23" s="97" t="s">
        <v>171</v>
      </c>
      <c r="AA23" s="97" t="s">
        <v>171</v>
      </c>
      <c r="AB23" s="97" t="s">
        <v>171</v>
      </c>
      <c r="AC23" s="97" t="s">
        <v>171</v>
      </c>
      <c r="AD23" s="97" t="s">
        <v>171</v>
      </c>
      <c r="AE23" s="97" t="s">
        <v>171</v>
      </c>
      <c r="AF23" s="97" t="s">
        <v>171</v>
      </c>
      <c r="AG23" s="97" t="s">
        <v>171</v>
      </c>
      <c r="AH23" s="97" t="s">
        <v>171</v>
      </c>
      <c r="AI23" s="97" t="s">
        <v>172</v>
      </c>
      <c r="AJ23" s="97" t="s">
        <v>172</v>
      </c>
      <c r="AK23" s="97" t="s">
        <v>172</v>
      </c>
      <c r="AL23" s="97" t="s">
        <v>172</v>
      </c>
      <c r="AM23" s="97" t="s">
        <v>172</v>
      </c>
      <c r="AN23" s="97" t="s">
        <v>172</v>
      </c>
      <c r="AO23" s="97" t="s">
        <v>172</v>
      </c>
      <c r="AP23" s="97" t="s">
        <v>172</v>
      </c>
      <c r="AQ23" s="97" t="s">
        <v>172</v>
      </c>
      <c r="AR23" s="97" t="s">
        <v>172</v>
      </c>
      <c r="AS23" s="97" t="s">
        <v>172</v>
      </c>
      <c r="AT23" s="97" t="s">
        <v>172</v>
      </c>
      <c r="AU23" s="97" t="s">
        <v>173</v>
      </c>
      <c r="AV23" s="97" t="s">
        <v>173</v>
      </c>
      <c r="AW23" s="97" t="s">
        <v>173</v>
      </c>
      <c r="AX23" s="97" t="s">
        <v>173</v>
      </c>
      <c r="AY23" s="97" t="s">
        <v>173</v>
      </c>
      <c r="AZ23" s="97" t="s">
        <v>173</v>
      </c>
      <c r="BA23" s="97" t="s">
        <v>173</v>
      </c>
      <c r="BB23" s="97" t="s">
        <v>173</v>
      </c>
      <c r="BC23" s="97" t="s">
        <v>173</v>
      </c>
      <c r="BD23" s="97" t="s">
        <v>173</v>
      </c>
      <c r="BE23" s="97" t="s">
        <v>173</v>
      </c>
      <c r="BF23" s="97" t="s">
        <v>173</v>
      </c>
      <c r="BG23" s="97" t="s">
        <v>174</v>
      </c>
      <c r="BH23" s="97" t="s">
        <v>174</v>
      </c>
      <c r="BI23" s="97" t="s">
        <v>174</v>
      </c>
      <c r="BJ23" s="97" t="s">
        <v>174</v>
      </c>
      <c r="BK23" s="97" t="s">
        <v>174</v>
      </c>
      <c r="BL23" s="97" t="s">
        <v>174</v>
      </c>
      <c r="BM23" s="97" t="s">
        <v>174</v>
      </c>
      <c r="BN23" s="97" t="s">
        <v>174</v>
      </c>
      <c r="BO23" s="97" t="s">
        <v>174</v>
      </c>
      <c r="BP23" s="97" t="s">
        <v>174</v>
      </c>
      <c r="BQ23" s="97" t="s">
        <v>174</v>
      </c>
      <c r="BR23" s="97" t="s">
        <v>174</v>
      </c>
      <c r="BS23" s="97" t="s">
        <v>175</v>
      </c>
      <c r="BT23" s="97" t="s">
        <v>175</v>
      </c>
      <c r="BU23" s="97" t="s">
        <v>175</v>
      </c>
      <c r="BV23" s="97" t="s">
        <v>175</v>
      </c>
      <c r="BW23" s="97" t="s">
        <v>175</v>
      </c>
      <c r="BX23" s="97" t="s">
        <v>175</v>
      </c>
      <c r="BY23" s="97" t="s">
        <v>175</v>
      </c>
      <c r="BZ23" s="97" t="s">
        <v>175</v>
      </c>
      <c r="CA23" s="97" t="s">
        <v>175</v>
      </c>
      <c r="CB23" s="97" t="s">
        <v>175</v>
      </c>
      <c r="CC23" s="97" t="s">
        <v>175</v>
      </c>
      <c r="CD23" s="97" t="s">
        <v>175</v>
      </c>
      <c r="CE23" s="97" t="s">
        <v>176</v>
      </c>
      <c r="CF23" s="97" t="s">
        <v>176</v>
      </c>
      <c r="CG23" s="97" t="s">
        <v>176</v>
      </c>
      <c r="CH23" s="97" t="s">
        <v>176</v>
      </c>
      <c r="CI23" s="97" t="s">
        <v>176</v>
      </c>
      <c r="CJ23" s="97" t="s">
        <v>176</v>
      </c>
      <c r="CK23" s="97" t="s">
        <v>176</v>
      </c>
      <c r="CL23" s="97" t="s">
        <v>176</v>
      </c>
      <c r="CM23" s="97" t="s">
        <v>176</v>
      </c>
      <c r="CN23" s="97" t="s">
        <v>176</v>
      </c>
      <c r="CO23" s="97" t="s">
        <v>176</v>
      </c>
      <c r="CP23" s="97" t="s">
        <v>176</v>
      </c>
      <c r="CQ23" s="97" t="s">
        <v>177</v>
      </c>
      <c r="CR23" s="97" t="s">
        <v>177</v>
      </c>
      <c r="CS23" s="97" t="s">
        <v>177</v>
      </c>
      <c r="CT23" s="97" t="s">
        <v>177</v>
      </c>
      <c r="CU23" s="97" t="s">
        <v>177</v>
      </c>
      <c r="CV23" s="97" t="s">
        <v>177</v>
      </c>
      <c r="CW23" s="97" t="s">
        <v>177</v>
      </c>
      <c r="CX23" s="97" t="s">
        <v>177</v>
      </c>
      <c r="CY23" s="97" t="s">
        <v>177</v>
      </c>
      <c r="CZ23" s="97" t="s">
        <v>177</v>
      </c>
      <c r="DA23" s="97" t="s">
        <v>177</v>
      </c>
      <c r="DB23" s="97" t="s">
        <v>177</v>
      </c>
      <c r="DC23" s="97" t="s">
        <v>178</v>
      </c>
      <c r="DD23" s="97" t="s">
        <v>178</v>
      </c>
      <c r="DE23" s="97" t="s">
        <v>178</v>
      </c>
      <c r="DF23" s="97" t="s">
        <v>178</v>
      </c>
      <c r="DG23" s="97" t="s">
        <v>178</v>
      </c>
      <c r="DH23" s="97" t="s">
        <v>178</v>
      </c>
      <c r="DI23" s="97" t="s">
        <v>178</v>
      </c>
      <c r="DJ23" s="97" t="s">
        <v>178</v>
      </c>
      <c r="DK23" s="97" t="s">
        <v>178</v>
      </c>
      <c r="DL23" s="97" t="s">
        <v>178</v>
      </c>
      <c r="DM23" s="97" t="s">
        <v>178</v>
      </c>
      <c r="DN23" s="97" t="s">
        <v>178</v>
      </c>
      <c r="DO23" s="97" t="s">
        <v>179</v>
      </c>
      <c r="DP23" s="97" t="s">
        <v>179</v>
      </c>
      <c r="DQ23" s="97" t="s">
        <v>179</v>
      </c>
      <c r="DR23" s="97" t="s">
        <v>179</v>
      </c>
      <c r="DS23" s="97" t="s">
        <v>179</v>
      </c>
      <c r="DT23" s="97" t="s">
        <v>179</v>
      </c>
      <c r="DU23" s="97" t="s">
        <v>179</v>
      </c>
      <c r="DV23" s="97" t="s">
        <v>179</v>
      </c>
      <c r="DW23" s="97" t="s">
        <v>179</v>
      </c>
      <c r="DX23" s="97" t="s">
        <v>179</v>
      </c>
      <c r="DY23" s="97" t="s">
        <v>179</v>
      </c>
      <c r="DZ23" s="97" t="s">
        <v>179</v>
      </c>
      <c r="EA23" s="97" t="s">
        <v>180</v>
      </c>
      <c r="EB23" s="97" t="s">
        <v>180</v>
      </c>
      <c r="EC23" s="97" t="s">
        <v>180</v>
      </c>
      <c r="ED23" s="97" t="s">
        <v>180</v>
      </c>
      <c r="EE23" s="97" t="s">
        <v>180</v>
      </c>
      <c r="EF23" s="97" t="s">
        <v>180</v>
      </c>
      <c r="EG23" s="97" t="s">
        <v>180</v>
      </c>
      <c r="EH23" s="97" t="s">
        <v>180</v>
      </c>
      <c r="EI23" s="97" t="s">
        <v>180</v>
      </c>
      <c r="EJ23" s="97" t="s">
        <v>180</v>
      </c>
      <c r="EK23" s="97" t="s">
        <v>180</v>
      </c>
      <c r="EL23" s="97" t="s">
        <v>180</v>
      </c>
      <c r="EM23" s="97" t="s">
        <v>181</v>
      </c>
      <c r="EN23" s="97" t="s">
        <v>181</v>
      </c>
      <c r="EO23" s="97" t="s">
        <v>181</v>
      </c>
      <c r="EP23" s="97" t="s">
        <v>181</v>
      </c>
      <c r="EQ23" s="97" t="s">
        <v>181</v>
      </c>
      <c r="ER23" s="97" t="s">
        <v>181</v>
      </c>
      <c r="ES23" s="97" t="s">
        <v>181</v>
      </c>
      <c r="ET23" s="97" t="s">
        <v>181</v>
      </c>
      <c r="EU23" s="97" t="s">
        <v>181</v>
      </c>
      <c r="EV23" s="97" t="s">
        <v>181</v>
      </c>
      <c r="EW23" s="97" t="s">
        <v>181</v>
      </c>
      <c r="EX23" s="97" t="s">
        <v>181</v>
      </c>
      <c r="EY23" s="97" t="s">
        <v>182</v>
      </c>
      <c r="EZ23" s="97" t="s">
        <v>182</v>
      </c>
      <c r="FA23" s="97" t="s">
        <v>182</v>
      </c>
      <c r="FB23" s="97" t="s">
        <v>182</v>
      </c>
      <c r="FC23" s="97" t="s">
        <v>182</v>
      </c>
      <c r="FD23" s="97" t="s">
        <v>182</v>
      </c>
      <c r="FE23" s="97" t="s">
        <v>182</v>
      </c>
      <c r="FF23" s="97" t="s">
        <v>182</v>
      </c>
      <c r="FG23" s="97" t="s">
        <v>182</v>
      </c>
      <c r="FH23" s="97" t="s">
        <v>182</v>
      </c>
      <c r="FI23" s="97" t="s">
        <v>182</v>
      </c>
      <c r="FJ23" s="97" t="s">
        <v>182</v>
      </c>
      <c r="FK23" s="97" t="s">
        <v>183</v>
      </c>
      <c r="FL23" s="97" t="s">
        <v>183</v>
      </c>
      <c r="FM23" s="97" t="s">
        <v>183</v>
      </c>
      <c r="FN23" s="97" t="s">
        <v>183</v>
      </c>
      <c r="FO23" s="97" t="s">
        <v>183</v>
      </c>
      <c r="FP23" s="97" t="s">
        <v>183</v>
      </c>
      <c r="FQ23" s="97" t="s">
        <v>183</v>
      </c>
      <c r="FR23" s="97" t="s">
        <v>183</v>
      </c>
      <c r="FS23" s="97" t="s">
        <v>183</v>
      </c>
      <c r="FT23" s="97" t="s">
        <v>183</v>
      </c>
      <c r="FU23" s="97" t="s">
        <v>183</v>
      </c>
      <c r="FV23" s="97" t="s">
        <v>183</v>
      </c>
      <c r="FW23" s="97" t="s">
        <v>184</v>
      </c>
      <c r="FX23" s="97" t="s">
        <v>184</v>
      </c>
      <c r="FY23" s="97" t="s">
        <v>184</v>
      </c>
      <c r="FZ23" s="97" t="s">
        <v>184</v>
      </c>
      <c r="GA23" s="97" t="s">
        <v>184</v>
      </c>
      <c r="GB23" s="97" t="s">
        <v>184</v>
      </c>
      <c r="GC23" s="97" t="s">
        <v>184</v>
      </c>
      <c r="GD23" s="97" t="s">
        <v>184</v>
      </c>
      <c r="GE23" s="97" t="s">
        <v>184</v>
      </c>
      <c r="GF23" s="97" t="s">
        <v>184</v>
      </c>
      <c r="GG23" s="97" t="s">
        <v>184</v>
      </c>
      <c r="GH23" s="97" t="s">
        <v>184</v>
      </c>
      <c r="GI23" s="97" t="s">
        <v>185</v>
      </c>
      <c r="GJ23" s="97" t="s">
        <v>185</v>
      </c>
      <c r="GK23" s="97" t="s">
        <v>185</v>
      </c>
      <c r="GL23" s="97" t="s">
        <v>185</v>
      </c>
      <c r="GM23" s="97" t="s">
        <v>185</v>
      </c>
      <c r="GN23" s="97" t="s">
        <v>185</v>
      </c>
      <c r="GO23" s="97" t="s">
        <v>185</v>
      </c>
      <c r="GQ23" s="88"/>
      <c r="GR23" s="94"/>
      <c r="GS23" s="94"/>
      <c r="GT23" s="102"/>
    </row>
    <row r="24" spans="1:203">
      <c r="A24" s="101" t="s">
        <v>167</v>
      </c>
      <c r="F24" s="100">
        <v>11</v>
      </c>
      <c r="G24" s="100">
        <v>12</v>
      </c>
      <c r="H24" s="97">
        <v>1</v>
      </c>
      <c r="I24" s="97">
        <v>2</v>
      </c>
      <c r="J24" s="97">
        <v>3</v>
      </c>
      <c r="K24" s="97">
        <v>4</v>
      </c>
      <c r="L24" s="97">
        <v>5</v>
      </c>
      <c r="M24" s="97">
        <v>6</v>
      </c>
      <c r="N24" s="97">
        <v>7</v>
      </c>
      <c r="O24" s="97">
        <v>8</v>
      </c>
      <c r="P24" s="97">
        <v>9</v>
      </c>
      <c r="Q24" s="97">
        <v>10</v>
      </c>
      <c r="R24" s="97">
        <v>11</v>
      </c>
      <c r="S24" s="97">
        <v>12</v>
      </c>
      <c r="T24" s="97">
        <v>1</v>
      </c>
      <c r="U24" s="97">
        <v>2</v>
      </c>
      <c r="V24" s="97">
        <v>3</v>
      </c>
      <c r="W24" s="97">
        <v>4</v>
      </c>
      <c r="X24" s="97">
        <v>5</v>
      </c>
      <c r="Y24" s="97">
        <v>6</v>
      </c>
      <c r="Z24" s="97">
        <v>7</v>
      </c>
      <c r="AA24" s="97">
        <v>8</v>
      </c>
      <c r="AB24" s="97">
        <v>9</v>
      </c>
      <c r="AC24" s="97">
        <v>10</v>
      </c>
      <c r="AD24" s="97">
        <v>11</v>
      </c>
      <c r="AE24" s="97">
        <v>12</v>
      </c>
      <c r="AF24" s="97">
        <v>1</v>
      </c>
      <c r="AG24" s="97">
        <v>2</v>
      </c>
      <c r="AH24" s="97">
        <v>3</v>
      </c>
      <c r="AI24" s="97">
        <v>4</v>
      </c>
      <c r="AJ24" s="97">
        <v>5</v>
      </c>
      <c r="AK24" s="97">
        <v>6</v>
      </c>
      <c r="AL24" s="97">
        <v>7</v>
      </c>
      <c r="AM24" s="97">
        <v>8</v>
      </c>
      <c r="AN24" s="97">
        <v>9</v>
      </c>
      <c r="AO24" s="97">
        <v>10</v>
      </c>
      <c r="AP24" s="97">
        <v>11</v>
      </c>
      <c r="AQ24" s="97">
        <v>12</v>
      </c>
      <c r="AR24" s="97">
        <v>1</v>
      </c>
      <c r="AS24" s="97">
        <v>2</v>
      </c>
      <c r="AT24" s="97">
        <v>3</v>
      </c>
      <c r="AU24" s="97">
        <v>4</v>
      </c>
      <c r="AV24" s="97">
        <v>5</v>
      </c>
      <c r="AW24" s="97">
        <v>6</v>
      </c>
      <c r="AX24" s="97">
        <v>7</v>
      </c>
      <c r="AY24" s="97">
        <v>8</v>
      </c>
      <c r="AZ24" s="97">
        <v>9</v>
      </c>
      <c r="BA24" s="97">
        <v>10</v>
      </c>
      <c r="BB24" s="97">
        <v>11</v>
      </c>
      <c r="BC24" s="97">
        <v>12</v>
      </c>
      <c r="BD24" s="97">
        <v>1</v>
      </c>
      <c r="BE24" s="97">
        <v>2</v>
      </c>
      <c r="BF24" s="97">
        <v>3</v>
      </c>
      <c r="BG24" s="97">
        <v>4</v>
      </c>
      <c r="BH24" s="97">
        <v>5</v>
      </c>
      <c r="BI24" s="97">
        <v>6</v>
      </c>
      <c r="BJ24" s="97">
        <v>7</v>
      </c>
      <c r="BK24" s="97">
        <v>8</v>
      </c>
      <c r="BL24" s="97">
        <v>9</v>
      </c>
      <c r="BM24" s="97">
        <v>10</v>
      </c>
      <c r="BN24" s="97">
        <v>11</v>
      </c>
      <c r="BO24" s="97">
        <v>12</v>
      </c>
      <c r="BP24" s="97">
        <v>1</v>
      </c>
      <c r="BQ24" s="97">
        <v>2</v>
      </c>
      <c r="BR24" s="97">
        <v>3</v>
      </c>
      <c r="BS24" s="97">
        <v>4</v>
      </c>
      <c r="BT24" s="97">
        <v>5</v>
      </c>
      <c r="BU24" s="97">
        <v>6</v>
      </c>
      <c r="BV24" s="97">
        <v>7</v>
      </c>
      <c r="BW24" s="97">
        <v>8</v>
      </c>
      <c r="BX24" s="97">
        <v>9</v>
      </c>
      <c r="BY24" s="97">
        <v>10</v>
      </c>
      <c r="BZ24" s="97">
        <v>11</v>
      </c>
      <c r="CA24" s="97">
        <v>12</v>
      </c>
      <c r="CB24" s="97">
        <v>1</v>
      </c>
      <c r="CC24" s="97">
        <v>2</v>
      </c>
      <c r="CD24" s="97">
        <v>3</v>
      </c>
      <c r="CE24" s="97">
        <v>4</v>
      </c>
      <c r="CF24" s="97">
        <v>5</v>
      </c>
      <c r="CG24" s="97">
        <v>6</v>
      </c>
      <c r="CH24" s="97">
        <v>7</v>
      </c>
      <c r="CI24" s="97">
        <v>8</v>
      </c>
      <c r="CJ24" s="97">
        <v>9</v>
      </c>
      <c r="CK24" s="97">
        <v>10</v>
      </c>
      <c r="CL24" s="97">
        <v>11</v>
      </c>
      <c r="CM24" s="97">
        <v>12</v>
      </c>
      <c r="CN24" s="97">
        <v>1</v>
      </c>
      <c r="CO24" s="97">
        <v>2</v>
      </c>
      <c r="CP24" s="97">
        <v>3</v>
      </c>
      <c r="CQ24" s="97">
        <v>4</v>
      </c>
      <c r="CR24" s="97">
        <v>5</v>
      </c>
      <c r="CS24" s="97">
        <v>6</v>
      </c>
      <c r="CT24" s="97">
        <v>7</v>
      </c>
      <c r="CU24" s="97">
        <v>8</v>
      </c>
      <c r="CV24" s="97">
        <v>9</v>
      </c>
      <c r="CW24" s="97">
        <v>10</v>
      </c>
      <c r="CX24" s="97">
        <v>11</v>
      </c>
      <c r="CY24" s="97">
        <v>12</v>
      </c>
      <c r="CZ24" s="97">
        <v>1</v>
      </c>
      <c r="DA24" s="97">
        <v>2</v>
      </c>
      <c r="DB24" s="97">
        <v>3</v>
      </c>
      <c r="DC24" s="97">
        <v>4</v>
      </c>
      <c r="DD24" s="97">
        <v>5</v>
      </c>
      <c r="DE24" s="97">
        <v>6</v>
      </c>
      <c r="DF24" s="97">
        <v>7</v>
      </c>
      <c r="DG24" s="97">
        <v>8</v>
      </c>
      <c r="DH24" s="97">
        <v>9</v>
      </c>
      <c r="DI24" s="97">
        <v>10</v>
      </c>
      <c r="DJ24" s="97">
        <v>11</v>
      </c>
      <c r="DK24" s="97">
        <v>12</v>
      </c>
      <c r="DL24" s="97">
        <v>1</v>
      </c>
      <c r="DM24" s="97">
        <v>2</v>
      </c>
      <c r="DN24" s="97">
        <v>3</v>
      </c>
      <c r="DO24" s="97">
        <v>4</v>
      </c>
      <c r="DP24" s="97">
        <v>5</v>
      </c>
      <c r="DQ24" s="97">
        <v>6</v>
      </c>
      <c r="DR24" s="97">
        <v>7</v>
      </c>
      <c r="DS24" s="97">
        <v>8</v>
      </c>
      <c r="DT24" s="97">
        <v>9</v>
      </c>
      <c r="DU24" s="97">
        <v>10</v>
      </c>
      <c r="DV24" s="97">
        <v>11</v>
      </c>
      <c r="DW24" s="97">
        <v>12</v>
      </c>
      <c r="DX24" s="97">
        <v>1</v>
      </c>
      <c r="DY24" s="97">
        <v>2</v>
      </c>
      <c r="DZ24" s="97">
        <v>3</v>
      </c>
      <c r="EA24" s="97">
        <v>4</v>
      </c>
      <c r="EB24" s="97">
        <v>5</v>
      </c>
      <c r="EC24" s="97">
        <v>6</v>
      </c>
      <c r="ED24" s="97">
        <v>7</v>
      </c>
      <c r="EE24" s="97">
        <v>8</v>
      </c>
      <c r="EF24" s="97">
        <v>9</v>
      </c>
      <c r="EG24" s="97">
        <v>10</v>
      </c>
      <c r="EH24" s="97">
        <v>11</v>
      </c>
      <c r="EI24" s="97">
        <v>12</v>
      </c>
      <c r="EJ24" s="97">
        <v>1</v>
      </c>
      <c r="EK24" s="97">
        <v>2</v>
      </c>
      <c r="EL24" s="97">
        <v>3</v>
      </c>
      <c r="EM24" s="97">
        <v>4</v>
      </c>
      <c r="EN24" s="97">
        <v>5</v>
      </c>
      <c r="EO24" s="97">
        <v>6</v>
      </c>
      <c r="EP24" s="97">
        <v>7</v>
      </c>
      <c r="EQ24" s="97">
        <v>8</v>
      </c>
      <c r="ER24" s="97">
        <v>9</v>
      </c>
      <c r="ES24" s="97">
        <v>10</v>
      </c>
      <c r="ET24" s="97">
        <v>11</v>
      </c>
      <c r="EU24" s="97">
        <v>12</v>
      </c>
      <c r="EV24" s="97">
        <v>1</v>
      </c>
      <c r="EW24" s="97">
        <v>2</v>
      </c>
      <c r="EX24" s="97">
        <v>3</v>
      </c>
      <c r="EY24" s="97">
        <v>4</v>
      </c>
      <c r="EZ24" s="97">
        <v>5</v>
      </c>
      <c r="FA24" s="97">
        <v>6</v>
      </c>
      <c r="FB24" s="97">
        <v>7</v>
      </c>
      <c r="FC24" s="97">
        <v>8</v>
      </c>
      <c r="FD24" s="97">
        <v>9</v>
      </c>
      <c r="FE24" s="97">
        <v>10</v>
      </c>
      <c r="FF24" s="97">
        <v>11</v>
      </c>
      <c r="FG24" s="97">
        <v>12</v>
      </c>
      <c r="FH24" s="97">
        <v>1</v>
      </c>
      <c r="FI24" s="97">
        <v>2</v>
      </c>
      <c r="FJ24" s="97">
        <v>3</v>
      </c>
      <c r="FK24" s="97">
        <v>4</v>
      </c>
      <c r="FL24" s="97">
        <v>5</v>
      </c>
      <c r="FM24" s="97">
        <v>6</v>
      </c>
      <c r="FN24" s="97">
        <v>7</v>
      </c>
      <c r="FO24" s="97">
        <v>8</v>
      </c>
      <c r="FP24" s="97">
        <v>9</v>
      </c>
      <c r="FQ24" s="97">
        <v>10</v>
      </c>
      <c r="FR24" s="97">
        <v>11</v>
      </c>
      <c r="FS24" s="97">
        <v>12</v>
      </c>
      <c r="FT24" s="97">
        <v>1</v>
      </c>
      <c r="FU24" s="97">
        <v>2</v>
      </c>
      <c r="FV24" s="97">
        <v>3</v>
      </c>
      <c r="FW24" s="97">
        <v>4</v>
      </c>
      <c r="FX24" s="97">
        <v>5</v>
      </c>
      <c r="FY24" s="97">
        <v>6</v>
      </c>
      <c r="FZ24" s="97">
        <v>7</v>
      </c>
      <c r="GA24" s="97">
        <v>8</v>
      </c>
      <c r="GB24" s="97">
        <v>9</v>
      </c>
      <c r="GC24" s="97">
        <v>10</v>
      </c>
      <c r="GD24" s="97">
        <v>11</v>
      </c>
      <c r="GE24" s="97">
        <v>12</v>
      </c>
      <c r="GF24" s="97">
        <v>1</v>
      </c>
      <c r="GG24" s="97">
        <v>2</v>
      </c>
      <c r="GH24" s="97">
        <v>3</v>
      </c>
      <c r="GI24" s="97">
        <v>4</v>
      </c>
      <c r="GJ24" s="97">
        <v>5</v>
      </c>
      <c r="GK24" s="97">
        <v>6</v>
      </c>
      <c r="GL24" s="97">
        <v>7</v>
      </c>
      <c r="GM24" s="97">
        <v>8</v>
      </c>
      <c r="GN24" s="97">
        <v>9</v>
      </c>
      <c r="GO24" s="97">
        <v>10</v>
      </c>
      <c r="GQ24" s="88"/>
      <c r="GR24" s="94"/>
      <c r="GS24" s="94"/>
      <c r="GT24" s="102"/>
    </row>
    <row r="25" spans="1:203">
      <c r="GQ25" s="88"/>
      <c r="GR25" s="94"/>
      <c r="GS25" s="94"/>
      <c r="GT25" s="102"/>
    </row>
    <row r="26" spans="1:203" ht="12" customHeight="1">
      <c r="A26" s="103" t="s">
        <v>168</v>
      </c>
      <c r="B26" s="104"/>
      <c r="C26" s="104"/>
      <c r="D26" s="104"/>
      <c r="E26" s="104"/>
      <c r="F26" s="104"/>
      <c r="G26" s="104"/>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4"/>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04"/>
      <c r="BH26" s="104"/>
      <c r="BI26" s="104"/>
      <c r="BJ26" s="104"/>
      <c r="BK26" s="104"/>
      <c r="BL26" s="104"/>
      <c r="BM26" s="104"/>
      <c r="BN26" s="104"/>
      <c r="BO26" s="104"/>
      <c r="BP26" s="104"/>
      <c r="BQ26" s="104"/>
      <c r="BR26" s="104"/>
      <c r="BS26" s="104"/>
      <c r="BT26" s="104"/>
      <c r="BU26" s="104"/>
      <c r="BV26" s="104"/>
      <c r="BW26" s="104"/>
      <c r="BX26" s="104"/>
      <c r="BY26" s="104"/>
      <c r="BZ26" s="104"/>
      <c r="CA26" s="104"/>
      <c r="CB26" s="104"/>
      <c r="CC26" s="104"/>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104"/>
      <c r="EH26" s="104"/>
      <c r="EI26" s="104"/>
      <c r="EJ26" s="104"/>
      <c r="EK26" s="104"/>
      <c r="EL26" s="104"/>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104"/>
      <c r="FO26" s="104"/>
      <c r="FP26" s="104"/>
      <c r="FQ26" s="104"/>
      <c r="FR26" s="104"/>
      <c r="FS26" s="104"/>
      <c r="FT26" s="104"/>
      <c r="FU26" s="104"/>
      <c r="FV26" s="104"/>
      <c r="FW26" s="104"/>
      <c r="FX26" s="104"/>
      <c r="FY26" s="104"/>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104"/>
    </row>
    <row r="27" spans="1:203"/>
    <row r="28" spans="1:203" hidden="1"/>
    <row r="29" spans="1:203" ht="15" hidden="1" customHeight="1"/>
    <row r="30" spans="1:203" ht="15" hidden="1" customHeight="1"/>
    <row r="31" spans="1:203" ht="15" hidden="1" customHeight="1"/>
    <row r="32" spans="1:203" ht="15" hidden="1" customHeight="1"/>
    <row r="33" ht="15" hidden="1" customHeight="1"/>
    <row r="34" ht="15" hidden="1" customHeight="1"/>
  </sheetData>
  <conditionalFormatting sqref="A1:C1 A26:GU26 A5:GU5 A9:GU9">
    <cfRule type="expression" dxfId="237" priority="21" stopIfTrue="1">
      <formula>ErrorsPresent&gt;0</formula>
    </cfRule>
    <cfRule type="expression" dxfId="236" priority="22" stopIfTrue="1">
      <formula>ErrorsPresent&lt;0</formula>
    </cfRule>
  </conditionalFormatting>
  <conditionalFormatting sqref="F15">
    <cfRule type="expression" dxfId="235" priority="20" stopIfTrue="1">
      <formula>F$40&lt;&gt;""</formula>
    </cfRule>
  </conditionalFormatting>
  <conditionalFormatting sqref="E1 GR14">
    <cfRule type="cellIs" dxfId="234" priority="19" stopIfTrue="1" operator="equal">
      <formula>0</formula>
    </cfRule>
  </conditionalFormatting>
  <conditionalFormatting sqref="E1 GR14">
    <cfRule type="cellIs" dxfId="233" priority="17" stopIfTrue="1" operator="greaterThan">
      <formula>0</formula>
    </cfRule>
    <cfRule type="cellIs" dxfId="232" priority="18" stopIfTrue="1" operator="lessThan">
      <formula>0</formula>
    </cfRule>
  </conditionalFormatting>
  <conditionalFormatting sqref="GR13:GR14">
    <cfRule type="cellIs" dxfId="231" priority="16" stopIfTrue="1" operator="equal">
      <formula>0</formula>
    </cfRule>
  </conditionalFormatting>
  <conditionalFormatting sqref="GR13:GR14">
    <cfRule type="cellIs" dxfId="230" priority="14" stopIfTrue="1" operator="greaterThan">
      <formula>0</formula>
    </cfRule>
    <cfRule type="cellIs" dxfId="229" priority="15" stopIfTrue="1" operator="lessThan">
      <formula>0</formula>
    </cfRule>
  </conditionalFormatting>
  <conditionalFormatting sqref="F16">
    <cfRule type="expression" dxfId="228" priority="13" stopIfTrue="1">
      <formula>F$40&lt;&gt;""</formula>
    </cfRule>
  </conditionalFormatting>
  <conditionalFormatting sqref="F17">
    <cfRule type="expression" dxfId="227" priority="12" stopIfTrue="1">
      <formula>F$40&lt;&gt;""</formula>
    </cfRule>
  </conditionalFormatting>
  <conditionalFormatting sqref="F18">
    <cfRule type="expression" dxfId="226" priority="9" stopIfTrue="1">
      <formula>F$40&lt;&gt;""</formula>
    </cfRule>
  </conditionalFormatting>
  <conditionalFormatting sqref="F19">
    <cfRule type="expression" dxfId="225" priority="8" stopIfTrue="1">
      <formula>F$40&lt;&gt;""</formula>
    </cfRule>
  </conditionalFormatting>
  <conditionalFormatting sqref="F20">
    <cfRule type="expression" dxfId="224" priority="7" stopIfTrue="1">
      <formula>F$40&lt;&gt;""</formula>
    </cfRule>
  </conditionalFormatting>
  <conditionalFormatting sqref="F21">
    <cfRule type="expression" dxfId="223" priority="6" stopIfTrue="1">
      <formula>F$40&lt;&gt;""</formula>
    </cfRule>
  </conditionalFormatting>
  <conditionalFormatting sqref="F22">
    <cfRule type="expression" dxfId="222" priority="5" stopIfTrue="1">
      <formula>F$40&lt;&gt;""</formula>
    </cfRule>
  </conditionalFormatting>
  <conditionalFormatting sqref="G22">
    <cfRule type="expression" dxfId="221" priority="4" stopIfTrue="1">
      <formula>G$40&lt;&gt;""</formula>
    </cfRule>
  </conditionalFormatting>
  <conditionalFormatting sqref="F23">
    <cfRule type="expression" dxfId="220" priority="3" stopIfTrue="1">
      <formula>F$43&lt;&gt;""</formula>
    </cfRule>
  </conditionalFormatting>
  <conditionalFormatting sqref="G23">
    <cfRule type="expression" dxfId="219" priority="2" stopIfTrue="1">
      <formula>G$43&lt;&gt;""</formula>
    </cfRule>
  </conditionalFormatting>
  <conditionalFormatting sqref="F24:G24">
    <cfRule type="expression" dxfId="218" priority="1" stopIfTrue="1">
      <formula>F$43&lt;&gt;""</formula>
    </cfRule>
  </conditionalFormatting>
  <pageMargins left="0.7" right="0.7" top="0.75" bottom="0.75" header="0.3" footer="0.3"/>
  <pageSetup paperSize="9" orientation="portrait" horizontalDpi="200" verticalDpi="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U34"/>
  <sheetViews>
    <sheetView showGridLines="0" zoomScale="90" zoomScaleNormal="90" workbookViewId="0">
      <selection activeCell="F11" sqref="F11"/>
    </sheetView>
  </sheetViews>
  <sheetFormatPr defaultRowHeight="15" customHeight="1" zeroHeight="1" outlineLevelRow="1"/>
  <cols>
    <col min="1" max="1" width="15" style="85" customWidth="1"/>
    <col min="2" max="5" width="9.140625" style="85"/>
    <col min="6" max="16" width="11.5703125" style="85" bestFit="1" customWidth="1"/>
    <col min="17" max="17" width="12.7109375" style="85" bestFit="1" customWidth="1"/>
    <col min="18" max="18" width="11.5703125" style="85" bestFit="1" customWidth="1"/>
    <col min="19" max="197" width="11.5703125" style="85" customWidth="1"/>
    <col min="198" max="198" width="4.140625" style="85" customWidth="1"/>
    <col min="199" max="199" width="2.28515625" style="85" customWidth="1"/>
    <col min="200" max="201" width="9.140625" style="85"/>
    <col min="202" max="202" width="2.28515625" style="85" customWidth="1"/>
    <col min="203" max="16384" width="9.140625" style="85"/>
  </cols>
  <sheetData>
    <row r="1" spans="1:203">
      <c r="A1" s="83" t="s">
        <v>206</v>
      </c>
      <c r="B1" s="23"/>
      <c r="C1" s="23"/>
      <c r="D1" s="23"/>
      <c r="E1" s="84">
        <f>IF(SUM(GQ:GT)&gt;0,1,0)</f>
        <v>0</v>
      </c>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row>
    <row r="2" spans="1:203" ht="15.75">
      <c r="A2" s="25" t="s">
        <v>355</v>
      </c>
    </row>
    <row r="3" spans="1:203" ht="15.75">
      <c r="A3"/>
      <c r="Q3" s="167">
        <v>41944</v>
      </c>
    </row>
    <row r="4" spans="1:203" ht="20.25" customHeight="1"/>
    <row r="5" spans="1:203" s="87" customFormat="1" ht="12" customHeight="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c r="EC5" s="86"/>
      <c r="ED5" s="86"/>
      <c r="EE5" s="86"/>
      <c r="EF5" s="86"/>
      <c r="EG5" s="86"/>
      <c r="EH5" s="86"/>
      <c r="EI5" s="86"/>
      <c r="EJ5" s="86"/>
      <c r="EK5" s="86"/>
      <c r="EL5" s="86"/>
      <c r="EM5" s="86"/>
      <c r="EN5" s="86"/>
      <c r="EO5" s="86"/>
      <c r="EP5" s="86"/>
      <c r="EQ5" s="86"/>
      <c r="ER5" s="86"/>
      <c r="ES5" s="86"/>
      <c r="ET5" s="86"/>
      <c r="EU5" s="86"/>
      <c r="EV5" s="86"/>
      <c r="EW5" s="86"/>
      <c r="EX5" s="86"/>
      <c r="EY5" s="86"/>
      <c r="EZ5" s="86"/>
      <c r="FA5" s="86"/>
      <c r="FB5" s="86"/>
      <c r="FC5" s="86"/>
      <c r="FD5" s="86"/>
      <c r="FE5" s="86"/>
      <c r="FF5" s="86"/>
      <c r="FG5" s="86"/>
      <c r="FH5" s="86"/>
      <c r="FI5" s="86"/>
      <c r="FJ5" s="86"/>
      <c r="FK5" s="86"/>
      <c r="FL5" s="86"/>
      <c r="FM5" s="86"/>
      <c r="FN5" s="86"/>
      <c r="FO5" s="86"/>
      <c r="FP5" s="86"/>
      <c r="FQ5" s="86"/>
      <c r="FR5" s="86"/>
      <c r="FS5" s="86"/>
      <c r="FT5" s="86"/>
      <c r="FU5" s="86"/>
      <c r="FV5" s="86"/>
      <c r="FW5" s="86"/>
      <c r="FX5" s="86"/>
      <c r="FY5" s="86"/>
      <c r="FZ5" s="86"/>
      <c r="GA5" s="86"/>
      <c r="GB5" s="86"/>
      <c r="GC5" s="86"/>
      <c r="GD5" s="86"/>
      <c r="GE5" s="86"/>
      <c r="GF5" s="86"/>
      <c r="GG5" s="86"/>
      <c r="GH5" s="86"/>
      <c r="GI5" s="86"/>
      <c r="GJ5" s="86"/>
      <c r="GK5" s="86"/>
      <c r="GL5" s="86"/>
      <c r="GM5" s="86"/>
      <c r="GN5" s="86"/>
      <c r="GO5" s="86"/>
      <c r="GP5" s="86"/>
      <c r="GQ5" s="86"/>
      <c r="GR5" s="86"/>
      <c r="GS5" s="86"/>
      <c r="GT5" s="86"/>
      <c r="GU5" s="86"/>
    </row>
    <row r="6" spans="1:203" hidden="1" outlineLevel="1">
      <c r="GQ6" s="88"/>
      <c r="GR6" s="89" t="s">
        <v>140</v>
      </c>
      <c r="GS6" s="89" t="s">
        <v>141</v>
      </c>
      <c r="GT6" s="88"/>
    </row>
    <row r="7" spans="1:203" hidden="1" outlineLevel="1">
      <c r="F7" s="90" t="s">
        <v>142</v>
      </c>
      <c r="G7" s="90" t="s">
        <v>143</v>
      </c>
      <c r="H7" s="90" t="s">
        <v>144</v>
      </c>
      <c r="I7" s="90" t="s">
        <v>145</v>
      </c>
      <c r="J7" s="90" t="s">
        <v>146</v>
      </c>
      <c r="K7" s="90" t="s">
        <v>147</v>
      </c>
      <c r="L7" s="90" t="s">
        <v>148</v>
      </c>
      <c r="M7" s="90" t="s">
        <v>149</v>
      </c>
      <c r="N7" s="90" t="s">
        <v>150</v>
      </c>
      <c r="O7" s="90" t="s">
        <v>151</v>
      </c>
      <c r="P7" s="90" t="s">
        <v>152</v>
      </c>
      <c r="Q7" s="90" t="s">
        <v>153</v>
      </c>
      <c r="GQ7" s="88"/>
      <c r="GR7" s="89"/>
      <c r="GS7" s="89"/>
      <c r="GT7" s="88"/>
    </row>
    <row r="8" spans="1:203" collapsed="1">
      <c r="GQ8" s="88"/>
      <c r="GR8" s="89"/>
      <c r="GS8" s="89"/>
      <c r="GT8" s="88"/>
    </row>
    <row r="9" spans="1:203">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86"/>
      <c r="EA9" s="86"/>
      <c r="EB9" s="86"/>
      <c r="EC9" s="86"/>
      <c r="ED9" s="86"/>
      <c r="EE9" s="86"/>
      <c r="EF9" s="86"/>
      <c r="EG9" s="86"/>
      <c r="EH9" s="86"/>
      <c r="EI9" s="86"/>
      <c r="EJ9" s="86"/>
      <c r="EK9" s="86"/>
      <c r="EL9" s="86"/>
      <c r="EM9" s="86"/>
      <c r="EN9" s="86"/>
      <c r="EO9" s="86"/>
      <c r="EP9" s="86"/>
      <c r="EQ9" s="86"/>
      <c r="ER9" s="86"/>
      <c r="ES9" s="86"/>
      <c r="ET9" s="86"/>
      <c r="EU9" s="86"/>
      <c r="EV9" s="86"/>
      <c r="EW9" s="86"/>
      <c r="EX9" s="86"/>
      <c r="EY9" s="86"/>
      <c r="EZ9" s="86"/>
      <c r="FA9" s="86"/>
      <c r="FB9" s="86"/>
      <c r="FC9" s="86"/>
      <c r="FD9" s="86"/>
      <c r="FE9" s="86"/>
      <c r="FF9" s="86"/>
      <c r="FG9" s="86"/>
      <c r="FH9" s="86"/>
      <c r="FI9" s="86"/>
      <c r="FJ9" s="86"/>
      <c r="FK9" s="86"/>
      <c r="FL9" s="86"/>
      <c r="FM9" s="86"/>
      <c r="FN9" s="86"/>
      <c r="FO9" s="86"/>
      <c r="FP9" s="86"/>
      <c r="FQ9" s="86"/>
      <c r="FR9" s="86"/>
      <c r="FS9" s="86"/>
      <c r="FT9" s="86"/>
      <c r="FU9" s="86"/>
      <c r="FV9" s="86"/>
      <c r="FW9" s="86"/>
      <c r="FX9" s="86"/>
      <c r="FY9" s="86"/>
      <c r="FZ9" s="86"/>
      <c r="GA9" s="86"/>
      <c r="GB9" s="86"/>
      <c r="GC9" s="86"/>
      <c r="GD9" s="86"/>
      <c r="GE9" s="86"/>
      <c r="GF9" s="86"/>
      <c r="GG9" s="86"/>
      <c r="GH9" s="86"/>
      <c r="GI9" s="86"/>
      <c r="GJ9" s="86"/>
      <c r="GK9" s="86"/>
      <c r="GL9" s="86"/>
      <c r="GM9" s="86"/>
      <c r="GN9" s="86"/>
      <c r="GO9" s="86"/>
      <c r="GP9" s="86"/>
      <c r="GQ9" s="86"/>
      <c r="GR9" s="86"/>
      <c r="GS9" s="86"/>
      <c r="GT9" s="86"/>
      <c r="GU9" s="86"/>
    </row>
    <row r="10" spans="1:203">
      <c r="GQ10" s="88"/>
      <c r="GR10" s="89"/>
      <c r="GS10" s="89"/>
      <c r="GT10" s="88"/>
    </row>
    <row r="11" spans="1:203">
      <c r="A11" s="91" t="s">
        <v>155</v>
      </c>
      <c r="F11" s="92">
        <f>ProjectStartDate</f>
        <v>41944</v>
      </c>
      <c r="G11" s="93">
        <f t="shared" ref="G11:BR11" si="0">F12+1</f>
        <v>41974</v>
      </c>
      <c r="H11" s="93">
        <f t="shared" si="0"/>
        <v>42005</v>
      </c>
      <c r="I11" s="93">
        <f t="shared" si="0"/>
        <v>42036</v>
      </c>
      <c r="J11" s="93">
        <f t="shared" si="0"/>
        <v>42064</v>
      </c>
      <c r="K11" s="93">
        <f t="shared" si="0"/>
        <v>42095</v>
      </c>
      <c r="L11" s="93">
        <f t="shared" si="0"/>
        <v>42125</v>
      </c>
      <c r="M11" s="93">
        <f t="shared" si="0"/>
        <v>42156</v>
      </c>
      <c r="N11" s="93">
        <f t="shared" si="0"/>
        <v>42186</v>
      </c>
      <c r="O11" s="93">
        <f t="shared" si="0"/>
        <v>42217</v>
      </c>
      <c r="P11" s="93">
        <f t="shared" si="0"/>
        <v>42248</v>
      </c>
      <c r="Q11" s="93">
        <f t="shared" si="0"/>
        <v>42278</v>
      </c>
      <c r="R11" s="93">
        <f t="shared" si="0"/>
        <v>42309</v>
      </c>
      <c r="S11" s="93">
        <f t="shared" si="0"/>
        <v>42339</v>
      </c>
      <c r="T11" s="93">
        <f t="shared" si="0"/>
        <v>42370</v>
      </c>
      <c r="U11" s="93">
        <f t="shared" si="0"/>
        <v>42401</v>
      </c>
      <c r="V11" s="93">
        <f t="shared" si="0"/>
        <v>42430</v>
      </c>
      <c r="W11" s="93">
        <f t="shared" si="0"/>
        <v>42461</v>
      </c>
      <c r="X11" s="93">
        <f t="shared" si="0"/>
        <v>42491</v>
      </c>
      <c r="Y11" s="93">
        <f t="shared" si="0"/>
        <v>42522</v>
      </c>
      <c r="Z11" s="93">
        <f t="shared" si="0"/>
        <v>42552</v>
      </c>
      <c r="AA11" s="93">
        <f t="shared" si="0"/>
        <v>42583</v>
      </c>
      <c r="AB11" s="93">
        <f t="shared" si="0"/>
        <v>42614</v>
      </c>
      <c r="AC11" s="93">
        <f t="shared" si="0"/>
        <v>42644</v>
      </c>
      <c r="AD11" s="93">
        <f t="shared" si="0"/>
        <v>42675</v>
      </c>
      <c r="AE11" s="93">
        <f t="shared" si="0"/>
        <v>42705</v>
      </c>
      <c r="AF11" s="93">
        <f t="shared" si="0"/>
        <v>42736</v>
      </c>
      <c r="AG11" s="93">
        <f t="shared" si="0"/>
        <v>42767</v>
      </c>
      <c r="AH11" s="93">
        <f t="shared" si="0"/>
        <v>42795</v>
      </c>
      <c r="AI11" s="93">
        <f t="shared" si="0"/>
        <v>42826</v>
      </c>
      <c r="AJ11" s="93">
        <f t="shared" si="0"/>
        <v>42856</v>
      </c>
      <c r="AK11" s="93">
        <f t="shared" si="0"/>
        <v>42887</v>
      </c>
      <c r="AL11" s="93">
        <f t="shared" si="0"/>
        <v>42917</v>
      </c>
      <c r="AM11" s="93">
        <f t="shared" si="0"/>
        <v>42948</v>
      </c>
      <c r="AN11" s="93">
        <f t="shared" si="0"/>
        <v>42979</v>
      </c>
      <c r="AO11" s="93">
        <f t="shared" si="0"/>
        <v>43009</v>
      </c>
      <c r="AP11" s="93">
        <f t="shared" si="0"/>
        <v>43040</v>
      </c>
      <c r="AQ11" s="93">
        <f t="shared" si="0"/>
        <v>43070</v>
      </c>
      <c r="AR11" s="93">
        <f t="shared" si="0"/>
        <v>43101</v>
      </c>
      <c r="AS11" s="93">
        <f t="shared" si="0"/>
        <v>43132</v>
      </c>
      <c r="AT11" s="93">
        <f t="shared" si="0"/>
        <v>43160</v>
      </c>
      <c r="AU11" s="93">
        <f t="shared" si="0"/>
        <v>43191</v>
      </c>
      <c r="AV11" s="93">
        <f t="shared" si="0"/>
        <v>43221</v>
      </c>
      <c r="AW11" s="93">
        <f t="shared" si="0"/>
        <v>43252</v>
      </c>
      <c r="AX11" s="93">
        <f t="shared" si="0"/>
        <v>43282</v>
      </c>
      <c r="AY11" s="93">
        <f t="shared" si="0"/>
        <v>43313</v>
      </c>
      <c r="AZ11" s="93">
        <f t="shared" si="0"/>
        <v>43344</v>
      </c>
      <c r="BA11" s="93">
        <f t="shared" si="0"/>
        <v>43374</v>
      </c>
      <c r="BB11" s="93">
        <f t="shared" si="0"/>
        <v>43405</v>
      </c>
      <c r="BC11" s="93">
        <f t="shared" si="0"/>
        <v>43435</v>
      </c>
      <c r="BD11" s="93">
        <f t="shared" si="0"/>
        <v>43466</v>
      </c>
      <c r="BE11" s="93">
        <f t="shared" si="0"/>
        <v>43497</v>
      </c>
      <c r="BF11" s="93">
        <f t="shared" si="0"/>
        <v>43525</v>
      </c>
      <c r="BG11" s="93">
        <f t="shared" si="0"/>
        <v>43556</v>
      </c>
      <c r="BH11" s="93">
        <f t="shared" si="0"/>
        <v>43586</v>
      </c>
      <c r="BI11" s="93">
        <f t="shared" si="0"/>
        <v>43617</v>
      </c>
      <c r="BJ11" s="93">
        <f t="shared" si="0"/>
        <v>43647</v>
      </c>
      <c r="BK11" s="93">
        <f t="shared" si="0"/>
        <v>43678</v>
      </c>
      <c r="BL11" s="93">
        <f t="shared" si="0"/>
        <v>43709</v>
      </c>
      <c r="BM11" s="93">
        <f t="shared" si="0"/>
        <v>43739</v>
      </c>
      <c r="BN11" s="93">
        <f t="shared" si="0"/>
        <v>43770</v>
      </c>
      <c r="BO11" s="93">
        <f t="shared" si="0"/>
        <v>43800</v>
      </c>
      <c r="BP11" s="93">
        <f t="shared" si="0"/>
        <v>43831</v>
      </c>
      <c r="BQ11" s="93">
        <f t="shared" si="0"/>
        <v>43862</v>
      </c>
      <c r="BR11" s="93">
        <f t="shared" si="0"/>
        <v>43891</v>
      </c>
      <c r="BS11" s="93">
        <f t="shared" ref="BS11:ED11" si="1">BR12+1</f>
        <v>43922</v>
      </c>
      <c r="BT11" s="93">
        <f t="shared" si="1"/>
        <v>43952</v>
      </c>
      <c r="BU11" s="93">
        <f t="shared" si="1"/>
        <v>43983</v>
      </c>
      <c r="BV11" s="93">
        <f t="shared" si="1"/>
        <v>44013</v>
      </c>
      <c r="BW11" s="93">
        <f t="shared" si="1"/>
        <v>44044</v>
      </c>
      <c r="BX11" s="93">
        <f t="shared" si="1"/>
        <v>44075</v>
      </c>
      <c r="BY11" s="93">
        <f t="shared" si="1"/>
        <v>44105</v>
      </c>
      <c r="BZ11" s="93">
        <f t="shared" si="1"/>
        <v>44136</v>
      </c>
      <c r="CA11" s="93">
        <f t="shared" si="1"/>
        <v>44166</v>
      </c>
      <c r="CB11" s="93">
        <f t="shared" si="1"/>
        <v>44197</v>
      </c>
      <c r="CC11" s="93">
        <f t="shared" si="1"/>
        <v>44228</v>
      </c>
      <c r="CD11" s="93">
        <f t="shared" si="1"/>
        <v>44256</v>
      </c>
      <c r="CE11" s="93">
        <f t="shared" si="1"/>
        <v>44287</v>
      </c>
      <c r="CF11" s="93">
        <f t="shared" si="1"/>
        <v>44317</v>
      </c>
      <c r="CG11" s="93">
        <f t="shared" si="1"/>
        <v>44348</v>
      </c>
      <c r="CH11" s="93">
        <f t="shared" si="1"/>
        <v>44378</v>
      </c>
      <c r="CI11" s="93">
        <f t="shared" si="1"/>
        <v>44409</v>
      </c>
      <c r="CJ11" s="93">
        <f t="shared" si="1"/>
        <v>44440</v>
      </c>
      <c r="CK11" s="93">
        <f t="shared" si="1"/>
        <v>44470</v>
      </c>
      <c r="CL11" s="93">
        <f t="shared" si="1"/>
        <v>44501</v>
      </c>
      <c r="CM11" s="93">
        <f t="shared" si="1"/>
        <v>44531</v>
      </c>
      <c r="CN11" s="93">
        <f t="shared" si="1"/>
        <v>44562</v>
      </c>
      <c r="CO11" s="93">
        <f t="shared" si="1"/>
        <v>44593</v>
      </c>
      <c r="CP11" s="93">
        <f t="shared" si="1"/>
        <v>44621</v>
      </c>
      <c r="CQ11" s="93">
        <f t="shared" si="1"/>
        <v>44652</v>
      </c>
      <c r="CR11" s="93">
        <f t="shared" si="1"/>
        <v>44682</v>
      </c>
      <c r="CS11" s="93">
        <f t="shared" si="1"/>
        <v>44713</v>
      </c>
      <c r="CT11" s="93">
        <f t="shared" si="1"/>
        <v>44743</v>
      </c>
      <c r="CU11" s="93">
        <f t="shared" si="1"/>
        <v>44774</v>
      </c>
      <c r="CV11" s="93">
        <f t="shared" si="1"/>
        <v>44805</v>
      </c>
      <c r="CW11" s="93">
        <f t="shared" si="1"/>
        <v>44835</v>
      </c>
      <c r="CX11" s="93">
        <f t="shared" si="1"/>
        <v>44866</v>
      </c>
      <c r="CY11" s="93">
        <f t="shared" si="1"/>
        <v>44896</v>
      </c>
      <c r="CZ11" s="93">
        <f t="shared" si="1"/>
        <v>44927</v>
      </c>
      <c r="DA11" s="93">
        <f t="shared" si="1"/>
        <v>44958</v>
      </c>
      <c r="DB11" s="93">
        <f t="shared" si="1"/>
        <v>44986</v>
      </c>
      <c r="DC11" s="93">
        <f t="shared" si="1"/>
        <v>45017</v>
      </c>
      <c r="DD11" s="93">
        <f t="shared" si="1"/>
        <v>45047</v>
      </c>
      <c r="DE11" s="93">
        <f t="shared" si="1"/>
        <v>45078</v>
      </c>
      <c r="DF11" s="93">
        <f t="shared" si="1"/>
        <v>45108</v>
      </c>
      <c r="DG11" s="93">
        <f t="shared" si="1"/>
        <v>45139</v>
      </c>
      <c r="DH11" s="93">
        <f t="shared" si="1"/>
        <v>45170</v>
      </c>
      <c r="DI11" s="93">
        <f t="shared" si="1"/>
        <v>45200</v>
      </c>
      <c r="DJ11" s="93">
        <f t="shared" si="1"/>
        <v>45231</v>
      </c>
      <c r="DK11" s="93">
        <f t="shared" si="1"/>
        <v>45261</v>
      </c>
      <c r="DL11" s="93">
        <f t="shared" si="1"/>
        <v>45292</v>
      </c>
      <c r="DM11" s="93">
        <f t="shared" si="1"/>
        <v>45323</v>
      </c>
      <c r="DN11" s="93">
        <f t="shared" si="1"/>
        <v>45352</v>
      </c>
      <c r="DO11" s="93">
        <f t="shared" si="1"/>
        <v>45383</v>
      </c>
      <c r="DP11" s="93">
        <f t="shared" si="1"/>
        <v>45413</v>
      </c>
      <c r="DQ11" s="93">
        <f t="shared" si="1"/>
        <v>45444</v>
      </c>
      <c r="DR11" s="93">
        <f t="shared" si="1"/>
        <v>45474</v>
      </c>
      <c r="DS11" s="93">
        <f t="shared" si="1"/>
        <v>45505</v>
      </c>
      <c r="DT11" s="93">
        <f t="shared" si="1"/>
        <v>45536</v>
      </c>
      <c r="DU11" s="93">
        <f t="shared" si="1"/>
        <v>45566</v>
      </c>
      <c r="DV11" s="93">
        <f t="shared" si="1"/>
        <v>45597</v>
      </c>
      <c r="DW11" s="93">
        <f t="shared" si="1"/>
        <v>45627</v>
      </c>
      <c r="DX11" s="93">
        <f t="shared" si="1"/>
        <v>45658</v>
      </c>
      <c r="DY11" s="93">
        <f t="shared" si="1"/>
        <v>45689</v>
      </c>
      <c r="DZ11" s="93">
        <f t="shared" si="1"/>
        <v>45717</v>
      </c>
      <c r="EA11" s="93">
        <f t="shared" si="1"/>
        <v>45748</v>
      </c>
      <c r="EB11" s="93">
        <f t="shared" si="1"/>
        <v>45778</v>
      </c>
      <c r="EC11" s="93">
        <f t="shared" si="1"/>
        <v>45809</v>
      </c>
      <c r="ED11" s="93">
        <f t="shared" si="1"/>
        <v>45839</v>
      </c>
      <c r="EE11" s="93">
        <f t="shared" ref="EE11:GO11" si="2">ED12+1</f>
        <v>45870</v>
      </c>
      <c r="EF11" s="93">
        <f t="shared" si="2"/>
        <v>45901</v>
      </c>
      <c r="EG11" s="93">
        <f t="shared" si="2"/>
        <v>45931</v>
      </c>
      <c r="EH11" s="93">
        <f t="shared" si="2"/>
        <v>45962</v>
      </c>
      <c r="EI11" s="93">
        <f t="shared" si="2"/>
        <v>45992</v>
      </c>
      <c r="EJ11" s="93">
        <f t="shared" si="2"/>
        <v>46023</v>
      </c>
      <c r="EK11" s="93">
        <f t="shared" si="2"/>
        <v>46054</v>
      </c>
      <c r="EL11" s="93">
        <f t="shared" si="2"/>
        <v>46082</v>
      </c>
      <c r="EM11" s="93">
        <f t="shared" si="2"/>
        <v>46113</v>
      </c>
      <c r="EN11" s="93">
        <f t="shared" si="2"/>
        <v>46143</v>
      </c>
      <c r="EO11" s="93">
        <f t="shared" si="2"/>
        <v>46174</v>
      </c>
      <c r="EP11" s="93">
        <f t="shared" si="2"/>
        <v>46204</v>
      </c>
      <c r="EQ11" s="93">
        <f t="shared" si="2"/>
        <v>46235</v>
      </c>
      <c r="ER11" s="93">
        <f t="shared" si="2"/>
        <v>46266</v>
      </c>
      <c r="ES11" s="93">
        <f t="shared" si="2"/>
        <v>46296</v>
      </c>
      <c r="ET11" s="93">
        <f t="shared" si="2"/>
        <v>46327</v>
      </c>
      <c r="EU11" s="93">
        <f t="shared" si="2"/>
        <v>46357</v>
      </c>
      <c r="EV11" s="93">
        <f t="shared" si="2"/>
        <v>46388</v>
      </c>
      <c r="EW11" s="93">
        <f t="shared" si="2"/>
        <v>46419</v>
      </c>
      <c r="EX11" s="93">
        <f t="shared" si="2"/>
        <v>46447</v>
      </c>
      <c r="EY11" s="93">
        <f t="shared" si="2"/>
        <v>46478</v>
      </c>
      <c r="EZ11" s="93">
        <f t="shared" si="2"/>
        <v>46508</v>
      </c>
      <c r="FA11" s="93">
        <f t="shared" si="2"/>
        <v>46539</v>
      </c>
      <c r="FB11" s="93">
        <f t="shared" si="2"/>
        <v>46569</v>
      </c>
      <c r="FC11" s="93">
        <f t="shared" si="2"/>
        <v>46600</v>
      </c>
      <c r="FD11" s="93">
        <f t="shared" si="2"/>
        <v>46631</v>
      </c>
      <c r="FE11" s="93">
        <f t="shared" si="2"/>
        <v>46661</v>
      </c>
      <c r="FF11" s="93">
        <f t="shared" si="2"/>
        <v>46692</v>
      </c>
      <c r="FG11" s="93">
        <f t="shared" si="2"/>
        <v>46722</v>
      </c>
      <c r="FH11" s="93">
        <f t="shared" si="2"/>
        <v>46753</v>
      </c>
      <c r="FI11" s="93">
        <f t="shared" si="2"/>
        <v>46784</v>
      </c>
      <c r="FJ11" s="93">
        <f t="shared" si="2"/>
        <v>46813</v>
      </c>
      <c r="FK11" s="93">
        <f t="shared" si="2"/>
        <v>46844</v>
      </c>
      <c r="FL11" s="93">
        <f t="shared" si="2"/>
        <v>46874</v>
      </c>
      <c r="FM11" s="93">
        <f t="shared" si="2"/>
        <v>46905</v>
      </c>
      <c r="FN11" s="93">
        <f t="shared" si="2"/>
        <v>46935</v>
      </c>
      <c r="FO11" s="93">
        <f t="shared" si="2"/>
        <v>46966</v>
      </c>
      <c r="FP11" s="93">
        <f t="shared" si="2"/>
        <v>46997</v>
      </c>
      <c r="FQ11" s="93">
        <f t="shared" si="2"/>
        <v>47027</v>
      </c>
      <c r="FR11" s="93">
        <f t="shared" si="2"/>
        <v>47058</v>
      </c>
      <c r="FS11" s="93">
        <f t="shared" si="2"/>
        <v>47088</v>
      </c>
      <c r="FT11" s="93">
        <f t="shared" si="2"/>
        <v>47119</v>
      </c>
      <c r="FU11" s="93">
        <f t="shared" si="2"/>
        <v>47150</v>
      </c>
      <c r="FV11" s="93">
        <f t="shared" si="2"/>
        <v>47178</v>
      </c>
      <c r="FW11" s="93">
        <f t="shared" si="2"/>
        <v>47209</v>
      </c>
      <c r="FX11" s="93">
        <f t="shared" si="2"/>
        <v>47239</v>
      </c>
      <c r="FY11" s="93">
        <f t="shared" si="2"/>
        <v>47270</v>
      </c>
      <c r="FZ11" s="93">
        <f t="shared" si="2"/>
        <v>47300</v>
      </c>
      <c r="GA11" s="93">
        <f t="shared" si="2"/>
        <v>47331</v>
      </c>
      <c r="GB11" s="93">
        <f t="shared" si="2"/>
        <v>47362</v>
      </c>
      <c r="GC11" s="93">
        <f t="shared" si="2"/>
        <v>47392</v>
      </c>
      <c r="GD11" s="93">
        <f t="shared" si="2"/>
        <v>47423</v>
      </c>
      <c r="GE11" s="93">
        <f t="shared" si="2"/>
        <v>47453</v>
      </c>
      <c r="GF11" s="93">
        <f t="shared" si="2"/>
        <v>47484</v>
      </c>
      <c r="GG11" s="93">
        <f t="shared" si="2"/>
        <v>47515</v>
      </c>
      <c r="GH11" s="93">
        <f t="shared" si="2"/>
        <v>47543</v>
      </c>
      <c r="GI11" s="93">
        <f t="shared" si="2"/>
        <v>47574</v>
      </c>
      <c r="GJ11" s="93">
        <f t="shared" si="2"/>
        <v>47604</v>
      </c>
      <c r="GK11" s="93">
        <f t="shared" si="2"/>
        <v>47635</v>
      </c>
      <c r="GL11" s="93">
        <f t="shared" si="2"/>
        <v>47665</v>
      </c>
      <c r="GM11" s="93">
        <f t="shared" si="2"/>
        <v>47696</v>
      </c>
      <c r="GN11" s="93">
        <f t="shared" si="2"/>
        <v>47727</v>
      </c>
      <c r="GO11" s="93">
        <f t="shared" si="2"/>
        <v>47757</v>
      </c>
      <c r="GQ11" s="88"/>
      <c r="GR11" s="94"/>
      <c r="GS11" s="94"/>
      <c r="GT11" s="88"/>
    </row>
    <row r="12" spans="1:203">
      <c r="A12" s="95" t="s">
        <v>156</v>
      </c>
      <c r="F12" s="92">
        <f t="shared" ref="F12:BQ12" si="3">DATE(YEAR(F11),MONTH(F11)+1,DAY(F11)-1)</f>
        <v>41973</v>
      </c>
      <c r="G12" s="93">
        <f t="shared" si="3"/>
        <v>42004</v>
      </c>
      <c r="H12" s="93">
        <f t="shared" si="3"/>
        <v>42035</v>
      </c>
      <c r="I12" s="93">
        <f t="shared" si="3"/>
        <v>42063</v>
      </c>
      <c r="J12" s="93">
        <f t="shared" si="3"/>
        <v>42094</v>
      </c>
      <c r="K12" s="93">
        <f t="shared" si="3"/>
        <v>42124</v>
      </c>
      <c r="L12" s="93">
        <f t="shared" si="3"/>
        <v>42155</v>
      </c>
      <c r="M12" s="93">
        <f t="shared" si="3"/>
        <v>42185</v>
      </c>
      <c r="N12" s="93">
        <f t="shared" si="3"/>
        <v>42216</v>
      </c>
      <c r="O12" s="93">
        <f t="shared" si="3"/>
        <v>42247</v>
      </c>
      <c r="P12" s="93">
        <f t="shared" si="3"/>
        <v>42277</v>
      </c>
      <c r="Q12" s="93">
        <f t="shared" si="3"/>
        <v>42308</v>
      </c>
      <c r="R12" s="93">
        <f t="shared" si="3"/>
        <v>42338</v>
      </c>
      <c r="S12" s="93">
        <f t="shared" si="3"/>
        <v>42369</v>
      </c>
      <c r="T12" s="93">
        <f t="shared" si="3"/>
        <v>42400</v>
      </c>
      <c r="U12" s="93">
        <f t="shared" si="3"/>
        <v>42429</v>
      </c>
      <c r="V12" s="93">
        <f t="shared" si="3"/>
        <v>42460</v>
      </c>
      <c r="W12" s="93">
        <f t="shared" si="3"/>
        <v>42490</v>
      </c>
      <c r="X12" s="93">
        <f t="shared" si="3"/>
        <v>42521</v>
      </c>
      <c r="Y12" s="93">
        <f t="shared" si="3"/>
        <v>42551</v>
      </c>
      <c r="Z12" s="93">
        <f t="shared" si="3"/>
        <v>42582</v>
      </c>
      <c r="AA12" s="93">
        <f t="shared" si="3"/>
        <v>42613</v>
      </c>
      <c r="AB12" s="93">
        <f t="shared" si="3"/>
        <v>42643</v>
      </c>
      <c r="AC12" s="93">
        <f t="shared" si="3"/>
        <v>42674</v>
      </c>
      <c r="AD12" s="93">
        <f t="shared" si="3"/>
        <v>42704</v>
      </c>
      <c r="AE12" s="93">
        <f t="shared" si="3"/>
        <v>42735</v>
      </c>
      <c r="AF12" s="93">
        <f t="shared" si="3"/>
        <v>42766</v>
      </c>
      <c r="AG12" s="93">
        <f t="shared" si="3"/>
        <v>42794</v>
      </c>
      <c r="AH12" s="93">
        <f t="shared" si="3"/>
        <v>42825</v>
      </c>
      <c r="AI12" s="93">
        <f t="shared" si="3"/>
        <v>42855</v>
      </c>
      <c r="AJ12" s="93">
        <f t="shared" si="3"/>
        <v>42886</v>
      </c>
      <c r="AK12" s="93">
        <f t="shared" si="3"/>
        <v>42916</v>
      </c>
      <c r="AL12" s="93">
        <f t="shared" si="3"/>
        <v>42947</v>
      </c>
      <c r="AM12" s="93">
        <f t="shared" si="3"/>
        <v>42978</v>
      </c>
      <c r="AN12" s="93">
        <f t="shared" si="3"/>
        <v>43008</v>
      </c>
      <c r="AO12" s="93">
        <f t="shared" si="3"/>
        <v>43039</v>
      </c>
      <c r="AP12" s="93">
        <f t="shared" si="3"/>
        <v>43069</v>
      </c>
      <c r="AQ12" s="93">
        <f t="shared" si="3"/>
        <v>43100</v>
      </c>
      <c r="AR12" s="93">
        <f t="shared" si="3"/>
        <v>43131</v>
      </c>
      <c r="AS12" s="93">
        <f t="shared" si="3"/>
        <v>43159</v>
      </c>
      <c r="AT12" s="93">
        <f t="shared" si="3"/>
        <v>43190</v>
      </c>
      <c r="AU12" s="93">
        <f t="shared" si="3"/>
        <v>43220</v>
      </c>
      <c r="AV12" s="93">
        <f t="shared" si="3"/>
        <v>43251</v>
      </c>
      <c r="AW12" s="93">
        <f t="shared" si="3"/>
        <v>43281</v>
      </c>
      <c r="AX12" s="93">
        <f t="shared" si="3"/>
        <v>43312</v>
      </c>
      <c r="AY12" s="93">
        <f t="shared" si="3"/>
        <v>43343</v>
      </c>
      <c r="AZ12" s="93">
        <f t="shared" si="3"/>
        <v>43373</v>
      </c>
      <c r="BA12" s="93">
        <f t="shared" si="3"/>
        <v>43404</v>
      </c>
      <c r="BB12" s="93">
        <f t="shared" si="3"/>
        <v>43434</v>
      </c>
      <c r="BC12" s="93">
        <f t="shared" si="3"/>
        <v>43465</v>
      </c>
      <c r="BD12" s="93">
        <f t="shared" si="3"/>
        <v>43496</v>
      </c>
      <c r="BE12" s="93">
        <f t="shared" si="3"/>
        <v>43524</v>
      </c>
      <c r="BF12" s="93">
        <f t="shared" si="3"/>
        <v>43555</v>
      </c>
      <c r="BG12" s="93">
        <f t="shared" si="3"/>
        <v>43585</v>
      </c>
      <c r="BH12" s="93">
        <f t="shared" si="3"/>
        <v>43616</v>
      </c>
      <c r="BI12" s="93">
        <f t="shared" si="3"/>
        <v>43646</v>
      </c>
      <c r="BJ12" s="93">
        <f t="shared" si="3"/>
        <v>43677</v>
      </c>
      <c r="BK12" s="93">
        <f t="shared" si="3"/>
        <v>43708</v>
      </c>
      <c r="BL12" s="93">
        <f t="shared" si="3"/>
        <v>43738</v>
      </c>
      <c r="BM12" s="93">
        <f t="shared" si="3"/>
        <v>43769</v>
      </c>
      <c r="BN12" s="93">
        <f t="shared" si="3"/>
        <v>43799</v>
      </c>
      <c r="BO12" s="93">
        <f t="shared" si="3"/>
        <v>43830</v>
      </c>
      <c r="BP12" s="93">
        <f t="shared" si="3"/>
        <v>43861</v>
      </c>
      <c r="BQ12" s="93">
        <f t="shared" si="3"/>
        <v>43890</v>
      </c>
      <c r="BR12" s="93">
        <f t="shared" ref="BR12:EC12" si="4">DATE(YEAR(BR11),MONTH(BR11)+1,DAY(BR11)-1)</f>
        <v>43921</v>
      </c>
      <c r="BS12" s="93">
        <f t="shared" si="4"/>
        <v>43951</v>
      </c>
      <c r="BT12" s="93">
        <f t="shared" si="4"/>
        <v>43982</v>
      </c>
      <c r="BU12" s="93">
        <f t="shared" si="4"/>
        <v>44012</v>
      </c>
      <c r="BV12" s="93">
        <f t="shared" si="4"/>
        <v>44043</v>
      </c>
      <c r="BW12" s="93">
        <f t="shared" si="4"/>
        <v>44074</v>
      </c>
      <c r="BX12" s="93">
        <f t="shared" si="4"/>
        <v>44104</v>
      </c>
      <c r="BY12" s="93">
        <f t="shared" si="4"/>
        <v>44135</v>
      </c>
      <c r="BZ12" s="93">
        <f t="shared" si="4"/>
        <v>44165</v>
      </c>
      <c r="CA12" s="93">
        <f t="shared" si="4"/>
        <v>44196</v>
      </c>
      <c r="CB12" s="93">
        <f t="shared" si="4"/>
        <v>44227</v>
      </c>
      <c r="CC12" s="93">
        <f t="shared" si="4"/>
        <v>44255</v>
      </c>
      <c r="CD12" s="93">
        <f t="shared" si="4"/>
        <v>44286</v>
      </c>
      <c r="CE12" s="93">
        <f t="shared" si="4"/>
        <v>44316</v>
      </c>
      <c r="CF12" s="93">
        <f t="shared" si="4"/>
        <v>44347</v>
      </c>
      <c r="CG12" s="93">
        <f t="shared" si="4"/>
        <v>44377</v>
      </c>
      <c r="CH12" s="93">
        <f t="shared" si="4"/>
        <v>44408</v>
      </c>
      <c r="CI12" s="93">
        <f t="shared" si="4"/>
        <v>44439</v>
      </c>
      <c r="CJ12" s="93">
        <f t="shared" si="4"/>
        <v>44469</v>
      </c>
      <c r="CK12" s="93">
        <f t="shared" si="4"/>
        <v>44500</v>
      </c>
      <c r="CL12" s="93">
        <f t="shared" si="4"/>
        <v>44530</v>
      </c>
      <c r="CM12" s="93">
        <f t="shared" si="4"/>
        <v>44561</v>
      </c>
      <c r="CN12" s="93">
        <f t="shared" si="4"/>
        <v>44592</v>
      </c>
      <c r="CO12" s="93">
        <f t="shared" si="4"/>
        <v>44620</v>
      </c>
      <c r="CP12" s="93">
        <f t="shared" si="4"/>
        <v>44651</v>
      </c>
      <c r="CQ12" s="93">
        <f t="shared" si="4"/>
        <v>44681</v>
      </c>
      <c r="CR12" s="93">
        <f t="shared" si="4"/>
        <v>44712</v>
      </c>
      <c r="CS12" s="93">
        <f t="shared" si="4"/>
        <v>44742</v>
      </c>
      <c r="CT12" s="93">
        <f t="shared" si="4"/>
        <v>44773</v>
      </c>
      <c r="CU12" s="93">
        <f t="shared" si="4"/>
        <v>44804</v>
      </c>
      <c r="CV12" s="93">
        <f t="shared" si="4"/>
        <v>44834</v>
      </c>
      <c r="CW12" s="93">
        <f t="shared" si="4"/>
        <v>44865</v>
      </c>
      <c r="CX12" s="93">
        <f t="shared" si="4"/>
        <v>44895</v>
      </c>
      <c r="CY12" s="93">
        <f t="shared" si="4"/>
        <v>44926</v>
      </c>
      <c r="CZ12" s="93">
        <f t="shared" si="4"/>
        <v>44957</v>
      </c>
      <c r="DA12" s="93">
        <f t="shared" si="4"/>
        <v>44985</v>
      </c>
      <c r="DB12" s="93">
        <f t="shared" si="4"/>
        <v>45016</v>
      </c>
      <c r="DC12" s="93">
        <f t="shared" si="4"/>
        <v>45046</v>
      </c>
      <c r="DD12" s="93">
        <f t="shared" si="4"/>
        <v>45077</v>
      </c>
      <c r="DE12" s="93">
        <f t="shared" si="4"/>
        <v>45107</v>
      </c>
      <c r="DF12" s="93">
        <f t="shared" si="4"/>
        <v>45138</v>
      </c>
      <c r="DG12" s="93">
        <f t="shared" si="4"/>
        <v>45169</v>
      </c>
      <c r="DH12" s="93">
        <f t="shared" si="4"/>
        <v>45199</v>
      </c>
      <c r="DI12" s="93">
        <f t="shared" si="4"/>
        <v>45230</v>
      </c>
      <c r="DJ12" s="93">
        <f t="shared" si="4"/>
        <v>45260</v>
      </c>
      <c r="DK12" s="93">
        <f t="shared" si="4"/>
        <v>45291</v>
      </c>
      <c r="DL12" s="93">
        <f t="shared" si="4"/>
        <v>45322</v>
      </c>
      <c r="DM12" s="93">
        <f t="shared" si="4"/>
        <v>45351</v>
      </c>
      <c r="DN12" s="93">
        <f t="shared" si="4"/>
        <v>45382</v>
      </c>
      <c r="DO12" s="93">
        <f t="shared" si="4"/>
        <v>45412</v>
      </c>
      <c r="DP12" s="93">
        <f t="shared" si="4"/>
        <v>45443</v>
      </c>
      <c r="DQ12" s="93">
        <f t="shared" si="4"/>
        <v>45473</v>
      </c>
      <c r="DR12" s="93">
        <f t="shared" si="4"/>
        <v>45504</v>
      </c>
      <c r="DS12" s="93">
        <f t="shared" si="4"/>
        <v>45535</v>
      </c>
      <c r="DT12" s="93">
        <f t="shared" si="4"/>
        <v>45565</v>
      </c>
      <c r="DU12" s="93">
        <f t="shared" si="4"/>
        <v>45596</v>
      </c>
      <c r="DV12" s="93">
        <f t="shared" si="4"/>
        <v>45626</v>
      </c>
      <c r="DW12" s="93">
        <f t="shared" si="4"/>
        <v>45657</v>
      </c>
      <c r="DX12" s="93">
        <f t="shared" si="4"/>
        <v>45688</v>
      </c>
      <c r="DY12" s="93">
        <f t="shared" si="4"/>
        <v>45716</v>
      </c>
      <c r="DZ12" s="93">
        <f t="shared" si="4"/>
        <v>45747</v>
      </c>
      <c r="EA12" s="93">
        <f t="shared" si="4"/>
        <v>45777</v>
      </c>
      <c r="EB12" s="93">
        <f t="shared" si="4"/>
        <v>45808</v>
      </c>
      <c r="EC12" s="93">
        <f t="shared" si="4"/>
        <v>45838</v>
      </c>
      <c r="ED12" s="93">
        <f t="shared" ref="ED12:GO12" si="5">DATE(YEAR(ED11),MONTH(ED11)+1,DAY(ED11)-1)</f>
        <v>45869</v>
      </c>
      <c r="EE12" s="93">
        <f t="shared" si="5"/>
        <v>45900</v>
      </c>
      <c r="EF12" s="93">
        <f t="shared" si="5"/>
        <v>45930</v>
      </c>
      <c r="EG12" s="93">
        <f t="shared" si="5"/>
        <v>45961</v>
      </c>
      <c r="EH12" s="93">
        <f t="shared" si="5"/>
        <v>45991</v>
      </c>
      <c r="EI12" s="93">
        <f t="shared" si="5"/>
        <v>46022</v>
      </c>
      <c r="EJ12" s="93">
        <f t="shared" si="5"/>
        <v>46053</v>
      </c>
      <c r="EK12" s="93">
        <f t="shared" si="5"/>
        <v>46081</v>
      </c>
      <c r="EL12" s="93">
        <f t="shared" si="5"/>
        <v>46112</v>
      </c>
      <c r="EM12" s="93">
        <f t="shared" si="5"/>
        <v>46142</v>
      </c>
      <c r="EN12" s="93">
        <f t="shared" si="5"/>
        <v>46173</v>
      </c>
      <c r="EO12" s="93">
        <f t="shared" si="5"/>
        <v>46203</v>
      </c>
      <c r="EP12" s="93">
        <f t="shared" si="5"/>
        <v>46234</v>
      </c>
      <c r="EQ12" s="93">
        <f t="shared" si="5"/>
        <v>46265</v>
      </c>
      <c r="ER12" s="93">
        <f t="shared" si="5"/>
        <v>46295</v>
      </c>
      <c r="ES12" s="93">
        <f t="shared" si="5"/>
        <v>46326</v>
      </c>
      <c r="ET12" s="93">
        <f t="shared" si="5"/>
        <v>46356</v>
      </c>
      <c r="EU12" s="93">
        <f t="shared" si="5"/>
        <v>46387</v>
      </c>
      <c r="EV12" s="93">
        <f t="shared" si="5"/>
        <v>46418</v>
      </c>
      <c r="EW12" s="93">
        <f t="shared" si="5"/>
        <v>46446</v>
      </c>
      <c r="EX12" s="93">
        <f t="shared" si="5"/>
        <v>46477</v>
      </c>
      <c r="EY12" s="93">
        <f t="shared" si="5"/>
        <v>46507</v>
      </c>
      <c r="EZ12" s="93">
        <f t="shared" si="5"/>
        <v>46538</v>
      </c>
      <c r="FA12" s="93">
        <f t="shared" si="5"/>
        <v>46568</v>
      </c>
      <c r="FB12" s="93">
        <f t="shared" si="5"/>
        <v>46599</v>
      </c>
      <c r="FC12" s="93">
        <f t="shared" si="5"/>
        <v>46630</v>
      </c>
      <c r="FD12" s="93">
        <f t="shared" si="5"/>
        <v>46660</v>
      </c>
      <c r="FE12" s="93">
        <f t="shared" si="5"/>
        <v>46691</v>
      </c>
      <c r="FF12" s="93">
        <f t="shared" si="5"/>
        <v>46721</v>
      </c>
      <c r="FG12" s="93">
        <f t="shared" si="5"/>
        <v>46752</v>
      </c>
      <c r="FH12" s="93">
        <f t="shared" si="5"/>
        <v>46783</v>
      </c>
      <c r="FI12" s="93">
        <f t="shared" si="5"/>
        <v>46812</v>
      </c>
      <c r="FJ12" s="93">
        <f t="shared" si="5"/>
        <v>46843</v>
      </c>
      <c r="FK12" s="93">
        <f t="shared" si="5"/>
        <v>46873</v>
      </c>
      <c r="FL12" s="93">
        <f t="shared" si="5"/>
        <v>46904</v>
      </c>
      <c r="FM12" s="93">
        <f t="shared" si="5"/>
        <v>46934</v>
      </c>
      <c r="FN12" s="93">
        <f t="shared" si="5"/>
        <v>46965</v>
      </c>
      <c r="FO12" s="93">
        <f t="shared" si="5"/>
        <v>46996</v>
      </c>
      <c r="FP12" s="93">
        <f t="shared" si="5"/>
        <v>47026</v>
      </c>
      <c r="FQ12" s="93">
        <f t="shared" si="5"/>
        <v>47057</v>
      </c>
      <c r="FR12" s="93">
        <f t="shared" si="5"/>
        <v>47087</v>
      </c>
      <c r="FS12" s="93">
        <f t="shared" si="5"/>
        <v>47118</v>
      </c>
      <c r="FT12" s="93">
        <f t="shared" si="5"/>
        <v>47149</v>
      </c>
      <c r="FU12" s="93">
        <f t="shared" si="5"/>
        <v>47177</v>
      </c>
      <c r="FV12" s="93">
        <f t="shared" si="5"/>
        <v>47208</v>
      </c>
      <c r="FW12" s="93">
        <f t="shared" si="5"/>
        <v>47238</v>
      </c>
      <c r="FX12" s="93">
        <f t="shared" si="5"/>
        <v>47269</v>
      </c>
      <c r="FY12" s="93">
        <f t="shared" si="5"/>
        <v>47299</v>
      </c>
      <c r="FZ12" s="93">
        <f t="shared" si="5"/>
        <v>47330</v>
      </c>
      <c r="GA12" s="93">
        <f t="shared" si="5"/>
        <v>47361</v>
      </c>
      <c r="GB12" s="93">
        <f t="shared" si="5"/>
        <v>47391</v>
      </c>
      <c r="GC12" s="93">
        <f t="shared" si="5"/>
        <v>47422</v>
      </c>
      <c r="GD12" s="93">
        <f t="shared" si="5"/>
        <v>47452</v>
      </c>
      <c r="GE12" s="93">
        <f t="shared" si="5"/>
        <v>47483</v>
      </c>
      <c r="GF12" s="93">
        <f t="shared" si="5"/>
        <v>47514</v>
      </c>
      <c r="GG12" s="93">
        <f t="shared" si="5"/>
        <v>47542</v>
      </c>
      <c r="GH12" s="93">
        <f t="shared" si="5"/>
        <v>47573</v>
      </c>
      <c r="GI12" s="93">
        <f t="shared" si="5"/>
        <v>47603</v>
      </c>
      <c r="GJ12" s="93">
        <f t="shared" si="5"/>
        <v>47634</v>
      </c>
      <c r="GK12" s="93">
        <f t="shared" si="5"/>
        <v>47664</v>
      </c>
      <c r="GL12" s="93">
        <f t="shared" si="5"/>
        <v>47695</v>
      </c>
      <c r="GM12" s="93">
        <f t="shared" si="5"/>
        <v>47726</v>
      </c>
      <c r="GN12" s="93">
        <f t="shared" si="5"/>
        <v>47756</v>
      </c>
      <c r="GO12" s="93">
        <f t="shared" si="5"/>
        <v>47787</v>
      </c>
      <c r="GQ12" s="88"/>
      <c r="GS12" s="94"/>
      <c r="GT12" s="88"/>
    </row>
    <row r="13" spans="1:203">
      <c r="A13" s="95" t="s">
        <v>157</v>
      </c>
      <c r="F13" s="90">
        <v>1</v>
      </c>
      <c r="G13" s="96">
        <f>F13+1</f>
        <v>2</v>
      </c>
      <c r="H13" s="97">
        <f t="shared" ref="H13:BS13" si="6">G13+1</f>
        <v>3</v>
      </c>
      <c r="I13" s="97">
        <f t="shared" si="6"/>
        <v>4</v>
      </c>
      <c r="J13" s="97">
        <f t="shared" si="6"/>
        <v>5</v>
      </c>
      <c r="K13" s="97">
        <f t="shared" si="6"/>
        <v>6</v>
      </c>
      <c r="L13" s="97">
        <f t="shared" si="6"/>
        <v>7</v>
      </c>
      <c r="M13" s="97">
        <f t="shared" si="6"/>
        <v>8</v>
      </c>
      <c r="N13" s="97">
        <f t="shared" si="6"/>
        <v>9</v>
      </c>
      <c r="O13" s="97">
        <f t="shared" si="6"/>
        <v>10</v>
      </c>
      <c r="P13" s="97">
        <f t="shared" si="6"/>
        <v>11</v>
      </c>
      <c r="Q13" s="97">
        <f t="shared" si="6"/>
        <v>12</v>
      </c>
      <c r="R13" s="97">
        <f t="shared" si="6"/>
        <v>13</v>
      </c>
      <c r="S13" s="97">
        <f t="shared" si="6"/>
        <v>14</v>
      </c>
      <c r="T13" s="97">
        <f t="shared" si="6"/>
        <v>15</v>
      </c>
      <c r="U13" s="97">
        <f t="shared" si="6"/>
        <v>16</v>
      </c>
      <c r="V13" s="97">
        <f t="shared" si="6"/>
        <v>17</v>
      </c>
      <c r="W13" s="97">
        <f t="shared" si="6"/>
        <v>18</v>
      </c>
      <c r="X13" s="97">
        <f t="shared" si="6"/>
        <v>19</v>
      </c>
      <c r="Y13" s="97">
        <f t="shared" si="6"/>
        <v>20</v>
      </c>
      <c r="Z13" s="97">
        <f t="shared" si="6"/>
        <v>21</v>
      </c>
      <c r="AA13" s="97">
        <f t="shared" si="6"/>
        <v>22</v>
      </c>
      <c r="AB13" s="97">
        <f t="shared" si="6"/>
        <v>23</v>
      </c>
      <c r="AC13" s="97">
        <f t="shared" si="6"/>
        <v>24</v>
      </c>
      <c r="AD13" s="97">
        <f t="shared" si="6"/>
        <v>25</v>
      </c>
      <c r="AE13" s="97">
        <f t="shared" si="6"/>
        <v>26</v>
      </c>
      <c r="AF13" s="97">
        <f t="shared" si="6"/>
        <v>27</v>
      </c>
      <c r="AG13" s="97">
        <f t="shared" si="6"/>
        <v>28</v>
      </c>
      <c r="AH13" s="97">
        <f t="shared" si="6"/>
        <v>29</v>
      </c>
      <c r="AI13" s="97">
        <f t="shared" si="6"/>
        <v>30</v>
      </c>
      <c r="AJ13" s="97">
        <f t="shared" si="6"/>
        <v>31</v>
      </c>
      <c r="AK13" s="97">
        <f t="shared" si="6"/>
        <v>32</v>
      </c>
      <c r="AL13" s="97">
        <f t="shared" si="6"/>
        <v>33</v>
      </c>
      <c r="AM13" s="97">
        <f t="shared" si="6"/>
        <v>34</v>
      </c>
      <c r="AN13" s="97">
        <f t="shared" si="6"/>
        <v>35</v>
      </c>
      <c r="AO13" s="97">
        <f t="shared" si="6"/>
        <v>36</v>
      </c>
      <c r="AP13" s="97">
        <f t="shared" si="6"/>
        <v>37</v>
      </c>
      <c r="AQ13" s="97">
        <f t="shared" si="6"/>
        <v>38</v>
      </c>
      <c r="AR13" s="97">
        <f t="shared" si="6"/>
        <v>39</v>
      </c>
      <c r="AS13" s="97">
        <f t="shared" si="6"/>
        <v>40</v>
      </c>
      <c r="AT13" s="97">
        <f t="shared" si="6"/>
        <v>41</v>
      </c>
      <c r="AU13" s="97">
        <f t="shared" si="6"/>
        <v>42</v>
      </c>
      <c r="AV13" s="97">
        <f t="shared" si="6"/>
        <v>43</v>
      </c>
      <c r="AW13" s="97">
        <f t="shared" si="6"/>
        <v>44</v>
      </c>
      <c r="AX13" s="97">
        <f t="shared" si="6"/>
        <v>45</v>
      </c>
      <c r="AY13" s="97">
        <f t="shared" si="6"/>
        <v>46</v>
      </c>
      <c r="AZ13" s="97">
        <f t="shared" si="6"/>
        <v>47</v>
      </c>
      <c r="BA13" s="97">
        <f t="shared" si="6"/>
        <v>48</v>
      </c>
      <c r="BB13" s="97">
        <f t="shared" si="6"/>
        <v>49</v>
      </c>
      <c r="BC13" s="97">
        <f t="shared" si="6"/>
        <v>50</v>
      </c>
      <c r="BD13" s="97">
        <f t="shared" si="6"/>
        <v>51</v>
      </c>
      <c r="BE13" s="97">
        <f t="shared" si="6"/>
        <v>52</v>
      </c>
      <c r="BF13" s="97">
        <f t="shared" si="6"/>
        <v>53</v>
      </c>
      <c r="BG13" s="97">
        <f t="shared" si="6"/>
        <v>54</v>
      </c>
      <c r="BH13" s="97">
        <f t="shared" si="6"/>
        <v>55</v>
      </c>
      <c r="BI13" s="97">
        <f t="shared" si="6"/>
        <v>56</v>
      </c>
      <c r="BJ13" s="97">
        <f t="shared" si="6"/>
        <v>57</v>
      </c>
      <c r="BK13" s="97">
        <f t="shared" si="6"/>
        <v>58</v>
      </c>
      <c r="BL13" s="97">
        <f t="shared" si="6"/>
        <v>59</v>
      </c>
      <c r="BM13" s="97">
        <f t="shared" si="6"/>
        <v>60</v>
      </c>
      <c r="BN13" s="97">
        <f t="shared" si="6"/>
        <v>61</v>
      </c>
      <c r="BO13" s="97">
        <f t="shared" si="6"/>
        <v>62</v>
      </c>
      <c r="BP13" s="97">
        <f t="shared" si="6"/>
        <v>63</v>
      </c>
      <c r="BQ13" s="97">
        <f t="shared" si="6"/>
        <v>64</v>
      </c>
      <c r="BR13" s="97">
        <f t="shared" si="6"/>
        <v>65</v>
      </c>
      <c r="BS13" s="97">
        <f t="shared" si="6"/>
        <v>66</v>
      </c>
      <c r="BT13" s="97">
        <f t="shared" ref="BT13:EE13" si="7">BS13+1</f>
        <v>67</v>
      </c>
      <c r="BU13" s="97">
        <f t="shared" si="7"/>
        <v>68</v>
      </c>
      <c r="BV13" s="97">
        <f t="shared" si="7"/>
        <v>69</v>
      </c>
      <c r="BW13" s="97">
        <f t="shared" si="7"/>
        <v>70</v>
      </c>
      <c r="BX13" s="97">
        <f t="shared" si="7"/>
        <v>71</v>
      </c>
      <c r="BY13" s="97">
        <f t="shared" si="7"/>
        <v>72</v>
      </c>
      <c r="BZ13" s="97">
        <f t="shared" si="7"/>
        <v>73</v>
      </c>
      <c r="CA13" s="97">
        <f t="shared" si="7"/>
        <v>74</v>
      </c>
      <c r="CB13" s="97">
        <f t="shared" si="7"/>
        <v>75</v>
      </c>
      <c r="CC13" s="97">
        <f t="shared" si="7"/>
        <v>76</v>
      </c>
      <c r="CD13" s="97">
        <f t="shared" si="7"/>
        <v>77</v>
      </c>
      <c r="CE13" s="97">
        <f t="shared" si="7"/>
        <v>78</v>
      </c>
      <c r="CF13" s="97">
        <f t="shared" si="7"/>
        <v>79</v>
      </c>
      <c r="CG13" s="97">
        <f t="shared" si="7"/>
        <v>80</v>
      </c>
      <c r="CH13" s="97">
        <f t="shared" si="7"/>
        <v>81</v>
      </c>
      <c r="CI13" s="97">
        <f t="shared" si="7"/>
        <v>82</v>
      </c>
      <c r="CJ13" s="97">
        <f t="shared" si="7"/>
        <v>83</v>
      </c>
      <c r="CK13" s="97">
        <f t="shared" si="7"/>
        <v>84</v>
      </c>
      <c r="CL13" s="97">
        <f t="shared" si="7"/>
        <v>85</v>
      </c>
      <c r="CM13" s="97">
        <f t="shared" si="7"/>
        <v>86</v>
      </c>
      <c r="CN13" s="97">
        <f t="shared" si="7"/>
        <v>87</v>
      </c>
      <c r="CO13" s="97">
        <f t="shared" si="7"/>
        <v>88</v>
      </c>
      <c r="CP13" s="97">
        <f t="shared" si="7"/>
        <v>89</v>
      </c>
      <c r="CQ13" s="97">
        <f t="shared" si="7"/>
        <v>90</v>
      </c>
      <c r="CR13" s="97">
        <f t="shared" si="7"/>
        <v>91</v>
      </c>
      <c r="CS13" s="97">
        <f t="shared" si="7"/>
        <v>92</v>
      </c>
      <c r="CT13" s="97">
        <f t="shared" si="7"/>
        <v>93</v>
      </c>
      <c r="CU13" s="97">
        <f t="shared" si="7"/>
        <v>94</v>
      </c>
      <c r="CV13" s="97">
        <f t="shared" si="7"/>
        <v>95</v>
      </c>
      <c r="CW13" s="97">
        <f t="shared" si="7"/>
        <v>96</v>
      </c>
      <c r="CX13" s="97">
        <f t="shared" si="7"/>
        <v>97</v>
      </c>
      <c r="CY13" s="97">
        <f t="shared" si="7"/>
        <v>98</v>
      </c>
      <c r="CZ13" s="97">
        <f t="shared" si="7"/>
        <v>99</v>
      </c>
      <c r="DA13" s="97">
        <f t="shared" si="7"/>
        <v>100</v>
      </c>
      <c r="DB13" s="97">
        <f t="shared" si="7"/>
        <v>101</v>
      </c>
      <c r="DC13" s="97">
        <f t="shared" si="7"/>
        <v>102</v>
      </c>
      <c r="DD13" s="97">
        <f t="shared" si="7"/>
        <v>103</v>
      </c>
      <c r="DE13" s="97">
        <f t="shared" si="7"/>
        <v>104</v>
      </c>
      <c r="DF13" s="97">
        <f t="shared" si="7"/>
        <v>105</v>
      </c>
      <c r="DG13" s="97">
        <f t="shared" si="7"/>
        <v>106</v>
      </c>
      <c r="DH13" s="97">
        <f t="shared" si="7"/>
        <v>107</v>
      </c>
      <c r="DI13" s="97">
        <f t="shared" si="7"/>
        <v>108</v>
      </c>
      <c r="DJ13" s="97">
        <f t="shared" si="7"/>
        <v>109</v>
      </c>
      <c r="DK13" s="97">
        <f t="shared" si="7"/>
        <v>110</v>
      </c>
      <c r="DL13" s="97">
        <f t="shared" si="7"/>
        <v>111</v>
      </c>
      <c r="DM13" s="97">
        <f t="shared" si="7"/>
        <v>112</v>
      </c>
      <c r="DN13" s="97">
        <f t="shared" si="7"/>
        <v>113</v>
      </c>
      <c r="DO13" s="97">
        <f t="shared" si="7"/>
        <v>114</v>
      </c>
      <c r="DP13" s="97">
        <f t="shared" si="7"/>
        <v>115</v>
      </c>
      <c r="DQ13" s="97">
        <f t="shared" si="7"/>
        <v>116</v>
      </c>
      <c r="DR13" s="97">
        <f t="shared" si="7"/>
        <v>117</v>
      </c>
      <c r="DS13" s="97">
        <f t="shared" si="7"/>
        <v>118</v>
      </c>
      <c r="DT13" s="97">
        <f t="shared" si="7"/>
        <v>119</v>
      </c>
      <c r="DU13" s="97">
        <f t="shared" si="7"/>
        <v>120</v>
      </c>
      <c r="DV13" s="97">
        <f t="shared" si="7"/>
        <v>121</v>
      </c>
      <c r="DW13" s="97">
        <f t="shared" si="7"/>
        <v>122</v>
      </c>
      <c r="DX13" s="97">
        <f t="shared" si="7"/>
        <v>123</v>
      </c>
      <c r="DY13" s="97">
        <f t="shared" si="7"/>
        <v>124</v>
      </c>
      <c r="DZ13" s="97">
        <f t="shared" si="7"/>
        <v>125</v>
      </c>
      <c r="EA13" s="97">
        <f t="shared" si="7"/>
        <v>126</v>
      </c>
      <c r="EB13" s="97">
        <f t="shared" si="7"/>
        <v>127</v>
      </c>
      <c r="EC13" s="97">
        <f t="shared" si="7"/>
        <v>128</v>
      </c>
      <c r="ED13" s="97">
        <f t="shared" si="7"/>
        <v>129</v>
      </c>
      <c r="EE13" s="97">
        <f t="shared" si="7"/>
        <v>130</v>
      </c>
      <c r="EF13" s="97">
        <f t="shared" ref="EF13:GO13" si="8">EE13+1</f>
        <v>131</v>
      </c>
      <c r="EG13" s="97">
        <f t="shared" si="8"/>
        <v>132</v>
      </c>
      <c r="EH13" s="97">
        <f t="shared" si="8"/>
        <v>133</v>
      </c>
      <c r="EI13" s="97">
        <f t="shared" si="8"/>
        <v>134</v>
      </c>
      <c r="EJ13" s="97">
        <f t="shared" si="8"/>
        <v>135</v>
      </c>
      <c r="EK13" s="97">
        <f t="shared" si="8"/>
        <v>136</v>
      </c>
      <c r="EL13" s="97">
        <f t="shared" si="8"/>
        <v>137</v>
      </c>
      <c r="EM13" s="97">
        <f t="shared" si="8"/>
        <v>138</v>
      </c>
      <c r="EN13" s="97">
        <f t="shared" si="8"/>
        <v>139</v>
      </c>
      <c r="EO13" s="97">
        <f t="shared" si="8"/>
        <v>140</v>
      </c>
      <c r="EP13" s="97">
        <f t="shared" si="8"/>
        <v>141</v>
      </c>
      <c r="EQ13" s="97">
        <f t="shared" si="8"/>
        <v>142</v>
      </c>
      <c r="ER13" s="97">
        <f t="shared" si="8"/>
        <v>143</v>
      </c>
      <c r="ES13" s="97">
        <f t="shared" si="8"/>
        <v>144</v>
      </c>
      <c r="ET13" s="97">
        <f t="shared" si="8"/>
        <v>145</v>
      </c>
      <c r="EU13" s="97">
        <f t="shared" si="8"/>
        <v>146</v>
      </c>
      <c r="EV13" s="97">
        <f t="shared" si="8"/>
        <v>147</v>
      </c>
      <c r="EW13" s="97">
        <f t="shared" si="8"/>
        <v>148</v>
      </c>
      <c r="EX13" s="97">
        <f t="shared" si="8"/>
        <v>149</v>
      </c>
      <c r="EY13" s="97">
        <f t="shared" si="8"/>
        <v>150</v>
      </c>
      <c r="EZ13" s="97">
        <f t="shared" si="8"/>
        <v>151</v>
      </c>
      <c r="FA13" s="97">
        <f t="shared" si="8"/>
        <v>152</v>
      </c>
      <c r="FB13" s="97">
        <f t="shared" si="8"/>
        <v>153</v>
      </c>
      <c r="FC13" s="97">
        <f t="shared" si="8"/>
        <v>154</v>
      </c>
      <c r="FD13" s="97">
        <f t="shared" si="8"/>
        <v>155</v>
      </c>
      <c r="FE13" s="97">
        <f t="shared" si="8"/>
        <v>156</v>
      </c>
      <c r="FF13" s="97">
        <f t="shared" si="8"/>
        <v>157</v>
      </c>
      <c r="FG13" s="97">
        <f t="shared" si="8"/>
        <v>158</v>
      </c>
      <c r="FH13" s="97">
        <f t="shared" si="8"/>
        <v>159</v>
      </c>
      <c r="FI13" s="97">
        <f t="shared" si="8"/>
        <v>160</v>
      </c>
      <c r="FJ13" s="97">
        <f t="shared" si="8"/>
        <v>161</v>
      </c>
      <c r="FK13" s="97">
        <f t="shared" si="8"/>
        <v>162</v>
      </c>
      <c r="FL13" s="97">
        <f t="shared" si="8"/>
        <v>163</v>
      </c>
      <c r="FM13" s="97">
        <f t="shared" si="8"/>
        <v>164</v>
      </c>
      <c r="FN13" s="97">
        <f t="shared" si="8"/>
        <v>165</v>
      </c>
      <c r="FO13" s="97">
        <f t="shared" si="8"/>
        <v>166</v>
      </c>
      <c r="FP13" s="97">
        <f t="shared" si="8"/>
        <v>167</v>
      </c>
      <c r="FQ13" s="97">
        <f t="shared" si="8"/>
        <v>168</v>
      </c>
      <c r="FR13" s="97">
        <f t="shared" si="8"/>
        <v>169</v>
      </c>
      <c r="FS13" s="97">
        <f t="shared" si="8"/>
        <v>170</v>
      </c>
      <c r="FT13" s="97">
        <f t="shared" si="8"/>
        <v>171</v>
      </c>
      <c r="FU13" s="97">
        <f t="shared" si="8"/>
        <v>172</v>
      </c>
      <c r="FV13" s="97">
        <f t="shared" si="8"/>
        <v>173</v>
      </c>
      <c r="FW13" s="97">
        <f t="shared" si="8"/>
        <v>174</v>
      </c>
      <c r="FX13" s="97">
        <f t="shared" si="8"/>
        <v>175</v>
      </c>
      <c r="FY13" s="97">
        <f t="shared" si="8"/>
        <v>176</v>
      </c>
      <c r="FZ13" s="97">
        <f t="shared" si="8"/>
        <v>177</v>
      </c>
      <c r="GA13" s="97">
        <f t="shared" si="8"/>
        <v>178</v>
      </c>
      <c r="GB13" s="97">
        <f t="shared" si="8"/>
        <v>179</v>
      </c>
      <c r="GC13" s="97">
        <f t="shared" si="8"/>
        <v>180</v>
      </c>
      <c r="GD13" s="97">
        <f t="shared" si="8"/>
        <v>181</v>
      </c>
      <c r="GE13" s="97">
        <f t="shared" si="8"/>
        <v>182</v>
      </c>
      <c r="GF13" s="97">
        <f t="shared" si="8"/>
        <v>183</v>
      </c>
      <c r="GG13" s="97">
        <f t="shared" si="8"/>
        <v>184</v>
      </c>
      <c r="GH13" s="97">
        <f t="shared" si="8"/>
        <v>185</v>
      </c>
      <c r="GI13" s="97">
        <f t="shared" si="8"/>
        <v>186</v>
      </c>
      <c r="GJ13" s="97">
        <f t="shared" si="8"/>
        <v>187</v>
      </c>
      <c r="GK13" s="97">
        <f t="shared" si="8"/>
        <v>188</v>
      </c>
      <c r="GL13" s="97">
        <f t="shared" si="8"/>
        <v>189</v>
      </c>
      <c r="GM13" s="97">
        <f t="shared" si="8"/>
        <v>190</v>
      </c>
      <c r="GN13" s="97">
        <f t="shared" si="8"/>
        <v>191</v>
      </c>
      <c r="GO13" s="97">
        <f t="shared" si="8"/>
        <v>192</v>
      </c>
      <c r="GQ13" s="88"/>
      <c r="GR13" s="84">
        <v>0</v>
      </c>
      <c r="GS13" s="94"/>
      <c r="GT13" s="88"/>
    </row>
    <row r="14" spans="1:203">
      <c r="A14" s="95" t="s">
        <v>158</v>
      </c>
      <c r="F14" s="98">
        <v>12</v>
      </c>
      <c r="G14" s="99">
        <v>13</v>
      </c>
      <c r="H14" s="99">
        <v>14</v>
      </c>
      <c r="I14" s="99">
        <v>15</v>
      </c>
      <c r="J14" s="99">
        <v>16</v>
      </c>
      <c r="K14" s="99">
        <v>17</v>
      </c>
      <c r="L14" s="99">
        <v>18</v>
      </c>
      <c r="M14" s="99">
        <v>19</v>
      </c>
      <c r="N14" s="99">
        <v>20</v>
      </c>
      <c r="O14" s="99">
        <v>21</v>
      </c>
      <c r="P14" s="99">
        <v>22</v>
      </c>
      <c r="Q14" s="99">
        <v>23</v>
      </c>
      <c r="R14" s="99">
        <v>24</v>
      </c>
      <c r="S14" s="99">
        <v>25</v>
      </c>
      <c r="T14" s="99">
        <v>26</v>
      </c>
      <c r="U14" s="99">
        <v>27</v>
      </c>
      <c r="V14" s="99">
        <v>28</v>
      </c>
      <c r="W14" s="99">
        <v>29</v>
      </c>
      <c r="X14" s="99">
        <v>30</v>
      </c>
      <c r="Y14" s="99">
        <v>31</v>
      </c>
      <c r="Z14" s="99">
        <v>32</v>
      </c>
      <c r="AA14" s="99">
        <v>33</v>
      </c>
      <c r="AB14" s="99">
        <v>34</v>
      </c>
      <c r="AC14" s="99">
        <v>35</v>
      </c>
      <c r="AD14" s="99">
        <v>36</v>
      </c>
      <c r="AE14" s="99">
        <v>37</v>
      </c>
      <c r="AF14" s="99">
        <v>38</v>
      </c>
      <c r="AG14" s="99">
        <v>39</v>
      </c>
      <c r="AH14" s="99">
        <v>40</v>
      </c>
      <c r="AI14" s="99">
        <v>41</v>
      </c>
      <c r="AJ14" s="99">
        <v>42</v>
      </c>
      <c r="AK14" s="99">
        <v>43</v>
      </c>
      <c r="AL14" s="99">
        <v>44</v>
      </c>
      <c r="AM14" s="99">
        <v>45</v>
      </c>
      <c r="AN14" s="99">
        <v>46</v>
      </c>
      <c r="AO14" s="99">
        <v>47</v>
      </c>
      <c r="AP14" s="99">
        <v>48</v>
      </c>
      <c r="AQ14" s="99">
        <v>49</v>
      </c>
      <c r="AR14" s="99">
        <v>50</v>
      </c>
      <c r="AS14" s="99">
        <v>51</v>
      </c>
      <c r="AT14" s="99">
        <v>52</v>
      </c>
      <c r="AU14" s="99">
        <v>53</v>
      </c>
      <c r="AV14" s="99">
        <v>54</v>
      </c>
      <c r="AW14" s="99">
        <v>55</v>
      </c>
      <c r="AX14" s="99">
        <v>56</v>
      </c>
      <c r="AY14" s="99">
        <v>57</v>
      </c>
      <c r="AZ14" s="99">
        <v>58</v>
      </c>
      <c r="BA14" s="99">
        <v>59</v>
      </c>
      <c r="BB14" s="99">
        <v>60</v>
      </c>
      <c r="BC14" s="99">
        <v>61</v>
      </c>
      <c r="BD14" s="99">
        <v>62</v>
      </c>
      <c r="BE14" s="99">
        <v>63</v>
      </c>
      <c r="BF14" s="99">
        <v>64</v>
      </c>
      <c r="BG14" s="99">
        <v>65</v>
      </c>
      <c r="BH14" s="99">
        <v>66</v>
      </c>
      <c r="BI14" s="99">
        <v>67</v>
      </c>
      <c r="BJ14" s="99">
        <v>68</v>
      </c>
      <c r="BK14" s="99">
        <v>69</v>
      </c>
      <c r="BL14" s="99">
        <v>70</v>
      </c>
      <c r="BM14" s="99">
        <v>71</v>
      </c>
      <c r="BN14" s="99">
        <v>72</v>
      </c>
      <c r="BO14" s="99">
        <v>73</v>
      </c>
      <c r="BP14" s="99">
        <v>74</v>
      </c>
      <c r="BQ14" s="99">
        <v>75</v>
      </c>
      <c r="BR14" s="99">
        <v>76</v>
      </c>
      <c r="BS14" s="99">
        <v>77</v>
      </c>
      <c r="BT14" s="99">
        <v>78</v>
      </c>
      <c r="BU14" s="99">
        <v>79</v>
      </c>
      <c r="BV14" s="99">
        <v>80</v>
      </c>
      <c r="BW14" s="99">
        <v>81</v>
      </c>
      <c r="BX14" s="99">
        <v>82</v>
      </c>
      <c r="BY14" s="99">
        <v>83</v>
      </c>
      <c r="BZ14" s="99">
        <v>84</v>
      </c>
      <c r="CA14" s="99">
        <v>85</v>
      </c>
      <c r="CB14" s="99">
        <v>86</v>
      </c>
      <c r="CC14" s="99">
        <v>87</v>
      </c>
      <c r="CD14" s="99">
        <v>88</v>
      </c>
      <c r="CE14" s="99">
        <v>89</v>
      </c>
      <c r="CF14" s="99">
        <v>90</v>
      </c>
      <c r="CG14" s="99">
        <v>91</v>
      </c>
      <c r="CH14" s="99">
        <v>92</v>
      </c>
      <c r="CI14" s="99">
        <v>93</v>
      </c>
      <c r="CJ14" s="99">
        <v>94</v>
      </c>
      <c r="CK14" s="99">
        <v>95</v>
      </c>
      <c r="CL14" s="99">
        <v>96</v>
      </c>
      <c r="CM14" s="99">
        <v>97</v>
      </c>
      <c r="CN14" s="99">
        <v>98</v>
      </c>
      <c r="CO14" s="99">
        <v>99</v>
      </c>
      <c r="CP14" s="99">
        <v>100</v>
      </c>
      <c r="CQ14" s="99">
        <v>101</v>
      </c>
      <c r="CR14" s="99">
        <v>102</v>
      </c>
      <c r="CS14" s="99">
        <v>103</v>
      </c>
      <c r="CT14" s="99">
        <v>104</v>
      </c>
      <c r="CU14" s="99">
        <v>105</v>
      </c>
      <c r="CV14" s="99">
        <v>106</v>
      </c>
      <c r="CW14" s="99">
        <v>107</v>
      </c>
      <c r="CX14" s="99">
        <v>108</v>
      </c>
      <c r="CY14" s="99">
        <v>109</v>
      </c>
      <c r="CZ14" s="99">
        <v>110</v>
      </c>
      <c r="DA14" s="99">
        <v>111</v>
      </c>
      <c r="DB14" s="99">
        <v>112</v>
      </c>
      <c r="DC14" s="99">
        <v>113</v>
      </c>
      <c r="DD14" s="99">
        <v>114</v>
      </c>
      <c r="DE14" s="99">
        <v>115</v>
      </c>
      <c r="DF14" s="99">
        <v>116</v>
      </c>
      <c r="DG14" s="99">
        <v>117</v>
      </c>
      <c r="DH14" s="99">
        <v>118</v>
      </c>
      <c r="DI14" s="99">
        <v>119</v>
      </c>
      <c r="DJ14" s="99">
        <v>120</v>
      </c>
      <c r="DK14" s="99">
        <v>121</v>
      </c>
      <c r="DL14" s="99">
        <v>122</v>
      </c>
      <c r="DM14" s="99">
        <v>123</v>
      </c>
      <c r="DN14" s="99">
        <v>124</v>
      </c>
      <c r="DO14" s="99">
        <v>125</v>
      </c>
      <c r="DP14" s="99">
        <v>126</v>
      </c>
      <c r="DQ14" s="99">
        <v>127</v>
      </c>
      <c r="DR14" s="99">
        <v>128</v>
      </c>
      <c r="DS14" s="99">
        <v>129</v>
      </c>
      <c r="DT14" s="99">
        <v>130</v>
      </c>
      <c r="DU14" s="99">
        <v>131</v>
      </c>
      <c r="DV14" s="99">
        <v>132</v>
      </c>
      <c r="DW14" s="99">
        <v>133</v>
      </c>
      <c r="DX14" s="99">
        <v>134</v>
      </c>
      <c r="DY14" s="99">
        <v>135</v>
      </c>
      <c r="DZ14" s="99">
        <v>136</v>
      </c>
      <c r="EA14" s="99">
        <v>137</v>
      </c>
      <c r="EB14" s="99">
        <v>138</v>
      </c>
      <c r="EC14" s="99">
        <v>139</v>
      </c>
      <c r="ED14" s="99">
        <v>140</v>
      </c>
      <c r="EE14" s="99">
        <v>141</v>
      </c>
      <c r="EF14" s="99">
        <v>142</v>
      </c>
      <c r="EG14" s="99">
        <v>143</v>
      </c>
      <c r="EH14" s="99">
        <v>144</v>
      </c>
      <c r="EI14" s="99">
        <v>145</v>
      </c>
      <c r="EJ14" s="99">
        <v>146</v>
      </c>
      <c r="EK14" s="99">
        <v>147</v>
      </c>
      <c r="EL14" s="99">
        <v>148</v>
      </c>
      <c r="EM14" s="99">
        <v>149</v>
      </c>
      <c r="EN14" s="99">
        <v>150</v>
      </c>
      <c r="EO14" s="99">
        <v>151</v>
      </c>
      <c r="EP14" s="99">
        <v>152</v>
      </c>
      <c r="EQ14" s="99">
        <v>153</v>
      </c>
      <c r="ER14" s="99">
        <v>154</v>
      </c>
      <c r="ES14" s="99">
        <v>155</v>
      </c>
      <c r="ET14" s="99">
        <v>156</v>
      </c>
      <c r="EU14" s="99">
        <v>157</v>
      </c>
      <c r="EV14" s="99">
        <v>158</v>
      </c>
      <c r="EW14" s="99">
        <v>159</v>
      </c>
      <c r="EX14" s="99">
        <v>160</v>
      </c>
      <c r="EY14" s="99">
        <v>161</v>
      </c>
      <c r="EZ14" s="99">
        <v>162</v>
      </c>
      <c r="FA14" s="99">
        <v>163</v>
      </c>
      <c r="FB14" s="99">
        <v>164</v>
      </c>
      <c r="FC14" s="99">
        <v>165</v>
      </c>
      <c r="FD14" s="99">
        <v>166</v>
      </c>
      <c r="FE14" s="99">
        <v>167</v>
      </c>
      <c r="FF14" s="99">
        <v>168</v>
      </c>
      <c r="FG14" s="99">
        <v>169</v>
      </c>
      <c r="FH14" s="99">
        <v>170</v>
      </c>
      <c r="FI14" s="99">
        <v>171</v>
      </c>
      <c r="FJ14" s="99">
        <v>172</v>
      </c>
      <c r="FK14" s="99">
        <v>173</v>
      </c>
      <c r="FL14" s="99">
        <v>174</v>
      </c>
      <c r="FM14" s="99">
        <v>175</v>
      </c>
      <c r="FN14" s="99">
        <v>176</v>
      </c>
      <c r="FO14" s="99">
        <v>177</v>
      </c>
      <c r="FP14" s="99">
        <v>178</v>
      </c>
      <c r="FQ14" s="99">
        <v>179</v>
      </c>
      <c r="FR14" s="99">
        <v>180</v>
      </c>
      <c r="FS14" s="99">
        <v>181</v>
      </c>
      <c r="FT14" s="99">
        <v>182</v>
      </c>
      <c r="FU14" s="99">
        <v>183</v>
      </c>
      <c r="FV14" s="99">
        <v>184</v>
      </c>
      <c r="FW14" s="99">
        <v>185</v>
      </c>
      <c r="FX14" s="99">
        <v>186</v>
      </c>
      <c r="FY14" s="99">
        <v>187</v>
      </c>
      <c r="FZ14" s="99">
        <v>188</v>
      </c>
      <c r="GA14" s="99">
        <v>189</v>
      </c>
      <c r="GB14" s="99">
        <v>175</v>
      </c>
      <c r="GC14" s="99">
        <v>176</v>
      </c>
      <c r="GD14" s="99">
        <v>177</v>
      </c>
      <c r="GE14" s="99">
        <v>178</v>
      </c>
      <c r="GF14" s="99">
        <v>179</v>
      </c>
      <c r="GG14" s="99">
        <v>180</v>
      </c>
      <c r="GH14" s="99">
        <v>181</v>
      </c>
      <c r="GI14" s="99">
        <v>182</v>
      </c>
      <c r="GJ14" s="99">
        <v>183</v>
      </c>
      <c r="GK14" s="99">
        <v>184</v>
      </c>
      <c r="GL14" s="99">
        <v>185</v>
      </c>
      <c r="GM14" s="99">
        <v>186</v>
      </c>
      <c r="GN14" s="99">
        <v>187</v>
      </c>
      <c r="GO14" s="99">
        <v>188</v>
      </c>
      <c r="GQ14" s="88"/>
      <c r="GR14" s="84">
        <v>0</v>
      </c>
      <c r="GS14" s="94"/>
      <c r="GT14" s="88"/>
    </row>
    <row r="15" spans="1:203">
      <c r="A15" s="95" t="s">
        <v>159</v>
      </c>
      <c r="F15" s="100">
        <v>1</v>
      </c>
      <c r="G15" s="97">
        <v>2</v>
      </c>
      <c r="H15" s="97">
        <v>2</v>
      </c>
      <c r="I15" s="97">
        <v>2</v>
      </c>
      <c r="J15" s="97">
        <v>2</v>
      </c>
      <c r="K15" s="97">
        <v>2</v>
      </c>
      <c r="L15" s="97">
        <v>2</v>
      </c>
      <c r="M15" s="97">
        <v>2</v>
      </c>
      <c r="N15" s="97">
        <v>2</v>
      </c>
      <c r="O15" s="97">
        <v>2</v>
      </c>
      <c r="P15" s="97">
        <v>2</v>
      </c>
      <c r="Q15" s="97">
        <v>2</v>
      </c>
      <c r="R15" s="97">
        <v>2</v>
      </c>
      <c r="S15" s="97">
        <v>3</v>
      </c>
      <c r="T15" s="97">
        <v>3</v>
      </c>
      <c r="U15" s="97">
        <v>3</v>
      </c>
      <c r="V15" s="97">
        <v>3</v>
      </c>
      <c r="W15" s="97">
        <v>3</v>
      </c>
      <c r="X15" s="97">
        <v>3</v>
      </c>
      <c r="Y15" s="97">
        <v>3</v>
      </c>
      <c r="Z15" s="97">
        <v>3</v>
      </c>
      <c r="AA15" s="97">
        <v>3</v>
      </c>
      <c r="AB15" s="97">
        <v>3</v>
      </c>
      <c r="AC15" s="97">
        <v>3</v>
      </c>
      <c r="AD15" s="97">
        <v>3</v>
      </c>
      <c r="AE15" s="97">
        <v>4</v>
      </c>
      <c r="AF15" s="97">
        <v>4</v>
      </c>
      <c r="AG15" s="97">
        <v>4</v>
      </c>
      <c r="AH15" s="97">
        <v>4</v>
      </c>
      <c r="AI15" s="97">
        <v>4</v>
      </c>
      <c r="AJ15" s="97">
        <v>4</v>
      </c>
      <c r="AK15" s="97">
        <v>4</v>
      </c>
      <c r="AL15" s="97">
        <v>4</v>
      </c>
      <c r="AM15" s="97">
        <v>4</v>
      </c>
      <c r="AN15" s="97">
        <v>4</v>
      </c>
      <c r="AO15" s="97">
        <v>4</v>
      </c>
      <c r="AP15" s="97">
        <v>4</v>
      </c>
      <c r="AQ15" s="97">
        <v>5</v>
      </c>
      <c r="AR15" s="97">
        <v>5</v>
      </c>
      <c r="AS15" s="97">
        <v>5</v>
      </c>
      <c r="AT15" s="97">
        <v>5</v>
      </c>
      <c r="AU15" s="97">
        <v>5</v>
      </c>
      <c r="AV15" s="97">
        <v>5</v>
      </c>
      <c r="AW15" s="97">
        <v>5</v>
      </c>
      <c r="AX15" s="97">
        <v>5</v>
      </c>
      <c r="AY15" s="97">
        <v>5</v>
      </c>
      <c r="AZ15" s="97">
        <v>5</v>
      </c>
      <c r="BA15" s="97">
        <v>5</v>
      </c>
      <c r="BB15" s="97">
        <v>5</v>
      </c>
      <c r="BC15" s="97">
        <v>6</v>
      </c>
      <c r="BD15" s="97">
        <v>6</v>
      </c>
      <c r="BE15" s="97">
        <v>6</v>
      </c>
      <c r="BF15" s="97">
        <v>6</v>
      </c>
      <c r="BG15" s="97">
        <v>6</v>
      </c>
      <c r="BH15" s="97">
        <v>6</v>
      </c>
      <c r="BI15" s="97">
        <v>6</v>
      </c>
      <c r="BJ15" s="97">
        <v>6</v>
      </c>
      <c r="BK15" s="97">
        <v>6</v>
      </c>
      <c r="BL15" s="97">
        <v>6</v>
      </c>
      <c r="BM15" s="97">
        <v>6</v>
      </c>
      <c r="BN15" s="97">
        <v>6</v>
      </c>
      <c r="BO15" s="97">
        <v>7</v>
      </c>
      <c r="BP15" s="97">
        <v>7</v>
      </c>
      <c r="BQ15" s="97">
        <v>7</v>
      </c>
      <c r="BR15" s="97">
        <v>7</v>
      </c>
      <c r="BS15" s="97">
        <v>7</v>
      </c>
      <c r="BT15" s="97">
        <v>7</v>
      </c>
      <c r="BU15" s="97">
        <v>7</v>
      </c>
      <c r="BV15" s="97">
        <v>7</v>
      </c>
      <c r="BW15" s="97">
        <v>7</v>
      </c>
      <c r="BX15" s="97">
        <v>7</v>
      </c>
      <c r="BY15" s="97">
        <v>7</v>
      </c>
      <c r="BZ15" s="97">
        <v>7</v>
      </c>
      <c r="CA15" s="97">
        <v>8</v>
      </c>
      <c r="CB15" s="97">
        <v>8</v>
      </c>
      <c r="CC15" s="97">
        <v>8</v>
      </c>
      <c r="CD15" s="97">
        <v>8</v>
      </c>
      <c r="CE15" s="97">
        <v>8</v>
      </c>
      <c r="CF15" s="97">
        <v>8</v>
      </c>
      <c r="CG15" s="97">
        <v>8</v>
      </c>
      <c r="CH15" s="97">
        <v>8</v>
      </c>
      <c r="CI15" s="97">
        <v>8</v>
      </c>
      <c r="CJ15" s="97">
        <v>8</v>
      </c>
      <c r="CK15" s="97">
        <v>8</v>
      </c>
      <c r="CL15" s="97">
        <v>8</v>
      </c>
      <c r="CM15" s="97">
        <v>9</v>
      </c>
      <c r="CN15" s="97">
        <v>9</v>
      </c>
      <c r="CO15" s="97">
        <v>9</v>
      </c>
      <c r="CP15" s="97">
        <v>9</v>
      </c>
      <c r="CQ15" s="97">
        <v>9</v>
      </c>
      <c r="CR15" s="97">
        <v>9</v>
      </c>
      <c r="CS15" s="97">
        <v>9</v>
      </c>
      <c r="CT15" s="97">
        <v>9</v>
      </c>
      <c r="CU15" s="97">
        <v>9</v>
      </c>
      <c r="CV15" s="97">
        <v>9</v>
      </c>
      <c r="CW15" s="97">
        <v>9</v>
      </c>
      <c r="CX15" s="97">
        <v>9</v>
      </c>
      <c r="CY15" s="97">
        <v>10</v>
      </c>
      <c r="CZ15" s="97">
        <v>10</v>
      </c>
      <c r="DA15" s="97">
        <v>10</v>
      </c>
      <c r="DB15" s="97">
        <v>10</v>
      </c>
      <c r="DC15" s="97">
        <v>10</v>
      </c>
      <c r="DD15" s="97">
        <v>10</v>
      </c>
      <c r="DE15" s="97">
        <v>10</v>
      </c>
      <c r="DF15" s="97">
        <v>10</v>
      </c>
      <c r="DG15" s="97">
        <v>10</v>
      </c>
      <c r="DH15" s="97">
        <v>10</v>
      </c>
      <c r="DI15" s="97">
        <v>10</v>
      </c>
      <c r="DJ15" s="97">
        <v>10</v>
      </c>
      <c r="DK15" s="97">
        <v>11</v>
      </c>
      <c r="DL15" s="97">
        <v>11</v>
      </c>
      <c r="DM15" s="97">
        <v>11</v>
      </c>
      <c r="DN15" s="97">
        <v>11</v>
      </c>
      <c r="DO15" s="97">
        <v>11</v>
      </c>
      <c r="DP15" s="97">
        <v>11</v>
      </c>
      <c r="DQ15" s="97">
        <v>11</v>
      </c>
      <c r="DR15" s="97">
        <v>11</v>
      </c>
      <c r="DS15" s="97">
        <v>11</v>
      </c>
      <c r="DT15" s="97">
        <v>11</v>
      </c>
      <c r="DU15" s="97">
        <v>11</v>
      </c>
      <c r="DV15" s="97">
        <v>11</v>
      </c>
      <c r="DW15" s="97">
        <v>12</v>
      </c>
      <c r="DX15" s="97">
        <v>12</v>
      </c>
      <c r="DY15" s="97">
        <v>12</v>
      </c>
      <c r="DZ15" s="97">
        <v>12</v>
      </c>
      <c r="EA15" s="97">
        <v>12</v>
      </c>
      <c r="EB15" s="97">
        <v>12</v>
      </c>
      <c r="EC15" s="97">
        <v>12</v>
      </c>
      <c r="ED15" s="97">
        <v>12</v>
      </c>
      <c r="EE15" s="97">
        <v>12</v>
      </c>
      <c r="EF15" s="97">
        <v>12</v>
      </c>
      <c r="EG15" s="97">
        <v>12</v>
      </c>
      <c r="EH15" s="97">
        <v>12</v>
      </c>
      <c r="EI15" s="97">
        <v>13</v>
      </c>
      <c r="EJ15" s="97">
        <v>13</v>
      </c>
      <c r="EK15" s="97">
        <v>13</v>
      </c>
      <c r="EL15" s="97">
        <v>13</v>
      </c>
      <c r="EM15" s="97">
        <v>13</v>
      </c>
      <c r="EN15" s="97">
        <v>13</v>
      </c>
      <c r="EO15" s="97">
        <v>13</v>
      </c>
      <c r="EP15" s="97">
        <v>13</v>
      </c>
      <c r="EQ15" s="97">
        <v>13</v>
      </c>
      <c r="ER15" s="97">
        <v>13</v>
      </c>
      <c r="ES15" s="97">
        <v>13</v>
      </c>
      <c r="ET15" s="97">
        <v>13</v>
      </c>
      <c r="EU15" s="97">
        <v>14</v>
      </c>
      <c r="EV15" s="97">
        <v>14</v>
      </c>
      <c r="EW15" s="97">
        <v>14</v>
      </c>
      <c r="EX15" s="97">
        <v>14</v>
      </c>
      <c r="EY15" s="97">
        <v>14</v>
      </c>
      <c r="EZ15" s="97">
        <v>14</v>
      </c>
      <c r="FA15" s="97">
        <v>14</v>
      </c>
      <c r="FB15" s="97">
        <v>14</v>
      </c>
      <c r="FC15" s="97">
        <v>14</v>
      </c>
      <c r="FD15" s="97">
        <v>14</v>
      </c>
      <c r="FE15" s="97">
        <v>14</v>
      </c>
      <c r="FF15" s="97">
        <v>14</v>
      </c>
      <c r="FG15" s="97">
        <v>15</v>
      </c>
      <c r="FH15" s="97">
        <v>15</v>
      </c>
      <c r="FI15" s="97">
        <v>15</v>
      </c>
      <c r="FJ15" s="97">
        <v>15</v>
      </c>
      <c r="FK15" s="97">
        <v>15</v>
      </c>
      <c r="FL15" s="97">
        <v>15</v>
      </c>
      <c r="FM15" s="97">
        <v>15</v>
      </c>
      <c r="FN15" s="97">
        <v>15</v>
      </c>
      <c r="FO15" s="97">
        <v>15</v>
      </c>
      <c r="FP15" s="97">
        <v>15</v>
      </c>
      <c r="FQ15" s="97">
        <v>15</v>
      </c>
      <c r="FR15" s="97">
        <v>15</v>
      </c>
      <c r="FS15" s="97">
        <v>16</v>
      </c>
      <c r="FT15" s="97">
        <v>16</v>
      </c>
      <c r="FU15" s="97">
        <v>16</v>
      </c>
      <c r="FV15" s="97">
        <v>16</v>
      </c>
      <c r="FW15" s="97">
        <v>16</v>
      </c>
      <c r="FX15" s="97">
        <v>16</v>
      </c>
      <c r="FY15" s="97">
        <v>16</v>
      </c>
      <c r="FZ15" s="97">
        <v>16</v>
      </c>
      <c r="GA15" s="97">
        <v>16</v>
      </c>
      <c r="GB15" s="97">
        <v>0</v>
      </c>
      <c r="GC15" s="97">
        <v>0</v>
      </c>
      <c r="GD15" s="97">
        <v>0</v>
      </c>
      <c r="GE15" s="97">
        <v>0</v>
      </c>
      <c r="GF15" s="97">
        <v>0</v>
      </c>
      <c r="GG15" s="97">
        <v>0</v>
      </c>
      <c r="GH15" s="97">
        <v>0</v>
      </c>
      <c r="GI15" s="97">
        <v>0</v>
      </c>
      <c r="GJ15" s="97">
        <v>0</v>
      </c>
      <c r="GK15" s="97">
        <v>0</v>
      </c>
      <c r="GL15" s="97">
        <v>0</v>
      </c>
      <c r="GM15" s="97">
        <v>0</v>
      </c>
      <c r="GN15" s="97">
        <v>0</v>
      </c>
      <c r="GO15" s="97">
        <v>0</v>
      </c>
      <c r="GQ15" s="88"/>
      <c r="GR15" s="94"/>
      <c r="GS15" s="94"/>
      <c r="GT15" s="88"/>
    </row>
    <row r="16" spans="1:203">
      <c r="A16" s="101" t="s">
        <v>160</v>
      </c>
      <c r="F16" s="100">
        <v>12</v>
      </c>
      <c r="G16" s="97">
        <v>1</v>
      </c>
      <c r="H16" s="97">
        <v>2</v>
      </c>
      <c r="I16" s="97">
        <v>3</v>
      </c>
      <c r="J16" s="97">
        <v>4</v>
      </c>
      <c r="K16" s="97">
        <v>5</v>
      </c>
      <c r="L16" s="97">
        <v>6</v>
      </c>
      <c r="M16" s="97">
        <v>7</v>
      </c>
      <c r="N16" s="97">
        <v>8</v>
      </c>
      <c r="O16" s="97">
        <v>9</v>
      </c>
      <c r="P16" s="97">
        <v>10</v>
      </c>
      <c r="Q16" s="97">
        <v>11</v>
      </c>
      <c r="R16" s="97">
        <v>12</v>
      </c>
      <c r="S16" s="97">
        <v>1</v>
      </c>
      <c r="T16" s="97">
        <v>2</v>
      </c>
      <c r="U16" s="97">
        <v>3</v>
      </c>
      <c r="V16" s="97">
        <v>4</v>
      </c>
      <c r="W16" s="97">
        <v>5</v>
      </c>
      <c r="X16" s="97">
        <v>6</v>
      </c>
      <c r="Y16" s="97">
        <v>7</v>
      </c>
      <c r="Z16" s="97">
        <v>8</v>
      </c>
      <c r="AA16" s="97">
        <v>9</v>
      </c>
      <c r="AB16" s="97">
        <v>10</v>
      </c>
      <c r="AC16" s="97">
        <v>11</v>
      </c>
      <c r="AD16" s="97">
        <v>12</v>
      </c>
      <c r="AE16" s="97">
        <v>1</v>
      </c>
      <c r="AF16" s="97">
        <v>2</v>
      </c>
      <c r="AG16" s="97">
        <v>3</v>
      </c>
      <c r="AH16" s="97">
        <v>4</v>
      </c>
      <c r="AI16" s="97">
        <v>5</v>
      </c>
      <c r="AJ16" s="97">
        <v>6</v>
      </c>
      <c r="AK16" s="97">
        <v>7</v>
      </c>
      <c r="AL16" s="97">
        <v>8</v>
      </c>
      <c r="AM16" s="97">
        <v>9</v>
      </c>
      <c r="AN16" s="97">
        <v>10</v>
      </c>
      <c r="AO16" s="97">
        <v>11</v>
      </c>
      <c r="AP16" s="97">
        <v>12</v>
      </c>
      <c r="AQ16" s="97">
        <v>1</v>
      </c>
      <c r="AR16" s="97">
        <v>2</v>
      </c>
      <c r="AS16" s="97">
        <v>3</v>
      </c>
      <c r="AT16" s="97">
        <v>4</v>
      </c>
      <c r="AU16" s="97">
        <v>5</v>
      </c>
      <c r="AV16" s="97">
        <v>6</v>
      </c>
      <c r="AW16" s="97">
        <v>7</v>
      </c>
      <c r="AX16" s="97">
        <v>8</v>
      </c>
      <c r="AY16" s="97">
        <v>9</v>
      </c>
      <c r="AZ16" s="97">
        <v>10</v>
      </c>
      <c r="BA16" s="97">
        <v>11</v>
      </c>
      <c r="BB16" s="97">
        <v>12</v>
      </c>
      <c r="BC16" s="97">
        <v>1</v>
      </c>
      <c r="BD16" s="97">
        <v>2</v>
      </c>
      <c r="BE16" s="97">
        <v>3</v>
      </c>
      <c r="BF16" s="97">
        <v>4</v>
      </c>
      <c r="BG16" s="97">
        <v>5</v>
      </c>
      <c r="BH16" s="97">
        <v>6</v>
      </c>
      <c r="BI16" s="97">
        <v>7</v>
      </c>
      <c r="BJ16" s="97">
        <v>8</v>
      </c>
      <c r="BK16" s="97">
        <v>9</v>
      </c>
      <c r="BL16" s="97">
        <v>10</v>
      </c>
      <c r="BM16" s="97">
        <v>11</v>
      </c>
      <c r="BN16" s="97">
        <v>12</v>
      </c>
      <c r="BO16" s="97">
        <v>1</v>
      </c>
      <c r="BP16" s="97">
        <v>2</v>
      </c>
      <c r="BQ16" s="97">
        <v>3</v>
      </c>
      <c r="BR16" s="97">
        <v>4</v>
      </c>
      <c r="BS16" s="97">
        <v>5</v>
      </c>
      <c r="BT16" s="97">
        <v>6</v>
      </c>
      <c r="BU16" s="97">
        <v>7</v>
      </c>
      <c r="BV16" s="97">
        <v>8</v>
      </c>
      <c r="BW16" s="97">
        <v>9</v>
      </c>
      <c r="BX16" s="97">
        <v>10</v>
      </c>
      <c r="BY16" s="97">
        <v>11</v>
      </c>
      <c r="BZ16" s="97">
        <v>12</v>
      </c>
      <c r="CA16" s="97">
        <v>1</v>
      </c>
      <c r="CB16" s="97">
        <v>2</v>
      </c>
      <c r="CC16" s="97">
        <v>3</v>
      </c>
      <c r="CD16" s="97">
        <v>4</v>
      </c>
      <c r="CE16" s="97">
        <v>5</v>
      </c>
      <c r="CF16" s="97">
        <v>6</v>
      </c>
      <c r="CG16" s="97">
        <v>7</v>
      </c>
      <c r="CH16" s="97">
        <v>8</v>
      </c>
      <c r="CI16" s="97">
        <v>9</v>
      </c>
      <c r="CJ16" s="97">
        <v>10</v>
      </c>
      <c r="CK16" s="97">
        <v>11</v>
      </c>
      <c r="CL16" s="97">
        <v>12</v>
      </c>
      <c r="CM16" s="97">
        <v>1</v>
      </c>
      <c r="CN16" s="97">
        <v>2</v>
      </c>
      <c r="CO16" s="97">
        <v>3</v>
      </c>
      <c r="CP16" s="97">
        <v>4</v>
      </c>
      <c r="CQ16" s="97">
        <v>5</v>
      </c>
      <c r="CR16" s="97">
        <v>6</v>
      </c>
      <c r="CS16" s="97">
        <v>7</v>
      </c>
      <c r="CT16" s="97">
        <v>8</v>
      </c>
      <c r="CU16" s="97">
        <v>9</v>
      </c>
      <c r="CV16" s="97">
        <v>10</v>
      </c>
      <c r="CW16" s="97">
        <v>11</v>
      </c>
      <c r="CX16" s="97">
        <v>12</v>
      </c>
      <c r="CY16" s="97">
        <v>1</v>
      </c>
      <c r="CZ16" s="97">
        <v>2</v>
      </c>
      <c r="DA16" s="97">
        <v>3</v>
      </c>
      <c r="DB16" s="97">
        <v>4</v>
      </c>
      <c r="DC16" s="97">
        <v>5</v>
      </c>
      <c r="DD16" s="97">
        <v>6</v>
      </c>
      <c r="DE16" s="97">
        <v>7</v>
      </c>
      <c r="DF16" s="97">
        <v>8</v>
      </c>
      <c r="DG16" s="97">
        <v>9</v>
      </c>
      <c r="DH16" s="97">
        <v>10</v>
      </c>
      <c r="DI16" s="97">
        <v>11</v>
      </c>
      <c r="DJ16" s="97">
        <v>12</v>
      </c>
      <c r="DK16" s="97">
        <v>1</v>
      </c>
      <c r="DL16" s="97">
        <v>2</v>
      </c>
      <c r="DM16" s="97">
        <v>3</v>
      </c>
      <c r="DN16" s="97">
        <v>4</v>
      </c>
      <c r="DO16" s="97">
        <v>5</v>
      </c>
      <c r="DP16" s="97">
        <v>6</v>
      </c>
      <c r="DQ16" s="97">
        <v>7</v>
      </c>
      <c r="DR16" s="97">
        <v>8</v>
      </c>
      <c r="DS16" s="97">
        <v>9</v>
      </c>
      <c r="DT16" s="97">
        <v>10</v>
      </c>
      <c r="DU16" s="97">
        <v>11</v>
      </c>
      <c r="DV16" s="97">
        <v>12</v>
      </c>
      <c r="DW16" s="97">
        <v>1</v>
      </c>
      <c r="DX16" s="97">
        <v>2</v>
      </c>
      <c r="DY16" s="97">
        <v>3</v>
      </c>
      <c r="DZ16" s="97">
        <v>4</v>
      </c>
      <c r="EA16" s="97">
        <v>5</v>
      </c>
      <c r="EB16" s="97">
        <v>6</v>
      </c>
      <c r="EC16" s="97">
        <v>7</v>
      </c>
      <c r="ED16" s="97">
        <v>8</v>
      </c>
      <c r="EE16" s="97">
        <v>9</v>
      </c>
      <c r="EF16" s="97">
        <v>10</v>
      </c>
      <c r="EG16" s="97">
        <v>11</v>
      </c>
      <c r="EH16" s="97">
        <v>12</v>
      </c>
      <c r="EI16" s="97">
        <v>1</v>
      </c>
      <c r="EJ16" s="97">
        <v>2</v>
      </c>
      <c r="EK16" s="97">
        <v>3</v>
      </c>
      <c r="EL16" s="97">
        <v>4</v>
      </c>
      <c r="EM16" s="97">
        <v>5</v>
      </c>
      <c r="EN16" s="97">
        <v>6</v>
      </c>
      <c r="EO16" s="97">
        <v>7</v>
      </c>
      <c r="EP16" s="97">
        <v>8</v>
      </c>
      <c r="EQ16" s="97">
        <v>9</v>
      </c>
      <c r="ER16" s="97">
        <v>10</v>
      </c>
      <c r="ES16" s="97">
        <v>11</v>
      </c>
      <c r="ET16" s="97">
        <v>12</v>
      </c>
      <c r="EU16" s="97">
        <v>1</v>
      </c>
      <c r="EV16" s="97">
        <v>2</v>
      </c>
      <c r="EW16" s="97">
        <v>3</v>
      </c>
      <c r="EX16" s="97">
        <v>4</v>
      </c>
      <c r="EY16" s="97">
        <v>5</v>
      </c>
      <c r="EZ16" s="97">
        <v>6</v>
      </c>
      <c r="FA16" s="97">
        <v>7</v>
      </c>
      <c r="FB16" s="97">
        <v>8</v>
      </c>
      <c r="FC16" s="97">
        <v>9</v>
      </c>
      <c r="FD16" s="97">
        <v>10</v>
      </c>
      <c r="FE16" s="97">
        <v>11</v>
      </c>
      <c r="FF16" s="97">
        <v>12</v>
      </c>
      <c r="FG16" s="97">
        <v>1</v>
      </c>
      <c r="FH16" s="97">
        <v>2</v>
      </c>
      <c r="FI16" s="97">
        <v>3</v>
      </c>
      <c r="FJ16" s="97">
        <v>4</v>
      </c>
      <c r="FK16" s="97">
        <v>5</v>
      </c>
      <c r="FL16" s="97">
        <v>6</v>
      </c>
      <c r="FM16" s="97">
        <v>7</v>
      </c>
      <c r="FN16" s="97">
        <v>8</v>
      </c>
      <c r="FO16" s="97">
        <v>9</v>
      </c>
      <c r="FP16" s="97">
        <v>10</v>
      </c>
      <c r="FQ16" s="97">
        <v>11</v>
      </c>
      <c r="FR16" s="97">
        <v>12</v>
      </c>
      <c r="FS16" s="97">
        <v>1</v>
      </c>
      <c r="FT16" s="97">
        <v>2</v>
      </c>
      <c r="FU16" s="97">
        <v>3</v>
      </c>
      <c r="FV16" s="97">
        <v>4</v>
      </c>
      <c r="FW16" s="97">
        <v>5</v>
      </c>
      <c r="FX16" s="97">
        <v>6</v>
      </c>
      <c r="FY16" s="97">
        <v>7</v>
      </c>
      <c r="FZ16" s="97">
        <v>8</v>
      </c>
      <c r="GA16" s="97">
        <v>9</v>
      </c>
      <c r="GB16" s="97">
        <v>7</v>
      </c>
      <c r="GC16" s="97">
        <v>8</v>
      </c>
      <c r="GD16" s="97">
        <v>9</v>
      </c>
      <c r="GE16" s="97">
        <v>10</v>
      </c>
      <c r="GF16" s="97">
        <v>11</v>
      </c>
      <c r="GG16" s="97">
        <v>12</v>
      </c>
      <c r="GH16" s="97">
        <v>1</v>
      </c>
      <c r="GI16" s="97">
        <v>2</v>
      </c>
      <c r="GJ16" s="97">
        <v>3</v>
      </c>
      <c r="GK16" s="97">
        <v>4</v>
      </c>
      <c r="GL16" s="97">
        <v>5</v>
      </c>
      <c r="GM16" s="97">
        <v>6</v>
      </c>
      <c r="GN16" s="97">
        <v>7</v>
      </c>
      <c r="GO16" s="97">
        <v>8</v>
      </c>
      <c r="GQ16" s="88"/>
      <c r="GR16" s="94"/>
      <c r="GS16" s="94"/>
      <c r="GT16" s="88"/>
    </row>
    <row r="17" spans="1:203">
      <c r="A17" s="101" t="s">
        <v>161</v>
      </c>
      <c r="F17" s="100">
        <f>MONTH(F11)</f>
        <v>11</v>
      </c>
      <c r="G17" s="97">
        <f>MONTH(G11)</f>
        <v>12</v>
      </c>
      <c r="H17" s="97">
        <f t="shared" ref="H17:BS17" si="9">MONTH(H11)</f>
        <v>1</v>
      </c>
      <c r="I17" s="97">
        <f t="shared" si="9"/>
        <v>2</v>
      </c>
      <c r="J17" s="97">
        <f t="shared" si="9"/>
        <v>3</v>
      </c>
      <c r="K17" s="97">
        <f t="shared" si="9"/>
        <v>4</v>
      </c>
      <c r="L17" s="97">
        <f t="shared" si="9"/>
        <v>5</v>
      </c>
      <c r="M17" s="97">
        <f t="shared" si="9"/>
        <v>6</v>
      </c>
      <c r="N17" s="97">
        <f t="shared" si="9"/>
        <v>7</v>
      </c>
      <c r="O17" s="97">
        <f t="shared" si="9"/>
        <v>8</v>
      </c>
      <c r="P17" s="97">
        <f t="shared" si="9"/>
        <v>9</v>
      </c>
      <c r="Q17" s="97">
        <f t="shared" si="9"/>
        <v>10</v>
      </c>
      <c r="R17" s="97">
        <f t="shared" si="9"/>
        <v>11</v>
      </c>
      <c r="S17" s="97">
        <f t="shared" si="9"/>
        <v>12</v>
      </c>
      <c r="T17" s="97">
        <f t="shared" si="9"/>
        <v>1</v>
      </c>
      <c r="U17" s="97">
        <f t="shared" si="9"/>
        <v>2</v>
      </c>
      <c r="V17" s="97">
        <f t="shared" si="9"/>
        <v>3</v>
      </c>
      <c r="W17" s="97">
        <f t="shared" si="9"/>
        <v>4</v>
      </c>
      <c r="X17" s="97">
        <f t="shared" si="9"/>
        <v>5</v>
      </c>
      <c r="Y17" s="97">
        <f t="shared" si="9"/>
        <v>6</v>
      </c>
      <c r="Z17" s="97">
        <f t="shared" si="9"/>
        <v>7</v>
      </c>
      <c r="AA17" s="97">
        <f t="shared" si="9"/>
        <v>8</v>
      </c>
      <c r="AB17" s="97">
        <f t="shared" si="9"/>
        <v>9</v>
      </c>
      <c r="AC17" s="97">
        <f t="shared" si="9"/>
        <v>10</v>
      </c>
      <c r="AD17" s="97">
        <f t="shared" si="9"/>
        <v>11</v>
      </c>
      <c r="AE17" s="97">
        <f t="shared" si="9"/>
        <v>12</v>
      </c>
      <c r="AF17" s="97">
        <f t="shared" si="9"/>
        <v>1</v>
      </c>
      <c r="AG17" s="97">
        <f t="shared" si="9"/>
        <v>2</v>
      </c>
      <c r="AH17" s="97">
        <f t="shared" si="9"/>
        <v>3</v>
      </c>
      <c r="AI17" s="97">
        <f t="shared" si="9"/>
        <v>4</v>
      </c>
      <c r="AJ17" s="97">
        <f t="shared" si="9"/>
        <v>5</v>
      </c>
      <c r="AK17" s="97">
        <f t="shared" si="9"/>
        <v>6</v>
      </c>
      <c r="AL17" s="97">
        <f t="shared" si="9"/>
        <v>7</v>
      </c>
      <c r="AM17" s="97">
        <f t="shared" si="9"/>
        <v>8</v>
      </c>
      <c r="AN17" s="97">
        <f t="shared" si="9"/>
        <v>9</v>
      </c>
      <c r="AO17" s="97">
        <f t="shared" si="9"/>
        <v>10</v>
      </c>
      <c r="AP17" s="97">
        <f t="shared" si="9"/>
        <v>11</v>
      </c>
      <c r="AQ17" s="97">
        <f t="shared" si="9"/>
        <v>12</v>
      </c>
      <c r="AR17" s="97">
        <f t="shared" si="9"/>
        <v>1</v>
      </c>
      <c r="AS17" s="97">
        <f t="shared" si="9"/>
        <v>2</v>
      </c>
      <c r="AT17" s="97">
        <f t="shared" si="9"/>
        <v>3</v>
      </c>
      <c r="AU17" s="97">
        <f t="shared" si="9"/>
        <v>4</v>
      </c>
      <c r="AV17" s="97">
        <f t="shared" si="9"/>
        <v>5</v>
      </c>
      <c r="AW17" s="97">
        <f t="shared" si="9"/>
        <v>6</v>
      </c>
      <c r="AX17" s="97">
        <f t="shared" si="9"/>
        <v>7</v>
      </c>
      <c r="AY17" s="97">
        <f t="shared" si="9"/>
        <v>8</v>
      </c>
      <c r="AZ17" s="97">
        <f t="shared" si="9"/>
        <v>9</v>
      </c>
      <c r="BA17" s="97">
        <f t="shared" si="9"/>
        <v>10</v>
      </c>
      <c r="BB17" s="97">
        <f t="shared" si="9"/>
        <v>11</v>
      </c>
      <c r="BC17" s="97">
        <f t="shared" si="9"/>
        <v>12</v>
      </c>
      <c r="BD17" s="97">
        <f t="shared" si="9"/>
        <v>1</v>
      </c>
      <c r="BE17" s="97">
        <f t="shared" si="9"/>
        <v>2</v>
      </c>
      <c r="BF17" s="97">
        <f t="shared" si="9"/>
        <v>3</v>
      </c>
      <c r="BG17" s="97">
        <f t="shared" si="9"/>
        <v>4</v>
      </c>
      <c r="BH17" s="97">
        <f t="shared" si="9"/>
        <v>5</v>
      </c>
      <c r="BI17" s="97">
        <f t="shared" si="9"/>
        <v>6</v>
      </c>
      <c r="BJ17" s="97">
        <f t="shared" si="9"/>
        <v>7</v>
      </c>
      <c r="BK17" s="97">
        <f t="shared" si="9"/>
        <v>8</v>
      </c>
      <c r="BL17" s="97">
        <f t="shared" si="9"/>
        <v>9</v>
      </c>
      <c r="BM17" s="97">
        <f t="shared" si="9"/>
        <v>10</v>
      </c>
      <c r="BN17" s="97">
        <f t="shared" si="9"/>
        <v>11</v>
      </c>
      <c r="BO17" s="97">
        <f t="shared" si="9"/>
        <v>12</v>
      </c>
      <c r="BP17" s="97">
        <f t="shared" si="9"/>
        <v>1</v>
      </c>
      <c r="BQ17" s="97">
        <f t="shared" si="9"/>
        <v>2</v>
      </c>
      <c r="BR17" s="97">
        <f t="shared" si="9"/>
        <v>3</v>
      </c>
      <c r="BS17" s="97">
        <f t="shared" si="9"/>
        <v>4</v>
      </c>
      <c r="BT17" s="97">
        <f t="shared" ref="BT17:EE17" si="10">MONTH(BT11)</f>
        <v>5</v>
      </c>
      <c r="BU17" s="97">
        <f t="shared" si="10"/>
        <v>6</v>
      </c>
      <c r="BV17" s="97">
        <f t="shared" si="10"/>
        <v>7</v>
      </c>
      <c r="BW17" s="97">
        <f t="shared" si="10"/>
        <v>8</v>
      </c>
      <c r="BX17" s="97">
        <f t="shared" si="10"/>
        <v>9</v>
      </c>
      <c r="BY17" s="97">
        <f t="shared" si="10"/>
        <v>10</v>
      </c>
      <c r="BZ17" s="97">
        <f t="shared" si="10"/>
        <v>11</v>
      </c>
      <c r="CA17" s="97">
        <f t="shared" si="10"/>
        <v>12</v>
      </c>
      <c r="CB17" s="97">
        <f t="shared" si="10"/>
        <v>1</v>
      </c>
      <c r="CC17" s="97">
        <f t="shared" si="10"/>
        <v>2</v>
      </c>
      <c r="CD17" s="97">
        <f t="shared" si="10"/>
        <v>3</v>
      </c>
      <c r="CE17" s="97">
        <f t="shared" si="10"/>
        <v>4</v>
      </c>
      <c r="CF17" s="97">
        <f t="shared" si="10"/>
        <v>5</v>
      </c>
      <c r="CG17" s="97">
        <f t="shared" si="10"/>
        <v>6</v>
      </c>
      <c r="CH17" s="97">
        <f t="shared" si="10"/>
        <v>7</v>
      </c>
      <c r="CI17" s="97">
        <f t="shared" si="10"/>
        <v>8</v>
      </c>
      <c r="CJ17" s="97">
        <f t="shared" si="10"/>
        <v>9</v>
      </c>
      <c r="CK17" s="97">
        <f t="shared" si="10"/>
        <v>10</v>
      </c>
      <c r="CL17" s="97">
        <f t="shared" si="10"/>
        <v>11</v>
      </c>
      <c r="CM17" s="97">
        <f t="shared" si="10"/>
        <v>12</v>
      </c>
      <c r="CN17" s="97">
        <f t="shared" si="10"/>
        <v>1</v>
      </c>
      <c r="CO17" s="97">
        <f t="shared" si="10"/>
        <v>2</v>
      </c>
      <c r="CP17" s="97">
        <f t="shared" si="10"/>
        <v>3</v>
      </c>
      <c r="CQ17" s="97">
        <f t="shared" si="10"/>
        <v>4</v>
      </c>
      <c r="CR17" s="97">
        <f t="shared" si="10"/>
        <v>5</v>
      </c>
      <c r="CS17" s="97">
        <f t="shared" si="10"/>
        <v>6</v>
      </c>
      <c r="CT17" s="97">
        <f t="shared" si="10"/>
        <v>7</v>
      </c>
      <c r="CU17" s="97">
        <f t="shared" si="10"/>
        <v>8</v>
      </c>
      <c r="CV17" s="97">
        <f t="shared" si="10"/>
        <v>9</v>
      </c>
      <c r="CW17" s="97">
        <f t="shared" si="10"/>
        <v>10</v>
      </c>
      <c r="CX17" s="97">
        <f t="shared" si="10"/>
        <v>11</v>
      </c>
      <c r="CY17" s="97">
        <f t="shared" si="10"/>
        <v>12</v>
      </c>
      <c r="CZ17" s="97">
        <f t="shared" si="10"/>
        <v>1</v>
      </c>
      <c r="DA17" s="97">
        <f t="shared" si="10"/>
        <v>2</v>
      </c>
      <c r="DB17" s="97">
        <f t="shared" si="10"/>
        <v>3</v>
      </c>
      <c r="DC17" s="97">
        <f t="shared" si="10"/>
        <v>4</v>
      </c>
      <c r="DD17" s="97">
        <f t="shared" si="10"/>
        <v>5</v>
      </c>
      <c r="DE17" s="97">
        <f t="shared" si="10"/>
        <v>6</v>
      </c>
      <c r="DF17" s="97">
        <f t="shared" si="10"/>
        <v>7</v>
      </c>
      <c r="DG17" s="97">
        <f t="shared" si="10"/>
        <v>8</v>
      </c>
      <c r="DH17" s="97">
        <f t="shared" si="10"/>
        <v>9</v>
      </c>
      <c r="DI17" s="97">
        <f t="shared" si="10"/>
        <v>10</v>
      </c>
      <c r="DJ17" s="97">
        <f t="shared" si="10"/>
        <v>11</v>
      </c>
      <c r="DK17" s="97">
        <f t="shared" si="10"/>
        <v>12</v>
      </c>
      <c r="DL17" s="97">
        <f t="shared" si="10"/>
        <v>1</v>
      </c>
      <c r="DM17" s="97">
        <f t="shared" si="10"/>
        <v>2</v>
      </c>
      <c r="DN17" s="97">
        <f t="shared" si="10"/>
        <v>3</v>
      </c>
      <c r="DO17" s="97">
        <f t="shared" si="10"/>
        <v>4</v>
      </c>
      <c r="DP17" s="97">
        <f t="shared" si="10"/>
        <v>5</v>
      </c>
      <c r="DQ17" s="97">
        <f t="shared" si="10"/>
        <v>6</v>
      </c>
      <c r="DR17" s="97">
        <f t="shared" si="10"/>
        <v>7</v>
      </c>
      <c r="DS17" s="97">
        <f t="shared" si="10"/>
        <v>8</v>
      </c>
      <c r="DT17" s="97">
        <f t="shared" si="10"/>
        <v>9</v>
      </c>
      <c r="DU17" s="97">
        <f t="shared" si="10"/>
        <v>10</v>
      </c>
      <c r="DV17" s="97">
        <f t="shared" si="10"/>
        <v>11</v>
      </c>
      <c r="DW17" s="97">
        <f t="shared" si="10"/>
        <v>12</v>
      </c>
      <c r="DX17" s="97">
        <f t="shared" si="10"/>
        <v>1</v>
      </c>
      <c r="DY17" s="97">
        <f t="shared" si="10"/>
        <v>2</v>
      </c>
      <c r="DZ17" s="97">
        <f t="shared" si="10"/>
        <v>3</v>
      </c>
      <c r="EA17" s="97">
        <f t="shared" si="10"/>
        <v>4</v>
      </c>
      <c r="EB17" s="97">
        <f t="shared" si="10"/>
        <v>5</v>
      </c>
      <c r="EC17" s="97">
        <f t="shared" si="10"/>
        <v>6</v>
      </c>
      <c r="ED17" s="97">
        <f t="shared" si="10"/>
        <v>7</v>
      </c>
      <c r="EE17" s="97">
        <f t="shared" si="10"/>
        <v>8</v>
      </c>
      <c r="EF17" s="97">
        <f t="shared" ref="EF17:GO17" si="11">MONTH(EF11)</f>
        <v>9</v>
      </c>
      <c r="EG17" s="97">
        <f t="shared" si="11"/>
        <v>10</v>
      </c>
      <c r="EH17" s="97">
        <f t="shared" si="11"/>
        <v>11</v>
      </c>
      <c r="EI17" s="97">
        <f t="shared" si="11"/>
        <v>12</v>
      </c>
      <c r="EJ17" s="97">
        <f t="shared" si="11"/>
        <v>1</v>
      </c>
      <c r="EK17" s="97">
        <f t="shared" si="11"/>
        <v>2</v>
      </c>
      <c r="EL17" s="97">
        <f t="shared" si="11"/>
        <v>3</v>
      </c>
      <c r="EM17" s="97">
        <f t="shared" si="11"/>
        <v>4</v>
      </c>
      <c r="EN17" s="97">
        <f t="shared" si="11"/>
        <v>5</v>
      </c>
      <c r="EO17" s="97">
        <f t="shared" si="11"/>
        <v>6</v>
      </c>
      <c r="EP17" s="97">
        <f t="shared" si="11"/>
        <v>7</v>
      </c>
      <c r="EQ17" s="97">
        <f t="shared" si="11"/>
        <v>8</v>
      </c>
      <c r="ER17" s="97">
        <f t="shared" si="11"/>
        <v>9</v>
      </c>
      <c r="ES17" s="97">
        <f t="shared" si="11"/>
        <v>10</v>
      </c>
      <c r="ET17" s="97">
        <f t="shared" si="11"/>
        <v>11</v>
      </c>
      <c r="EU17" s="97">
        <f t="shared" si="11"/>
        <v>12</v>
      </c>
      <c r="EV17" s="97">
        <f t="shared" si="11"/>
        <v>1</v>
      </c>
      <c r="EW17" s="97">
        <f t="shared" si="11"/>
        <v>2</v>
      </c>
      <c r="EX17" s="97">
        <f t="shared" si="11"/>
        <v>3</v>
      </c>
      <c r="EY17" s="97">
        <f t="shared" si="11"/>
        <v>4</v>
      </c>
      <c r="EZ17" s="97">
        <f t="shared" si="11"/>
        <v>5</v>
      </c>
      <c r="FA17" s="97">
        <f t="shared" si="11"/>
        <v>6</v>
      </c>
      <c r="FB17" s="97">
        <f t="shared" si="11"/>
        <v>7</v>
      </c>
      <c r="FC17" s="97">
        <f t="shared" si="11"/>
        <v>8</v>
      </c>
      <c r="FD17" s="97">
        <f t="shared" si="11"/>
        <v>9</v>
      </c>
      <c r="FE17" s="97">
        <f t="shared" si="11"/>
        <v>10</v>
      </c>
      <c r="FF17" s="97">
        <f t="shared" si="11"/>
        <v>11</v>
      </c>
      <c r="FG17" s="97">
        <f t="shared" si="11"/>
        <v>12</v>
      </c>
      <c r="FH17" s="97">
        <f t="shared" si="11"/>
        <v>1</v>
      </c>
      <c r="FI17" s="97">
        <f t="shared" si="11"/>
        <v>2</v>
      </c>
      <c r="FJ17" s="97">
        <f t="shared" si="11"/>
        <v>3</v>
      </c>
      <c r="FK17" s="97">
        <f t="shared" si="11"/>
        <v>4</v>
      </c>
      <c r="FL17" s="97">
        <f t="shared" si="11"/>
        <v>5</v>
      </c>
      <c r="FM17" s="97">
        <f t="shared" si="11"/>
        <v>6</v>
      </c>
      <c r="FN17" s="97">
        <f t="shared" si="11"/>
        <v>7</v>
      </c>
      <c r="FO17" s="97">
        <f t="shared" si="11"/>
        <v>8</v>
      </c>
      <c r="FP17" s="97">
        <f t="shared" si="11"/>
        <v>9</v>
      </c>
      <c r="FQ17" s="97">
        <f t="shared" si="11"/>
        <v>10</v>
      </c>
      <c r="FR17" s="97">
        <f t="shared" si="11"/>
        <v>11</v>
      </c>
      <c r="FS17" s="97">
        <f t="shared" si="11"/>
        <v>12</v>
      </c>
      <c r="FT17" s="97">
        <f t="shared" si="11"/>
        <v>1</v>
      </c>
      <c r="FU17" s="97">
        <f t="shared" si="11"/>
        <v>2</v>
      </c>
      <c r="FV17" s="97">
        <f t="shared" si="11"/>
        <v>3</v>
      </c>
      <c r="FW17" s="97">
        <f t="shared" si="11"/>
        <v>4</v>
      </c>
      <c r="FX17" s="97">
        <f t="shared" si="11"/>
        <v>5</v>
      </c>
      <c r="FY17" s="97">
        <f t="shared" si="11"/>
        <v>6</v>
      </c>
      <c r="FZ17" s="97">
        <f t="shared" si="11"/>
        <v>7</v>
      </c>
      <c r="GA17" s="97">
        <f t="shared" si="11"/>
        <v>8</v>
      </c>
      <c r="GB17" s="97">
        <f t="shared" si="11"/>
        <v>9</v>
      </c>
      <c r="GC17" s="97">
        <f t="shared" si="11"/>
        <v>10</v>
      </c>
      <c r="GD17" s="97">
        <f t="shared" si="11"/>
        <v>11</v>
      </c>
      <c r="GE17" s="97">
        <f t="shared" si="11"/>
        <v>12</v>
      </c>
      <c r="GF17" s="97">
        <f t="shared" si="11"/>
        <v>1</v>
      </c>
      <c r="GG17" s="97">
        <f t="shared" si="11"/>
        <v>2</v>
      </c>
      <c r="GH17" s="97">
        <f t="shared" si="11"/>
        <v>3</v>
      </c>
      <c r="GI17" s="97">
        <f t="shared" si="11"/>
        <v>4</v>
      </c>
      <c r="GJ17" s="97">
        <f t="shared" si="11"/>
        <v>5</v>
      </c>
      <c r="GK17" s="97">
        <f t="shared" si="11"/>
        <v>6</v>
      </c>
      <c r="GL17" s="97">
        <f t="shared" si="11"/>
        <v>7</v>
      </c>
      <c r="GM17" s="97">
        <f t="shared" si="11"/>
        <v>8</v>
      </c>
      <c r="GN17" s="97">
        <f t="shared" si="11"/>
        <v>9</v>
      </c>
      <c r="GO17" s="97">
        <f t="shared" si="11"/>
        <v>10</v>
      </c>
      <c r="GQ17" s="88"/>
      <c r="GR17" s="94"/>
      <c r="GS17" s="94"/>
      <c r="GT17" s="102"/>
    </row>
    <row r="18" spans="1:203">
      <c r="A18" s="101" t="s">
        <v>162</v>
      </c>
      <c r="F18" s="100">
        <v>0</v>
      </c>
      <c r="G18" s="97">
        <v>0</v>
      </c>
      <c r="H18" s="97">
        <v>0</v>
      </c>
      <c r="I18" s="97">
        <v>0</v>
      </c>
      <c r="J18" s="97">
        <v>0</v>
      </c>
      <c r="K18" s="97">
        <v>0</v>
      </c>
      <c r="L18" s="97">
        <v>0</v>
      </c>
      <c r="M18" s="97">
        <v>0</v>
      </c>
      <c r="N18" s="97">
        <v>0</v>
      </c>
      <c r="O18" s="97">
        <v>0</v>
      </c>
      <c r="P18" s="97">
        <v>0</v>
      </c>
      <c r="Q18" s="97">
        <v>0</v>
      </c>
      <c r="R18" s="97">
        <v>0</v>
      </c>
      <c r="S18" s="97">
        <v>0</v>
      </c>
      <c r="T18" s="97">
        <v>0</v>
      </c>
      <c r="U18" s="97">
        <v>0</v>
      </c>
      <c r="V18" s="97">
        <v>0</v>
      </c>
      <c r="W18" s="97">
        <v>0</v>
      </c>
      <c r="X18" s="97">
        <v>0</v>
      </c>
      <c r="Y18" s="97">
        <v>0</v>
      </c>
      <c r="Z18" s="97">
        <v>0</v>
      </c>
      <c r="AA18" s="97">
        <v>0</v>
      </c>
      <c r="AB18" s="97">
        <v>0</v>
      </c>
      <c r="AC18" s="97">
        <v>0</v>
      </c>
      <c r="AD18" s="97">
        <v>0</v>
      </c>
      <c r="AE18" s="97">
        <v>0</v>
      </c>
      <c r="AF18" s="97">
        <v>0</v>
      </c>
      <c r="AG18" s="97">
        <v>0</v>
      </c>
      <c r="AH18" s="97">
        <v>0</v>
      </c>
      <c r="AI18" s="97">
        <v>0</v>
      </c>
      <c r="AJ18" s="97">
        <v>0</v>
      </c>
      <c r="AK18" s="97">
        <v>0</v>
      </c>
      <c r="AL18" s="97">
        <v>0</v>
      </c>
      <c r="AM18" s="97">
        <v>0</v>
      </c>
      <c r="AN18" s="97">
        <v>0</v>
      </c>
      <c r="AO18" s="97">
        <v>0</v>
      </c>
      <c r="AP18" s="97">
        <v>0</v>
      </c>
      <c r="AQ18" s="97">
        <v>0</v>
      </c>
      <c r="AR18" s="97">
        <v>0</v>
      </c>
      <c r="AS18" s="97">
        <v>0</v>
      </c>
      <c r="AT18" s="97">
        <v>0</v>
      </c>
      <c r="AU18" s="97">
        <v>0</v>
      </c>
      <c r="AV18" s="97">
        <v>0</v>
      </c>
      <c r="AW18" s="97">
        <v>0</v>
      </c>
      <c r="AX18" s="97">
        <v>0</v>
      </c>
      <c r="AY18" s="97">
        <v>0</v>
      </c>
      <c r="AZ18" s="97">
        <v>0</v>
      </c>
      <c r="BA18" s="97">
        <v>0</v>
      </c>
      <c r="BB18" s="97">
        <v>0</v>
      </c>
      <c r="BC18" s="97">
        <v>0</v>
      </c>
      <c r="BD18" s="97">
        <v>0</v>
      </c>
      <c r="BE18" s="97">
        <v>0</v>
      </c>
      <c r="BF18" s="97">
        <v>0</v>
      </c>
      <c r="BG18" s="97">
        <v>0</v>
      </c>
      <c r="BH18" s="97">
        <v>0</v>
      </c>
      <c r="BI18" s="97">
        <v>0</v>
      </c>
      <c r="BJ18" s="97">
        <v>0</v>
      </c>
      <c r="BK18" s="97">
        <v>0</v>
      </c>
      <c r="BL18" s="97">
        <v>0</v>
      </c>
      <c r="BM18" s="97">
        <v>0</v>
      </c>
      <c r="BN18" s="97">
        <v>0</v>
      </c>
      <c r="BO18" s="97">
        <v>0</v>
      </c>
      <c r="BP18" s="97">
        <v>0</v>
      </c>
      <c r="BQ18" s="97">
        <v>0</v>
      </c>
      <c r="BR18" s="97">
        <v>0</v>
      </c>
      <c r="BS18" s="97">
        <v>0</v>
      </c>
      <c r="BT18" s="97">
        <v>0</v>
      </c>
      <c r="BU18" s="97">
        <v>0</v>
      </c>
      <c r="BV18" s="97">
        <v>0</v>
      </c>
      <c r="BW18" s="97">
        <v>0</v>
      </c>
      <c r="BX18" s="97">
        <v>0</v>
      </c>
      <c r="BY18" s="97">
        <v>0</v>
      </c>
      <c r="BZ18" s="97">
        <v>0</v>
      </c>
      <c r="CA18" s="97">
        <v>0</v>
      </c>
      <c r="CB18" s="97">
        <v>0</v>
      </c>
      <c r="CC18" s="97">
        <v>0</v>
      </c>
      <c r="CD18" s="97">
        <v>0</v>
      </c>
      <c r="CE18" s="97">
        <v>0</v>
      </c>
      <c r="CF18" s="97">
        <v>0</v>
      </c>
      <c r="CG18" s="97">
        <v>0</v>
      </c>
      <c r="CH18" s="97">
        <v>0</v>
      </c>
      <c r="CI18" s="97">
        <v>0</v>
      </c>
      <c r="CJ18" s="97">
        <v>0</v>
      </c>
      <c r="CK18" s="97">
        <v>0</v>
      </c>
      <c r="CL18" s="97">
        <v>0</v>
      </c>
      <c r="CM18" s="97">
        <v>0</v>
      </c>
      <c r="CN18" s="97">
        <v>0</v>
      </c>
      <c r="CO18" s="97">
        <v>0</v>
      </c>
      <c r="CP18" s="97">
        <v>0</v>
      </c>
      <c r="CQ18" s="97">
        <v>0</v>
      </c>
      <c r="CR18" s="97">
        <v>0</v>
      </c>
      <c r="CS18" s="97">
        <v>0</v>
      </c>
      <c r="CT18" s="97">
        <v>0</v>
      </c>
      <c r="CU18" s="97">
        <v>0</v>
      </c>
      <c r="CV18" s="97">
        <v>0</v>
      </c>
      <c r="CW18" s="97">
        <v>0</v>
      </c>
      <c r="CX18" s="97">
        <v>0</v>
      </c>
      <c r="CY18" s="97">
        <v>0</v>
      </c>
      <c r="CZ18" s="97">
        <v>0</v>
      </c>
      <c r="DA18" s="97">
        <v>0</v>
      </c>
      <c r="DB18" s="97">
        <v>0</v>
      </c>
      <c r="DC18" s="97">
        <v>0</v>
      </c>
      <c r="DD18" s="97">
        <v>0</v>
      </c>
      <c r="DE18" s="97">
        <v>0</v>
      </c>
      <c r="DF18" s="97">
        <v>0</v>
      </c>
      <c r="DG18" s="97">
        <v>0</v>
      </c>
      <c r="DH18" s="97">
        <v>0</v>
      </c>
      <c r="DI18" s="97">
        <v>0</v>
      </c>
      <c r="DJ18" s="97">
        <v>0</v>
      </c>
      <c r="DK18" s="97">
        <v>0</v>
      </c>
      <c r="DL18" s="97">
        <v>0</v>
      </c>
      <c r="DM18" s="97">
        <v>0</v>
      </c>
      <c r="DN18" s="97">
        <v>0</v>
      </c>
      <c r="DO18" s="97">
        <v>0</v>
      </c>
      <c r="DP18" s="97">
        <v>0</v>
      </c>
      <c r="DQ18" s="97">
        <v>0</v>
      </c>
      <c r="DR18" s="97">
        <v>0</v>
      </c>
      <c r="DS18" s="97">
        <v>0</v>
      </c>
      <c r="DT18" s="97">
        <v>0</v>
      </c>
      <c r="DU18" s="97">
        <v>0</v>
      </c>
      <c r="DV18" s="97">
        <v>0</v>
      </c>
      <c r="DW18" s="97">
        <v>0</v>
      </c>
      <c r="DX18" s="97">
        <v>0</v>
      </c>
      <c r="DY18" s="97">
        <v>0</v>
      </c>
      <c r="DZ18" s="97">
        <v>0</v>
      </c>
      <c r="EA18" s="97">
        <v>0</v>
      </c>
      <c r="EB18" s="97">
        <v>0</v>
      </c>
      <c r="EC18" s="97">
        <v>0</v>
      </c>
      <c r="ED18" s="97">
        <v>0</v>
      </c>
      <c r="EE18" s="97">
        <v>0</v>
      </c>
      <c r="EF18" s="97">
        <v>0</v>
      </c>
      <c r="EG18" s="97">
        <v>0</v>
      </c>
      <c r="EH18" s="97">
        <v>0</v>
      </c>
      <c r="EI18" s="97">
        <v>0</v>
      </c>
      <c r="EJ18" s="97">
        <v>0</v>
      </c>
      <c r="EK18" s="97">
        <v>0</v>
      </c>
      <c r="EL18" s="97">
        <v>0</v>
      </c>
      <c r="EM18" s="97">
        <v>0</v>
      </c>
      <c r="EN18" s="97">
        <v>0</v>
      </c>
      <c r="EO18" s="97">
        <v>0</v>
      </c>
      <c r="EP18" s="97">
        <v>0</v>
      </c>
      <c r="EQ18" s="97">
        <v>0</v>
      </c>
      <c r="ER18" s="97">
        <v>0</v>
      </c>
      <c r="ES18" s="97">
        <v>0</v>
      </c>
      <c r="ET18" s="97">
        <v>0</v>
      </c>
      <c r="EU18" s="97">
        <v>0</v>
      </c>
      <c r="EV18" s="97">
        <v>0</v>
      </c>
      <c r="EW18" s="97">
        <v>0</v>
      </c>
      <c r="EX18" s="97">
        <v>0</v>
      </c>
      <c r="EY18" s="97">
        <v>0</v>
      </c>
      <c r="EZ18" s="97">
        <v>0</v>
      </c>
      <c r="FA18" s="97">
        <v>0</v>
      </c>
      <c r="FB18" s="97">
        <v>0</v>
      </c>
      <c r="FC18" s="97">
        <v>0</v>
      </c>
      <c r="FD18" s="97">
        <v>0</v>
      </c>
      <c r="FE18" s="97">
        <v>0</v>
      </c>
      <c r="FF18" s="97">
        <v>0</v>
      </c>
      <c r="FG18" s="97">
        <v>0</v>
      </c>
      <c r="FH18" s="97">
        <v>0</v>
      </c>
      <c r="FI18" s="97">
        <v>0</v>
      </c>
      <c r="FJ18" s="97">
        <v>0</v>
      </c>
      <c r="FK18" s="97">
        <v>0</v>
      </c>
      <c r="FL18" s="97">
        <v>0</v>
      </c>
      <c r="FM18" s="97">
        <v>0</v>
      </c>
      <c r="FN18" s="97">
        <v>0</v>
      </c>
      <c r="FO18" s="97">
        <v>0</v>
      </c>
      <c r="FP18" s="97">
        <v>0</v>
      </c>
      <c r="FQ18" s="97">
        <v>0</v>
      </c>
      <c r="FR18" s="97">
        <v>0</v>
      </c>
      <c r="FS18" s="97">
        <v>0</v>
      </c>
      <c r="FT18" s="97">
        <v>0</v>
      </c>
      <c r="FU18" s="97">
        <v>0</v>
      </c>
      <c r="FV18" s="97">
        <v>0</v>
      </c>
      <c r="FW18" s="97">
        <v>0</v>
      </c>
      <c r="FX18" s="97">
        <v>0</v>
      </c>
      <c r="FY18" s="97">
        <v>0</v>
      </c>
      <c r="FZ18" s="97">
        <v>0</v>
      </c>
      <c r="GA18" s="97">
        <v>0</v>
      </c>
      <c r="GB18" s="97">
        <v>0</v>
      </c>
      <c r="GC18" s="97">
        <v>0</v>
      </c>
      <c r="GD18" s="97">
        <v>0</v>
      </c>
      <c r="GE18" s="97">
        <v>0</v>
      </c>
      <c r="GF18" s="97">
        <v>0</v>
      </c>
      <c r="GG18" s="97">
        <v>0</v>
      </c>
      <c r="GH18" s="97">
        <v>0</v>
      </c>
      <c r="GI18" s="97">
        <v>0</v>
      </c>
      <c r="GJ18" s="97">
        <v>0</v>
      </c>
      <c r="GK18" s="97">
        <v>0</v>
      </c>
      <c r="GL18" s="97">
        <v>0</v>
      </c>
      <c r="GM18" s="97">
        <v>0</v>
      </c>
      <c r="GN18" s="97">
        <v>0</v>
      </c>
      <c r="GO18" s="97">
        <v>0</v>
      </c>
      <c r="GQ18" s="88"/>
      <c r="GR18" s="94"/>
      <c r="GS18" s="94"/>
      <c r="GT18" s="102"/>
    </row>
    <row r="19" spans="1:203">
      <c r="A19" s="101" t="s">
        <v>355</v>
      </c>
      <c r="F19" s="100" t="str">
        <f t="shared" ref="F19:BQ19" si="12">IF(F15=0,"M"&amp;F14,"Y"&amp;F15&amp;"M"&amp;F16)</f>
        <v>Y1M12</v>
      </c>
      <c r="G19" s="97" t="str">
        <f t="shared" si="12"/>
        <v>Y2M1</v>
      </c>
      <c r="H19" s="97" t="str">
        <f t="shared" si="12"/>
        <v>Y2M2</v>
      </c>
      <c r="I19" s="97" t="str">
        <f t="shared" si="12"/>
        <v>Y2M3</v>
      </c>
      <c r="J19" s="97" t="str">
        <f t="shared" si="12"/>
        <v>Y2M4</v>
      </c>
      <c r="K19" s="97" t="str">
        <f t="shared" si="12"/>
        <v>Y2M5</v>
      </c>
      <c r="L19" s="97" t="str">
        <f t="shared" si="12"/>
        <v>Y2M6</v>
      </c>
      <c r="M19" s="97" t="str">
        <f t="shared" si="12"/>
        <v>Y2M7</v>
      </c>
      <c r="N19" s="97" t="str">
        <f t="shared" si="12"/>
        <v>Y2M8</v>
      </c>
      <c r="O19" s="97" t="str">
        <f t="shared" si="12"/>
        <v>Y2M9</v>
      </c>
      <c r="P19" s="97" t="str">
        <f t="shared" si="12"/>
        <v>Y2M10</v>
      </c>
      <c r="Q19" s="97" t="str">
        <f t="shared" si="12"/>
        <v>Y2M11</v>
      </c>
      <c r="R19" s="97" t="str">
        <f t="shared" si="12"/>
        <v>Y2M12</v>
      </c>
      <c r="S19" s="97" t="str">
        <f t="shared" si="12"/>
        <v>Y3M1</v>
      </c>
      <c r="T19" s="97" t="str">
        <f t="shared" si="12"/>
        <v>Y3M2</v>
      </c>
      <c r="U19" s="97" t="str">
        <f t="shared" si="12"/>
        <v>Y3M3</v>
      </c>
      <c r="V19" s="97" t="str">
        <f t="shared" si="12"/>
        <v>Y3M4</v>
      </c>
      <c r="W19" s="97" t="str">
        <f t="shared" si="12"/>
        <v>Y3M5</v>
      </c>
      <c r="X19" s="97" t="str">
        <f t="shared" si="12"/>
        <v>Y3M6</v>
      </c>
      <c r="Y19" s="97" t="str">
        <f t="shared" si="12"/>
        <v>Y3M7</v>
      </c>
      <c r="Z19" s="97" t="str">
        <f t="shared" si="12"/>
        <v>Y3M8</v>
      </c>
      <c r="AA19" s="97" t="str">
        <f t="shared" si="12"/>
        <v>Y3M9</v>
      </c>
      <c r="AB19" s="97" t="str">
        <f t="shared" si="12"/>
        <v>Y3M10</v>
      </c>
      <c r="AC19" s="97" t="str">
        <f t="shared" si="12"/>
        <v>Y3M11</v>
      </c>
      <c r="AD19" s="97" t="str">
        <f t="shared" si="12"/>
        <v>Y3M12</v>
      </c>
      <c r="AE19" s="97" t="str">
        <f t="shared" si="12"/>
        <v>Y4M1</v>
      </c>
      <c r="AF19" s="97" t="str">
        <f t="shared" si="12"/>
        <v>Y4M2</v>
      </c>
      <c r="AG19" s="97" t="str">
        <f t="shared" si="12"/>
        <v>Y4M3</v>
      </c>
      <c r="AH19" s="97" t="str">
        <f t="shared" si="12"/>
        <v>Y4M4</v>
      </c>
      <c r="AI19" s="97" t="str">
        <f t="shared" si="12"/>
        <v>Y4M5</v>
      </c>
      <c r="AJ19" s="97" t="str">
        <f t="shared" si="12"/>
        <v>Y4M6</v>
      </c>
      <c r="AK19" s="97" t="str">
        <f t="shared" si="12"/>
        <v>Y4M7</v>
      </c>
      <c r="AL19" s="97" t="str">
        <f t="shared" si="12"/>
        <v>Y4M8</v>
      </c>
      <c r="AM19" s="97" t="str">
        <f t="shared" si="12"/>
        <v>Y4M9</v>
      </c>
      <c r="AN19" s="97" t="str">
        <f t="shared" si="12"/>
        <v>Y4M10</v>
      </c>
      <c r="AO19" s="97" t="str">
        <f t="shared" si="12"/>
        <v>Y4M11</v>
      </c>
      <c r="AP19" s="97" t="str">
        <f t="shared" si="12"/>
        <v>Y4M12</v>
      </c>
      <c r="AQ19" s="97" t="str">
        <f t="shared" si="12"/>
        <v>Y5M1</v>
      </c>
      <c r="AR19" s="97" t="str">
        <f t="shared" si="12"/>
        <v>Y5M2</v>
      </c>
      <c r="AS19" s="97" t="str">
        <f t="shared" si="12"/>
        <v>Y5M3</v>
      </c>
      <c r="AT19" s="97" t="str">
        <f t="shared" si="12"/>
        <v>Y5M4</v>
      </c>
      <c r="AU19" s="97" t="str">
        <f t="shared" si="12"/>
        <v>Y5M5</v>
      </c>
      <c r="AV19" s="97" t="str">
        <f t="shared" si="12"/>
        <v>Y5M6</v>
      </c>
      <c r="AW19" s="97" t="str">
        <f t="shared" si="12"/>
        <v>Y5M7</v>
      </c>
      <c r="AX19" s="97" t="str">
        <f t="shared" si="12"/>
        <v>Y5M8</v>
      </c>
      <c r="AY19" s="97" t="str">
        <f t="shared" si="12"/>
        <v>Y5M9</v>
      </c>
      <c r="AZ19" s="97" t="str">
        <f t="shared" si="12"/>
        <v>Y5M10</v>
      </c>
      <c r="BA19" s="97" t="str">
        <f t="shared" si="12"/>
        <v>Y5M11</v>
      </c>
      <c r="BB19" s="97" t="str">
        <f t="shared" si="12"/>
        <v>Y5M12</v>
      </c>
      <c r="BC19" s="97" t="str">
        <f t="shared" si="12"/>
        <v>Y6M1</v>
      </c>
      <c r="BD19" s="97" t="str">
        <f t="shared" si="12"/>
        <v>Y6M2</v>
      </c>
      <c r="BE19" s="97" t="str">
        <f t="shared" si="12"/>
        <v>Y6M3</v>
      </c>
      <c r="BF19" s="97" t="str">
        <f t="shared" si="12"/>
        <v>Y6M4</v>
      </c>
      <c r="BG19" s="97" t="str">
        <f t="shared" si="12"/>
        <v>Y6M5</v>
      </c>
      <c r="BH19" s="97" t="str">
        <f t="shared" si="12"/>
        <v>Y6M6</v>
      </c>
      <c r="BI19" s="97" t="str">
        <f t="shared" si="12"/>
        <v>Y6M7</v>
      </c>
      <c r="BJ19" s="97" t="str">
        <f t="shared" si="12"/>
        <v>Y6M8</v>
      </c>
      <c r="BK19" s="97" t="str">
        <f t="shared" si="12"/>
        <v>Y6M9</v>
      </c>
      <c r="BL19" s="97" t="str">
        <f t="shared" si="12"/>
        <v>Y6M10</v>
      </c>
      <c r="BM19" s="97" t="str">
        <f t="shared" si="12"/>
        <v>Y6M11</v>
      </c>
      <c r="BN19" s="97" t="str">
        <f t="shared" si="12"/>
        <v>Y6M12</v>
      </c>
      <c r="BO19" s="97" t="str">
        <f t="shared" si="12"/>
        <v>Y7M1</v>
      </c>
      <c r="BP19" s="97" t="str">
        <f t="shared" si="12"/>
        <v>Y7M2</v>
      </c>
      <c r="BQ19" s="97" t="str">
        <f t="shared" si="12"/>
        <v>Y7M3</v>
      </c>
      <c r="BR19" s="97" t="str">
        <f t="shared" ref="BR19:EC19" si="13">IF(BR15=0,"M"&amp;BR14,"Y"&amp;BR15&amp;"M"&amp;BR16)</f>
        <v>Y7M4</v>
      </c>
      <c r="BS19" s="97" t="str">
        <f t="shared" si="13"/>
        <v>Y7M5</v>
      </c>
      <c r="BT19" s="97" t="str">
        <f t="shared" si="13"/>
        <v>Y7M6</v>
      </c>
      <c r="BU19" s="97" t="str">
        <f t="shared" si="13"/>
        <v>Y7M7</v>
      </c>
      <c r="BV19" s="97" t="str">
        <f t="shared" si="13"/>
        <v>Y7M8</v>
      </c>
      <c r="BW19" s="97" t="str">
        <f t="shared" si="13"/>
        <v>Y7M9</v>
      </c>
      <c r="BX19" s="97" t="str">
        <f t="shared" si="13"/>
        <v>Y7M10</v>
      </c>
      <c r="BY19" s="97" t="str">
        <f t="shared" si="13"/>
        <v>Y7M11</v>
      </c>
      <c r="BZ19" s="97" t="str">
        <f t="shared" si="13"/>
        <v>Y7M12</v>
      </c>
      <c r="CA19" s="97" t="str">
        <f t="shared" si="13"/>
        <v>Y8M1</v>
      </c>
      <c r="CB19" s="97" t="str">
        <f t="shared" si="13"/>
        <v>Y8M2</v>
      </c>
      <c r="CC19" s="97" t="str">
        <f t="shared" si="13"/>
        <v>Y8M3</v>
      </c>
      <c r="CD19" s="97" t="str">
        <f t="shared" si="13"/>
        <v>Y8M4</v>
      </c>
      <c r="CE19" s="97" t="str">
        <f t="shared" si="13"/>
        <v>Y8M5</v>
      </c>
      <c r="CF19" s="97" t="str">
        <f t="shared" si="13"/>
        <v>Y8M6</v>
      </c>
      <c r="CG19" s="97" t="str">
        <f t="shared" si="13"/>
        <v>Y8M7</v>
      </c>
      <c r="CH19" s="97" t="str">
        <f t="shared" si="13"/>
        <v>Y8M8</v>
      </c>
      <c r="CI19" s="97" t="str">
        <f t="shared" si="13"/>
        <v>Y8M9</v>
      </c>
      <c r="CJ19" s="97" t="str">
        <f t="shared" si="13"/>
        <v>Y8M10</v>
      </c>
      <c r="CK19" s="97" t="str">
        <f t="shared" si="13"/>
        <v>Y8M11</v>
      </c>
      <c r="CL19" s="97" t="str">
        <f t="shared" si="13"/>
        <v>Y8M12</v>
      </c>
      <c r="CM19" s="97" t="str">
        <f t="shared" si="13"/>
        <v>Y9M1</v>
      </c>
      <c r="CN19" s="97" t="str">
        <f t="shared" si="13"/>
        <v>Y9M2</v>
      </c>
      <c r="CO19" s="97" t="str">
        <f t="shared" si="13"/>
        <v>Y9M3</v>
      </c>
      <c r="CP19" s="97" t="str">
        <f t="shared" si="13"/>
        <v>Y9M4</v>
      </c>
      <c r="CQ19" s="97" t="str">
        <f t="shared" si="13"/>
        <v>Y9M5</v>
      </c>
      <c r="CR19" s="97" t="str">
        <f t="shared" si="13"/>
        <v>Y9M6</v>
      </c>
      <c r="CS19" s="97" t="str">
        <f t="shared" si="13"/>
        <v>Y9M7</v>
      </c>
      <c r="CT19" s="97" t="str">
        <f t="shared" si="13"/>
        <v>Y9M8</v>
      </c>
      <c r="CU19" s="97" t="str">
        <f t="shared" si="13"/>
        <v>Y9M9</v>
      </c>
      <c r="CV19" s="97" t="str">
        <f t="shared" si="13"/>
        <v>Y9M10</v>
      </c>
      <c r="CW19" s="97" t="str">
        <f t="shared" si="13"/>
        <v>Y9M11</v>
      </c>
      <c r="CX19" s="97" t="str">
        <f t="shared" si="13"/>
        <v>Y9M12</v>
      </c>
      <c r="CY19" s="97" t="str">
        <f t="shared" si="13"/>
        <v>Y10M1</v>
      </c>
      <c r="CZ19" s="97" t="str">
        <f t="shared" si="13"/>
        <v>Y10M2</v>
      </c>
      <c r="DA19" s="97" t="str">
        <f t="shared" si="13"/>
        <v>Y10M3</v>
      </c>
      <c r="DB19" s="97" t="str">
        <f t="shared" si="13"/>
        <v>Y10M4</v>
      </c>
      <c r="DC19" s="97" t="str">
        <f t="shared" si="13"/>
        <v>Y10M5</v>
      </c>
      <c r="DD19" s="97" t="str">
        <f t="shared" si="13"/>
        <v>Y10M6</v>
      </c>
      <c r="DE19" s="97" t="str">
        <f t="shared" si="13"/>
        <v>Y10M7</v>
      </c>
      <c r="DF19" s="97" t="str">
        <f t="shared" si="13"/>
        <v>Y10M8</v>
      </c>
      <c r="DG19" s="97" t="str">
        <f t="shared" si="13"/>
        <v>Y10M9</v>
      </c>
      <c r="DH19" s="97" t="str">
        <f t="shared" si="13"/>
        <v>Y10M10</v>
      </c>
      <c r="DI19" s="97" t="str">
        <f t="shared" si="13"/>
        <v>Y10M11</v>
      </c>
      <c r="DJ19" s="97" t="str">
        <f t="shared" si="13"/>
        <v>Y10M12</v>
      </c>
      <c r="DK19" s="97" t="str">
        <f t="shared" si="13"/>
        <v>Y11M1</v>
      </c>
      <c r="DL19" s="97" t="str">
        <f t="shared" si="13"/>
        <v>Y11M2</v>
      </c>
      <c r="DM19" s="97" t="str">
        <f t="shared" si="13"/>
        <v>Y11M3</v>
      </c>
      <c r="DN19" s="97" t="str">
        <f t="shared" si="13"/>
        <v>Y11M4</v>
      </c>
      <c r="DO19" s="97" t="str">
        <f t="shared" si="13"/>
        <v>Y11M5</v>
      </c>
      <c r="DP19" s="97" t="str">
        <f t="shared" si="13"/>
        <v>Y11M6</v>
      </c>
      <c r="DQ19" s="97" t="str">
        <f t="shared" si="13"/>
        <v>Y11M7</v>
      </c>
      <c r="DR19" s="97" t="str">
        <f t="shared" si="13"/>
        <v>Y11M8</v>
      </c>
      <c r="DS19" s="97" t="str">
        <f t="shared" si="13"/>
        <v>Y11M9</v>
      </c>
      <c r="DT19" s="97" t="str">
        <f t="shared" si="13"/>
        <v>Y11M10</v>
      </c>
      <c r="DU19" s="97" t="str">
        <f t="shared" si="13"/>
        <v>Y11M11</v>
      </c>
      <c r="DV19" s="97" t="str">
        <f t="shared" si="13"/>
        <v>Y11M12</v>
      </c>
      <c r="DW19" s="97" t="str">
        <f t="shared" si="13"/>
        <v>Y12M1</v>
      </c>
      <c r="DX19" s="97" t="str">
        <f t="shared" si="13"/>
        <v>Y12M2</v>
      </c>
      <c r="DY19" s="97" t="str">
        <f t="shared" si="13"/>
        <v>Y12M3</v>
      </c>
      <c r="DZ19" s="97" t="str">
        <f t="shared" si="13"/>
        <v>Y12M4</v>
      </c>
      <c r="EA19" s="97" t="str">
        <f t="shared" si="13"/>
        <v>Y12M5</v>
      </c>
      <c r="EB19" s="97" t="str">
        <f t="shared" si="13"/>
        <v>Y12M6</v>
      </c>
      <c r="EC19" s="97" t="str">
        <f t="shared" si="13"/>
        <v>Y12M7</v>
      </c>
      <c r="ED19" s="97" t="str">
        <f t="shared" ref="ED19:GO19" si="14">IF(ED15=0,"M"&amp;ED14,"Y"&amp;ED15&amp;"M"&amp;ED16)</f>
        <v>Y12M8</v>
      </c>
      <c r="EE19" s="97" t="str">
        <f t="shared" si="14"/>
        <v>Y12M9</v>
      </c>
      <c r="EF19" s="97" t="str">
        <f t="shared" si="14"/>
        <v>Y12M10</v>
      </c>
      <c r="EG19" s="97" t="str">
        <f t="shared" si="14"/>
        <v>Y12M11</v>
      </c>
      <c r="EH19" s="97" t="str">
        <f t="shared" si="14"/>
        <v>Y12M12</v>
      </c>
      <c r="EI19" s="97" t="str">
        <f t="shared" si="14"/>
        <v>Y13M1</v>
      </c>
      <c r="EJ19" s="97" t="str">
        <f t="shared" si="14"/>
        <v>Y13M2</v>
      </c>
      <c r="EK19" s="97" t="str">
        <f t="shared" si="14"/>
        <v>Y13M3</v>
      </c>
      <c r="EL19" s="97" t="str">
        <f t="shared" si="14"/>
        <v>Y13M4</v>
      </c>
      <c r="EM19" s="97" t="str">
        <f t="shared" si="14"/>
        <v>Y13M5</v>
      </c>
      <c r="EN19" s="97" t="str">
        <f t="shared" si="14"/>
        <v>Y13M6</v>
      </c>
      <c r="EO19" s="97" t="str">
        <f t="shared" si="14"/>
        <v>Y13M7</v>
      </c>
      <c r="EP19" s="97" t="str">
        <f t="shared" si="14"/>
        <v>Y13M8</v>
      </c>
      <c r="EQ19" s="97" t="str">
        <f t="shared" si="14"/>
        <v>Y13M9</v>
      </c>
      <c r="ER19" s="97" t="str">
        <f t="shared" si="14"/>
        <v>Y13M10</v>
      </c>
      <c r="ES19" s="97" t="str">
        <f t="shared" si="14"/>
        <v>Y13M11</v>
      </c>
      <c r="ET19" s="97" t="str">
        <f t="shared" si="14"/>
        <v>Y13M12</v>
      </c>
      <c r="EU19" s="97" t="str">
        <f t="shared" si="14"/>
        <v>Y14M1</v>
      </c>
      <c r="EV19" s="97" t="str">
        <f t="shared" si="14"/>
        <v>Y14M2</v>
      </c>
      <c r="EW19" s="97" t="str">
        <f t="shared" si="14"/>
        <v>Y14M3</v>
      </c>
      <c r="EX19" s="97" t="str">
        <f t="shared" si="14"/>
        <v>Y14M4</v>
      </c>
      <c r="EY19" s="97" t="str">
        <f t="shared" si="14"/>
        <v>Y14M5</v>
      </c>
      <c r="EZ19" s="97" t="str">
        <f t="shared" si="14"/>
        <v>Y14M6</v>
      </c>
      <c r="FA19" s="97" t="str">
        <f t="shared" si="14"/>
        <v>Y14M7</v>
      </c>
      <c r="FB19" s="97" t="str">
        <f t="shared" si="14"/>
        <v>Y14M8</v>
      </c>
      <c r="FC19" s="97" t="str">
        <f t="shared" si="14"/>
        <v>Y14M9</v>
      </c>
      <c r="FD19" s="97" t="str">
        <f t="shared" si="14"/>
        <v>Y14M10</v>
      </c>
      <c r="FE19" s="97" t="str">
        <f t="shared" si="14"/>
        <v>Y14M11</v>
      </c>
      <c r="FF19" s="97" t="str">
        <f t="shared" si="14"/>
        <v>Y14M12</v>
      </c>
      <c r="FG19" s="97" t="str">
        <f t="shared" si="14"/>
        <v>Y15M1</v>
      </c>
      <c r="FH19" s="97" t="str">
        <f t="shared" si="14"/>
        <v>Y15M2</v>
      </c>
      <c r="FI19" s="97" t="str">
        <f t="shared" si="14"/>
        <v>Y15M3</v>
      </c>
      <c r="FJ19" s="97" t="str">
        <f t="shared" si="14"/>
        <v>Y15M4</v>
      </c>
      <c r="FK19" s="97" t="str">
        <f t="shared" si="14"/>
        <v>Y15M5</v>
      </c>
      <c r="FL19" s="97" t="str">
        <f t="shared" si="14"/>
        <v>Y15M6</v>
      </c>
      <c r="FM19" s="97" t="str">
        <f t="shared" si="14"/>
        <v>Y15M7</v>
      </c>
      <c r="FN19" s="97" t="str">
        <f t="shared" si="14"/>
        <v>Y15M8</v>
      </c>
      <c r="FO19" s="97" t="str">
        <f t="shared" si="14"/>
        <v>Y15M9</v>
      </c>
      <c r="FP19" s="97" t="str">
        <f t="shared" si="14"/>
        <v>Y15M10</v>
      </c>
      <c r="FQ19" s="97" t="str">
        <f t="shared" si="14"/>
        <v>Y15M11</v>
      </c>
      <c r="FR19" s="97" t="str">
        <f t="shared" si="14"/>
        <v>Y15M12</v>
      </c>
      <c r="FS19" s="97" t="str">
        <f t="shared" si="14"/>
        <v>Y16M1</v>
      </c>
      <c r="FT19" s="97" t="str">
        <f t="shared" si="14"/>
        <v>Y16M2</v>
      </c>
      <c r="FU19" s="97" t="str">
        <f t="shared" si="14"/>
        <v>Y16M3</v>
      </c>
      <c r="FV19" s="97" t="str">
        <f t="shared" si="14"/>
        <v>Y16M4</v>
      </c>
      <c r="FW19" s="97" t="str">
        <f t="shared" si="14"/>
        <v>Y16M5</v>
      </c>
      <c r="FX19" s="97" t="str">
        <f t="shared" si="14"/>
        <v>Y16M6</v>
      </c>
      <c r="FY19" s="97" t="str">
        <f t="shared" si="14"/>
        <v>Y16M7</v>
      </c>
      <c r="FZ19" s="97" t="str">
        <f t="shared" si="14"/>
        <v>Y16M8</v>
      </c>
      <c r="GA19" s="97" t="str">
        <f t="shared" si="14"/>
        <v>Y16M9</v>
      </c>
      <c r="GB19" s="97" t="str">
        <f t="shared" si="14"/>
        <v>M175</v>
      </c>
      <c r="GC19" s="97" t="str">
        <f t="shared" si="14"/>
        <v>M176</v>
      </c>
      <c r="GD19" s="97" t="str">
        <f t="shared" si="14"/>
        <v>M177</v>
      </c>
      <c r="GE19" s="97" t="str">
        <f t="shared" si="14"/>
        <v>M178</v>
      </c>
      <c r="GF19" s="97" t="str">
        <f t="shared" si="14"/>
        <v>M179</v>
      </c>
      <c r="GG19" s="97" t="str">
        <f t="shared" si="14"/>
        <v>M180</v>
      </c>
      <c r="GH19" s="97" t="str">
        <f t="shared" si="14"/>
        <v>M181</v>
      </c>
      <c r="GI19" s="97" t="str">
        <f t="shared" si="14"/>
        <v>M182</v>
      </c>
      <c r="GJ19" s="97" t="str">
        <f t="shared" si="14"/>
        <v>M183</v>
      </c>
      <c r="GK19" s="97" t="str">
        <f t="shared" si="14"/>
        <v>M184</v>
      </c>
      <c r="GL19" s="97" t="str">
        <f t="shared" si="14"/>
        <v>M185</v>
      </c>
      <c r="GM19" s="97" t="str">
        <f t="shared" si="14"/>
        <v>M186</v>
      </c>
      <c r="GN19" s="97" t="str">
        <f t="shared" si="14"/>
        <v>M187</v>
      </c>
      <c r="GO19" s="97" t="str">
        <f t="shared" si="14"/>
        <v>M188</v>
      </c>
      <c r="GQ19" s="88"/>
      <c r="GR19" s="94"/>
      <c r="GS19" s="94"/>
      <c r="GT19" s="102"/>
    </row>
    <row r="20" spans="1:203">
      <c r="A20" s="101" t="s">
        <v>163</v>
      </c>
      <c r="F20" s="100" t="str">
        <f t="shared" ref="F20:BQ20" si="15">IF(F14&lt;0,"Pre","Q"&amp;INT((F14-1)/3)+1)</f>
        <v>Q4</v>
      </c>
      <c r="G20" s="97" t="str">
        <f t="shared" si="15"/>
        <v>Q5</v>
      </c>
      <c r="H20" s="97" t="str">
        <f t="shared" si="15"/>
        <v>Q5</v>
      </c>
      <c r="I20" s="97" t="str">
        <f t="shared" si="15"/>
        <v>Q5</v>
      </c>
      <c r="J20" s="97" t="str">
        <f t="shared" si="15"/>
        <v>Q6</v>
      </c>
      <c r="K20" s="97" t="str">
        <f t="shared" si="15"/>
        <v>Q6</v>
      </c>
      <c r="L20" s="97" t="str">
        <f t="shared" si="15"/>
        <v>Q6</v>
      </c>
      <c r="M20" s="97" t="str">
        <f t="shared" si="15"/>
        <v>Q7</v>
      </c>
      <c r="N20" s="97" t="str">
        <f t="shared" si="15"/>
        <v>Q7</v>
      </c>
      <c r="O20" s="97" t="str">
        <f t="shared" si="15"/>
        <v>Q7</v>
      </c>
      <c r="P20" s="97" t="str">
        <f t="shared" si="15"/>
        <v>Q8</v>
      </c>
      <c r="Q20" s="97" t="str">
        <f t="shared" si="15"/>
        <v>Q8</v>
      </c>
      <c r="R20" s="97" t="str">
        <f t="shared" si="15"/>
        <v>Q8</v>
      </c>
      <c r="S20" s="97" t="str">
        <f t="shared" si="15"/>
        <v>Q9</v>
      </c>
      <c r="T20" s="97" t="str">
        <f t="shared" si="15"/>
        <v>Q9</v>
      </c>
      <c r="U20" s="97" t="str">
        <f t="shared" si="15"/>
        <v>Q9</v>
      </c>
      <c r="V20" s="97" t="str">
        <f t="shared" si="15"/>
        <v>Q10</v>
      </c>
      <c r="W20" s="97" t="str">
        <f t="shared" si="15"/>
        <v>Q10</v>
      </c>
      <c r="X20" s="97" t="str">
        <f t="shared" si="15"/>
        <v>Q10</v>
      </c>
      <c r="Y20" s="97" t="str">
        <f t="shared" si="15"/>
        <v>Q11</v>
      </c>
      <c r="Z20" s="97" t="str">
        <f t="shared" si="15"/>
        <v>Q11</v>
      </c>
      <c r="AA20" s="97" t="str">
        <f t="shared" si="15"/>
        <v>Q11</v>
      </c>
      <c r="AB20" s="97" t="str">
        <f t="shared" si="15"/>
        <v>Q12</v>
      </c>
      <c r="AC20" s="97" t="str">
        <f t="shared" si="15"/>
        <v>Q12</v>
      </c>
      <c r="AD20" s="97" t="str">
        <f t="shared" si="15"/>
        <v>Q12</v>
      </c>
      <c r="AE20" s="97" t="str">
        <f t="shared" si="15"/>
        <v>Q13</v>
      </c>
      <c r="AF20" s="97" t="str">
        <f t="shared" si="15"/>
        <v>Q13</v>
      </c>
      <c r="AG20" s="97" t="str">
        <f t="shared" si="15"/>
        <v>Q13</v>
      </c>
      <c r="AH20" s="97" t="str">
        <f t="shared" si="15"/>
        <v>Q14</v>
      </c>
      <c r="AI20" s="97" t="str">
        <f t="shared" si="15"/>
        <v>Q14</v>
      </c>
      <c r="AJ20" s="97" t="str">
        <f t="shared" si="15"/>
        <v>Q14</v>
      </c>
      <c r="AK20" s="97" t="str">
        <f t="shared" si="15"/>
        <v>Q15</v>
      </c>
      <c r="AL20" s="97" t="str">
        <f t="shared" si="15"/>
        <v>Q15</v>
      </c>
      <c r="AM20" s="97" t="str">
        <f t="shared" si="15"/>
        <v>Q15</v>
      </c>
      <c r="AN20" s="97" t="str">
        <f t="shared" si="15"/>
        <v>Q16</v>
      </c>
      <c r="AO20" s="97" t="str">
        <f t="shared" si="15"/>
        <v>Q16</v>
      </c>
      <c r="AP20" s="97" t="str">
        <f t="shared" si="15"/>
        <v>Q16</v>
      </c>
      <c r="AQ20" s="97" t="str">
        <f t="shared" si="15"/>
        <v>Q17</v>
      </c>
      <c r="AR20" s="97" t="str">
        <f t="shared" si="15"/>
        <v>Q17</v>
      </c>
      <c r="AS20" s="97" t="str">
        <f t="shared" si="15"/>
        <v>Q17</v>
      </c>
      <c r="AT20" s="97" t="str">
        <f t="shared" si="15"/>
        <v>Q18</v>
      </c>
      <c r="AU20" s="97" t="str">
        <f t="shared" si="15"/>
        <v>Q18</v>
      </c>
      <c r="AV20" s="97" t="str">
        <f t="shared" si="15"/>
        <v>Q18</v>
      </c>
      <c r="AW20" s="97" t="str">
        <f t="shared" si="15"/>
        <v>Q19</v>
      </c>
      <c r="AX20" s="97" t="str">
        <f t="shared" si="15"/>
        <v>Q19</v>
      </c>
      <c r="AY20" s="97" t="str">
        <f t="shared" si="15"/>
        <v>Q19</v>
      </c>
      <c r="AZ20" s="97" t="str">
        <f t="shared" si="15"/>
        <v>Q20</v>
      </c>
      <c r="BA20" s="97" t="str">
        <f t="shared" si="15"/>
        <v>Q20</v>
      </c>
      <c r="BB20" s="97" t="str">
        <f t="shared" si="15"/>
        <v>Q20</v>
      </c>
      <c r="BC20" s="97" t="str">
        <f t="shared" si="15"/>
        <v>Q21</v>
      </c>
      <c r="BD20" s="97" t="str">
        <f t="shared" si="15"/>
        <v>Q21</v>
      </c>
      <c r="BE20" s="97" t="str">
        <f t="shared" si="15"/>
        <v>Q21</v>
      </c>
      <c r="BF20" s="97" t="str">
        <f t="shared" si="15"/>
        <v>Q22</v>
      </c>
      <c r="BG20" s="97" t="str">
        <f t="shared" si="15"/>
        <v>Q22</v>
      </c>
      <c r="BH20" s="97" t="str">
        <f t="shared" si="15"/>
        <v>Q22</v>
      </c>
      <c r="BI20" s="97" t="str">
        <f t="shared" si="15"/>
        <v>Q23</v>
      </c>
      <c r="BJ20" s="97" t="str">
        <f t="shared" si="15"/>
        <v>Q23</v>
      </c>
      <c r="BK20" s="97" t="str">
        <f t="shared" si="15"/>
        <v>Q23</v>
      </c>
      <c r="BL20" s="97" t="str">
        <f t="shared" si="15"/>
        <v>Q24</v>
      </c>
      <c r="BM20" s="97" t="str">
        <f t="shared" si="15"/>
        <v>Q24</v>
      </c>
      <c r="BN20" s="97" t="str">
        <f t="shared" si="15"/>
        <v>Q24</v>
      </c>
      <c r="BO20" s="97" t="str">
        <f t="shared" si="15"/>
        <v>Q25</v>
      </c>
      <c r="BP20" s="97" t="str">
        <f t="shared" si="15"/>
        <v>Q25</v>
      </c>
      <c r="BQ20" s="97" t="str">
        <f t="shared" si="15"/>
        <v>Q25</v>
      </c>
      <c r="BR20" s="97" t="str">
        <f t="shared" ref="BR20:EC20" si="16">IF(BR14&lt;0,"Pre","Q"&amp;INT((BR14-1)/3)+1)</f>
        <v>Q26</v>
      </c>
      <c r="BS20" s="97" t="str">
        <f t="shared" si="16"/>
        <v>Q26</v>
      </c>
      <c r="BT20" s="97" t="str">
        <f t="shared" si="16"/>
        <v>Q26</v>
      </c>
      <c r="BU20" s="97" t="str">
        <f t="shared" si="16"/>
        <v>Q27</v>
      </c>
      <c r="BV20" s="97" t="str">
        <f t="shared" si="16"/>
        <v>Q27</v>
      </c>
      <c r="BW20" s="97" t="str">
        <f t="shared" si="16"/>
        <v>Q27</v>
      </c>
      <c r="BX20" s="97" t="str">
        <f t="shared" si="16"/>
        <v>Q28</v>
      </c>
      <c r="BY20" s="97" t="str">
        <f t="shared" si="16"/>
        <v>Q28</v>
      </c>
      <c r="BZ20" s="97" t="str">
        <f t="shared" si="16"/>
        <v>Q28</v>
      </c>
      <c r="CA20" s="97" t="str">
        <f t="shared" si="16"/>
        <v>Q29</v>
      </c>
      <c r="CB20" s="97" t="str">
        <f t="shared" si="16"/>
        <v>Q29</v>
      </c>
      <c r="CC20" s="97" t="str">
        <f t="shared" si="16"/>
        <v>Q29</v>
      </c>
      <c r="CD20" s="97" t="str">
        <f t="shared" si="16"/>
        <v>Q30</v>
      </c>
      <c r="CE20" s="97" t="str">
        <f t="shared" si="16"/>
        <v>Q30</v>
      </c>
      <c r="CF20" s="97" t="str">
        <f t="shared" si="16"/>
        <v>Q30</v>
      </c>
      <c r="CG20" s="97" t="str">
        <f t="shared" si="16"/>
        <v>Q31</v>
      </c>
      <c r="CH20" s="97" t="str">
        <f t="shared" si="16"/>
        <v>Q31</v>
      </c>
      <c r="CI20" s="97" t="str">
        <f t="shared" si="16"/>
        <v>Q31</v>
      </c>
      <c r="CJ20" s="97" t="str">
        <f t="shared" si="16"/>
        <v>Q32</v>
      </c>
      <c r="CK20" s="97" t="str">
        <f t="shared" si="16"/>
        <v>Q32</v>
      </c>
      <c r="CL20" s="97" t="str">
        <f t="shared" si="16"/>
        <v>Q32</v>
      </c>
      <c r="CM20" s="97" t="str">
        <f t="shared" si="16"/>
        <v>Q33</v>
      </c>
      <c r="CN20" s="97" t="str">
        <f t="shared" si="16"/>
        <v>Q33</v>
      </c>
      <c r="CO20" s="97" t="str">
        <f t="shared" si="16"/>
        <v>Q33</v>
      </c>
      <c r="CP20" s="97" t="str">
        <f t="shared" si="16"/>
        <v>Q34</v>
      </c>
      <c r="CQ20" s="97" t="str">
        <f t="shared" si="16"/>
        <v>Q34</v>
      </c>
      <c r="CR20" s="97" t="str">
        <f t="shared" si="16"/>
        <v>Q34</v>
      </c>
      <c r="CS20" s="97" t="str">
        <f t="shared" si="16"/>
        <v>Q35</v>
      </c>
      <c r="CT20" s="97" t="str">
        <f t="shared" si="16"/>
        <v>Q35</v>
      </c>
      <c r="CU20" s="97" t="str">
        <f t="shared" si="16"/>
        <v>Q35</v>
      </c>
      <c r="CV20" s="97" t="str">
        <f t="shared" si="16"/>
        <v>Q36</v>
      </c>
      <c r="CW20" s="97" t="str">
        <f t="shared" si="16"/>
        <v>Q36</v>
      </c>
      <c r="CX20" s="97" t="str">
        <f t="shared" si="16"/>
        <v>Q36</v>
      </c>
      <c r="CY20" s="97" t="str">
        <f t="shared" si="16"/>
        <v>Q37</v>
      </c>
      <c r="CZ20" s="97" t="str">
        <f t="shared" si="16"/>
        <v>Q37</v>
      </c>
      <c r="DA20" s="97" t="str">
        <f t="shared" si="16"/>
        <v>Q37</v>
      </c>
      <c r="DB20" s="97" t="str">
        <f t="shared" si="16"/>
        <v>Q38</v>
      </c>
      <c r="DC20" s="97" t="str">
        <f t="shared" si="16"/>
        <v>Q38</v>
      </c>
      <c r="DD20" s="97" t="str">
        <f t="shared" si="16"/>
        <v>Q38</v>
      </c>
      <c r="DE20" s="97" t="str">
        <f t="shared" si="16"/>
        <v>Q39</v>
      </c>
      <c r="DF20" s="97" t="str">
        <f t="shared" si="16"/>
        <v>Q39</v>
      </c>
      <c r="DG20" s="97" t="str">
        <f t="shared" si="16"/>
        <v>Q39</v>
      </c>
      <c r="DH20" s="97" t="str">
        <f t="shared" si="16"/>
        <v>Q40</v>
      </c>
      <c r="DI20" s="97" t="str">
        <f t="shared" si="16"/>
        <v>Q40</v>
      </c>
      <c r="DJ20" s="97" t="str">
        <f t="shared" si="16"/>
        <v>Q40</v>
      </c>
      <c r="DK20" s="97" t="str">
        <f t="shared" si="16"/>
        <v>Q41</v>
      </c>
      <c r="DL20" s="97" t="str">
        <f t="shared" si="16"/>
        <v>Q41</v>
      </c>
      <c r="DM20" s="97" t="str">
        <f t="shared" si="16"/>
        <v>Q41</v>
      </c>
      <c r="DN20" s="97" t="str">
        <f t="shared" si="16"/>
        <v>Q42</v>
      </c>
      <c r="DO20" s="97" t="str">
        <f t="shared" si="16"/>
        <v>Q42</v>
      </c>
      <c r="DP20" s="97" t="str">
        <f t="shared" si="16"/>
        <v>Q42</v>
      </c>
      <c r="DQ20" s="97" t="str">
        <f t="shared" si="16"/>
        <v>Q43</v>
      </c>
      <c r="DR20" s="97" t="str">
        <f t="shared" si="16"/>
        <v>Q43</v>
      </c>
      <c r="DS20" s="97" t="str">
        <f t="shared" si="16"/>
        <v>Q43</v>
      </c>
      <c r="DT20" s="97" t="str">
        <f t="shared" si="16"/>
        <v>Q44</v>
      </c>
      <c r="DU20" s="97" t="str">
        <f t="shared" si="16"/>
        <v>Q44</v>
      </c>
      <c r="DV20" s="97" t="str">
        <f t="shared" si="16"/>
        <v>Q44</v>
      </c>
      <c r="DW20" s="97" t="str">
        <f t="shared" si="16"/>
        <v>Q45</v>
      </c>
      <c r="DX20" s="97" t="str">
        <f t="shared" si="16"/>
        <v>Q45</v>
      </c>
      <c r="DY20" s="97" t="str">
        <f t="shared" si="16"/>
        <v>Q45</v>
      </c>
      <c r="DZ20" s="97" t="str">
        <f t="shared" si="16"/>
        <v>Q46</v>
      </c>
      <c r="EA20" s="97" t="str">
        <f t="shared" si="16"/>
        <v>Q46</v>
      </c>
      <c r="EB20" s="97" t="str">
        <f t="shared" si="16"/>
        <v>Q46</v>
      </c>
      <c r="EC20" s="97" t="str">
        <f t="shared" si="16"/>
        <v>Q47</v>
      </c>
      <c r="ED20" s="97" t="str">
        <f t="shared" ref="ED20:GO20" si="17">IF(ED14&lt;0,"Pre","Q"&amp;INT((ED14-1)/3)+1)</f>
        <v>Q47</v>
      </c>
      <c r="EE20" s="97" t="str">
        <f t="shared" si="17"/>
        <v>Q47</v>
      </c>
      <c r="EF20" s="97" t="str">
        <f t="shared" si="17"/>
        <v>Q48</v>
      </c>
      <c r="EG20" s="97" t="str">
        <f t="shared" si="17"/>
        <v>Q48</v>
      </c>
      <c r="EH20" s="97" t="str">
        <f t="shared" si="17"/>
        <v>Q48</v>
      </c>
      <c r="EI20" s="97" t="str">
        <f t="shared" si="17"/>
        <v>Q49</v>
      </c>
      <c r="EJ20" s="97" t="str">
        <f t="shared" si="17"/>
        <v>Q49</v>
      </c>
      <c r="EK20" s="97" t="str">
        <f t="shared" si="17"/>
        <v>Q49</v>
      </c>
      <c r="EL20" s="97" t="str">
        <f t="shared" si="17"/>
        <v>Q50</v>
      </c>
      <c r="EM20" s="97" t="str">
        <f t="shared" si="17"/>
        <v>Q50</v>
      </c>
      <c r="EN20" s="97" t="str">
        <f t="shared" si="17"/>
        <v>Q50</v>
      </c>
      <c r="EO20" s="97" t="str">
        <f t="shared" si="17"/>
        <v>Q51</v>
      </c>
      <c r="EP20" s="97" t="str">
        <f t="shared" si="17"/>
        <v>Q51</v>
      </c>
      <c r="EQ20" s="97" t="str">
        <f t="shared" si="17"/>
        <v>Q51</v>
      </c>
      <c r="ER20" s="97" t="str">
        <f t="shared" si="17"/>
        <v>Q52</v>
      </c>
      <c r="ES20" s="97" t="str">
        <f t="shared" si="17"/>
        <v>Q52</v>
      </c>
      <c r="ET20" s="97" t="str">
        <f t="shared" si="17"/>
        <v>Q52</v>
      </c>
      <c r="EU20" s="97" t="str">
        <f t="shared" si="17"/>
        <v>Q53</v>
      </c>
      <c r="EV20" s="97" t="str">
        <f t="shared" si="17"/>
        <v>Q53</v>
      </c>
      <c r="EW20" s="97" t="str">
        <f t="shared" si="17"/>
        <v>Q53</v>
      </c>
      <c r="EX20" s="97" t="str">
        <f t="shared" si="17"/>
        <v>Q54</v>
      </c>
      <c r="EY20" s="97" t="str">
        <f t="shared" si="17"/>
        <v>Q54</v>
      </c>
      <c r="EZ20" s="97" t="str">
        <f t="shared" si="17"/>
        <v>Q54</v>
      </c>
      <c r="FA20" s="97" t="str">
        <f t="shared" si="17"/>
        <v>Q55</v>
      </c>
      <c r="FB20" s="97" t="str">
        <f t="shared" si="17"/>
        <v>Q55</v>
      </c>
      <c r="FC20" s="97" t="str">
        <f t="shared" si="17"/>
        <v>Q55</v>
      </c>
      <c r="FD20" s="97" t="str">
        <f t="shared" si="17"/>
        <v>Q56</v>
      </c>
      <c r="FE20" s="97" t="str">
        <f t="shared" si="17"/>
        <v>Q56</v>
      </c>
      <c r="FF20" s="97" t="str">
        <f t="shared" si="17"/>
        <v>Q56</v>
      </c>
      <c r="FG20" s="97" t="str">
        <f t="shared" si="17"/>
        <v>Q57</v>
      </c>
      <c r="FH20" s="97" t="str">
        <f t="shared" si="17"/>
        <v>Q57</v>
      </c>
      <c r="FI20" s="97" t="str">
        <f t="shared" si="17"/>
        <v>Q57</v>
      </c>
      <c r="FJ20" s="97" t="str">
        <f t="shared" si="17"/>
        <v>Q58</v>
      </c>
      <c r="FK20" s="97" t="str">
        <f t="shared" si="17"/>
        <v>Q58</v>
      </c>
      <c r="FL20" s="97" t="str">
        <f t="shared" si="17"/>
        <v>Q58</v>
      </c>
      <c r="FM20" s="97" t="str">
        <f t="shared" si="17"/>
        <v>Q59</v>
      </c>
      <c r="FN20" s="97" t="str">
        <f t="shared" si="17"/>
        <v>Q59</v>
      </c>
      <c r="FO20" s="97" t="str">
        <f t="shared" si="17"/>
        <v>Q59</v>
      </c>
      <c r="FP20" s="97" t="str">
        <f t="shared" si="17"/>
        <v>Q60</v>
      </c>
      <c r="FQ20" s="97" t="str">
        <f t="shared" si="17"/>
        <v>Q60</v>
      </c>
      <c r="FR20" s="97" t="str">
        <f t="shared" si="17"/>
        <v>Q60</v>
      </c>
      <c r="FS20" s="97" t="str">
        <f t="shared" si="17"/>
        <v>Q61</v>
      </c>
      <c r="FT20" s="97" t="str">
        <f t="shared" si="17"/>
        <v>Q61</v>
      </c>
      <c r="FU20" s="97" t="str">
        <f t="shared" si="17"/>
        <v>Q61</v>
      </c>
      <c r="FV20" s="97" t="str">
        <f t="shared" si="17"/>
        <v>Q62</v>
      </c>
      <c r="FW20" s="97" t="str">
        <f t="shared" si="17"/>
        <v>Q62</v>
      </c>
      <c r="FX20" s="97" t="str">
        <f t="shared" si="17"/>
        <v>Q62</v>
      </c>
      <c r="FY20" s="97" t="str">
        <f t="shared" si="17"/>
        <v>Q63</v>
      </c>
      <c r="FZ20" s="97" t="str">
        <f t="shared" si="17"/>
        <v>Q63</v>
      </c>
      <c r="GA20" s="97" t="str">
        <f t="shared" si="17"/>
        <v>Q63</v>
      </c>
      <c r="GB20" s="97" t="str">
        <f t="shared" si="17"/>
        <v>Q59</v>
      </c>
      <c r="GC20" s="97" t="str">
        <f t="shared" si="17"/>
        <v>Q59</v>
      </c>
      <c r="GD20" s="97" t="str">
        <f t="shared" si="17"/>
        <v>Q59</v>
      </c>
      <c r="GE20" s="97" t="str">
        <f t="shared" si="17"/>
        <v>Q60</v>
      </c>
      <c r="GF20" s="97" t="str">
        <f t="shared" si="17"/>
        <v>Q60</v>
      </c>
      <c r="GG20" s="97" t="str">
        <f t="shared" si="17"/>
        <v>Q60</v>
      </c>
      <c r="GH20" s="97" t="str">
        <f t="shared" si="17"/>
        <v>Q61</v>
      </c>
      <c r="GI20" s="97" t="str">
        <f t="shared" si="17"/>
        <v>Q61</v>
      </c>
      <c r="GJ20" s="97" t="str">
        <f t="shared" si="17"/>
        <v>Q61</v>
      </c>
      <c r="GK20" s="97" t="str">
        <f t="shared" si="17"/>
        <v>Q62</v>
      </c>
      <c r="GL20" s="97" t="str">
        <f t="shared" si="17"/>
        <v>Q62</v>
      </c>
      <c r="GM20" s="97" t="str">
        <f t="shared" si="17"/>
        <v>Q62</v>
      </c>
      <c r="GN20" s="97" t="str">
        <f t="shared" si="17"/>
        <v>Q63</v>
      </c>
      <c r="GO20" s="97" t="str">
        <f t="shared" si="17"/>
        <v>Q63</v>
      </c>
      <c r="GQ20" s="88"/>
      <c r="GR20" s="94"/>
      <c r="GS20" s="94"/>
      <c r="GT20" s="102"/>
    </row>
    <row r="21" spans="1:203">
      <c r="A21" s="101" t="s">
        <v>164</v>
      </c>
      <c r="F21" s="100">
        <v>1</v>
      </c>
      <c r="G21" s="97">
        <v>1</v>
      </c>
      <c r="H21" s="97">
        <v>1</v>
      </c>
      <c r="I21" s="97">
        <v>1</v>
      </c>
      <c r="J21" s="97">
        <v>1</v>
      </c>
      <c r="K21" s="97">
        <v>1</v>
      </c>
      <c r="L21" s="97">
        <v>1</v>
      </c>
      <c r="M21" s="97">
        <v>1</v>
      </c>
      <c r="N21" s="97">
        <v>1</v>
      </c>
      <c r="O21" s="97">
        <v>1</v>
      </c>
      <c r="P21" s="97">
        <v>1</v>
      </c>
      <c r="Q21" s="97">
        <v>1</v>
      </c>
      <c r="R21" s="97">
        <v>1</v>
      </c>
      <c r="S21" s="97">
        <v>1</v>
      </c>
      <c r="T21" s="97">
        <v>1</v>
      </c>
      <c r="U21" s="97">
        <v>1</v>
      </c>
      <c r="V21" s="97">
        <v>1</v>
      </c>
      <c r="W21" s="97">
        <v>1</v>
      </c>
      <c r="X21" s="97">
        <v>1</v>
      </c>
      <c r="Y21" s="97">
        <v>1</v>
      </c>
      <c r="Z21" s="97">
        <v>1</v>
      </c>
      <c r="AA21" s="97">
        <v>1</v>
      </c>
      <c r="AB21" s="97">
        <v>1</v>
      </c>
      <c r="AC21" s="97">
        <v>1</v>
      </c>
      <c r="AD21" s="97">
        <v>1</v>
      </c>
      <c r="AE21" s="97">
        <v>1</v>
      </c>
      <c r="AF21" s="97">
        <v>1</v>
      </c>
      <c r="AG21" s="97">
        <v>1</v>
      </c>
      <c r="AH21" s="97">
        <v>1</v>
      </c>
      <c r="AI21" s="97">
        <v>1</v>
      </c>
      <c r="AJ21" s="97">
        <v>1</v>
      </c>
      <c r="AK21" s="97">
        <v>1</v>
      </c>
      <c r="AL21" s="97">
        <v>1</v>
      </c>
      <c r="AM21" s="97">
        <v>1</v>
      </c>
      <c r="AN21" s="97">
        <v>1</v>
      </c>
      <c r="AO21" s="97">
        <v>1</v>
      </c>
      <c r="AP21" s="97">
        <v>1</v>
      </c>
      <c r="AQ21" s="97">
        <v>1</v>
      </c>
      <c r="AR21" s="97">
        <v>1</v>
      </c>
      <c r="AS21" s="97">
        <v>1</v>
      </c>
      <c r="AT21" s="97">
        <v>1</v>
      </c>
      <c r="AU21" s="97">
        <v>1</v>
      </c>
      <c r="AV21" s="97">
        <v>1</v>
      </c>
      <c r="AW21" s="97">
        <v>1</v>
      </c>
      <c r="AX21" s="97">
        <v>1</v>
      </c>
      <c r="AY21" s="97">
        <v>1</v>
      </c>
      <c r="AZ21" s="97">
        <v>1</v>
      </c>
      <c r="BA21" s="97">
        <v>1</v>
      </c>
      <c r="BB21" s="97">
        <v>1</v>
      </c>
      <c r="BC21" s="97">
        <v>1</v>
      </c>
      <c r="BD21" s="97">
        <v>1</v>
      </c>
      <c r="BE21" s="97">
        <v>1</v>
      </c>
      <c r="BF21" s="97">
        <v>1</v>
      </c>
      <c r="BG21" s="97">
        <v>1</v>
      </c>
      <c r="BH21" s="97">
        <v>1</v>
      </c>
      <c r="BI21" s="97">
        <v>1</v>
      </c>
      <c r="BJ21" s="97">
        <v>1</v>
      </c>
      <c r="BK21" s="97">
        <v>1</v>
      </c>
      <c r="BL21" s="97">
        <v>1</v>
      </c>
      <c r="BM21" s="97">
        <v>1</v>
      </c>
      <c r="BN21" s="97">
        <v>1</v>
      </c>
      <c r="BO21" s="97">
        <v>1</v>
      </c>
      <c r="BP21" s="97">
        <v>1</v>
      </c>
      <c r="BQ21" s="97">
        <v>1</v>
      </c>
      <c r="BR21" s="97">
        <v>1</v>
      </c>
      <c r="BS21" s="97">
        <v>1</v>
      </c>
      <c r="BT21" s="97">
        <v>1</v>
      </c>
      <c r="BU21" s="97">
        <v>1</v>
      </c>
      <c r="BV21" s="97">
        <v>1</v>
      </c>
      <c r="BW21" s="97">
        <v>1</v>
      </c>
      <c r="BX21" s="97">
        <v>1</v>
      </c>
      <c r="BY21" s="97">
        <v>1</v>
      </c>
      <c r="BZ21" s="97">
        <v>1</v>
      </c>
      <c r="CA21" s="97">
        <v>1</v>
      </c>
      <c r="CB21" s="97">
        <v>1</v>
      </c>
      <c r="CC21" s="97">
        <v>1</v>
      </c>
      <c r="CD21" s="97">
        <v>1</v>
      </c>
      <c r="CE21" s="97">
        <v>1</v>
      </c>
      <c r="CF21" s="97">
        <v>1</v>
      </c>
      <c r="CG21" s="97">
        <v>1</v>
      </c>
      <c r="CH21" s="97">
        <v>1</v>
      </c>
      <c r="CI21" s="97">
        <v>1</v>
      </c>
      <c r="CJ21" s="97">
        <v>1</v>
      </c>
      <c r="CK21" s="97">
        <v>1</v>
      </c>
      <c r="CL21" s="97">
        <v>1</v>
      </c>
      <c r="CM21" s="97">
        <v>1</v>
      </c>
      <c r="CN21" s="97">
        <v>1</v>
      </c>
      <c r="CO21" s="97">
        <v>1</v>
      </c>
      <c r="CP21" s="97">
        <v>1</v>
      </c>
      <c r="CQ21" s="97">
        <v>1</v>
      </c>
      <c r="CR21" s="97">
        <v>1</v>
      </c>
      <c r="CS21" s="97">
        <v>1</v>
      </c>
      <c r="CT21" s="97">
        <v>1</v>
      </c>
      <c r="CU21" s="97">
        <v>1</v>
      </c>
      <c r="CV21" s="97">
        <v>1</v>
      </c>
      <c r="CW21" s="97">
        <v>1</v>
      </c>
      <c r="CX21" s="97">
        <v>1</v>
      </c>
      <c r="CY21" s="97">
        <v>1</v>
      </c>
      <c r="CZ21" s="97">
        <v>1</v>
      </c>
      <c r="DA21" s="97">
        <v>1</v>
      </c>
      <c r="DB21" s="97">
        <v>1</v>
      </c>
      <c r="DC21" s="97">
        <v>1</v>
      </c>
      <c r="DD21" s="97">
        <v>1</v>
      </c>
      <c r="DE21" s="97">
        <v>1</v>
      </c>
      <c r="DF21" s="97">
        <v>1</v>
      </c>
      <c r="DG21" s="97">
        <v>1</v>
      </c>
      <c r="DH21" s="97">
        <v>1</v>
      </c>
      <c r="DI21" s="97">
        <v>0</v>
      </c>
      <c r="DJ21" s="97">
        <v>0</v>
      </c>
      <c r="DK21" s="97">
        <v>0</v>
      </c>
      <c r="DL21" s="97">
        <v>0</v>
      </c>
      <c r="DM21" s="97">
        <v>0</v>
      </c>
      <c r="DN21" s="97">
        <v>0</v>
      </c>
      <c r="DO21" s="97">
        <v>0</v>
      </c>
      <c r="DP21" s="97">
        <v>0</v>
      </c>
      <c r="DQ21" s="97">
        <v>0</v>
      </c>
      <c r="DR21" s="97">
        <v>0</v>
      </c>
      <c r="DS21" s="97">
        <v>0</v>
      </c>
      <c r="DT21" s="97">
        <v>0</v>
      </c>
      <c r="DU21" s="97">
        <v>0</v>
      </c>
      <c r="DV21" s="97">
        <v>0</v>
      </c>
      <c r="DW21" s="97">
        <v>0</v>
      </c>
      <c r="DX21" s="97">
        <v>0</v>
      </c>
      <c r="DY21" s="97">
        <v>0</v>
      </c>
      <c r="DZ21" s="97">
        <v>0</v>
      </c>
      <c r="EA21" s="97">
        <v>0</v>
      </c>
      <c r="EB21" s="97">
        <v>0</v>
      </c>
      <c r="EC21" s="97">
        <v>0</v>
      </c>
      <c r="ED21" s="97">
        <v>0</v>
      </c>
      <c r="EE21" s="97">
        <v>0</v>
      </c>
      <c r="EF21" s="97">
        <v>0</v>
      </c>
      <c r="EG21" s="97">
        <v>0</v>
      </c>
      <c r="EH21" s="97">
        <v>0</v>
      </c>
      <c r="EI21" s="97">
        <v>0</v>
      </c>
      <c r="EJ21" s="97">
        <v>0</v>
      </c>
      <c r="EK21" s="97">
        <v>0</v>
      </c>
      <c r="EL21" s="97">
        <v>0</v>
      </c>
      <c r="EM21" s="97">
        <v>0</v>
      </c>
      <c r="EN21" s="97">
        <v>0</v>
      </c>
      <c r="EO21" s="97">
        <v>0</v>
      </c>
      <c r="EP21" s="97">
        <v>0</v>
      </c>
      <c r="EQ21" s="97">
        <v>0</v>
      </c>
      <c r="ER21" s="97">
        <v>0</v>
      </c>
      <c r="ES21" s="97">
        <v>0</v>
      </c>
      <c r="ET21" s="97">
        <v>0</v>
      </c>
      <c r="EU21" s="97">
        <v>0</v>
      </c>
      <c r="EV21" s="97">
        <v>0</v>
      </c>
      <c r="EW21" s="97">
        <v>0</v>
      </c>
      <c r="EX21" s="97">
        <v>0</v>
      </c>
      <c r="EY21" s="97">
        <v>0</v>
      </c>
      <c r="EZ21" s="97">
        <v>0</v>
      </c>
      <c r="FA21" s="97">
        <v>0</v>
      </c>
      <c r="FB21" s="97">
        <v>0</v>
      </c>
      <c r="FC21" s="97">
        <v>0</v>
      </c>
      <c r="FD21" s="97">
        <v>0</v>
      </c>
      <c r="FE21" s="97">
        <v>0</v>
      </c>
      <c r="FF21" s="97">
        <v>0</v>
      </c>
      <c r="FG21" s="97">
        <v>0</v>
      </c>
      <c r="FH21" s="97">
        <v>0</v>
      </c>
      <c r="FI21" s="97">
        <v>0</v>
      </c>
      <c r="FJ21" s="97">
        <v>0</v>
      </c>
      <c r="FK21" s="97">
        <v>0</v>
      </c>
      <c r="FL21" s="97">
        <v>0</v>
      </c>
      <c r="FM21" s="97">
        <v>0</v>
      </c>
      <c r="FN21" s="97">
        <v>0</v>
      </c>
      <c r="FO21" s="97">
        <v>0</v>
      </c>
      <c r="FP21" s="97">
        <v>0</v>
      </c>
      <c r="FQ21" s="97">
        <v>0</v>
      </c>
      <c r="FR21" s="97">
        <v>0</v>
      </c>
      <c r="FS21" s="97">
        <v>0</v>
      </c>
      <c r="FT21" s="97">
        <v>0</v>
      </c>
      <c r="FU21" s="97">
        <v>0</v>
      </c>
      <c r="FV21" s="97">
        <v>0</v>
      </c>
      <c r="FW21" s="97">
        <v>0</v>
      </c>
      <c r="FX21" s="97">
        <v>0</v>
      </c>
      <c r="FY21" s="97">
        <v>0</v>
      </c>
      <c r="FZ21" s="97">
        <v>0</v>
      </c>
      <c r="GA21" s="97">
        <v>0</v>
      </c>
      <c r="GB21" s="97">
        <v>0</v>
      </c>
      <c r="GC21" s="97">
        <v>0</v>
      </c>
      <c r="GD21" s="97">
        <v>0</v>
      </c>
      <c r="GE21" s="97">
        <v>0</v>
      </c>
      <c r="GF21" s="97">
        <v>0</v>
      </c>
      <c r="GG21" s="97">
        <v>0</v>
      </c>
      <c r="GH21" s="97">
        <v>0</v>
      </c>
      <c r="GI21" s="97">
        <v>0</v>
      </c>
      <c r="GJ21" s="97">
        <v>0</v>
      </c>
      <c r="GK21" s="97">
        <v>0</v>
      </c>
      <c r="GL21" s="97">
        <v>0</v>
      </c>
      <c r="GM21" s="97">
        <v>0</v>
      </c>
      <c r="GN21" s="97">
        <v>0</v>
      </c>
      <c r="GO21" s="97">
        <v>0</v>
      </c>
      <c r="GQ21" s="88"/>
      <c r="GR21" s="94"/>
      <c r="GS21" s="94"/>
      <c r="GT21" s="102"/>
    </row>
    <row r="22" spans="1:203">
      <c r="A22" s="101" t="s">
        <v>165</v>
      </c>
      <c r="F22" s="100">
        <v>107</v>
      </c>
      <c r="G22" s="100">
        <f>IF(F22&gt;0,F22-1,0)</f>
        <v>106</v>
      </c>
      <c r="H22" s="97">
        <f t="shared" ref="H22:BS22" si="18">IF(G22&gt;0,G22-1,0)</f>
        <v>105</v>
      </c>
      <c r="I22" s="97">
        <f t="shared" si="18"/>
        <v>104</v>
      </c>
      <c r="J22" s="97">
        <f t="shared" si="18"/>
        <v>103</v>
      </c>
      <c r="K22" s="97">
        <f t="shared" si="18"/>
        <v>102</v>
      </c>
      <c r="L22" s="97">
        <f t="shared" si="18"/>
        <v>101</v>
      </c>
      <c r="M22" s="97">
        <f t="shared" si="18"/>
        <v>100</v>
      </c>
      <c r="N22" s="97">
        <f t="shared" si="18"/>
        <v>99</v>
      </c>
      <c r="O22" s="97">
        <f t="shared" si="18"/>
        <v>98</v>
      </c>
      <c r="P22" s="97">
        <f t="shared" si="18"/>
        <v>97</v>
      </c>
      <c r="Q22" s="97">
        <f t="shared" si="18"/>
        <v>96</v>
      </c>
      <c r="R22" s="97">
        <f t="shared" si="18"/>
        <v>95</v>
      </c>
      <c r="S22" s="97">
        <f t="shared" si="18"/>
        <v>94</v>
      </c>
      <c r="T22" s="97">
        <f t="shared" si="18"/>
        <v>93</v>
      </c>
      <c r="U22" s="97">
        <f t="shared" si="18"/>
        <v>92</v>
      </c>
      <c r="V22" s="97">
        <f t="shared" si="18"/>
        <v>91</v>
      </c>
      <c r="W22" s="97">
        <f t="shared" si="18"/>
        <v>90</v>
      </c>
      <c r="X22" s="97">
        <f t="shared" si="18"/>
        <v>89</v>
      </c>
      <c r="Y22" s="97">
        <f t="shared" si="18"/>
        <v>88</v>
      </c>
      <c r="Z22" s="97">
        <f t="shared" si="18"/>
        <v>87</v>
      </c>
      <c r="AA22" s="97">
        <f t="shared" si="18"/>
        <v>86</v>
      </c>
      <c r="AB22" s="97">
        <f t="shared" si="18"/>
        <v>85</v>
      </c>
      <c r="AC22" s="97">
        <f t="shared" si="18"/>
        <v>84</v>
      </c>
      <c r="AD22" s="97">
        <f t="shared" si="18"/>
        <v>83</v>
      </c>
      <c r="AE22" s="97">
        <f t="shared" si="18"/>
        <v>82</v>
      </c>
      <c r="AF22" s="97">
        <f t="shared" si="18"/>
        <v>81</v>
      </c>
      <c r="AG22" s="97">
        <f t="shared" si="18"/>
        <v>80</v>
      </c>
      <c r="AH22" s="97">
        <f t="shared" si="18"/>
        <v>79</v>
      </c>
      <c r="AI22" s="97">
        <f t="shared" si="18"/>
        <v>78</v>
      </c>
      <c r="AJ22" s="97">
        <f t="shared" si="18"/>
        <v>77</v>
      </c>
      <c r="AK22" s="97">
        <f t="shared" si="18"/>
        <v>76</v>
      </c>
      <c r="AL22" s="97">
        <f t="shared" si="18"/>
        <v>75</v>
      </c>
      <c r="AM22" s="97">
        <f t="shared" si="18"/>
        <v>74</v>
      </c>
      <c r="AN22" s="97">
        <f t="shared" si="18"/>
        <v>73</v>
      </c>
      <c r="AO22" s="97">
        <f t="shared" si="18"/>
        <v>72</v>
      </c>
      <c r="AP22" s="97">
        <f t="shared" si="18"/>
        <v>71</v>
      </c>
      <c r="AQ22" s="97">
        <f t="shared" si="18"/>
        <v>70</v>
      </c>
      <c r="AR22" s="97">
        <f t="shared" si="18"/>
        <v>69</v>
      </c>
      <c r="AS22" s="97">
        <f t="shared" si="18"/>
        <v>68</v>
      </c>
      <c r="AT22" s="97">
        <f t="shared" si="18"/>
        <v>67</v>
      </c>
      <c r="AU22" s="97">
        <f t="shared" si="18"/>
        <v>66</v>
      </c>
      <c r="AV22" s="97">
        <f t="shared" si="18"/>
        <v>65</v>
      </c>
      <c r="AW22" s="97">
        <f t="shared" si="18"/>
        <v>64</v>
      </c>
      <c r="AX22" s="97">
        <f t="shared" si="18"/>
        <v>63</v>
      </c>
      <c r="AY22" s="97">
        <f t="shared" si="18"/>
        <v>62</v>
      </c>
      <c r="AZ22" s="97">
        <f t="shared" si="18"/>
        <v>61</v>
      </c>
      <c r="BA22" s="97">
        <f t="shared" si="18"/>
        <v>60</v>
      </c>
      <c r="BB22" s="97">
        <f t="shared" si="18"/>
        <v>59</v>
      </c>
      <c r="BC22" s="97">
        <f t="shared" si="18"/>
        <v>58</v>
      </c>
      <c r="BD22" s="97">
        <f t="shared" si="18"/>
        <v>57</v>
      </c>
      <c r="BE22" s="97">
        <f t="shared" si="18"/>
        <v>56</v>
      </c>
      <c r="BF22" s="97">
        <f t="shared" si="18"/>
        <v>55</v>
      </c>
      <c r="BG22" s="97">
        <f t="shared" si="18"/>
        <v>54</v>
      </c>
      <c r="BH22" s="97">
        <f t="shared" si="18"/>
        <v>53</v>
      </c>
      <c r="BI22" s="97">
        <f t="shared" si="18"/>
        <v>52</v>
      </c>
      <c r="BJ22" s="97">
        <f t="shared" si="18"/>
        <v>51</v>
      </c>
      <c r="BK22" s="97">
        <f t="shared" si="18"/>
        <v>50</v>
      </c>
      <c r="BL22" s="97">
        <f t="shared" si="18"/>
        <v>49</v>
      </c>
      <c r="BM22" s="97">
        <f t="shared" si="18"/>
        <v>48</v>
      </c>
      <c r="BN22" s="97">
        <f t="shared" si="18"/>
        <v>47</v>
      </c>
      <c r="BO22" s="97">
        <f t="shared" si="18"/>
        <v>46</v>
      </c>
      <c r="BP22" s="97">
        <f t="shared" si="18"/>
        <v>45</v>
      </c>
      <c r="BQ22" s="97">
        <f t="shared" si="18"/>
        <v>44</v>
      </c>
      <c r="BR22" s="97">
        <f t="shared" si="18"/>
        <v>43</v>
      </c>
      <c r="BS22" s="97">
        <f t="shared" si="18"/>
        <v>42</v>
      </c>
      <c r="BT22" s="97">
        <f t="shared" ref="BT22:EE22" si="19">IF(BS22&gt;0,BS22-1,0)</f>
        <v>41</v>
      </c>
      <c r="BU22" s="97">
        <f t="shared" si="19"/>
        <v>40</v>
      </c>
      <c r="BV22" s="97">
        <f t="shared" si="19"/>
        <v>39</v>
      </c>
      <c r="BW22" s="97">
        <f t="shared" si="19"/>
        <v>38</v>
      </c>
      <c r="BX22" s="97">
        <f t="shared" si="19"/>
        <v>37</v>
      </c>
      <c r="BY22" s="97">
        <f t="shared" si="19"/>
        <v>36</v>
      </c>
      <c r="BZ22" s="97">
        <f t="shared" si="19"/>
        <v>35</v>
      </c>
      <c r="CA22" s="97">
        <f t="shared" si="19"/>
        <v>34</v>
      </c>
      <c r="CB22" s="97">
        <f t="shared" si="19"/>
        <v>33</v>
      </c>
      <c r="CC22" s="97">
        <f t="shared" si="19"/>
        <v>32</v>
      </c>
      <c r="CD22" s="97">
        <f t="shared" si="19"/>
        <v>31</v>
      </c>
      <c r="CE22" s="97">
        <f t="shared" si="19"/>
        <v>30</v>
      </c>
      <c r="CF22" s="97">
        <f t="shared" si="19"/>
        <v>29</v>
      </c>
      <c r="CG22" s="97">
        <f t="shared" si="19"/>
        <v>28</v>
      </c>
      <c r="CH22" s="97">
        <f t="shared" si="19"/>
        <v>27</v>
      </c>
      <c r="CI22" s="97">
        <f t="shared" si="19"/>
        <v>26</v>
      </c>
      <c r="CJ22" s="97">
        <f t="shared" si="19"/>
        <v>25</v>
      </c>
      <c r="CK22" s="97">
        <f t="shared" si="19"/>
        <v>24</v>
      </c>
      <c r="CL22" s="97">
        <f t="shared" si="19"/>
        <v>23</v>
      </c>
      <c r="CM22" s="97">
        <f t="shared" si="19"/>
        <v>22</v>
      </c>
      <c r="CN22" s="97">
        <f t="shared" si="19"/>
        <v>21</v>
      </c>
      <c r="CO22" s="97">
        <f t="shared" si="19"/>
        <v>20</v>
      </c>
      <c r="CP22" s="97">
        <f t="shared" si="19"/>
        <v>19</v>
      </c>
      <c r="CQ22" s="97">
        <f t="shared" si="19"/>
        <v>18</v>
      </c>
      <c r="CR22" s="97">
        <f t="shared" si="19"/>
        <v>17</v>
      </c>
      <c r="CS22" s="97">
        <f t="shared" si="19"/>
        <v>16</v>
      </c>
      <c r="CT22" s="97">
        <f t="shared" si="19"/>
        <v>15</v>
      </c>
      <c r="CU22" s="97">
        <f t="shared" si="19"/>
        <v>14</v>
      </c>
      <c r="CV22" s="97">
        <f t="shared" si="19"/>
        <v>13</v>
      </c>
      <c r="CW22" s="97">
        <f t="shared" si="19"/>
        <v>12</v>
      </c>
      <c r="CX22" s="97">
        <f t="shared" si="19"/>
        <v>11</v>
      </c>
      <c r="CY22" s="97">
        <f t="shared" si="19"/>
        <v>10</v>
      </c>
      <c r="CZ22" s="97">
        <f t="shared" si="19"/>
        <v>9</v>
      </c>
      <c r="DA22" s="97">
        <f t="shared" si="19"/>
        <v>8</v>
      </c>
      <c r="DB22" s="97">
        <f t="shared" si="19"/>
        <v>7</v>
      </c>
      <c r="DC22" s="97">
        <f t="shared" si="19"/>
        <v>6</v>
      </c>
      <c r="DD22" s="97">
        <f t="shared" si="19"/>
        <v>5</v>
      </c>
      <c r="DE22" s="97">
        <f t="shared" si="19"/>
        <v>4</v>
      </c>
      <c r="DF22" s="97">
        <f t="shared" si="19"/>
        <v>3</v>
      </c>
      <c r="DG22" s="97">
        <f t="shared" si="19"/>
        <v>2</v>
      </c>
      <c r="DH22" s="97">
        <f t="shared" si="19"/>
        <v>1</v>
      </c>
      <c r="DI22" s="97">
        <f t="shared" si="19"/>
        <v>0</v>
      </c>
      <c r="DJ22" s="97">
        <f t="shared" si="19"/>
        <v>0</v>
      </c>
      <c r="DK22" s="97">
        <f t="shared" si="19"/>
        <v>0</v>
      </c>
      <c r="DL22" s="97">
        <f t="shared" si="19"/>
        <v>0</v>
      </c>
      <c r="DM22" s="97">
        <f t="shared" si="19"/>
        <v>0</v>
      </c>
      <c r="DN22" s="97">
        <f t="shared" si="19"/>
        <v>0</v>
      </c>
      <c r="DO22" s="97">
        <f t="shared" si="19"/>
        <v>0</v>
      </c>
      <c r="DP22" s="97">
        <f t="shared" si="19"/>
        <v>0</v>
      </c>
      <c r="DQ22" s="97">
        <f t="shared" si="19"/>
        <v>0</v>
      </c>
      <c r="DR22" s="97">
        <f t="shared" si="19"/>
        <v>0</v>
      </c>
      <c r="DS22" s="97">
        <f t="shared" si="19"/>
        <v>0</v>
      </c>
      <c r="DT22" s="97">
        <f t="shared" si="19"/>
        <v>0</v>
      </c>
      <c r="DU22" s="97">
        <f t="shared" si="19"/>
        <v>0</v>
      </c>
      <c r="DV22" s="97">
        <f t="shared" si="19"/>
        <v>0</v>
      </c>
      <c r="DW22" s="97">
        <f t="shared" si="19"/>
        <v>0</v>
      </c>
      <c r="DX22" s="97">
        <f t="shared" si="19"/>
        <v>0</v>
      </c>
      <c r="DY22" s="97">
        <f t="shared" si="19"/>
        <v>0</v>
      </c>
      <c r="DZ22" s="97">
        <f t="shared" si="19"/>
        <v>0</v>
      </c>
      <c r="EA22" s="97">
        <f t="shared" si="19"/>
        <v>0</v>
      </c>
      <c r="EB22" s="97">
        <f t="shared" si="19"/>
        <v>0</v>
      </c>
      <c r="EC22" s="97">
        <f t="shared" si="19"/>
        <v>0</v>
      </c>
      <c r="ED22" s="97">
        <f t="shared" si="19"/>
        <v>0</v>
      </c>
      <c r="EE22" s="97">
        <f t="shared" si="19"/>
        <v>0</v>
      </c>
      <c r="EF22" s="97">
        <f t="shared" ref="EF22:GO22" si="20">IF(EE22&gt;0,EE22-1,0)</f>
        <v>0</v>
      </c>
      <c r="EG22" s="97">
        <f t="shared" si="20"/>
        <v>0</v>
      </c>
      <c r="EH22" s="97">
        <f t="shared" si="20"/>
        <v>0</v>
      </c>
      <c r="EI22" s="97">
        <f t="shared" si="20"/>
        <v>0</v>
      </c>
      <c r="EJ22" s="97">
        <f t="shared" si="20"/>
        <v>0</v>
      </c>
      <c r="EK22" s="97">
        <f t="shared" si="20"/>
        <v>0</v>
      </c>
      <c r="EL22" s="97">
        <f t="shared" si="20"/>
        <v>0</v>
      </c>
      <c r="EM22" s="97">
        <f t="shared" si="20"/>
        <v>0</v>
      </c>
      <c r="EN22" s="97">
        <f t="shared" si="20"/>
        <v>0</v>
      </c>
      <c r="EO22" s="97">
        <f t="shared" si="20"/>
        <v>0</v>
      </c>
      <c r="EP22" s="97">
        <f t="shared" si="20"/>
        <v>0</v>
      </c>
      <c r="EQ22" s="97">
        <f t="shared" si="20"/>
        <v>0</v>
      </c>
      <c r="ER22" s="97">
        <f t="shared" si="20"/>
        <v>0</v>
      </c>
      <c r="ES22" s="97">
        <f t="shared" si="20"/>
        <v>0</v>
      </c>
      <c r="ET22" s="97">
        <f t="shared" si="20"/>
        <v>0</v>
      </c>
      <c r="EU22" s="97">
        <f t="shared" si="20"/>
        <v>0</v>
      </c>
      <c r="EV22" s="97">
        <f t="shared" si="20"/>
        <v>0</v>
      </c>
      <c r="EW22" s="97">
        <f t="shared" si="20"/>
        <v>0</v>
      </c>
      <c r="EX22" s="97">
        <f t="shared" si="20"/>
        <v>0</v>
      </c>
      <c r="EY22" s="97">
        <f t="shared" si="20"/>
        <v>0</v>
      </c>
      <c r="EZ22" s="97">
        <f t="shared" si="20"/>
        <v>0</v>
      </c>
      <c r="FA22" s="97">
        <f t="shared" si="20"/>
        <v>0</v>
      </c>
      <c r="FB22" s="97">
        <f t="shared" si="20"/>
        <v>0</v>
      </c>
      <c r="FC22" s="97">
        <f t="shared" si="20"/>
        <v>0</v>
      </c>
      <c r="FD22" s="97">
        <f t="shared" si="20"/>
        <v>0</v>
      </c>
      <c r="FE22" s="97">
        <f t="shared" si="20"/>
        <v>0</v>
      </c>
      <c r="FF22" s="97">
        <f t="shared" si="20"/>
        <v>0</v>
      </c>
      <c r="FG22" s="97">
        <f t="shared" si="20"/>
        <v>0</v>
      </c>
      <c r="FH22" s="97">
        <f t="shared" si="20"/>
        <v>0</v>
      </c>
      <c r="FI22" s="97">
        <f t="shared" si="20"/>
        <v>0</v>
      </c>
      <c r="FJ22" s="97">
        <f t="shared" si="20"/>
        <v>0</v>
      </c>
      <c r="FK22" s="97">
        <f t="shared" si="20"/>
        <v>0</v>
      </c>
      <c r="FL22" s="97">
        <f t="shared" si="20"/>
        <v>0</v>
      </c>
      <c r="FM22" s="97">
        <f t="shared" si="20"/>
        <v>0</v>
      </c>
      <c r="FN22" s="97">
        <f t="shared" si="20"/>
        <v>0</v>
      </c>
      <c r="FO22" s="97">
        <f t="shared" si="20"/>
        <v>0</v>
      </c>
      <c r="FP22" s="97">
        <f t="shared" si="20"/>
        <v>0</v>
      </c>
      <c r="FQ22" s="97">
        <f t="shared" si="20"/>
        <v>0</v>
      </c>
      <c r="FR22" s="97">
        <f t="shared" si="20"/>
        <v>0</v>
      </c>
      <c r="FS22" s="97">
        <f t="shared" si="20"/>
        <v>0</v>
      </c>
      <c r="FT22" s="97">
        <f t="shared" si="20"/>
        <v>0</v>
      </c>
      <c r="FU22" s="97">
        <f t="shared" si="20"/>
        <v>0</v>
      </c>
      <c r="FV22" s="97">
        <f t="shared" si="20"/>
        <v>0</v>
      </c>
      <c r="FW22" s="97">
        <f t="shared" si="20"/>
        <v>0</v>
      </c>
      <c r="FX22" s="97">
        <f t="shared" si="20"/>
        <v>0</v>
      </c>
      <c r="FY22" s="97">
        <f t="shared" si="20"/>
        <v>0</v>
      </c>
      <c r="FZ22" s="97">
        <f t="shared" si="20"/>
        <v>0</v>
      </c>
      <c r="GA22" s="97">
        <f t="shared" si="20"/>
        <v>0</v>
      </c>
      <c r="GB22" s="97">
        <f t="shared" si="20"/>
        <v>0</v>
      </c>
      <c r="GC22" s="97">
        <f t="shared" si="20"/>
        <v>0</v>
      </c>
      <c r="GD22" s="97">
        <f t="shared" si="20"/>
        <v>0</v>
      </c>
      <c r="GE22" s="97">
        <f t="shared" si="20"/>
        <v>0</v>
      </c>
      <c r="GF22" s="97">
        <f t="shared" si="20"/>
        <v>0</v>
      </c>
      <c r="GG22" s="97">
        <f t="shared" si="20"/>
        <v>0</v>
      </c>
      <c r="GH22" s="97">
        <f t="shared" si="20"/>
        <v>0</v>
      </c>
      <c r="GI22" s="97">
        <f t="shared" si="20"/>
        <v>0</v>
      </c>
      <c r="GJ22" s="97">
        <f t="shared" si="20"/>
        <v>0</v>
      </c>
      <c r="GK22" s="97">
        <f t="shared" si="20"/>
        <v>0</v>
      </c>
      <c r="GL22" s="97">
        <f t="shared" si="20"/>
        <v>0</v>
      </c>
      <c r="GM22" s="97">
        <f t="shared" si="20"/>
        <v>0</v>
      </c>
      <c r="GN22" s="97">
        <f t="shared" si="20"/>
        <v>0</v>
      </c>
      <c r="GO22" s="97">
        <f t="shared" si="20"/>
        <v>0</v>
      </c>
      <c r="GQ22" s="88"/>
      <c r="GR22" s="94"/>
      <c r="GS22" s="94"/>
      <c r="GT22" s="102"/>
    </row>
    <row r="23" spans="1:203">
      <c r="A23" s="101" t="s">
        <v>166</v>
      </c>
      <c r="F23" s="100" t="s">
        <v>169</v>
      </c>
      <c r="G23" s="100" t="s">
        <v>169</v>
      </c>
      <c r="H23" s="97" t="s">
        <v>169</v>
      </c>
      <c r="I23" s="97" t="s">
        <v>169</v>
      </c>
      <c r="J23" s="97" t="s">
        <v>169</v>
      </c>
      <c r="K23" s="97" t="s">
        <v>170</v>
      </c>
      <c r="L23" s="97" t="s">
        <v>170</v>
      </c>
      <c r="M23" s="97" t="s">
        <v>170</v>
      </c>
      <c r="N23" s="97" t="s">
        <v>170</v>
      </c>
      <c r="O23" s="97" t="s">
        <v>170</v>
      </c>
      <c r="P23" s="97" t="s">
        <v>170</v>
      </c>
      <c r="Q23" s="97" t="s">
        <v>170</v>
      </c>
      <c r="R23" s="97" t="s">
        <v>170</v>
      </c>
      <c r="S23" s="97" t="s">
        <v>170</v>
      </c>
      <c r="T23" s="97" t="s">
        <v>170</v>
      </c>
      <c r="U23" s="97" t="s">
        <v>170</v>
      </c>
      <c r="V23" s="97" t="s">
        <v>170</v>
      </c>
      <c r="W23" s="97" t="s">
        <v>171</v>
      </c>
      <c r="X23" s="97" t="s">
        <v>171</v>
      </c>
      <c r="Y23" s="97" t="s">
        <v>171</v>
      </c>
      <c r="Z23" s="97" t="s">
        <v>171</v>
      </c>
      <c r="AA23" s="97" t="s">
        <v>171</v>
      </c>
      <c r="AB23" s="97" t="s">
        <v>171</v>
      </c>
      <c r="AC23" s="97" t="s">
        <v>171</v>
      </c>
      <c r="AD23" s="97" t="s">
        <v>171</v>
      </c>
      <c r="AE23" s="97" t="s">
        <v>171</v>
      </c>
      <c r="AF23" s="97" t="s">
        <v>171</v>
      </c>
      <c r="AG23" s="97" t="s">
        <v>171</v>
      </c>
      <c r="AH23" s="97" t="s">
        <v>171</v>
      </c>
      <c r="AI23" s="97" t="s">
        <v>172</v>
      </c>
      <c r="AJ23" s="97" t="s">
        <v>172</v>
      </c>
      <c r="AK23" s="97" t="s">
        <v>172</v>
      </c>
      <c r="AL23" s="97" t="s">
        <v>172</v>
      </c>
      <c r="AM23" s="97" t="s">
        <v>172</v>
      </c>
      <c r="AN23" s="97" t="s">
        <v>172</v>
      </c>
      <c r="AO23" s="97" t="s">
        <v>172</v>
      </c>
      <c r="AP23" s="97" t="s">
        <v>172</v>
      </c>
      <c r="AQ23" s="97" t="s">
        <v>172</v>
      </c>
      <c r="AR23" s="97" t="s">
        <v>172</v>
      </c>
      <c r="AS23" s="97" t="s">
        <v>172</v>
      </c>
      <c r="AT23" s="97" t="s">
        <v>172</v>
      </c>
      <c r="AU23" s="97" t="s">
        <v>173</v>
      </c>
      <c r="AV23" s="97" t="s">
        <v>173</v>
      </c>
      <c r="AW23" s="97" t="s">
        <v>173</v>
      </c>
      <c r="AX23" s="97" t="s">
        <v>173</v>
      </c>
      <c r="AY23" s="97" t="s">
        <v>173</v>
      </c>
      <c r="AZ23" s="97" t="s">
        <v>173</v>
      </c>
      <c r="BA23" s="97" t="s">
        <v>173</v>
      </c>
      <c r="BB23" s="97" t="s">
        <v>173</v>
      </c>
      <c r="BC23" s="97" t="s">
        <v>173</v>
      </c>
      <c r="BD23" s="97" t="s">
        <v>173</v>
      </c>
      <c r="BE23" s="97" t="s">
        <v>173</v>
      </c>
      <c r="BF23" s="97" t="s">
        <v>173</v>
      </c>
      <c r="BG23" s="97" t="s">
        <v>174</v>
      </c>
      <c r="BH23" s="97" t="s">
        <v>174</v>
      </c>
      <c r="BI23" s="97" t="s">
        <v>174</v>
      </c>
      <c r="BJ23" s="97" t="s">
        <v>174</v>
      </c>
      <c r="BK23" s="97" t="s">
        <v>174</v>
      </c>
      <c r="BL23" s="97" t="s">
        <v>174</v>
      </c>
      <c r="BM23" s="97" t="s">
        <v>174</v>
      </c>
      <c r="BN23" s="97" t="s">
        <v>174</v>
      </c>
      <c r="BO23" s="97" t="s">
        <v>174</v>
      </c>
      <c r="BP23" s="97" t="s">
        <v>174</v>
      </c>
      <c r="BQ23" s="97" t="s">
        <v>174</v>
      </c>
      <c r="BR23" s="97" t="s">
        <v>174</v>
      </c>
      <c r="BS23" s="97" t="s">
        <v>175</v>
      </c>
      <c r="BT23" s="97" t="s">
        <v>175</v>
      </c>
      <c r="BU23" s="97" t="s">
        <v>175</v>
      </c>
      <c r="BV23" s="97" t="s">
        <v>175</v>
      </c>
      <c r="BW23" s="97" t="s">
        <v>175</v>
      </c>
      <c r="BX23" s="97" t="s">
        <v>175</v>
      </c>
      <c r="BY23" s="97" t="s">
        <v>175</v>
      </c>
      <c r="BZ23" s="97" t="s">
        <v>175</v>
      </c>
      <c r="CA23" s="97" t="s">
        <v>175</v>
      </c>
      <c r="CB23" s="97" t="s">
        <v>175</v>
      </c>
      <c r="CC23" s="97" t="s">
        <v>175</v>
      </c>
      <c r="CD23" s="97" t="s">
        <v>175</v>
      </c>
      <c r="CE23" s="97" t="s">
        <v>176</v>
      </c>
      <c r="CF23" s="97" t="s">
        <v>176</v>
      </c>
      <c r="CG23" s="97" t="s">
        <v>176</v>
      </c>
      <c r="CH23" s="97" t="s">
        <v>176</v>
      </c>
      <c r="CI23" s="97" t="s">
        <v>176</v>
      </c>
      <c r="CJ23" s="97" t="s">
        <v>176</v>
      </c>
      <c r="CK23" s="97" t="s">
        <v>176</v>
      </c>
      <c r="CL23" s="97" t="s">
        <v>176</v>
      </c>
      <c r="CM23" s="97" t="s">
        <v>176</v>
      </c>
      <c r="CN23" s="97" t="s">
        <v>176</v>
      </c>
      <c r="CO23" s="97" t="s">
        <v>176</v>
      </c>
      <c r="CP23" s="97" t="s">
        <v>176</v>
      </c>
      <c r="CQ23" s="97" t="s">
        <v>177</v>
      </c>
      <c r="CR23" s="97" t="s">
        <v>177</v>
      </c>
      <c r="CS23" s="97" t="s">
        <v>177</v>
      </c>
      <c r="CT23" s="97" t="s">
        <v>177</v>
      </c>
      <c r="CU23" s="97" t="s">
        <v>177</v>
      </c>
      <c r="CV23" s="97" t="s">
        <v>177</v>
      </c>
      <c r="CW23" s="97" t="s">
        <v>177</v>
      </c>
      <c r="CX23" s="97" t="s">
        <v>177</v>
      </c>
      <c r="CY23" s="97" t="s">
        <v>177</v>
      </c>
      <c r="CZ23" s="97" t="s">
        <v>177</v>
      </c>
      <c r="DA23" s="97" t="s">
        <v>177</v>
      </c>
      <c r="DB23" s="97" t="s">
        <v>177</v>
      </c>
      <c r="DC23" s="97" t="s">
        <v>178</v>
      </c>
      <c r="DD23" s="97" t="s">
        <v>178</v>
      </c>
      <c r="DE23" s="97" t="s">
        <v>178</v>
      </c>
      <c r="DF23" s="97" t="s">
        <v>178</v>
      </c>
      <c r="DG23" s="97" t="s">
        <v>178</v>
      </c>
      <c r="DH23" s="97" t="s">
        <v>178</v>
      </c>
      <c r="DI23" s="97" t="s">
        <v>178</v>
      </c>
      <c r="DJ23" s="97" t="s">
        <v>178</v>
      </c>
      <c r="DK23" s="97" t="s">
        <v>178</v>
      </c>
      <c r="DL23" s="97" t="s">
        <v>178</v>
      </c>
      <c r="DM23" s="97" t="s">
        <v>178</v>
      </c>
      <c r="DN23" s="97" t="s">
        <v>178</v>
      </c>
      <c r="DO23" s="97" t="s">
        <v>179</v>
      </c>
      <c r="DP23" s="97" t="s">
        <v>179</v>
      </c>
      <c r="DQ23" s="97" t="s">
        <v>179</v>
      </c>
      <c r="DR23" s="97" t="s">
        <v>179</v>
      </c>
      <c r="DS23" s="97" t="s">
        <v>179</v>
      </c>
      <c r="DT23" s="97" t="s">
        <v>179</v>
      </c>
      <c r="DU23" s="97" t="s">
        <v>179</v>
      </c>
      <c r="DV23" s="97" t="s">
        <v>179</v>
      </c>
      <c r="DW23" s="97" t="s">
        <v>179</v>
      </c>
      <c r="DX23" s="97" t="s">
        <v>179</v>
      </c>
      <c r="DY23" s="97" t="s">
        <v>179</v>
      </c>
      <c r="DZ23" s="97" t="s">
        <v>179</v>
      </c>
      <c r="EA23" s="97" t="s">
        <v>180</v>
      </c>
      <c r="EB23" s="97" t="s">
        <v>180</v>
      </c>
      <c r="EC23" s="97" t="s">
        <v>180</v>
      </c>
      <c r="ED23" s="97" t="s">
        <v>180</v>
      </c>
      <c r="EE23" s="97" t="s">
        <v>180</v>
      </c>
      <c r="EF23" s="97" t="s">
        <v>180</v>
      </c>
      <c r="EG23" s="97" t="s">
        <v>180</v>
      </c>
      <c r="EH23" s="97" t="s">
        <v>180</v>
      </c>
      <c r="EI23" s="97" t="s">
        <v>180</v>
      </c>
      <c r="EJ23" s="97" t="s">
        <v>180</v>
      </c>
      <c r="EK23" s="97" t="s">
        <v>180</v>
      </c>
      <c r="EL23" s="97" t="s">
        <v>180</v>
      </c>
      <c r="EM23" s="97" t="s">
        <v>181</v>
      </c>
      <c r="EN23" s="97" t="s">
        <v>181</v>
      </c>
      <c r="EO23" s="97" t="s">
        <v>181</v>
      </c>
      <c r="EP23" s="97" t="s">
        <v>181</v>
      </c>
      <c r="EQ23" s="97" t="s">
        <v>181</v>
      </c>
      <c r="ER23" s="97" t="s">
        <v>181</v>
      </c>
      <c r="ES23" s="97" t="s">
        <v>181</v>
      </c>
      <c r="ET23" s="97" t="s">
        <v>181</v>
      </c>
      <c r="EU23" s="97" t="s">
        <v>181</v>
      </c>
      <c r="EV23" s="97" t="s">
        <v>181</v>
      </c>
      <c r="EW23" s="97" t="s">
        <v>181</v>
      </c>
      <c r="EX23" s="97" t="s">
        <v>181</v>
      </c>
      <c r="EY23" s="97" t="s">
        <v>182</v>
      </c>
      <c r="EZ23" s="97" t="s">
        <v>182</v>
      </c>
      <c r="FA23" s="97" t="s">
        <v>182</v>
      </c>
      <c r="FB23" s="97" t="s">
        <v>182</v>
      </c>
      <c r="FC23" s="97" t="s">
        <v>182</v>
      </c>
      <c r="FD23" s="97" t="s">
        <v>182</v>
      </c>
      <c r="FE23" s="97" t="s">
        <v>182</v>
      </c>
      <c r="FF23" s="97" t="s">
        <v>182</v>
      </c>
      <c r="FG23" s="97" t="s">
        <v>182</v>
      </c>
      <c r="FH23" s="97" t="s">
        <v>182</v>
      </c>
      <c r="FI23" s="97" t="s">
        <v>182</v>
      </c>
      <c r="FJ23" s="97" t="s">
        <v>182</v>
      </c>
      <c r="FK23" s="97" t="s">
        <v>183</v>
      </c>
      <c r="FL23" s="97" t="s">
        <v>183</v>
      </c>
      <c r="FM23" s="97" t="s">
        <v>183</v>
      </c>
      <c r="FN23" s="97" t="s">
        <v>183</v>
      </c>
      <c r="FO23" s="97" t="s">
        <v>183</v>
      </c>
      <c r="FP23" s="97" t="s">
        <v>183</v>
      </c>
      <c r="FQ23" s="97" t="s">
        <v>183</v>
      </c>
      <c r="FR23" s="97" t="s">
        <v>183</v>
      </c>
      <c r="FS23" s="97" t="s">
        <v>183</v>
      </c>
      <c r="FT23" s="97" t="s">
        <v>183</v>
      </c>
      <c r="FU23" s="97" t="s">
        <v>183</v>
      </c>
      <c r="FV23" s="97" t="s">
        <v>183</v>
      </c>
      <c r="FW23" s="97" t="s">
        <v>184</v>
      </c>
      <c r="FX23" s="97" t="s">
        <v>184</v>
      </c>
      <c r="FY23" s="97" t="s">
        <v>184</v>
      </c>
      <c r="FZ23" s="97" t="s">
        <v>184</v>
      </c>
      <c r="GA23" s="97" t="s">
        <v>184</v>
      </c>
      <c r="GB23" s="97" t="s">
        <v>184</v>
      </c>
      <c r="GC23" s="97" t="s">
        <v>184</v>
      </c>
      <c r="GD23" s="97" t="s">
        <v>184</v>
      </c>
      <c r="GE23" s="97" t="s">
        <v>184</v>
      </c>
      <c r="GF23" s="97" t="s">
        <v>184</v>
      </c>
      <c r="GG23" s="97" t="s">
        <v>184</v>
      </c>
      <c r="GH23" s="97" t="s">
        <v>184</v>
      </c>
      <c r="GI23" s="97" t="s">
        <v>185</v>
      </c>
      <c r="GJ23" s="97" t="s">
        <v>185</v>
      </c>
      <c r="GK23" s="97" t="s">
        <v>185</v>
      </c>
      <c r="GL23" s="97" t="s">
        <v>185</v>
      </c>
      <c r="GM23" s="97" t="s">
        <v>185</v>
      </c>
      <c r="GN23" s="97" t="s">
        <v>185</v>
      </c>
      <c r="GO23" s="97" t="s">
        <v>185</v>
      </c>
      <c r="GQ23" s="88"/>
      <c r="GR23" s="94"/>
      <c r="GS23" s="94"/>
      <c r="GT23" s="102"/>
    </row>
    <row r="24" spans="1:203">
      <c r="A24" s="101" t="s">
        <v>167</v>
      </c>
      <c r="F24" s="100">
        <v>11</v>
      </c>
      <c r="G24" s="100">
        <v>12</v>
      </c>
      <c r="H24" s="97">
        <v>1</v>
      </c>
      <c r="I24" s="97">
        <v>2</v>
      </c>
      <c r="J24" s="97">
        <v>3</v>
      </c>
      <c r="K24" s="97">
        <v>4</v>
      </c>
      <c r="L24" s="97">
        <v>5</v>
      </c>
      <c r="M24" s="97">
        <v>6</v>
      </c>
      <c r="N24" s="97">
        <v>7</v>
      </c>
      <c r="O24" s="97">
        <v>8</v>
      </c>
      <c r="P24" s="97">
        <v>9</v>
      </c>
      <c r="Q24" s="97">
        <v>10</v>
      </c>
      <c r="R24" s="97">
        <v>11</v>
      </c>
      <c r="S24" s="97">
        <v>12</v>
      </c>
      <c r="T24" s="97">
        <v>1</v>
      </c>
      <c r="U24" s="97">
        <v>2</v>
      </c>
      <c r="V24" s="97">
        <v>3</v>
      </c>
      <c r="W24" s="97">
        <v>4</v>
      </c>
      <c r="X24" s="97">
        <v>5</v>
      </c>
      <c r="Y24" s="97">
        <v>6</v>
      </c>
      <c r="Z24" s="97">
        <v>7</v>
      </c>
      <c r="AA24" s="97">
        <v>8</v>
      </c>
      <c r="AB24" s="97">
        <v>9</v>
      </c>
      <c r="AC24" s="97">
        <v>10</v>
      </c>
      <c r="AD24" s="97">
        <v>11</v>
      </c>
      <c r="AE24" s="97">
        <v>12</v>
      </c>
      <c r="AF24" s="97">
        <v>1</v>
      </c>
      <c r="AG24" s="97">
        <v>2</v>
      </c>
      <c r="AH24" s="97">
        <v>3</v>
      </c>
      <c r="AI24" s="97">
        <v>4</v>
      </c>
      <c r="AJ24" s="97">
        <v>5</v>
      </c>
      <c r="AK24" s="97">
        <v>6</v>
      </c>
      <c r="AL24" s="97">
        <v>7</v>
      </c>
      <c r="AM24" s="97">
        <v>8</v>
      </c>
      <c r="AN24" s="97">
        <v>9</v>
      </c>
      <c r="AO24" s="97">
        <v>10</v>
      </c>
      <c r="AP24" s="97">
        <v>11</v>
      </c>
      <c r="AQ24" s="97">
        <v>12</v>
      </c>
      <c r="AR24" s="97">
        <v>1</v>
      </c>
      <c r="AS24" s="97">
        <v>2</v>
      </c>
      <c r="AT24" s="97">
        <v>3</v>
      </c>
      <c r="AU24" s="97">
        <v>4</v>
      </c>
      <c r="AV24" s="97">
        <v>5</v>
      </c>
      <c r="AW24" s="97">
        <v>6</v>
      </c>
      <c r="AX24" s="97">
        <v>7</v>
      </c>
      <c r="AY24" s="97">
        <v>8</v>
      </c>
      <c r="AZ24" s="97">
        <v>9</v>
      </c>
      <c r="BA24" s="97">
        <v>10</v>
      </c>
      <c r="BB24" s="97">
        <v>11</v>
      </c>
      <c r="BC24" s="97">
        <v>12</v>
      </c>
      <c r="BD24" s="97">
        <v>1</v>
      </c>
      <c r="BE24" s="97">
        <v>2</v>
      </c>
      <c r="BF24" s="97">
        <v>3</v>
      </c>
      <c r="BG24" s="97">
        <v>4</v>
      </c>
      <c r="BH24" s="97">
        <v>5</v>
      </c>
      <c r="BI24" s="97">
        <v>6</v>
      </c>
      <c r="BJ24" s="97">
        <v>7</v>
      </c>
      <c r="BK24" s="97">
        <v>8</v>
      </c>
      <c r="BL24" s="97">
        <v>9</v>
      </c>
      <c r="BM24" s="97">
        <v>10</v>
      </c>
      <c r="BN24" s="97">
        <v>11</v>
      </c>
      <c r="BO24" s="97">
        <v>12</v>
      </c>
      <c r="BP24" s="97">
        <v>1</v>
      </c>
      <c r="BQ24" s="97">
        <v>2</v>
      </c>
      <c r="BR24" s="97">
        <v>3</v>
      </c>
      <c r="BS24" s="97">
        <v>4</v>
      </c>
      <c r="BT24" s="97">
        <v>5</v>
      </c>
      <c r="BU24" s="97">
        <v>6</v>
      </c>
      <c r="BV24" s="97">
        <v>7</v>
      </c>
      <c r="BW24" s="97">
        <v>8</v>
      </c>
      <c r="BX24" s="97">
        <v>9</v>
      </c>
      <c r="BY24" s="97">
        <v>10</v>
      </c>
      <c r="BZ24" s="97">
        <v>11</v>
      </c>
      <c r="CA24" s="97">
        <v>12</v>
      </c>
      <c r="CB24" s="97">
        <v>1</v>
      </c>
      <c r="CC24" s="97">
        <v>2</v>
      </c>
      <c r="CD24" s="97">
        <v>3</v>
      </c>
      <c r="CE24" s="97">
        <v>4</v>
      </c>
      <c r="CF24" s="97">
        <v>5</v>
      </c>
      <c r="CG24" s="97">
        <v>6</v>
      </c>
      <c r="CH24" s="97">
        <v>7</v>
      </c>
      <c r="CI24" s="97">
        <v>8</v>
      </c>
      <c r="CJ24" s="97">
        <v>9</v>
      </c>
      <c r="CK24" s="97">
        <v>10</v>
      </c>
      <c r="CL24" s="97">
        <v>11</v>
      </c>
      <c r="CM24" s="97">
        <v>12</v>
      </c>
      <c r="CN24" s="97">
        <v>1</v>
      </c>
      <c r="CO24" s="97">
        <v>2</v>
      </c>
      <c r="CP24" s="97">
        <v>3</v>
      </c>
      <c r="CQ24" s="97">
        <v>4</v>
      </c>
      <c r="CR24" s="97">
        <v>5</v>
      </c>
      <c r="CS24" s="97">
        <v>6</v>
      </c>
      <c r="CT24" s="97">
        <v>7</v>
      </c>
      <c r="CU24" s="97">
        <v>8</v>
      </c>
      <c r="CV24" s="97">
        <v>9</v>
      </c>
      <c r="CW24" s="97">
        <v>10</v>
      </c>
      <c r="CX24" s="97">
        <v>11</v>
      </c>
      <c r="CY24" s="97">
        <v>12</v>
      </c>
      <c r="CZ24" s="97">
        <v>1</v>
      </c>
      <c r="DA24" s="97">
        <v>2</v>
      </c>
      <c r="DB24" s="97">
        <v>3</v>
      </c>
      <c r="DC24" s="97">
        <v>4</v>
      </c>
      <c r="DD24" s="97">
        <v>5</v>
      </c>
      <c r="DE24" s="97">
        <v>6</v>
      </c>
      <c r="DF24" s="97">
        <v>7</v>
      </c>
      <c r="DG24" s="97">
        <v>8</v>
      </c>
      <c r="DH24" s="97">
        <v>9</v>
      </c>
      <c r="DI24" s="97">
        <v>10</v>
      </c>
      <c r="DJ24" s="97">
        <v>11</v>
      </c>
      <c r="DK24" s="97">
        <v>12</v>
      </c>
      <c r="DL24" s="97">
        <v>1</v>
      </c>
      <c r="DM24" s="97">
        <v>2</v>
      </c>
      <c r="DN24" s="97">
        <v>3</v>
      </c>
      <c r="DO24" s="97">
        <v>4</v>
      </c>
      <c r="DP24" s="97">
        <v>5</v>
      </c>
      <c r="DQ24" s="97">
        <v>6</v>
      </c>
      <c r="DR24" s="97">
        <v>7</v>
      </c>
      <c r="DS24" s="97">
        <v>8</v>
      </c>
      <c r="DT24" s="97">
        <v>9</v>
      </c>
      <c r="DU24" s="97">
        <v>10</v>
      </c>
      <c r="DV24" s="97">
        <v>11</v>
      </c>
      <c r="DW24" s="97">
        <v>12</v>
      </c>
      <c r="DX24" s="97">
        <v>1</v>
      </c>
      <c r="DY24" s="97">
        <v>2</v>
      </c>
      <c r="DZ24" s="97">
        <v>3</v>
      </c>
      <c r="EA24" s="97">
        <v>4</v>
      </c>
      <c r="EB24" s="97">
        <v>5</v>
      </c>
      <c r="EC24" s="97">
        <v>6</v>
      </c>
      <c r="ED24" s="97">
        <v>7</v>
      </c>
      <c r="EE24" s="97">
        <v>8</v>
      </c>
      <c r="EF24" s="97">
        <v>9</v>
      </c>
      <c r="EG24" s="97">
        <v>10</v>
      </c>
      <c r="EH24" s="97">
        <v>11</v>
      </c>
      <c r="EI24" s="97">
        <v>12</v>
      </c>
      <c r="EJ24" s="97">
        <v>1</v>
      </c>
      <c r="EK24" s="97">
        <v>2</v>
      </c>
      <c r="EL24" s="97">
        <v>3</v>
      </c>
      <c r="EM24" s="97">
        <v>4</v>
      </c>
      <c r="EN24" s="97">
        <v>5</v>
      </c>
      <c r="EO24" s="97">
        <v>6</v>
      </c>
      <c r="EP24" s="97">
        <v>7</v>
      </c>
      <c r="EQ24" s="97">
        <v>8</v>
      </c>
      <c r="ER24" s="97">
        <v>9</v>
      </c>
      <c r="ES24" s="97">
        <v>10</v>
      </c>
      <c r="ET24" s="97">
        <v>11</v>
      </c>
      <c r="EU24" s="97">
        <v>12</v>
      </c>
      <c r="EV24" s="97">
        <v>1</v>
      </c>
      <c r="EW24" s="97">
        <v>2</v>
      </c>
      <c r="EX24" s="97">
        <v>3</v>
      </c>
      <c r="EY24" s="97">
        <v>4</v>
      </c>
      <c r="EZ24" s="97">
        <v>5</v>
      </c>
      <c r="FA24" s="97">
        <v>6</v>
      </c>
      <c r="FB24" s="97">
        <v>7</v>
      </c>
      <c r="FC24" s="97">
        <v>8</v>
      </c>
      <c r="FD24" s="97">
        <v>9</v>
      </c>
      <c r="FE24" s="97">
        <v>10</v>
      </c>
      <c r="FF24" s="97">
        <v>11</v>
      </c>
      <c r="FG24" s="97">
        <v>12</v>
      </c>
      <c r="FH24" s="97">
        <v>1</v>
      </c>
      <c r="FI24" s="97">
        <v>2</v>
      </c>
      <c r="FJ24" s="97">
        <v>3</v>
      </c>
      <c r="FK24" s="97">
        <v>4</v>
      </c>
      <c r="FL24" s="97">
        <v>5</v>
      </c>
      <c r="FM24" s="97">
        <v>6</v>
      </c>
      <c r="FN24" s="97">
        <v>7</v>
      </c>
      <c r="FO24" s="97">
        <v>8</v>
      </c>
      <c r="FP24" s="97">
        <v>9</v>
      </c>
      <c r="FQ24" s="97">
        <v>10</v>
      </c>
      <c r="FR24" s="97">
        <v>11</v>
      </c>
      <c r="FS24" s="97">
        <v>12</v>
      </c>
      <c r="FT24" s="97">
        <v>1</v>
      </c>
      <c r="FU24" s="97">
        <v>2</v>
      </c>
      <c r="FV24" s="97">
        <v>3</v>
      </c>
      <c r="FW24" s="97">
        <v>4</v>
      </c>
      <c r="FX24" s="97">
        <v>5</v>
      </c>
      <c r="FY24" s="97">
        <v>6</v>
      </c>
      <c r="FZ24" s="97">
        <v>7</v>
      </c>
      <c r="GA24" s="97">
        <v>8</v>
      </c>
      <c r="GB24" s="97">
        <v>9</v>
      </c>
      <c r="GC24" s="97">
        <v>10</v>
      </c>
      <c r="GD24" s="97">
        <v>11</v>
      </c>
      <c r="GE24" s="97">
        <v>12</v>
      </c>
      <c r="GF24" s="97">
        <v>1</v>
      </c>
      <c r="GG24" s="97">
        <v>2</v>
      </c>
      <c r="GH24" s="97">
        <v>3</v>
      </c>
      <c r="GI24" s="97">
        <v>4</v>
      </c>
      <c r="GJ24" s="97">
        <v>5</v>
      </c>
      <c r="GK24" s="97">
        <v>6</v>
      </c>
      <c r="GL24" s="97">
        <v>7</v>
      </c>
      <c r="GM24" s="97">
        <v>8</v>
      </c>
      <c r="GN24" s="97">
        <v>9</v>
      </c>
      <c r="GO24" s="97">
        <v>10</v>
      </c>
      <c r="GQ24" s="88"/>
      <c r="GR24" s="94"/>
      <c r="GS24" s="94"/>
      <c r="GT24" s="102"/>
    </row>
    <row r="25" spans="1:203">
      <c r="GQ25" s="88"/>
      <c r="GR25" s="94"/>
      <c r="GS25" s="94"/>
      <c r="GT25" s="102"/>
    </row>
    <row r="26" spans="1:203" ht="12" customHeight="1">
      <c r="A26" s="103" t="s">
        <v>168</v>
      </c>
      <c r="B26" s="104"/>
      <c r="C26" s="104"/>
      <c r="D26" s="104"/>
      <c r="E26" s="104"/>
      <c r="F26" s="104"/>
      <c r="G26" s="104"/>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4"/>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04"/>
      <c r="BH26" s="104"/>
      <c r="BI26" s="104"/>
      <c r="BJ26" s="104"/>
      <c r="BK26" s="104"/>
      <c r="BL26" s="104"/>
      <c r="BM26" s="104"/>
      <c r="BN26" s="104"/>
      <c r="BO26" s="104"/>
      <c r="BP26" s="104"/>
      <c r="BQ26" s="104"/>
      <c r="BR26" s="104"/>
      <c r="BS26" s="104"/>
      <c r="BT26" s="104"/>
      <c r="BU26" s="104"/>
      <c r="BV26" s="104"/>
      <c r="BW26" s="104"/>
      <c r="BX26" s="104"/>
      <c r="BY26" s="104"/>
      <c r="BZ26" s="104"/>
      <c r="CA26" s="104"/>
      <c r="CB26" s="104"/>
      <c r="CC26" s="104"/>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104"/>
      <c r="EH26" s="104"/>
      <c r="EI26" s="104"/>
      <c r="EJ26" s="104"/>
      <c r="EK26" s="104"/>
      <c r="EL26" s="104"/>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104"/>
      <c r="FO26" s="104"/>
      <c r="FP26" s="104"/>
      <c r="FQ26" s="104"/>
      <c r="FR26" s="104"/>
      <c r="FS26" s="104"/>
      <c r="FT26" s="104"/>
      <c r="FU26" s="104"/>
      <c r="FV26" s="104"/>
      <c r="FW26" s="104"/>
      <c r="FX26" s="104"/>
      <c r="FY26" s="104"/>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104"/>
    </row>
    <row r="27" spans="1:203"/>
    <row r="28" spans="1:203" hidden="1"/>
    <row r="29" spans="1:203" ht="15" hidden="1" customHeight="1"/>
    <row r="30" spans="1:203" ht="15" hidden="1" customHeight="1"/>
    <row r="31" spans="1:203" ht="15" hidden="1" customHeight="1"/>
    <row r="32" spans="1:203" ht="15" hidden="1" customHeight="1"/>
    <row r="33" ht="15" hidden="1" customHeight="1"/>
    <row r="34" ht="15" hidden="1" customHeight="1"/>
  </sheetData>
  <conditionalFormatting sqref="A1:C1 A26:GU26 A5:GU5 A9:GU9">
    <cfRule type="expression" dxfId="217" priority="19" stopIfTrue="1">
      <formula>ErrorsPresent&gt;0</formula>
    </cfRule>
    <cfRule type="expression" dxfId="216" priority="20" stopIfTrue="1">
      <formula>ErrorsPresent&lt;0</formula>
    </cfRule>
  </conditionalFormatting>
  <conditionalFormatting sqref="F15">
    <cfRule type="expression" dxfId="215" priority="18" stopIfTrue="1">
      <formula>F$40&lt;&gt;""</formula>
    </cfRule>
  </conditionalFormatting>
  <conditionalFormatting sqref="E1 GR14">
    <cfRule type="cellIs" dxfId="214" priority="17" stopIfTrue="1" operator="equal">
      <formula>0</formula>
    </cfRule>
  </conditionalFormatting>
  <conditionalFormatting sqref="E1 GR14">
    <cfRule type="cellIs" dxfId="213" priority="15" stopIfTrue="1" operator="greaterThan">
      <formula>0</formula>
    </cfRule>
    <cfRule type="cellIs" dxfId="212" priority="16" stopIfTrue="1" operator="lessThan">
      <formula>0</formula>
    </cfRule>
  </conditionalFormatting>
  <conditionalFormatting sqref="GR13:GR14">
    <cfRule type="cellIs" dxfId="211" priority="14" stopIfTrue="1" operator="equal">
      <formula>0</formula>
    </cfRule>
  </conditionalFormatting>
  <conditionalFormatting sqref="GR13:GR14">
    <cfRule type="cellIs" dxfId="210" priority="12" stopIfTrue="1" operator="greaterThan">
      <formula>0</formula>
    </cfRule>
    <cfRule type="cellIs" dxfId="209" priority="13" stopIfTrue="1" operator="lessThan">
      <formula>0</formula>
    </cfRule>
  </conditionalFormatting>
  <conditionalFormatting sqref="F16">
    <cfRule type="expression" dxfId="208" priority="11" stopIfTrue="1">
      <formula>F$40&lt;&gt;""</formula>
    </cfRule>
  </conditionalFormatting>
  <conditionalFormatting sqref="F17">
    <cfRule type="expression" dxfId="207" priority="10" stopIfTrue="1">
      <formula>F$40&lt;&gt;""</formula>
    </cfRule>
  </conditionalFormatting>
  <conditionalFormatting sqref="F18">
    <cfRule type="expression" dxfId="206" priority="9" stopIfTrue="1">
      <formula>F$40&lt;&gt;""</formula>
    </cfRule>
  </conditionalFormatting>
  <conditionalFormatting sqref="F19">
    <cfRule type="expression" dxfId="205" priority="8" stopIfTrue="1">
      <formula>F$40&lt;&gt;""</formula>
    </cfRule>
  </conditionalFormatting>
  <conditionalFormatting sqref="F20">
    <cfRule type="expression" dxfId="204" priority="7" stopIfTrue="1">
      <formula>F$40&lt;&gt;""</formula>
    </cfRule>
  </conditionalFormatting>
  <conditionalFormatting sqref="F21">
    <cfRule type="expression" dxfId="203" priority="6" stopIfTrue="1">
      <formula>F$40&lt;&gt;""</formula>
    </cfRule>
  </conditionalFormatting>
  <conditionalFormatting sqref="F22">
    <cfRule type="expression" dxfId="202" priority="5" stopIfTrue="1">
      <formula>F$40&lt;&gt;""</formula>
    </cfRule>
  </conditionalFormatting>
  <conditionalFormatting sqref="G22">
    <cfRule type="expression" dxfId="201" priority="4" stopIfTrue="1">
      <formula>G$40&lt;&gt;""</formula>
    </cfRule>
  </conditionalFormatting>
  <conditionalFormatting sqref="F23">
    <cfRule type="expression" dxfId="200" priority="3" stopIfTrue="1">
      <formula>F$43&lt;&gt;""</formula>
    </cfRule>
  </conditionalFormatting>
  <conditionalFormatting sqref="G23">
    <cfRule type="expression" dxfId="199" priority="2" stopIfTrue="1">
      <formula>G$43&lt;&gt;""</formula>
    </cfRule>
  </conditionalFormatting>
  <conditionalFormatting sqref="F24:G24">
    <cfRule type="expression" dxfId="198" priority="1" stopIfTrue="1">
      <formula>F$43&lt;&gt;""</formula>
    </cfRule>
  </conditionalFormatting>
  <pageMargins left="0.7" right="0.7" top="0.75" bottom="0.75" header="0.3" footer="0.3"/>
  <pageSetup paperSize="9" orientation="portrait" horizontalDpi="200"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U34"/>
  <sheetViews>
    <sheetView showGridLines="0" zoomScale="90" zoomScaleNormal="90" workbookViewId="0">
      <selection activeCell="F11" sqref="F11"/>
    </sheetView>
  </sheetViews>
  <sheetFormatPr defaultRowHeight="15" customHeight="1" zeroHeight="1" outlineLevelRow="1"/>
  <cols>
    <col min="1" max="1" width="15" style="85" customWidth="1"/>
    <col min="2" max="5" width="9.140625" style="85"/>
    <col min="6" max="16" width="11.5703125" style="85" bestFit="1" customWidth="1"/>
    <col min="17" max="17" width="12.7109375" style="85" bestFit="1" customWidth="1"/>
    <col min="18" max="18" width="11.5703125" style="85" bestFit="1" customWidth="1"/>
    <col min="19" max="197" width="11.5703125" style="85" customWidth="1"/>
    <col min="198" max="198" width="4.140625" style="85" customWidth="1"/>
    <col min="199" max="199" width="2.28515625" style="85" customWidth="1"/>
    <col min="200" max="201" width="9.140625" style="85"/>
    <col min="202" max="202" width="2.28515625" style="85" customWidth="1"/>
    <col min="203" max="16384" width="9.140625" style="85"/>
  </cols>
  <sheetData>
    <row r="1" spans="1:203">
      <c r="A1" s="83" t="s">
        <v>206</v>
      </c>
      <c r="B1" s="23"/>
      <c r="C1" s="23"/>
      <c r="D1" s="23"/>
      <c r="E1" s="84">
        <f>IF(SUM(GQ:GT)&gt;0,1,0)</f>
        <v>0</v>
      </c>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c r="EU1" s="23"/>
      <c r="EV1" s="23"/>
      <c r="EW1" s="23"/>
      <c r="EX1" s="23"/>
      <c r="EY1" s="23"/>
      <c r="EZ1" s="23"/>
      <c r="FA1" s="23"/>
      <c r="FB1" s="23"/>
      <c r="FC1" s="23"/>
      <c r="FD1" s="23"/>
      <c r="FE1" s="23"/>
      <c r="FF1" s="23"/>
      <c r="FG1" s="23"/>
      <c r="FH1" s="23"/>
      <c r="FI1" s="23"/>
      <c r="FJ1" s="23"/>
      <c r="FK1" s="23"/>
      <c r="FL1" s="23"/>
      <c r="FM1" s="23"/>
      <c r="FN1" s="23"/>
      <c r="FO1" s="23"/>
      <c r="FP1" s="23"/>
      <c r="FQ1" s="23"/>
      <c r="FR1" s="23"/>
      <c r="FS1" s="23"/>
      <c r="FT1" s="23"/>
      <c r="FU1" s="23"/>
      <c r="FV1" s="23"/>
      <c r="FW1" s="23"/>
      <c r="FX1" s="23"/>
      <c r="FY1" s="23"/>
      <c r="FZ1" s="23"/>
      <c r="GA1" s="23"/>
      <c r="GB1" s="23"/>
      <c r="GC1" s="23"/>
      <c r="GD1" s="23"/>
      <c r="GE1" s="23"/>
      <c r="GF1" s="23"/>
      <c r="GG1" s="23"/>
      <c r="GH1" s="23"/>
      <c r="GI1" s="23"/>
      <c r="GJ1" s="23"/>
      <c r="GK1" s="23"/>
      <c r="GL1" s="23"/>
      <c r="GM1" s="23"/>
      <c r="GN1" s="23"/>
      <c r="GO1" s="23"/>
      <c r="GP1" s="23"/>
      <c r="GQ1" s="23"/>
      <c r="GR1" s="23"/>
      <c r="GS1" s="23"/>
      <c r="GT1" s="23"/>
      <c r="GU1" s="23"/>
    </row>
    <row r="2" spans="1:203" ht="15.75">
      <c r="A2" s="25" t="s">
        <v>355</v>
      </c>
    </row>
    <row r="3" spans="1:203" ht="15.75">
      <c r="A3"/>
      <c r="Q3" s="167">
        <v>41944</v>
      </c>
    </row>
    <row r="4" spans="1:203" ht="20.25" customHeight="1"/>
    <row r="5" spans="1:203" s="87" customFormat="1" ht="12" customHeight="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c r="EC5" s="86"/>
      <c r="ED5" s="86"/>
      <c r="EE5" s="86"/>
      <c r="EF5" s="86"/>
      <c r="EG5" s="86"/>
      <c r="EH5" s="86"/>
      <c r="EI5" s="86"/>
      <c r="EJ5" s="86"/>
      <c r="EK5" s="86"/>
      <c r="EL5" s="86"/>
      <c r="EM5" s="86"/>
      <c r="EN5" s="86"/>
      <c r="EO5" s="86"/>
      <c r="EP5" s="86"/>
      <c r="EQ5" s="86"/>
      <c r="ER5" s="86"/>
      <c r="ES5" s="86"/>
      <c r="ET5" s="86"/>
      <c r="EU5" s="86"/>
      <c r="EV5" s="86"/>
      <c r="EW5" s="86"/>
      <c r="EX5" s="86"/>
      <c r="EY5" s="86"/>
      <c r="EZ5" s="86"/>
      <c r="FA5" s="86"/>
      <c r="FB5" s="86"/>
      <c r="FC5" s="86"/>
      <c r="FD5" s="86"/>
      <c r="FE5" s="86"/>
      <c r="FF5" s="86"/>
      <c r="FG5" s="86"/>
      <c r="FH5" s="86"/>
      <c r="FI5" s="86"/>
      <c r="FJ5" s="86"/>
      <c r="FK5" s="86"/>
      <c r="FL5" s="86"/>
      <c r="FM5" s="86"/>
      <c r="FN5" s="86"/>
      <c r="FO5" s="86"/>
      <c r="FP5" s="86"/>
      <c r="FQ5" s="86"/>
      <c r="FR5" s="86"/>
      <c r="FS5" s="86"/>
      <c r="FT5" s="86"/>
      <c r="FU5" s="86"/>
      <c r="FV5" s="86"/>
      <c r="FW5" s="86"/>
      <c r="FX5" s="86"/>
      <c r="FY5" s="86"/>
      <c r="FZ5" s="86"/>
      <c r="GA5" s="86"/>
      <c r="GB5" s="86"/>
      <c r="GC5" s="86"/>
      <c r="GD5" s="86"/>
      <c r="GE5" s="86"/>
      <c r="GF5" s="86"/>
      <c r="GG5" s="86"/>
      <c r="GH5" s="86"/>
      <c r="GI5" s="86"/>
      <c r="GJ5" s="86"/>
      <c r="GK5" s="86"/>
      <c r="GL5" s="86"/>
      <c r="GM5" s="86"/>
      <c r="GN5" s="86"/>
      <c r="GO5" s="86"/>
      <c r="GP5" s="86"/>
      <c r="GQ5" s="86"/>
      <c r="GR5" s="86"/>
      <c r="GS5" s="86"/>
      <c r="GT5" s="86"/>
      <c r="GU5" s="86"/>
    </row>
    <row r="6" spans="1:203" hidden="1" outlineLevel="1">
      <c r="GQ6" s="88"/>
      <c r="GR6" s="89" t="s">
        <v>140</v>
      </c>
      <c r="GS6" s="89" t="s">
        <v>141</v>
      </c>
      <c r="GT6" s="88"/>
    </row>
    <row r="7" spans="1:203" hidden="1" outlineLevel="1">
      <c r="F7" s="90" t="s">
        <v>142</v>
      </c>
      <c r="G7" s="90" t="s">
        <v>143</v>
      </c>
      <c r="H7" s="90" t="s">
        <v>144</v>
      </c>
      <c r="I7" s="90" t="s">
        <v>145</v>
      </c>
      <c r="J7" s="90" t="s">
        <v>146</v>
      </c>
      <c r="K7" s="90" t="s">
        <v>147</v>
      </c>
      <c r="L7" s="90" t="s">
        <v>148</v>
      </c>
      <c r="M7" s="90" t="s">
        <v>149</v>
      </c>
      <c r="N7" s="90" t="s">
        <v>150</v>
      </c>
      <c r="O7" s="90" t="s">
        <v>151</v>
      </c>
      <c r="P7" s="90" t="s">
        <v>152</v>
      </c>
      <c r="Q7" s="90" t="s">
        <v>153</v>
      </c>
      <c r="GQ7" s="88"/>
      <c r="GR7" s="89"/>
      <c r="GS7" s="89"/>
      <c r="GT7" s="88"/>
    </row>
    <row r="8" spans="1:203" collapsed="1">
      <c r="GQ8" s="88"/>
      <c r="GR8" s="89"/>
      <c r="GS8" s="89"/>
      <c r="GT8" s="88"/>
    </row>
    <row r="9" spans="1:203">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86"/>
      <c r="EA9" s="86"/>
      <c r="EB9" s="86"/>
      <c r="EC9" s="86"/>
      <c r="ED9" s="86"/>
      <c r="EE9" s="86"/>
      <c r="EF9" s="86"/>
      <c r="EG9" s="86"/>
      <c r="EH9" s="86"/>
      <c r="EI9" s="86"/>
      <c r="EJ9" s="86"/>
      <c r="EK9" s="86"/>
      <c r="EL9" s="86"/>
      <c r="EM9" s="86"/>
      <c r="EN9" s="86"/>
      <c r="EO9" s="86"/>
      <c r="EP9" s="86"/>
      <c r="EQ9" s="86"/>
      <c r="ER9" s="86"/>
      <c r="ES9" s="86"/>
      <c r="ET9" s="86"/>
      <c r="EU9" s="86"/>
      <c r="EV9" s="86"/>
      <c r="EW9" s="86"/>
      <c r="EX9" s="86"/>
      <c r="EY9" s="86"/>
      <c r="EZ9" s="86"/>
      <c r="FA9" s="86"/>
      <c r="FB9" s="86"/>
      <c r="FC9" s="86"/>
      <c r="FD9" s="86"/>
      <c r="FE9" s="86"/>
      <c r="FF9" s="86"/>
      <c r="FG9" s="86"/>
      <c r="FH9" s="86"/>
      <c r="FI9" s="86"/>
      <c r="FJ9" s="86"/>
      <c r="FK9" s="86"/>
      <c r="FL9" s="86"/>
      <c r="FM9" s="86"/>
      <c r="FN9" s="86"/>
      <c r="FO9" s="86"/>
      <c r="FP9" s="86"/>
      <c r="FQ9" s="86"/>
      <c r="FR9" s="86"/>
      <c r="FS9" s="86"/>
      <c r="FT9" s="86"/>
      <c r="FU9" s="86"/>
      <c r="FV9" s="86"/>
      <c r="FW9" s="86"/>
      <c r="FX9" s="86"/>
      <c r="FY9" s="86"/>
      <c r="FZ9" s="86"/>
      <c r="GA9" s="86"/>
      <c r="GB9" s="86"/>
      <c r="GC9" s="86"/>
      <c r="GD9" s="86"/>
      <c r="GE9" s="86"/>
      <c r="GF9" s="86"/>
      <c r="GG9" s="86"/>
      <c r="GH9" s="86"/>
      <c r="GI9" s="86"/>
      <c r="GJ9" s="86"/>
      <c r="GK9" s="86"/>
      <c r="GL9" s="86"/>
      <c r="GM9" s="86"/>
      <c r="GN9" s="86"/>
      <c r="GO9" s="86"/>
      <c r="GP9" s="86"/>
      <c r="GQ9" s="86"/>
      <c r="GR9" s="86"/>
      <c r="GS9" s="86"/>
      <c r="GT9" s="86"/>
      <c r="GU9" s="86"/>
    </row>
    <row r="10" spans="1:203">
      <c r="GQ10" s="88"/>
      <c r="GR10" s="89"/>
      <c r="GS10" s="89"/>
      <c r="GT10" s="88"/>
    </row>
    <row r="11" spans="1:203">
      <c r="A11" s="91" t="s">
        <v>155</v>
      </c>
      <c r="F11" s="92">
        <f>ProjectStartDate</f>
        <v>41944</v>
      </c>
      <c r="G11" s="93">
        <f t="shared" ref="G11:BR11" si="0">F12+1</f>
        <v>41974</v>
      </c>
      <c r="H11" s="93">
        <f t="shared" si="0"/>
        <v>42005</v>
      </c>
      <c r="I11" s="93">
        <f t="shared" si="0"/>
        <v>42036</v>
      </c>
      <c r="J11" s="93">
        <f t="shared" si="0"/>
        <v>42064</v>
      </c>
      <c r="K11" s="93">
        <f t="shared" si="0"/>
        <v>42095</v>
      </c>
      <c r="L11" s="93">
        <f t="shared" si="0"/>
        <v>42125</v>
      </c>
      <c r="M11" s="93">
        <f t="shared" si="0"/>
        <v>42156</v>
      </c>
      <c r="N11" s="93">
        <f t="shared" si="0"/>
        <v>42186</v>
      </c>
      <c r="O11" s="93">
        <f t="shared" si="0"/>
        <v>42217</v>
      </c>
      <c r="P11" s="93">
        <f t="shared" si="0"/>
        <v>42248</v>
      </c>
      <c r="Q11" s="93">
        <f t="shared" si="0"/>
        <v>42278</v>
      </c>
      <c r="R11" s="93">
        <f t="shared" si="0"/>
        <v>42309</v>
      </c>
      <c r="S11" s="93">
        <f t="shared" si="0"/>
        <v>42339</v>
      </c>
      <c r="T11" s="93">
        <f t="shared" si="0"/>
        <v>42370</v>
      </c>
      <c r="U11" s="93">
        <f t="shared" si="0"/>
        <v>42401</v>
      </c>
      <c r="V11" s="93">
        <f t="shared" si="0"/>
        <v>42430</v>
      </c>
      <c r="W11" s="93">
        <f t="shared" si="0"/>
        <v>42461</v>
      </c>
      <c r="X11" s="93">
        <f t="shared" si="0"/>
        <v>42491</v>
      </c>
      <c r="Y11" s="93">
        <f t="shared" si="0"/>
        <v>42522</v>
      </c>
      <c r="Z11" s="93">
        <f t="shared" si="0"/>
        <v>42552</v>
      </c>
      <c r="AA11" s="93">
        <f t="shared" si="0"/>
        <v>42583</v>
      </c>
      <c r="AB11" s="93">
        <f t="shared" si="0"/>
        <v>42614</v>
      </c>
      <c r="AC11" s="93">
        <f t="shared" si="0"/>
        <v>42644</v>
      </c>
      <c r="AD11" s="93">
        <f t="shared" si="0"/>
        <v>42675</v>
      </c>
      <c r="AE11" s="93">
        <f t="shared" si="0"/>
        <v>42705</v>
      </c>
      <c r="AF11" s="93">
        <f t="shared" si="0"/>
        <v>42736</v>
      </c>
      <c r="AG11" s="93">
        <f t="shared" si="0"/>
        <v>42767</v>
      </c>
      <c r="AH11" s="93">
        <f t="shared" si="0"/>
        <v>42795</v>
      </c>
      <c r="AI11" s="93">
        <f t="shared" si="0"/>
        <v>42826</v>
      </c>
      <c r="AJ11" s="93">
        <f t="shared" si="0"/>
        <v>42856</v>
      </c>
      <c r="AK11" s="93">
        <f t="shared" si="0"/>
        <v>42887</v>
      </c>
      <c r="AL11" s="93">
        <f t="shared" si="0"/>
        <v>42917</v>
      </c>
      <c r="AM11" s="93">
        <f t="shared" si="0"/>
        <v>42948</v>
      </c>
      <c r="AN11" s="93">
        <f t="shared" si="0"/>
        <v>42979</v>
      </c>
      <c r="AO11" s="93">
        <f t="shared" si="0"/>
        <v>43009</v>
      </c>
      <c r="AP11" s="93">
        <f t="shared" si="0"/>
        <v>43040</v>
      </c>
      <c r="AQ11" s="93">
        <f t="shared" si="0"/>
        <v>43070</v>
      </c>
      <c r="AR11" s="93">
        <f t="shared" si="0"/>
        <v>43101</v>
      </c>
      <c r="AS11" s="93">
        <f t="shared" si="0"/>
        <v>43132</v>
      </c>
      <c r="AT11" s="93">
        <f t="shared" si="0"/>
        <v>43160</v>
      </c>
      <c r="AU11" s="93">
        <f t="shared" si="0"/>
        <v>43191</v>
      </c>
      <c r="AV11" s="93">
        <f t="shared" si="0"/>
        <v>43221</v>
      </c>
      <c r="AW11" s="93">
        <f t="shared" si="0"/>
        <v>43252</v>
      </c>
      <c r="AX11" s="93">
        <f t="shared" si="0"/>
        <v>43282</v>
      </c>
      <c r="AY11" s="93">
        <f t="shared" si="0"/>
        <v>43313</v>
      </c>
      <c r="AZ11" s="93">
        <f t="shared" si="0"/>
        <v>43344</v>
      </c>
      <c r="BA11" s="93">
        <f t="shared" si="0"/>
        <v>43374</v>
      </c>
      <c r="BB11" s="93">
        <f t="shared" si="0"/>
        <v>43405</v>
      </c>
      <c r="BC11" s="93">
        <f t="shared" si="0"/>
        <v>43435</v>
      </c>
      <c r="BD11" s="93">
        <f t="shared" si="0"/>
        <v>43466</v>
      </c>
      <c r="BE11" s="93">
        <f t="shared" si="0"/>
        <v>43497</v>
      </c>
      <c r="BF11" s="93">
        <f t="shared" si="0"/>
        <v>43525</v>
      </c>
      <c r="BG11" s="93">
        <f t="shared" si="0"/>
        <v>43556</v>
      </c>
      <c r="BH11" s="93">
        <f t="shared" si="0"/>
        <v>43586</v>
      </c>
      <c r="BI11" s="93">
        <f t="shared" si="0"/>
        <v>43617</v>
      </c>
      <c r="BJ11" s="93">
        <f t="shared" si="0"/>
        <v>43647</v>
      </c>
      <c r="BK11" s="93">
        <f t="shared" si="0"/>
        <v>43678</v>
      </c>
      <c r="BL11" s="93">
        <f t="shared" si="0"/>
        <v>43709</v>
      </c>
      <c r="BM11" s="93">
        <f t="shared" si="0"/>
        <v>43739</v>
      </c>
      <c r="BN11" s="93">
        <f t="shared" si="0"/>
        <v>43770</v>
      </c>
      <c r="BO11" s="93">
        <f t="shared" si="0"/>
        <v>43800</v>
      </c>
      <c r="BP11" s="93">
        <f t="shared" si="0"/>
        <v>43831</v>
      </c>
      <c r="BQ11" s="93">
        <f t="shared" si="0"/>
        <v>43862</v>
      </c>
      <c r="BR11" s="93">
        <f t="shared" si="0"/>
        <v>43891</v>
      </c>
      <c r="BS11" s="93">
        <f t="shared" ref="BS11:ED11" si="1">BR12+1</f>
        <v>43922</v>
      </c>
      <c r="BT11" s="93">
        <f t="shared" si="1"/>
        <v>43952</v>
      </c>
      <c r="BU11" s="93">
        <f t="shared" si="1"/>
        <v>43983</v>
      </c>
      <c r="BV11" s="93">
        <f t="shared" si="1"/>
        <v>44013</v>
      </c>
      <c r="BW11" s="93">
        <f t="shared" si="1"/>
        <v>44044</v>
      </c>
      <c r="BX11" s="93">
        <f t="shared" si="1"/>
        <v>44075</v>
      </c>
      <c r="BY11" s="93">
        <f t="shared" si="1"/>
        <v>44105</v>
      </c>
      <c r="BZ11" s="93">
        <f t="shared" si="1"/>
        <v>44136</v>
      </c>
      <c r="CA11" s="93">
        <f t="shared" si="1"/>
        <v>44166</v>
      </c>
      <c r="CB11" s="93">
        <f t="shared" si="1"/>
        <v>44197</v>
      </c>
      <c r="CC11" s="93">
        <f t="shared" si="1"/>
        <v>44228</v>
      </c>
      <c r="CD11" s="93">
        <f t="shared" si="1"/>
        <v>44256</v>
      </c>
      <c r="CE11" s="93">
        <f t="shared" si="1"/>
        <v>44287</v>
      </c>
      <c r="CF11" s="93">
        <f t="shared" si="1"/>
        <v>44317</v>
      </c>
      <c r="CG11" s="93">
        <f t="shared" si="1"/>
        <v>44348</v>
      </c>
      <c r="CH11" s="93">
        <f t="shared" si="1"/>
        <v>44378</v>
      </c>
      <c r="CI11" s="93">
        <f t="shared" si="1"/>
        <v>44409</v>
      </c>
      <c r="CJ11" s="93">
        <f t="shared" si="1"/>
        <v>44440</v>
      </c>
      <c r="CK11" s="93">
        <f t="shared" si="1"/>
        <v>44470</v>
      </c>
      <c r="CL11" s="93">
        <f t="shared" si="1"/>
        <v>44501</v>
      </c>
      <c r="CM11" s="93">
        <f t="shared" si="1"/>
        <v>44531</v>
      </c>
      <c r="CN11" s="93">
        <f t="shared" si="1"/>
        <v>44562</v>
      </c>
      <c r="CO11" s="93">
        <f t="shared" si="1"/>
        <v>44593</v>
      </c>
      <c r="CP11" s="93">
        <f t="shared" si="1"/>
        <v>44621</v>
      </c>
      <c r="CQ11" s="93">
        <f t="shared" si="1"/>
        <v>44652</v>
      </c>
      <c r="CR11" s="93">
        <f t="shared" si="1"/>
        <v>44682</v>
      </c>
      <c r="CS11" s="93">
        <f t="shared" si="1"/>
        <v>44713</v>
      </c>
      <c r="CT11" s="93">
        <f t="shared" si="1"/>
        <v>44743</v>
      </c>
      <c r="CU11" s="93">
        <f t="shared" si="1"/>
        <v>44774</v>
      </c>
      <c r="CV11" s="93">
        <f t="shared" si="1"/>
        <v>44805</v>
      </c>
      <c r="CW11" s="93">
        <f t="shared" si="1"/>
        <v>44835</v>
      </c>
      <c r="CX11" s="93">
        <f t="shared" si="1"/>
        <v>44866</v>
      </c>
      <c r="CY11" s="93">
        <f t="shared" si="1"/>
        <v>44896</v>
      </c>
      <c r="CZ11" s="93">
        <f t="shared" si="1"/>
        <v>44927</v>
      </c>
      <c r="DA11" s="93">
        <f t="shared" si="1"/>
        <v>44958</v>
      </c>
      <c r="DB11" s="93">
        <f t="shared" si="1"/>
        <v>44986</v>
      </c>
      <c r="DC11" s="93">
        <f t="shared" si="1"/>
        <v>45017</v>
      </c>
      <c r="DD11" s="93">
        <f t="shared" si="1"/>
        <v>45047</v>
      </c>
      <c r="DE11" s="93">
        <f t="shared" si="1"/>
        <v>45078</v>
      </c>
      <c r="DF11" s="93">
        <f t="shared" si="1"/>
        <v>45108</v>
      </c>
      <c r="DG11" s="93">
        <f t="shared" si="1"/>
        <v>45139</v>
      </c>
      <c r="DH11" s="93">
        <f t="shared" si="1"/>
        <v>45170</v>
      </c>
      <c r="DI11" s="93">
        <f t="shared" si="1"/>
        <v>45200</v>
      </c>
      <c r="DJ11" s="93">
        <f t="shared" si="1"/>
        <v>45231</v>
      </c>
      <c r="DK11" s="93">
        <f t="shared" si="1"/>
        <v>45261</v>
      </c>
      <c r="DL11" s="93">
        <f t="shared" si="1"/>
        <v>45292</v>
      </c>
      <c r="DM11" s="93">
        <f t="shared" si="1"/>
        <v>45323</v>
      </c>
      <c r="DN11" s="93">
        <f t="shared" si="1"/>
        <v>45352</v>
      </c>
      <c r="DO11" s="93">
        <f t="shared" si="1"/>
        <v>45383</v>
      </c>
      <c r="DP11" s="93">
        <f t="shared" si="1"/>
        <v>45413</v>
      </c>
      <c r="DQ11" s="93">
        <f t="shared" si="1"/>
        <v>45444</v>
      </c>
      <c r="DR11" s="93">
        <f t="shared" si="1"/>
        <v>45474</v>
      </c>
      <c r="DS11" s="93">
        <f t="shared" si="1"/>
        <v>45505</v>
      </c>
      <c r="DT11" s="93">
        <f t="shared" si="1"/>
        <v>45536</v>
      </c>
      <c r="DU11" s="93">
        <f t="shared" si="1"/>
        <v>45566</v>
      </c>
      <c r="DV11" s="93">
        <f t="shared" si="1"/>
        <v>45597</v>
      </c>
      <c r="DW11" s="93">
        <f t="shared" si="1"/>
        <v>45627</v>
      </c>
      <c r="DX11" s="93">
        <f t="shared" si="1"/>
        <v>45658</v>
      </c>
      <c r="DY11" s="93">
        <f t="shared" si="1"/>
        <v>45689</v>
      </c>
      <c r="DZ11" s="93">
        <f t="shared" si="1"/>
        <v>45717</v>
      </c>
      <c r="EA11" s="93">
        <f t="shared" si="1"/>
        <v>45748</v>
      </c>
      <c r="EB11" s="93">
        <f t="shared" si="1"/>
        <v>45778</v>
      </c>
      <c r="EC11" s="93">
        <f t="shared" si="1"/>
        <v>45809</v>
      </c>
      <c r="ED11" s="93">
        <f t="shared" si="1"/>
        <v>45839</v>
      </c>
      <c r="EE11" s="93">
        <f t="shared" ref="EE11:GO11" si="2">ED12+1</f>
        <v>45870</v>
      </c>
      <c r="EF11" s="93">
        <f t="shared" si="2"/>
        <v>45901</v>
      </c>
      <c r="EG11" s="93">
        <f t="shared" si="2"/>
        <v>45931</v>
      </c>
      <c r="EH11" s="93">
        <f t="shared" si="2"/>
        <v>45962</v>
      </c>
      <c r="EI11" s="93">
        <f t="shared" si="2"/>
        <v>45992</v>
      </c>
      <c r="EJ11" s="93">
        <f t="shared" si="2"/>
        <v>46023</v>
      </c>
      <c r="EK11" s="93">
        <f t="shared" si="2"/>
        <v>46054</v>
      </c>
      <c r="EL11" s="93">
        <f t="shared" si="2"/>
        <v>46082</v>
      </c>
      <c r="EM11" s="93">
        <f t="shared" si="2"/>
        <v>46113</v>
      </c>
      <c r="EN11" s="93">
        <f t="shared" si="2"/>
        <v>46143</v>
      </c>
      <c r="EO11" s="93">
        <f t="shared" si="2"/>
        <v>46174</v>
      </c>
      <c r="EP11" s="93">
        <f t="shared" si="2"/>
        <v>46204</v>
      </c>
      <c r="EQ11" s="93">
        <f t="shared" si="2"/>
        <v>46235</v>
      </c>
      <c r="ER11" s="93">
        <f t="shared" si="2"/>
        <v>46266</v>
      </c>
      <c r="ES11" s="93">
        <f t="shared" si="2"/>
        <v>46296</v>
      </c>
      <c r="ET11" s="93">
        <f t="shared" si="2"/>
        <v>46327</v>
      </c>
      <c r="EU11" s="93">
        <f t="shared" si="2"/>
        <v>46357</v>
      </c>
      <c r="EV11" s="93">
        <f t="shared" si="2"/>
        <v>46388</v>
      </c>
      <c r="EW11" s="93">
        <f t="shared" si="2"/>
        <v>46419</v>
      </c>
      <c r="EX11" s="93">
        <f t="shared" si="2"/>
        <v>46447</v>
      </c>
      <c r="EY11" s="93">
        <f t="shared" si="2"/>
        <v>46478</v>
      </c>
      <c r="EZ11" s="93">
        <f t="shared" si="2"/>
        <v>46508</v>
      </c>
      <c r="FA11" s="93">
        <f t="shared" si="2"/>
        <v>46539</v>
      </c>
      <c r="FB11" s="93">
        <f t="shared" si="2"/>
        <v>46569</v>
      </c>
      <c r="FC11" s="93">
        <f t="shared" si="2"/>
        <v>46600</v>
      </c>
      <c r="FD11" s="93">
        <f t="shared" si="2"/>
        <v>46631</v>
      </c>
      <c r="FE11" s="93">
        <f t="shared" si="2"/>
        <v>46661</v>
      </c>
      <c r="FF11" s="93">
        <f t="shared" si="2"/>
        <v>46692</v>
      </c>
      <c r="FG11" s="93">
        <f t="shared" si="2"/>
        <v>46722</v>
      </c>
      <c r="FH11" s="93">
        <f t="shared" si="2"/>
        <v>46753</v>
      </c>
      <c r="FI11" s="93">
        <f t="shared" si="2"/>
        <v>46784</v>
      </c>
      <c r="FJ11" s="93">
        <f t="shared" si="2"/>
        <v>46813</v>
      </c>
      <c r="FK11" s="93">
        <f t="shared" si="2"/>
        <v>46844</v>
      </c>
      <c r="FL11" s="93">
        <f t="shared" si="2"/>
        <v>46874</v>
      </c>
      <c r="FM11" s="93">
        <f t="shared" si="2"/>
        <v>46905</v>
      </c>
      <c r="FN11" s="93">
        <f t="shared" si="2"/>
        <v>46935</v>
      </c>
      <c r="FO11" s="93">
        <f t="shared" si="2"/>
        <v>46966</v>
      </c>
      <c r="FP11" s="93">
        <f t="shared" si="2"/>
        <v>46997</v>
      </c>
      <c r="FQ11" s="93">
        <f t="shared" si="2"/>
        <v>47027</v>
      </c>
      <c r="FR11" s="93">
        <f t="shared" si="2"/>
        <v>47058</v>
      </c>
      <c r="FS11" s="93">
        <f t="shared" si="2"/>
        <v>47088</v>
      </c>
      <c r="FT11" s="93">
        <f t="shared" si="2"/>
        <v>47119</v>
      </c>
      <c r="FU11" s="93">
        <f t="shared" si="2"/>
        <v>47150</v>
      </c>
      <c r="FV11" s="93">
        <f t="shared" si="2"/>
        <v>47178</v>
      </c>
      <c r="FW11" s="93">
        <f t="shared" si="2"/>
        <v>47209</v>
      </c>
      <c r="FX11" s="93">
        <f t="shared" si="2"/>
        <v>47239</v>
      </c>
      <c r="FY11" s="93">
        <f t="shared" si="2"/>
        <v>47270</v>
      </c>
      <c r="FZ11" s="93">
        <f t="shared" si="2"/>
        <v>47300</v>
      </c>
      <c r="GA11" s="93">
        <f t="shared" si="2"/>
        <v>47331</v>
      </c>
      <c r="GB11" s="93">
        <f t="shared" si="2"/>
        <v>47362</v>
      </c>
      <c r="GC11" s="93">
        <f t="shared" si="2"/>
        <v>47392</v>
      </c>
      <c r="GD11" s="93">
        <f t="shared" si="2"/>
        <v>47423</v>
      </c>
      <c r="GE11" s="93">
        <f t="shared" si="2"/>
        <v>47453</v>
      </c>
      <c r="GF11" s="93">
        <f t="shared" si="2"/>
        <v>47484</v>
      </c>
      <c r="GG11" s="93">
        <f t="shared" si="2"/>
        <v>47515</v>
      </c>
      <c r="GH11" s="93">
        <f t="shared" si="2"/>
        <v>47543</v>
      </c>
      <c r="GI11" s="93">
        <f t="shared" si="2"/>
        <v>47574</v>
      </c>
      <c r="GJ11" s="93">
        <f t="shared" si="2"/>
        <v>47604</v>
      </c>
      <c r="GK11" s="93">
        <f t="shared" si="2"/>
        <v>47635</v>
      </c>
      <c r="GL11" s="93">
        <f t="shared" si="2"/>
        <v>47665</v>
      </c>
      <c r="GM11" s="93">
        <f t="shared" si="2"/>
        <v>47696</v>
      </c>
      <c r="GN11" s="93">
        <f t="shared" si="2"/>
        <v>47727</v>
      </c>
      <c r="GO11" s="93">
        <f t="shared" si="2"/>
        <v>47757</v>
      </c>
      <c r="GQ11" s="88"/>
      <c r="GR11" s="94"/>
      <c r="GS11" s="94"/>
      <c r="GT11" s="88"/>
    </row>
    <row r="12" spans="1:203">
      <c r="A12" s="95" t="s">
        <v>156</v>
      </c>
      <c r="F12" s="92">
        <f t="shared" ref="F12:BQ12" si="3">DATE(YEAR(F11),MONTH(F11)+1,DAY(F11)-1)</f>
        <v>41973</v>
      </c>
      <c r="G12" s="93">
        <f t="shared" si="3"/>
        <v>42004</v>
      </c>
      <c r="H12" s="93">
        <f t="shared" si="3"/>
        <v>42035</v>
      </c>
      <c r="I12" s="93">
        <f t="shared" si="3"/>
        <v>42063</v>
      </c>
      <c r="J12" s="93">
        <f t="shared" si="3"/>
        <v>42094</v>
      </c>
      <c r="K12" s="93">
        <f t="shared" si="3"/>
        <v>42124</v>
      </c>
      <c r="L12" s="93">
        <f t="shared" si="3"/>
        <v>42155</v>
      </c>
      <c r="M12" s="93">
        <f t="shared" si="3"/>
        <v>42185</v>
      </c>
      <c r="N12" s="93">
        <f t="shared" si="3"/>
        <v>42216</v>
      </c>
      <c r="O12" s="93">
        <f t="shared" si="3"/>
        <v>42247</v>
      </c>
      <c r="P12" s="93">
        <f t="shared" si="3"/>
        <v>42277</v>
      </c>
      <c r="Q12" s="93">
        <f t="shared" si="3"/>
        <v>42308</v>
      </c>
      <c r="R12" s="93">
        <f t="shared" si="3"/>
        <v>42338</v>
      </c>
      <c r="S12" s="93">
        <f t="shared" si="3"/>
        <v>42369</v>
      </c>
      <c r="T12" s="93">
        <f t="shared" si="3"/>
        <v>42400</v>
      </c>
      <c r="U12" s="93">
        <f t="shared" si="3"/>
        <v>42429</v>
      </c>
      <c r="V12" s="93">
        <f t="shared" si="3"/>
        <v>42460</v>
      </c>
      <c r="W12" s="93">
        <f t="shared" si="3"/>
        <v>42490</v>
      </c>
      <c r="X12" s="93">
        <f t="shared" si="3"/>
        <v>42521</v>
      </c>
      <c r="Y12" s="93">
        <f t="shared" si="3"/>
        <v>42551</v>
      </c>
      <c r="Z12" s="93">
        <f t="shared" si="3"/>
        <v>42582</v>
      </c>
      <c r="AA12" s="93">
        <f t="shared" si="3"/>
        <v>42613</v>
      </c>
      <c r="AB12" s="93">
        <f t="shared" si="3"/>
        <v>42643</v>
      </c>
      <c r="AC12" s="93">
        <f t="shared" si="3"/>
        <v>42674</v>
      </c>
      <c r="AD12" s="93">
        <f t="shared" si="3"/>
        <v>42704</v>
      </c>
      <c r="AE12" s="93">
        <f t="shared" si="3"/>
        <v>42735</v>
      </c>
      <c r="AF12" s="93">
        <f t="shared" si="3"/>
        <v>42766</v>
      </c>
      <c r="AG12" s="93">
        <f t="shared" si="3"/>
        <v>42794</v>
      </c>
      <c r="AH12" s="93">
        <f t="shared" si="3"/>
        <v>42825</v>
      </c>
      <c r="AI12" s="93">
        <f t="shared" si="3"/>
        <v>42855</v>
      </c>
      <c r="AJ12" s="93">
        <f t="shared" si="3"/>
        <v>42886</v>
      </c>
      <c r="AK12" s="93">
        <f t="shared" si="3"/>
        <v>42916</v>
      </c>
      <c r="AL12" s="93">
        <f t="shared" si="3"/>
        <v>42947</v>
      </c>
      <c r="AM12" s="93">
        <f t="shared" si="3"/>
        <v>42978</v>
      </c>
      <c r="AN12" s="93">
        <f t="shared" si="3"/>
        <v>43008</v>
      </c>
      <c r="AO12" s="93">
        <f t="shared" si="3"/>
        <v>43039</v>
      </c>
      <c r="AP12" s="93">
        <f t="shared" si="3"/>
        <v>43069</v>
      </c>
      <c r="AQ12" s="93">
        <f t="shared" si="3"/>
        <v>43100</v>
      </c>
      <c r="AR12" s="93">
        <f t="shared" si="3"/>
        <v>43131</v>
      </c>
      <c r="AS12" s="93">
        <f t="shared" si="3"/>
        <v>43159</v>
      </c>
      <c r="AT12" s="93">
        <f t="shared" si="3"/>
        <v>43190</v>
      </c>
      <c r="AU12" s="93">
        <f t="shared" si="3"/>
        <v>43220</v>
      </c>
      <c r="AV12" s="93">
        <f t="shared" si="3"/>
        <v>43251</v>
      </c>
      <c r="AW12" s="93">
        <f t="shared" si="3"/>
        <v>43281</v>
      </c>
      <c r="AX12" s="93">
        <f t="shared" si="3"/>
        <v>43312</v>
      </c>
      <c r="AY12" s="93">
        <f t="shared" si="3"/>
        <v>43343</v>
      </c>
      <c r="AZ12" s="93">
        <f t="shared" si="3"/>
        <v>43373</v>
      </c>
      <c r="BA12" s="93">
        <f t="shared" si="3"/>
        <v>43404</v>
      </c>
      <c r="BB12" s="93">
        <f t="shared" si="3"/>
        <v>43434</v>
      </c>
      <c r="BC12" s="93">
        <f t="shared" si="3"/>
        <v>43465</v>
      </c>
      <c r="BD12" s="93">
        <f t="shared" si="3"/>
        <v>43496</v>
      </c>
      <c r="BE12" s="93">
        <f t="shared" si="3"/>
        <v>43524</v>
      </c>
      <c r="BF12" s="93">
        <f t="shared" si="3"/>
        <v>43555</v>
      </c>
      <c r="BG12" s="93">
        <f t="shared" si="3"/>
        <v>43585</v>
      </c>
      <c r="BH12" s="93">
        <f t="shared" si="3"/>
        <v>43616</v>
      </c>
      <c r="BI12" s="93">
        <f t="shared" si="3"/>
        <v>43646</v>
      </c>
      <c r="BJ12" s="93">
        <f t="shared" si="3"/>
        <v>43677</v>
      </c>
      <c r="BK12" s="93">
        <f t="shared" si="3"/>
        <v>43708</v>
      </c>
      <c r="BL12" s="93">
        <f t="shared" si="3"/>
        <v>43738</v>
      </c>
      <c r="BM12" s="93">
        <f t="shared" si="3"/>
        <v>43769</v>
      </c>
      <c r="BN12" s="93">
        <f t="shared" si="3"/>
        <v>43799</v>
      </c>
      <c r="BO12" s="93">
        <f t="shared" si="3"/>
        <v>43830</v>
      </c>
      <c r="BP12" s="93">
        <f t="shared" si="3"/>
        <v>43861</v>
      </c>
      <c r="BQ12" s="93">
        <f t="shared" si="3"/>
        <v>43890</v>
      </c>
      <c r="BR12" s="93">
        <f t="shared" ref="BR12:EC12" si="4">DATE(YEAR(BR11),MONTH(BR11)+1,DAY(BR11)-1)</f>
        <v>43921</v>
      </c>
      <c r="BS12" s="93">
        <f t="shared" si="4"/>
        <v>43951</v>
      </c>
      <c r="BT12" s="93">
        <f t="shared" si="4"/>
        <v>43982</v>
      </c>
      <c r="BU12" s="93">
        <f t="shared" si="4"/>
        <v>44012</v>
      </c>
      <c r="BV12" s="93">
        <f t="shared" si="4"/>
        <v>44043</v>
      </c>
      <c r="BW12" s="93">
        <f t="shared" si="4"/>
        <v>44074</v>
      </c>
      <c r="BX12" s="93">
        <f t="shared" si="4"/>
        <v>44104</v>
      </c>
      <c r="BY12" s="93">
        <f t="shared" si="4"/>
        <v>44135</v>
      </c>
      <c r="BZ12" s="93">
        <f t="shared" si="4"/>
        <v>44165</v>
      </c>
      <c r="CA12" s="93">
        <f t="shared" si="4"/>
        <v>44196</v>
      </c>
      <c r="CB12" s="93">
        <f t="shared" si="4"/>
        <v>44227</v>
      </c>
      <c r="CC12" s="93">
        <f t="shared" si="4"/>
        <v>44255</v>
      </c>
      <c r="CD12" s="93">
        <f t="shared" si="4"/>
        <v>44286</v>
      </c>
      <c r="CE12" s="93">
        <f t="shared" si="4"/>
        <v>44316</v>
      </c>
      <c r="CF12" s="93">
        <f t="shared" si="4"/>
        <v>44347</v>
      </c>
      <c r="CG12" s="93">
        <f t="shared" si="4"/>
        <v>44377</v>
      </c>
      <c r="CH12" s="93">
        <f t="shared" si="4"/>
        <v>44408</v>
      </c>
      <c r="CI12" s="93">
        <f t="shared" si="4"/>
        <v>44439</v>
      </c>
      <c r="CJ12" s="93">
        <f t="shared" si="4"/>
        <v>44469</v>
      </c>
      <c r="CK12" s="93">
        <f t="shared" si="4"/>
        <v>44500</v>
      </c>
      <c r="CL12" s="93">
        <f t="shared" si="4"/>
        <v>44530</v>
      </c>
      <c r="CM12" s="93">
        <f t="shared" si="4"/>
        <v>44561</v>
      </c>
      <c r="CN12" s="93">
        <f t="shared" si="4"/>
        <v>44592</v>
      </c>
      <c r="CO12" s="93">
        <f t="shared" si="4"/>
        <v>44620</v>
      </c>
      <c r="CP12" s="93">
        <f t="shared" si="4"/>
        <v>44651</v>
      </c>
      <c r="CQ12" s="93">
        <f t="shared" si="4"/>
        <v>44681</v>
      </c>
      <c r="CR12" s="93">
        <f t="shared" si="4"/>
        <v>44712</v>
      </c>
      <c r="CS12" s="93">
        <f t="shared" si="4"/>
        <v>44742</v>
      </c>
      <c r="CT12" s="93">
        <f t="shared" si="4"/>
        <v>44773</v>
      </c>
      <c r="CU12" s="93">
        <f t="shared" si="4"/>
        <v>44804</v>
      </c>
      <c r="CV12" s="93">
        <f t="shared" si="4"/>
        <v>44834</v>
      </c>
      <c r="CW12" s="93">
        <f t="shared" si="4"/>
        <v>44865</v>
      </c>
      <c r="CX12" s="93">
        <f t="shared" si="4"/>
        <v>44895</v>
      </c>
      <c r="CY12" s="93">
        <f t="shared" si="4"/>
        <v>44926</v>
      </c>
      <c r="CZ12" s="93">
        <f t="shared" si="4"/>
        <v>44957</v>
      </c>
      <c r="DA12" s="93">
        <f t="shared" si="4"/>
        <v>44985</v>
      </c>
      <c r="DB12" s="93">
        <f t="shared" si="4"/>
        <v>45016</v>
      </c>
      <c r="DC12" s="93">
        <f t="shared" si="4"/>
        <v>45046</v>
      </c>
      <c r="DD12" s="93">
        <f t="shared" si="4"/>
        <v>45077</v>
      </c>
      <c r="DE12" s="93">
        <f t="shared" si="4"/>
        <v>45107</v>
      </c>
      <c r="DF12" s="93">
        <f t="shared" si="4"/>
        <v>45138</v>
      </c>
      <c r="DG12" s="93">
        <f t="shared" si="4"/>
        <v>45169</v>
      </c>
      <c r="DH12" s="93">
        <f t="shared" si="4"/>
        <v>45199</v>
      </c>
      <c r="DI12" s="93">
        <f t="shared" si="4"/>
        <v>45230</v>
      </c>
      <c r="DJ12" s="93">
        <f t="shared" si="4"/>
        <v>45260</v>
      </c>
      <c r="DK12" s="93">
        <f t="shared" si="4"/>
        <v>45291</v>
      </c>
      <c r="DL12" s="93">
        <f t="shared" si="4"/>
        <v>45322</v>
      </c>
      <c r="DM12" s="93">
        <f t="shared" si="4"/>
        <v>45351</v>
      </c>
      <c r="DN12" s="93">
        <f t="shared" si="4"/>
        <v>45382</v>
      </c>
      <c r="DO12" s="93">
        <f t="shared" si="4"/>
        <v>45412</v>
      </c>
      <c r="DP12" s="93">
        <f t="shared" si="4"/>
        <v>45443</v>
      </c>
      <c r="DQ12" s="93">
        <f t="shared" si="4"/>
        <v>45473</v>
      </c>
      <c r="DR12" s="93">
        <f t="shared" si="4"/>
        <v>45504</v>
      </c>
      <c r="DS12" s="93">
        <f t="shared" si="4"/>
        <v>45535</v>
      </c>
      <c r="DT12" s="93">
        <f t="shared" si="4"/>
        <v>45565</v>
      </c>
      <c r="DU12" s="93">
        <f t="shared" si="4"/>
        <v>45596</v>
      </c>
      <c r="DV12" s="93">
        <f t="shared" si="4"/>
        <v>45626</v>
      </c>
      <c r="DW12" s="93">
        <f t="shared" si="4"/>
        <v>45657</v>
      </c>
      <c r="DX12" s="93">
        <f t="shared" si="4"/>
        <v>45688</v>
      </c>
      <c r="DY12" s="93">
        <f t="shared" si="4"/>
        <v>45716</v>
      </c>
      <c r="DZ12" s="93">
        <f t="shared" si="4"/>
        <v>45747</v>
      </c>
      <c r="EA12" s="93">
        <f t="shared" si="4"/>
        <v>45777</v>
      </c>
      <c r="EB12" s="93">
        <f t="shared" si="4"/>
        <v>45808</v>
      </c>
      <c r="EC12" s="93">
        <f t="shared" si="4"/>
        <v>45838</v>
      </c>
      <c r="ED12" s="93">
        <f t="shared" ref="ED12:GO12" si="5">DATE(YEAR(ED11),MONTH(ED11)+1,DAY(ED11)-1)</f>
        <v>45869</v>
      </c>
      <c r="EE12" s="93">
        <f t="shared" si="5"/>
        <v>45900</v>
      </c>
      <c r="EF12" s="93">
        <f t="shared" si="5"/>
        <v>45930</v>
      </c>
      <c r="EG12" s="93">
        <f t="shared" si="5"/>
        <v>45961</v>
      </c>
      <c r="EH12" s="93">
        <f t="shared" si="5"/>
        <v>45991</v>
      </c>
      <c r="EI12" s="93">
        <f t="shared" si="5"/>
        <v>46022</v>
      </c>
      <c r="EJ12" s="93">
        <f t="shared" si="5"/>
        <v>46053</v>
      </c>
      <c r="EK12" s="93">
        <f t="shared" si="5"/>
        <v>46081</v>
      </c>
      <c r="EL12" s="93">
        <f t="shared" si="5"/>
        <v>46112</v>
      </c>
      <c r="EM12" s="93">
        <f t="shared" si="5"/>
        <v>46142</v>
      </c>
      <c r="EN12" s="93">
        <f t="shared" si="5"/>
        <v>46173</v>
      </c>
      <c r="EO12" s="93">
        <f t="shared" si="5"/>
        <v>46203</v>
      </c>
      <c r="EP12" s="93">
        <f t="shared" si="5"/>
        <v>46234</v>
      </c>
      <c r="EQ12" s="93">
        <f t="shared" si="5"/>
        <v>46265</v>
      </c>
      <c r="ER12" s="93">
        <f t="shared" si="5"/>
        <v>46295</v>
      </c>
      <c r="ES12" s="93">
        <f t="shared" si="5"/>
        <v>46326</v>
      </c>
      <c r="ET12" s="93">
        <f t="shared" si="5"/>
        <v>46356</v>
      </c>
      <c r="EU12" s="93">
        <f t="shared" si="5"/>
        <v>46387</v>
      </c>
      <c r="EV12" s="93">
        <f t="shared" si="5"/>
        <v>46418</v>
      </c>
      <c r="EW12" s="93">
        <f t="shared" si="5"/>
        <v>46446</v>
      </c>
      <c r="EX12" s="93">
        <f t="shared" si="5"/>
        <v>46477</v>
      </c>
      <c r="EY12" s="93">
        <f t="shared" si="5"/>
        <v>46507</v>
      </c>
      <c r="EZ12" s="93">
        <f t="shared" si="5"/>
        <v>46538</v>
      </c>
      <c r="FA12" s="93">
        <f t="shared" si="5"/>
        <v>46568</v>
      </c>
      <c r="FB12" s="93">
        <f t="shared" si="5"/>
        <v>46599</v>
      </c>
      <c r="FC12" s="93">
        <f t="shared" si="5"/>
        <v>46630</v>
      </c>
      <c r="FD12" s="93">
        <f t="shared" si="5"/>
        <v>46660</v>
      </c>
      <c r="FE12" s="93">
        <f t="shared" si="5"/>
        <v>46691</v>
      </c>
      <c r="FF12" s="93">
        <f t="shared" si="5"/>
        <v>46721</v>
      </c>
      <c r="FG12" s="93">
        <f t="shared" si="5"/>
        <v>46752</v>
      </c>
      <c r="FH12" s="93">
        <f t="shared" si="5"/>
        <v>46783</v>
      </c>
      <c r="FI12" s="93">
        <f t="shared" si="5"/>
        <v>46812</v>
      </c>
      <c r="FJ12" s="93">
        <f t="shared" si="5"/>
        <v>46843</v>
      </c>
      <c r="FK12" s="93">
        <f t="shared" si="5"/>
        <v>46873</v>
      </c>
      <c r="FL12" s="93">
        <f t="shared" si="5"/>
        <v>46904</v>
      </c>
      <c r="FM12" s="93">
        <f t="shared" si="5"/>
        <v>46934</v>
      </c>
      <c r="FN12" s="93">
        <f t="shared" si="5"/>
        <v>46965</v>
      </c>
      <c r="FO12" s="93">
        <f t="shared" si="5"/>
        <v>46996</v>
      </c>
      <c r="FP12" s="93">
        <f t="shared" si="5"/>
        <v>47026</v>
      </c>
      <c r="FQ12" s="93">
        <f t="shared" si="5"/>
        <v>47057</v>
      </c>
      <c r="FR12" s="93">
        <f t="shared" si="5"/>
        <v>47087</v>
      </c>
      <c r="FS12" s="93">
        <f t="shared" si="5"/>
        <v>47118</v>
      </c>
      <c r="FT12" s="93">
        <f t="shared" si="5"/>
        <v>47149</v>
      </c>
      <c r="FU12" s="93">
        <f t="shared" si="5"/>
        <v>47177</v>
      </c>
      <c r="FV12" s="93">
        <f t="shared" si="5"/>
        <v>47208</v>
      </c>
      <c r="FW12" s="93">
        <f t="shared" si="5"/>
        <v>47238</v>
      </c>
      <c r="FX12" s="93">
        <f t="shared" si="5"/>
        <v>47269</v>
      </c>
      <c r="FY12" s="93">
        <f t="shared" si="5"/>
        <v>47299</v>
      </c>
      <c r="FZ12" s="93">
        <f t="shared" si="5"/>
        <v>47330</v>
      </c>
      <c r="GA12" s="93">
        <f t="shared" si="5"/>
        <v>47361</v>
      </c>
      <c r="GB12" s="93">
        <f t="shared" si="5"/>
        <v>47391</v>
      </c>
      <c r="GC12" s="93">
        <f t="shared" si="5"/>
        <v>47422</v>
      </c>
      <c r="GD12" s="93">
        <f t="shared" si="5"/>
        <v>47452</v>
      </c>
      <c r="GE12" s="93">
        <f t="shared" si="5"/>
        <v>47483</v>
      </c>
      <c r="GF12" s="93">
        <f t="shared" si="5"/>
        <v>47514</v>
      </c>
      <c r="GG12" s="93">
        <f t="shared" si="5"/>
        <v>47542</v>
      </c>
      <c r="GH12" s="93">
        <f t="shared" si="5"/>
        <v>47573</v>
      </c>
      <c r="GI12" s="93">
        <f t="shared" si="5"/>
        <v>47603</v>
      </c>
      <c r="GJ12" s="93">
        <f t="shared" si="5"/>
        <v>47634</v>
      </c>
      <c r="GK12" s="93">
        <f t="shared" si="5"/>
        <v>47664</v>
      </c>
      <c r="GL12" s="93">
        <f t="shared" si="5"/>
        <v>47695</v>
      </c>
      <c r="GM12" s="93">
        <f t="shared" si="5"/>
        <v>47726</v>
      </c>
      <c r="GN12" s="93">
        <f t="shared" si="5"/>
        <v>47756</v>
      </c>
      <c r="GO12" s="93">
        <f t="shared" si="5"/>
        <v>47787</v>
      </c>
      <c r="GQ12" s="88"/>
      <c r="GS12" s="94"/>
      <c r="GT12" s="88"/>
    </row>
    <row r="13" spans="1:203">
      <c r="A13" s="95" t="s">
        <v>157</v>
      </c>
      <c r="F13" s="90">
        <v>1</v>
      </c>
      <c r="G13" s="96">
        <f>F13+1</f>
        <v>2</v>
      </c>
      <c r="H13" s="97">
        <f t="shared" ref="H13:BS13" si="6">G13+1</f>
        <v>3</v>
      </c>
      <c r="I13" s="97">
        <f t="shared" si="6"/>
        <v>4</v>
      </c>
      <c r="J13" s="97">
        <f t="shared" si="6"/>
        <v>5</v>
      </c>
      <c r="K13" s="97">
        <f t="shared" si="6"/>
        <v>6</v>
      </c>
      <c r="L13" s="97">
        <f t="shared" si="6"/>
        <v>7</v>
      </c>
      <c r="M13" s="97">
        <f t="shared" si="6"/>
        <v>8</v>
      </c>
      <c r="N13" s="97">
        <f t="shared" si="6"/>
        <v>9</v>
      </c>
      <c r="O13" s="97">
        <f t="shared" si="6"/>
        <v>10</v>
      </c>
      <c r="P13" s="97">
        <f t="shared" si="6"/>
        <v>11</v>
      </c>
      <c r="Q13" s="97">
        <f t="shared" si="6"/>
        <v>12</v>
      </c>
      <c r="R13" s="97">
        <f t="shared" si="6"/>
        <v>13</v>
      </c>
      <c r="S13" s="97">
        <f t="shared" si="6"/>
        <v>14</v>
      </c>
      <c r="T13" s="97">
        <f t="shared" si="6"/>
        <v>15</v>
      </c>
      <c r="U13" s="97">
        <f t="shared" si="6"/>
        <v>16</v>
      </c>
      <c r="V13" s="97">
        <f t="shared" si="6"/>
        <v>17</v>
      </c>
      <c r="W13" s="97">
        <f t="shared" si="6"/>
        <v>18</v>
      </c>
      <c r="X13" s="97">
        <f t="shared" si="6"/>
        <v>19</v>
      </c>
      <c r="Y13" s="97">
        <f t="shared" si="6"/>
        <v>20</v>
      </c>
      <c r="Z13" s="97">
        <f t="shared" si="6"/>
        <v>21</v>
      </c>
      <c r="AA13" s="97">
        <f t="shared" si="6"/>
        <v>22</v>
      </c>
      <c r="AB13" s="97">
        <f t="shared" si="6"/>
        <v>23</v>
      </c>
      <c r="AC13" s="97">
        <f t="shared" si="6"/>
        <v>24</v>
      </c>
      <c r="AD13" s="97">
        <f t="shared" si="6"/>
        <v>25</v>
      </c>
      <c r="AE13" s="97">
        <f t="shared" si="6"/>
        <v>26</v>
      </c>
      <c r="AF13" s="97">
        <f t="shared" si="6"/>
        <v>27</v>
      </c>
      <c r="AG13" s="97">
        <f t="shared" si="6"/>
        <v>28</v>
      </c>
      <c r="AH13" s="97">
        <f t="shared" si="6"/>
        <v>29</v>
      </c>
      <c r="AI13" s="97">
        <f t="shared" si="6"/>
        <v>30</v>
      </c>
      <c r="AJ13" s="97">
        <f t="shared" si="6"/>
        <v>31</v>
      </c>
      <c r="AK13" s="97">
        <f t="shared" si="6"/>
        <v>32</v>
      </c>
      <c r="AL13" s="97">
        <f t="shared" si="6"/>
        <v>33</v>
      </c>
      <c r="AM13" s="97">
        <f t="shared" si="6"/>
        <v>34</v>
      </c>
      <c r="AN13" s="97">
        <f t="shared" si="6"/>
        <v>35</v>
      </c>
      <c r="AO13" s="97">
        <f t="shared" si="6"/>
        <v>36</v>
      </c>
      <c r="AP13" s="97">
        <f t="shared" si="6"/>
        <v>37</v>
      </c>
      <c r="AQ13" s="97">
        <f t="shared" si="6"/>
        <v>38</v>
      </c>
      <c r="AR13" s="97">
        <f t="shared" si="6"/>
        <v>39</v>
      </c>
      <c r="AS13" s="97">
        <f t="shared" si="6"/>
        <v>40</v>
      </c>
      <c r="AT13" s="97">
        <f t="shared" si="6"/>
        <v>41</v>
      </c>
      <c r="AU13" s="97">
        <f t="shared" si="6"/>
        <v>42</v>
      </c>
      <c r="AV13" s="97">
        <f t="shared" si="6"/>
        <v>43</v>
      </c>
      <c r="AW13" s="97">
        <f t="shared" si="6"/>
        <v>44</v>
      </c>
      <c r="AX13" s="97">
        <f t="shared" si="6"/>
        <v>45</v>
      </c>
      <c r="AY13" s="97">
        <f t="shared" si="6"/>
        <v>46</v>
      </c>
      <c r="AZ13" s="97">
        <f t="shared" si="6"/>
        <v>47</v>
      </c>
      <c r="BA13" s="97">
        <f t="shared" si="6"/>
        <v>48</v>
      </c>
      <c r="BB13" s="97">
        <f t="shared" si="6"/>
        <v>49</v>
      </c>
      <c r="BC13" s="97">
        <f t="shared" si="6"/>
        <v>50</v>
      </c>
      <c r="BD13" s="97">
        <f t="shared" si="6"/>
        <v>51</v>
      </c>
      <c r="BE13" s="97">
        <f t="shared" si="6"/>
        <v>52</v>
      </c>
      <c r="BF13" s="97">
        <f t="shared" si="6"/>
        <v>53</v>
      </c>
      <c r="BG13" s="97">
        <f t="shared" si="6"/>
        <v>54</v>
      </c>
      <c r="BH13" s="97">
        <f t="shared" si="6"/>
        <v>55</v>
      </c>
      <c r="BI13" s="97">
        <f t="shared" si="6"/>
        <v>56</v>
      </c>
      <c r="BJ13" s="97">
        <f t="shared" si="6"/>
        <v>57</v>
      </c>
      <c r="BK13" s="97">
        <f t="shared" si="6"/>
        <v>58</v>
      </c>
      <c r="BL13" s="97">
        <f t="shared" si="6"/>
        <v>59</v>
      </c>
      <c r="BM13" s="97">
        <f t="shared" si="6"/>
        <v>60</v>
      </c>
      <c r="BN13" s="97">
        <f t="shared" si="6"/>
        <v>61</v>
      </c>
      <c r="BO13" s="97">
        <f t="shared" si="6"/>
        <v>62</v>
      </c>
      <c r="BP13" s="97">
        <f t="shared" si="6"/>
        <v>63</v>
      </c>
      <c r="BQ13" s="97">
        <f t="shared" si="6"/>
        <v>64</v>
      </c>
      <c r="BR13" s="97">
        <f t="shared" si="6"/>
        <v>65</v>
      </c>
      <c r="BS13" s="97">
        <f t="shared" si="6"/>
        <v>66</v>
      </c>
      <c r="BT13" s="97">
        <f t="shared" ref="BT13:EE13" si="7">BS13+1</f>
        <v>67</v>
      </c>
      <c r="BU13" s="97">
        <f t="shared" si="7"/>
        <v>68</v>
      </c>
      <c r="BV13" s="97">
        <f t="shared" si="7"/>
        <v>69</v>
      </c>
      <c r="BW13" s="97">
        <f t="shared" si="7"/>
        <v>70</v>
      </c>
      <c r="BX13" s="97">
        <f t="shared" si="7"/>
        <v>71</v>
      </c>
      <c r="BY13" s="97">
        <f t="shared" si="7"/>
        <v>72</v>
      </c>
      <c r="BZ13" s="97">
        <f t="shared" si="7"/>
        <v>73</v>
      </c>
      <c r="CA13" s="97">
        <f t="shared" si="7"/>
        <v>74</v>
      </c>
      <c r="CB13" s="97">
        <f t="shared" si="7"/>
        <v>75</v>
      </c>
      <c r="CC13" s="97">
        <f t="shared" si="7"/>
        <v>76</v>
      </c>
      <c r="CD13" s="97">
        <f t="shared" si="7"/>
        <v>77</v>
      </c>
      <c r="CE13" s="97">
        <f t="shared" si="7"/>
        <v>78</v>
      </c>
      <c r="CF13" s="97">
        <f t="shared" si="7"/>
        <v>79</v>
      </c>
      <c r="CG13" s="97">
        <f t="shared" si="7"/>
        <v>80</v>
      </c>
      <c r="CH13" s="97">
        <f t="shared" si="7"/>
        <v>81</v>
      </c>
      <c r="CI13" s="97">
        <f t="shared" si="7"/>
        <v>82</v>
      </c>
      <c r="CJ13" s="97">
        <f t="shared" si="7"/>
        <v>83</v>
      </c>
      <c r="CK13" s="97">
        <f t="shared" si="7"/>
        <v>84</v>
      </c>
      <c r="CL13" s="97">
        <f t="shared" si="7"/>
        <v>85</v>
      </c>
      <c r="CM13" s="97">
        <f t="shared" si="7"/>
        <v>86</v>
      </c>
      <c r="CN13" s="97">
        <f t="shared" si="7"/>
        <v>87</v>
      </c>
      <c r="CO13" s="97">
        <f t="shared" si="7"/>
        <v>88</v>
      </c>
      <c r="CP13" s="97">
        <f t="shared" si="7"/>
        <v>89</v>
      </c>
      <c r="CQ13" s="97">
        <f t="shared" si="7"/>
        <v>90</v>
      </c>
      <c r="CR13" s="97">
        <f t="shared" si="7"/>
        <v>91</v>
      </c>
      <c r="CS13" s="97">
        <f t="shared" si="7"/>
        <v>92</v>
      </c>
      <c r="CT13" s="97">
        <f t="shared" si="7"/>
        <v>93</v>
      </c>
      <c r="CU13" s="97">
        <f t="shared" si="7"/>
        <v>94</v>
      </c>
      <c r="CV13" s="97">
        <f t="shared" si="7"/>
        <v>95</v>
      </c>
      <c r="CW13" s="97">
        <f t="shared" si="7"/>
        <v>96</v>
      </c>
      <c r="CX13" s="97">
        <f t="shared" si="7"/>
        <v>97</v>
      </c>
      <c r="CY13" s="97">
        <f t="shared" si="7"/>
        <v>98</v>
      </c>
      <c r="CZ13" s="97">
        <f t="shared" si="7"/>
        <v>99</v>
      </c>
      <c r="DA13" s="97">
        <f t="shared" si="7"/>
        <v>100</v>
      </c>
      <c r="DB13" s="97">
        <f t="shared" si="7"/>
        <v>101</v>
      </c>
      <c r="DC13" s="97">
        <f t="shared" si="7"/>
        <v>102</v>
      </c>
      <c r="DD13" s="97">
        <f t="shared" si="7"/>
        <v>103</v>
      </c>
      <c r="DE13" s="97">
        <f t="shared" si="7"/>
        <v>104</v>
      </c>
      <c r="DF13" s="97">
        <f t="shared" si="7"/>
        <v>105</v>
      </c>
      <c r="DG13" s="97">
        <f t="shared" si="7"/>
        <v>106</v>
      </c>
      <c r="DH13" s="97">
        <f t="shared" si="7"/>
        <v>107</v>
      </c>
      <c r="DI13" s="97">
        <f t="shared" si="7"/>
        <v>108</v>
      </c>
      <c r="DJ13" s="97">
        <f t="shared" si="7"/>
        <v>109</v>
      </c>
      <c r="DK13" s="97">
        <f t="shared" si="7"/>
        <v>110</v>
      </c>
      <c r="DL13" s="97">
        <f t="shared" si="7"/>
        <v>111</v>
      </c>
      <c r="DM13" s="97">
        <f t="shared" si="7"/>
        <v>112</v>
      </c>
      <c r="DN13" s="97">
        <f t="shared" si="7"/>
        <v>113</v>
      </c>
      <c r="DO13" s="97">
        <f t="shared" si="7"/>
        <v>114</v>
      </c>
      <c r="DP13" s="97">
        <f t="shared" si="7"/>
        <v>115</v>
      </c>
      <c r="DQ13" s="97">
        <f t="shared" si="7"/>
        <v>116</v>
      </c>
      <c r="DR13" s="97">
        <f t="shared" si="7"/>
        <v>117</v>
      </c>
      <c r="DS13" s="97">
        <f t="shared" si="7"/>
        <v>118</v>
      </c>
      <c r="DT13" s="97">
        <f t="shared" si="7"/>
        <v>119</v>
      </c>
      <c r="DU13" s="97">
        <f t="shared" si="7"/>
        <v>120</v>
      </c>
      <c r="DV13" s="97">
        <f t="shared" si="7"/>
        <v>121</v>
      </c>
      <c r="DW13" s="97">
        <f t="shared" si="7"/>
        <v>122</v>
      </c>
      <c r="DX13" s="97">
        <f t="shared" si="7"/>
        <v>123</v>
      </c>
      <c r="DY13" s="97">
        <f t="shared" si="7"/>
        <v>124</v>
      </c>
      <c r="DZ13" s="97">
        <f t="shared" si="7"/>
        <v>125</v>
      </c>
      <c r="EA13" s="97">
        <f t="shared" si="7"/>
        <v>126</v>
      </c>
      <c r="EB13" s="97">
        <f t="shared" si="7"/>
        <v>127</v>
      </c>
      <c r="EC13" s="97">
        <f t="shared" si="7"/>
        <v>128</v>
      </c>
      <c r="ED13" s="97">
        <f t="shared" si="7"/>
        <v>129</v>
      </c>
      <c r="EE13" s="97">
        <f t="shared" si="7"/>
        <v>130</v>
      </c>
      <c r="EF13" s="97">
        <f t="shared" ref="EF13:GO13" si="8">EE13+1</f>
        <v>131</v>
      </c>
      <c r="EG13" s="97">
        <f t="shared" si="8"/>
        <v>132</v>
      </c>
      <c r="EH13" s="97">
        <f t="shared" si="8"/>
        <v>133</v>
      </c>
      <c r="EI13" s="97">
        <f t="shared" si="8"/>
        <v>134</v>
      </c>
      <c r="EJ13" s="97">
        <f t="shared" si="8"/>
        <v>135</v>
      </c>
      <c r="EK13" s="97">
        <f t="shared" si="8"/>
        <v>136</v>
      </c>
      <c r="EL13" s="97">
        <f t="shared" si="8"/>
        <v>137</v>
      </c>
      <c r="EM13" s="97">
        <f t="shared" si="8"/>
        <v>138</v>
      </c>
      <c r="EN13" s="97">
        <f t="shared" si="8"/>
        <v>139</v>
      </c>
      <c r="EO13" s="97">
        <f t="shared" si="8"/>
        <v>140</v>
      </c>
      <c r="EP13" s="97">
        <f t="shared" si="8"/>
        <v>141</v>
      </c>
      <c r="EQ13" s="97">
        <f t="shared" si="8"/>
        <v>142</v>
      </c>
      <c r="ER13" s="97">
        <f t="shared" si="8"/>
        <v>143</v>
      </c>
      <c r="ES13" s="97">
        <f t="shared" si="8"/>
        <v>144</v>
      </c>
      <c r="ET13" s="97">
        <f t="shared" si="8"/>
        <v>145</v>
      </c>
      <c r="EU13" s="97">
        <f t="shared" si="8"/>
        <v>146</v>
      </c>
      <c r="EV13" s="97">
        <f t="shared" si="8"/>
        <v>147</v>
      </c>
      <c r="EW13" s="97">
        <f t="shared" si="8"/>
        <v>148</v>
      </c>
      <c r="EX13" s="97">
        <f t="shared" si="8"/>
        <v>149</v>
      </c>
      <c r="EY13" s="97">
        <f t="shared" si="8"/>
        <v>150</v>
      </c>
      <c r="EZ13" s="97">
        <f t="shared" si="8"/>
        <v>151</v>
      </c>
      <c r="FA13" s="97">
        <f t="shared" si="8"/>
        <v>152</v>
      </c>
      <c r="FB13" s="97">
        <f t="shared" si="8"/>
        <v>153</v>
      </c>
      <c r="FC13" s="97">
        <f t="shared" si="8"/>
        <v>154</v>
      </c>
      <c r="FD13" s="97">
        <f t="shared" si="8"/>
        <v>155</v>
      </c>
      <c r="FE13" s="97">
        <f t="shared" si="8"/>
        <v>156</v>
      </c>
      <c r="FF13" s="97">
        <f t="shared" si="8"/>
        <v>157</v>
      </c>
      <c r="FG13" s="97">
        <f t="shared" si="8"/>
        <v>158</v>
      </c>
      <c r="FH13" s="97">
        <f t="shared" si="8"/>
        <v>159</v>
      </c>
      <c r="FI13" s="97">
        <f t="shared" si="8"/>
        <v>160</v>
      </c>
      <c r="FJ13" s="97">
        <f t="shared" si="8"/>
        <v>161</v>
      </c>
      <c r="FK13" s="97">
        <f t="shared" si="8"/>
        <v>162</v>
      </c>
      <c r="FL13" s="97">
        <f t="shared" si="8"/>
        <v>163</v>
      </c>
      <c r="FM13" s="97">
        <f t="shared" si="8"/>
        <v>164</v>
      </c>
      <c r="FN13" s="97">
        <f t="shared" si="8"/>
        <v>165</v>
      </c>
      <c r="FO13" s="97">
        <f t="shared" si="8"/>
        <v>166</v>
      </c>
      <c r="FP13" s="97">
        <f t="shared" si="8"/>
        <v>167</v>
      </c>
      <c r="FQ13" s="97">
        <f t="shared" si="8"/>
        <v>168</v>
      </c>
      <c r="FR13" s="97">
        <f t="shared" si="8"/>
        <v>169</v>
      </c>
      <c r="FS13" s="97">
        <f t="shared" si="8"/>
        <v>170</v>
      </c>
      <c r="FT13" s="97">
        <f t="shared" si="8"/>
        <v>171</v>
      </c>
      <c r="FU13" s="97">
        <f t="shared" si="8"/>
        <v>172</v>
      </c>
      <c r="FV13" s="97">
        <f t="shared" si="8"/>
        <v>173</v>
      </c>
      <c r="FW13" s="97">
        <f t="shared" si="8"/>
        <v>174</v>
      </c>
      <c r="FX13" s="97">
        <f t="shared" si="8"/>
        <v>175</v>
      </c>
      <c r="FY13" s="97">
        <f t="shared" si="8"/>
        <v>176</v>
      </c>
      <c r="FZ13" s="97">
        <f t="shared" si="8"/>
        <v>177</v>
      </c>
      <c r="GA13" s="97">
        <f t="shared" si="8"/>
        <v>178</v>
      </c>
      <c r="GB13" s="97">
        <f t="shared" si="8"/>
        <v>179</v>
      </c>
      <c r="GC13" s="97">
        <f t="shared" si="8"/>
        <v>180</v>
      </c>
      <c r="GD13" s="97">
        <f t="shared" si="8"/>
        <v>181</v>
      </c>
      <c r="GE13" s="97">
        <f t="shared" si="8"/>
        <v>182</v>
      </c>
      <c r="GF13" s="97">
        <f t="shared" si="8"/>
        <v>183</v>
      </c>
      <c r="GG13" s="97">
        <f t="shared" si="8"/>
        <v>184</v>
      </c>
      <c r="GH13" s="97">
        <f t="shared" si="8"/>
        <v>185</v>
      </c>
      <c r="GI13" s="97">
        <f t="shared" si="8"/>
        <v>186</v>
      </c>
      <c r="GJ13" s="97">
        <f t="shared" si="8"/>
        <v>187</v>
      </c>
      <c r="GK13" s="97">
        <f t="shared" si="8"/>
        <v>188</v>
      </c>
      <c r="GL13" s="97">
        <f t="shared" si="8"/>
        <v>189</v>
      </c>
      <c r="GM13" s="97">
        <f t="shared" si="8"/>
        <v>190</v>
      </c>
      <c r="GN13" s="97">
        <f t="shared" si="8"/>
        <v>191</v>
      </c>
      <c r="GO13" s="97">
        <f t="shared" si="8"/>
        <v>192</v>
      </c>
      <c r="GQ13" s="88"/>
      <c r="GR13" s="84">
        <v>0</v>
      </c>
      <c r="GS13" s="94"/>
      <c r="GT13" s="88"/>
    </row>
    <row r="14" spans="1:203">
      <c r="A14" s="95" t="s">
        <v>158</v>
      </c>
      <c r="F14" s="98">
        <v>12</v>
      </c>
      <c r="G14" s="99">
        <v>13</v>
      </c>
      <c r="H14" s="99">
        <v>14</v>
      </c>
      <c r="I14" s="99">
        <v>15</v>
      </c>
      <c r="J14" s="99">
        <v>16</v>
      </c>
      <c r="K14" s="99">
        <v>17</v>
      </c>
      <c r="L14" s="99">
        <v>18</v>
      </c>
      <c r="M14" s="99">
        <v>19</v>
      </c>
      <c r="N14" s="99">
        <v>20</v>
      </c>
      <c r="O14" s="99">
        <v>21</v>
      </c>
      <c r="P14" s="99">
        <v>22</v>
      </c>
      <c r="Q14" s="99">
        <v>23</v>
      </c>
      <c r="R14" s="99">
        <v>24</v>
      </c>
      <c r="S14" s="99">
        <v>25</v>
      </c>
      <c r="T14" s="99">
        <v>26</v>
      </c>
      <c r="U14" s="99">
        <v>27</v>
      </c>
      <c r="V14" s="99">
        <v>28</v>
      </c>
      <c r="W14" s="99">
        <v>29</v>
      </c>
      <c r="X14" s="99">
        <v>30</v>
      </c>
      <c r="Y14" s="99">
        <v>31</v>
      </c>
      <c r="Z14" s="99">
        <v>32</v>
      </c>
      <c r="AA14" s="99">
        <v>33</v>
      </c>
      <c r="AB14" s="99">
        <v>34</v>
      </c>
      <c r="AC14" s="99">
        <v>35</v>
      </c>
      <c r="AD14" s="99">
        <v>36</v>
      </c>
      <c r="AE14" s="99">
        <v>37</v>
      </c>
      <c r="AF14" s="99">
        <v>38</v>
      </c>
      <c r="AG14" s="99">
        <v>39</v>
      </c>
      <c r="AH14" s="99">
        <v>40</v>
      </c>
      <c r="AI14" s="99">
        <v>41</v>
      </c>
      <c r="AJ14" s="99">
        <v>42</v>
      </c>
      <c r="AK14" s="99">
        <v>43</v>
      </c>
      <c r="AL14" s="99">
        <v>44</v>
      </c>
      <c r="AM14" s="99">
        <v>45</v>
      </c>
      <c r="AN14" s="99">
        <v>46</v>
      </c>
      <c r="AO14" s="99">
        <v>47</v>
      </c>
      <c r="AP14" s="99">
        <v>48</v>
      </c>
      <c r="AQ14" s="99">
        <v>49</v>
      </c>
      <c r="AR14" s="99">
        <v>50</v>
      </c>
      <c r="AS14" s="99">
        <v>51</v>
      </c>
      <c r="AT14" s="99">
        <v>52</v>
      </c>
      <c r="AU14" s="99">
        <v>53</v>
      </c>
      <c r="AV14" s="99">
        <v>54</v>
      </c>
      <c r="AW14" s="99">
        <v>55</v>
      </c>
      <c r="AX14" s="99">
        <v>56</v>
      </c>
      <c r="AY14" s="99">
        <v>57</v>
      </c>
      <c r="AZ14" s="99">
        <v>58</v>
      </c>
      <c r="BA14" s="99">
        <v>59</v>
      </c>
      <c r="BB14" s="99">
        <v>60</v>
      </c>
      <c r="BC14" s="99">
        <v>61</v>
      </c>
      <c r="BD14" s="99">
        <v>62</v>
      </c>
      <c r="BE14" s="99">
        <v>63</v>
      </c>
      <c r="BF14" s="99">
        <v>64</v>
      </c>
      <c r="BG14" s="99">
        <v>65</v>
      </c>
      <c r="BH14" s="99">
        <v>66</v>
      </c>
      <c r="BI14" s="99">
        <v>67</v>
      </c>
      <c r="BJ14" s="99">
        <v>68</v>
      </c>
      <c r="BK14" s="99">
        <v>69</v>
      </c>
      <c r="BL14" s="99">
        <v>70</v>
      </c>
      <c r="BM14" s="99">
        <v>71</v>
      </c>
      <c r="BN14" s="99">
        <v>72</v>
      </c>
      <c r="BO14" s="99">
        <v>73</v>
      </c>
      <c r="BP14" s="99">
        <v>74</v>
      </c>
      <c r="BQ14" s="99">
        <v>75</v>
      </c>
      <c r="BR14" s="99">
        <v>76</v>
      </c>
      <c r="BS14" s="99">
        <v>77</v>
      </c>
      <c r="BT14" s="99">
        <v>78</v>
      </c>
      <c r="BU14" s="99">
        <v>79</v>
      </c>
      <c r="BV14" s="99">
        <v>80</v>
      </c>
      <c r="BW14" s="99">
        <v>81</v>
      </c>
      <c r="BX14" s="99">
        <v>82</v>
      </c>
      <c r="BY14" s="99">
        <v>83</v>
      </c>
      <c r="BZ14" s="99">
        <v>84</v>
      </c>
      <c r="CA14" s="99">
        <v>85</v>
      </c>
      <c r="CB14" s="99">
        <v>86</v>
      </c>
      <c r="CC14" s="99">
        <v>87</v>
      </c>
      <c r="CD14" s="99">
        <v>88</v>
      </c>
      <c r="CE14" s="99">
        <v>89</v>
      </c>
      <c r="CF14" s="99">
        <v>90</v>
      </c>
      <c r="CG14" s="99">
        <v>91</v>
      </c>
      <c r="CH14" s="99">
        <v>92</v>
      </c>
      <c r="CI14" s="99">
        <v>93</v>
      </c>
      <c r="CJ14" s="99">
        <v>94</v>
      </c>
      <c r="CK14" s="99">
        <v>95</v>
      </c>
      <c r="CL14" s="99">
        <v>96</v>
      </c>
      <c r="CM14" s="99">
        <v>97</v>
      </c>
      <c r="CN14" s="99">
        <v>98</v>
      </c>
      <c r="CO14" s="99">
        <v>99</v>
      </c>
      <c r="CP14" s="99">
        <v>100</v>
      </c>
      <c r="CQ14" s="99">
        <v>101</v>
      </c>
      <c r="CR14" s="99">
        <v>102</v>
      </c>
      <c r="CS14" s="99">
        <v>103</v>
      </c>
      <c r="CT14" s="99">
        <v>104</v>
      </c>
      <c r="CU14" s="99">
        <v>105</v>
      </c>
      <c r="CV14" s="99">
        <v>106</v>
      </c>
      <c r="CW14" s="99">
        <v>107</v>
      </c>
      <c r="CX14" s="99">
        <v>108</v>
      </c>
      <c r="CY14" s="99">
        <v>109</v>
      </c>
      <c r="CZ14" s="99">
        <v>110</v>
      </c>
      <c r="DA14" s="99">
        <v>111</v>
      </c>
      <c r="DB14" s="99">
        <v>112</v>
      </c>
      <c r="DC14" s="99">
        <v>113</v>
      </c>
      <c r="DD14" s="99">
        <v>114</v>
      </c>
      <c r="DE14" s="99">
        <v>115</v>
      </c>
      <c r="DF14" s="99">
        <v>116</v>
      </c>
      <c r="DG14" s="99">
        <v>117</v>
      </c>
      <c r="DH14" s="99">
        <v>118</v>
      </c>
      <c r="DI14" s="99">
        <v>119</v>
      </c>
      <c r="DJ14" s="99">
        <v>120</v>
      </c>
      <c r="DK14" s="99">
        <v>121</v>
      </c>
      <c r="DL14" s="99">
        <v>122</v>
      </c>
      <c r="DM14" s="99">
        <v>123</v>
      </c>
      <c r="DN14" s="99">
        <v>124</v>
      </c>
      <c r="DO14" s="99">
        <v>125</v>
      </c>
      <c r="DP14" s="99">
        <v>126</v>
      </c>
      <c r="DQ14" s="99">
        <v>127</v>
      </c>
      <c r="DR14" s="99">
        <v>128</v>
      </c>
      <c r="DS14" s="99">
        <v>129</v>
      </c>
      <c r="DT14" s="99">
        <v>130</v>
      </c>
      <c r="DU14" s="99">
        <v>131</v>
      </c>
      <c r="DV14" s="99">
        <v>132</v>
      </c>
      <c r="DW14" s="99">
        <v>133</v>
      </c>
      <c r="DX14" s="99">
        <v>134</v>
      </c>
      <c r="DY14" s="99">
        <v>135</v>
      </c>
      <c r="DZ14" s="99">
        <v>136</v>
      </c>
      <c r="EA14" s="99">
        <v>137</v>
      </c>
      <c r="EB14" s="99">
        <v>138</v>
      </c>
      <c r="EC14" s="99">
        <v>139</v>
      </c>
      <c r="ED14" s="99">
        <v>140</v>
      </c>
      <c r="EE14" s="99">
        <v>141</v>
      </c>
      <c r="EF14" s="99">
        <v>142</v>
      </c>
      <c r="EG14" s="99">
        <v>143</v>
      </c>
      <c r="EH14" s="99">
        <v>144</v>
      </c>
      <c r="EI14" s="99">
        <v>145</v>
      </c>
      <c r="EJ14" s="99">
        <v>146</v>
      </c>
      <c r="EK14" s="99">
        <v>147</v>
      </c>
      <c r="EL14" s="99">
        <v>148</v>
      </c>
      <c r="EM14" s="99">
        <v>149</v>
      </c>
      <c r="EN14" s="99">
        <v>150</v>
      </c>
      <c r="EO14" s="99">
        <v>151</v>
      </c>
      <c r="EP14" s="99">
        <v>152</v>
      </c>
      <c r="EQ14" s="99">
        <v>153</v>
      </c>
      <c r="ER14" s="99">
        <v>154</v>
      </c>
      <c r="ES14" s="99">
        <v>155</v>
      </c>
      <c r="ET14" s="99">
        <v>156</v>
      </c>
      <c r="EU14" s="99">
        <v>157</v>
      </c>
      <c r="EV14" s="99">
        <v>158</v>
      </c>
      <c r="EW14" s="99">
        <v>159</v>
      </c>
      <c r="EX14" s="99">
        <v>160</v>
      </c>
      <c r="EY14" s="99">
        <v>161</v>
      </c>
      <c r="EZ14" s="99">
        <v>162</v>
      </c>
      <c r="FA14" s="99">
        <v>163</v>
      </c>
      <c r="FB14" s="99">
        <v>164</v>
      </c>
      <c r="FC14" s="99">
        <v>165</v>
      </c>
      <c r="FD14" s="99">
        <v>166</v>
      </c>
      <c r="FE14" s="99">
        <v>167</v>
      </c>
      <c r="FF14" s="99">
        <v>168</v>
      </c>
      <c r="FG14" s="99">
        <v>169</v>
      </c>
      <c r="FH14" s="99">
        <v>170</v>
      </c>
      <c r="FI14" s="99">
        <v>171</v>
      </c>
      <c r="FJ14" s="99">
        <v>172</v>
      </c>
      <c r="FK14" s="99">
        <v>173</v>
      </c>
      <c r="FL14" s="99">
        <v>174</v>
      </c>
      <c r="FM14" s="99">
        <v>175</v>
      </c>
      <c r="FN14" s="99">
        <v>176</v>
      </c>
      <c r="FO14" s="99">
        <v>177</v>
      </c>
      <c r="FP14" s="99">
        <v>178</v>
      </c>
      <c r="FQ14" s="99">
        <v>179</v>
      </c>
      <c r="FR14" s="99">
        <v>180</v>
      </c>
      <c r="FS14" s="99">
        <v>181</v>
      </c>
      <c r="FT14" s="99">
        <v>182</v>
      </c>
      <c r="FU14" s="99">
        <v>183</v>
      </c>
      <c r="FV14" s="99">
        <v>184</v>
      </c>
      <c r="FW14" s="99">
        <v>185</v>
      </c>
      <c r="FX14" s="99">
        <v>186</v>
      </c>
      <c r="FY14" s="99">
        <v>187</v>
      </c>
      <c r="FZ14" s="99">
        <v>188</v>
      </c>
      <c r="GA14" s="99">
        <v>189</v>
      </c>
      <c r="GB14" s="99">
        <v>175</v>
      </c>
      <c r="GC14" s="99">
        <v>176</v>
      </c>
      <c r="GD14" s="99">
        <v>177</v>
      </c>
      <c r="GE14" s="99">
        <v>178</v>
      </c>
      <c r="GF14" s="99">
        <v>179</v>
      </c>
      <c r="GG14" s="99">
        <v>180</v>
      </c>
      <c r="GH14" s="99">
        <v>181</v>
      </c>
      <c r="GI14" s="99">
        <v>182</v>
      </c>
      <c r="GJ14" s="99">
        <v>183</v>
      </c>
      <c r="GK14" s="99">
        <v>184</v>
      </c>
      <c r="GL14" s="99">
        <v>185</v>
      </c>
      <c r="GM14" s="99">
        <v>186</v>
      </c>
      <c r="GN14" s="99">
        <v>187</v>
      </c>
      <c r="GO14" s="99">
        <v>188</v>
      </c>
      <c r="GQ14" s="88"/>
      <c r="GR14" s="84">
        <v>0</v>
      </c>
      <c r="GS14" s="94"/>
      <c r="GT14" s="88"/>
    </row>
    <row r="15" spans="1:203">
      <c r="A15" s="95" t="s">
        <v>159</v>
      </c>
      <c r="F15" s="100">
        <v>1</v>
      </c>
      <c r="G15" s="97">
        <v>2</v>
      </c>
      <c r="H15" s="97">
        <v>2</v>
      </c>
      <c r="I15" s="97">
        <v>2</v>
      </c>
      <c r="J15" s="97">
        <v>2</v>
      </c>
      <c r="K15" s="97">
        <v>2</v>
      </c>
      <c r="L15" s="97">
        <v>2</v>
      </c>
      <c r="M15" s="97">
        <v>2</v>
      </c>
      <c r="N15" s="97">
        <v>2</v>
      </c>
      <c r="O15" s="97">
        <v>2</v>
      </c>
      <c r="P15" s="97">
        <v>2</v>
      </c>
      <c r="Q15" s="97">
        <v>2</v>
      </c>
      <c r="R15" s="97">
        <v>2</v>
      </c>
      <c r="S15" s="97">
        <v>3</v>
      </c>
      <c r="T15" s="97">
        <v>3</v>
      </c>
      <c r="U15" s="97">
        <v>3</v>
      </c>
      <c r="V15" s="97">
        <v>3</v>
      </c>
      <c r="W15" s="97">
        <v>3</v>
      </c>
      <c r="X15" s="97">
        <v>3</v>
      </c>
      <c r="Y15" s="97">
        <v>3</v>
      </c>
      <c r="Z15" s="97">
        <v>3</v>
      </c>
      <c r="AA15" s="97">
        <v>3</v>
      </c>
      <c r="AB15" s="97">
        <v>3</v>
      </c>
      <c r="AC15" s="97">
        <v>3</v>
      </c>
      <c r="AD15" s="97">
        <v>3</v>
      </c>
      <c r="AE15" s="97">
        <v>4</v>
      </c>
      <c r="AF15" s="97">
        <v>4</v>
      </c>
      <c r="AG15" s="97">
        <v>4</v>
      </c>
      <c r="AH15" s="97">
        <v>4</v>
      </c>
      <c r="AI15" s="97">
        <v>4</v>
      </c>
      <c r="AJ15" s="97">
        <v>4</v>
      </c>
      <c r="AK15" s="97">
        <v>4</v>
      </c>
      <c r="AL15" s="97">
        <v>4</v>
      </c>
      <c r="AM15" s="97">
        <v>4</v>
      </c>
      <c r="AN15" s="97">
        <v>4</v>
      </c>
      <c r="AO15" s="97">
        <v>4</v>
      </c>
      <c r="AP15" s="97">
        <v>4</v>
      </c>
      <c r="AQ15" s="97">
        <v>5</v>
      </c>
      <c r="AR15" s="97">
        <v>5</v>
      </c>
      <c r="AS15" s="97">
        <v>5</v>
      </c>
      <c r="AT15" s="97">
        <v>5</v>
      </c>
      <c r="AU15" s="97">
        <v>5</v>
      </c>
      <c r="AV15" s="97">
        <v>5</v>
      </c>
      <c r="AW15" s="97">
        <v>5</v>
      </c>
      <c r="AX15" s="97">
        <v>5</v>
      </c>
      <c r="AY15" s="97">
        <v>5</v>
      </c>
      <c r="AZ15" s="97">
        <v>5</v>
      </c>
      <c r="BA15" s="97">
        <v>5</v>
      </c>
      <c r="BB15" s="97">
        <v>5</v>
      </c>
      <c r="BC15" s="97">
        <v>6</v>
      </c>
      <c r="BD15" s="97">
        <v>6</v>
      </c>
      <c r="BE15" s="97">
        <v>6</v>
      </c>
      <c r="BF15" s="97">
        <v>6</v>
      </c>
      <c r="BG15" s="97">
        <v>6</v>
      </c>
      <c r="BH15" s="97">
        <v>6</v>
      </c>
      <c r="BI15" s="97">
        <v>6</v>
      </c>
      <c r="BJ15" s="97">
        <v>6</v>
      </c>
      <c r="BK15" s="97">
        <v>6</v>
      </c>
      <c r="BL15" s="97">
        <v>6</v>
      </c>
      <c r="BM15" s="97">
        <v>6</v>
      </c>
      <c r="BN15" s="97">
        <v>6</v>
      </c>
      <c r="BO15" s="97">
        <v>7</v>
      </c>
      <c r="BP15" s="97">
        <v>7</v>
      </c>
      <c r="BQ15" s="97">
        <v>7</v>
      </c>
      <c r="BR15" s="97">
        <v>7</v>
      </c>
      <c r="BS15" s="97">
        <v>7</v>
      </c>
      <c r="BT15" s="97">
        <v>7</v>
      </c>
      <c r="BU15" s="97">
        <v>7</v>
      </c>
      <c r="BV15" s="97">
        <v>7</v>
      </c>
      <c r="BW15" s="97">
        <v>7</v>
      </c>
      <c r="BX15" s="97">
        <v>7</v>
      </c>
      <c r="BY15" s="97">
        <v>7</v>
      </c>
      <c r="BZ15" s="97">
        <v>7</v>
      </c>
      <c r="CA15" s="97">
        <v>8</v>
      </c>
      <c r="CB15" s="97">
        <v>8</v>
      </c>
      <c r="CC15" s="97">
        <v>8</v>
      </c>
      <c r="CD15" s="97">
        <v>8</v>
      </c>
      <c r="CE15" s="97">
        <v>8</v>
      </c>
      <c r="CF15" s="97">
        <v>8</v>
      </c>
      <c r="CG15" s="97">
        <v>8</v>
      </c>
      <c r="CH15" s="97">
        <v>8</v>
      </c>
      <c r="CI15" s="97">
        <v>8</v>
      </c>
      <c r="CJ15" s="97">
        <v>8</v>
      </c>
      <c r="CK15" s="97">
        <v>8</v>
      </c>
      <c r="CL15" s="97">
        <v>8</v>
      </c>
      <c r="CM15" s="97">
        <v>9</v>
      </c>
      <c r="CN15" s="97">
        <v>9</v>
      </c>
      <c r="CO15" s="97">
        <v>9</v>
      </c>
      <c r="CP15" s="97">
        <v>9</v>
      </c>
      <c r="CQ15" s="97">
        <v>9</v>
      </c>
      <c r="CR15" s="97">
        <v>9</v>
      </c>
      <c r="CS15" s="97">
        <v>9</v>
      </c>
      <c r="CT15" s="97">
        <v>9</v>
      </c>
      <c r="CU15" s="97">
        <v>9</v>
      </c>
      <c r="CV15" s="97">
        <v>9</v>
      </c>
      <c r="CW15" s="97">
        <v>9</v>
      </c>
      <c r="CX15" s="97">
        <v>9</v>
      </c>
      <c r="CY15" s="97">
        <v>10</v>
      </c>
      <c r="CZ15" s="97">
        <v>10</v>
      </c>
      <c r="DA15" s="97">
        <v>10</v>
      </c>
      <c r="DB15" s="97">
        <v>10</v>
      </c>
      <c r="DC15" s="97">
        <v>10</v>
      </c>
      <c r="DD15" s="97">
        <v>10</v>
      </c>
      <c r="DE15" s="97">
        <v>10</v>
      </c>
      <c r="DF15" s="97">
        <v>10</v>
      </c>
      <c r="DG15" s="97">
        <v>10</v>
      </c>
      <c r="DH15" s="97">
        <v>10</v>
      </c>
      <c r="DI15" s="97">
        <v>10</v>
      </c>
      <c r="DJ15" s="97">
        <v>10</v>
      </c>
      <c r="DK15" s="97">
        <v>11</v>
      </c>
      <c r="DL15" s="97">
        <v>11</v>
      </c>
      <c r="DM15" s="97">
        <v>11</v>
      </c>
      <c r="DN15" s="97">
        <v>11</v>
      </c>
      <c r="DO15" s="97">
        <v>11</v>
      </c>
      <c r="DP15" s="97">
        <v>11</v>
      </c>
      <c r="DQ15" s="97">
        <v>11</v>
      </c>
      <c r="DR15" s="97">
        <v>11</v>
      </c>
      <c r="DS15" s="97">
        <v>11</v>
      </c>
      <c r="DT15" s="97">
        <v>11</v>
      </c>
      <c r="DU15" s="97">
        <v>11</v>
      </c>
      <c r="DV15" s="97">
        <v>11</v>
      </c>
      <c r="DW15" s="97">
        <v>12</v>
      </c>
      <c r="DX15" s="97">
        <v>12</v>
      </c>
      <c r="DY15" s="97">
        <v>12</v>
      </c>
      <c r="DZ15" s="97">
        <v>12</v>
      </c>
      <c r="EA15" s="97">
        <v>12</v>
      </c>
      <c r="EB15" s="97">
        <v>12</v>
      </c>
      <c r="EC15" s="97">
        <v>12</v>
      </c>
      <c r="ED15" s="97">
        <v>12</v>
      </c>
      <c r="EE15" s="97">
        <v>12</v>
      </c>
      <c r="EF15" s="97">
        <v>12</v>
      </c>
      <c r="EG15" s="97">
        <v>12</v>
      </c>
      <c r="EH15" s="97">
        <v>12</v>
      </c>
      <c r="EI15" s="97">
        <v>13</v>
      </c>
      <c r="EJ15" s="97">
        <v>13</v>
      </c>
      <c r="EK15" s="97">
        <v>13</v>
      </c>
      <c r="EL15" s="97">
        <v>13</v>
      </c>
      <c r="EM15" s="97">
        <v>13</v>
      </c>
      <c r="EN15" s="97">
        <v>13</v>
      </c>
      <c r="EO15" s="97">
        <v>13</v>
      </c>
      <c r="EP15" s="97">
        <v>13</v>
      </c>
      <c r="EQ15" s="97">
        <v>13</v>
      </c>
      <c r="ER15" s="97">
        <v>13</v>
      </c>
      <c r="ES15" s="97">
        <v>13</v>
      </c>
      <c r="ET15" s="97">
        <v>13</v>
      </c>
      <c r="EU15" s="97">
        <v>14</v>
      </c>
      <c r="EV15" s="97">
        <v>14</v>
      </c>
      <c r="EW15" s="97">
        <v>14</v>
      </c>
      <c r="EX15" s="97">
        <v>14</v>
      </c>
      <c r="EY15" s="97">
        <v>14</v>
      </c>
      <c r="EZ15" s="97">
        <v>14</v>
      </c>
      <c r="FA15" s="97">
        <v>14</v>
      </c>
      <c r="FB15" s="97">
        <v>14</v>
      </c>
      <c r="FC15" s="97">
        <v>14</v>
      </c>
      <c r="FD15" s="97">
        <v>14</v>
      </c>
      <c r="FE15" s="97">
        <v>14</v>
      </c>
      <c r="FF15" s="97">
        <v>14</v>
      </c>
      <c r="FG15" s="97">
        <v>15</v>
      </c>
      <c r="FH15" s="97">
        <v>15</v>
      </c>
      <c r="FI15" s="97">
        <v>15</v>
      </c>
      <c r="FJ15" s="97">
        <v>15</v>
      </c>
      <c r="FK15" s="97">
        <v>15</v>
      </c>
      <c r="FL15" s="97">
        <v>15</v>
      </c>
      <c r="FM15" s="97">
        <v>15</v>
      </c>
      <c r="FN15" s="97">
        <v>15</v>
      </c>
      <c r="FO15" s="97">
        <v>15</v>
      </c>
      <c r="FP15" s="97">
        <v>15</v>
      </c>
      <c r="FQ15" s="97">
        <v>15</v>
      </c>
      <c r="FR15" s="97">
        <v>15</v>
      </c>
      <c r="FS15" s="97">
        <v>16</v>
      </c>
      <c r="FT15" s="97">
        <v>16</v>
      </c>
      <c r="FU15" s="97">
        <v>16</v>
      </c>
      <c r="FV15" s="97">
        <v>16</v>
      </c>
      <c r="FW15" s="97">
        <v>16</v>
      </c>
      <c r="FX15" s="97">
        <v>16</v>
      </c>
      <c r="FY15" s="97">
        <v>16</v>
      </c>
      <c r="FZ15" s="97">
        <v>16</v>
      </c>
      <c r="GA15" s="97">
        <v>16</v>
      </c>
      <c r="GB15" s="97">
        <v>0</v>
      </c>
      <c r="GC15" s="97">
        <v>0</v>
      </c>
      <c r="GD15" s="97">
        <v>0</v>
      </c>
      <c r="GE15" s="97">
        <v>0</v>
      </c>
      <c r="GF15" s="97">
        <v>0</v>
      </c>
      <c r="GG15" s="97">
        <v>0</v>
      </c>
      <c r="GH15" s="97">
        <v>0</v>
      </c>
      <c r="GI15" s="97">
        <v>0</v>
      </c>
      <c r="GJ15" s="97">
        <v>0</v>
      </c>
      <c r="GK15" s="97">
        <v>0</v>
      </c>
      <c r="GL15" s="97">
        <v>0</v>
      </c>
      <c r="GM15" s="97">
        <v>0</v>
      </c>
      <c r="GN15" s="97">
        <v>0</v>
      </c>
      <c r="GO15" s="97">
        <v>0</v>
      </c>
      <c r="GQ15" s="88"/>
      <c r="GR15" s="94"/>
      <c r="GS15" s="94"/>
      <c r="GT15" s="88"/>
    </row>
    <row r="16" spans="1:203">
      <c r="A16" s="101" t="s">
        <v>160</v>
      </c>
      <c r="F16" s="100">
        <v>12</v>
      </c>
      <c r="G16" s="97">
        <v>1</v>
      </c>
      <c r="H16" s="97">
        <v>2</v>
      </c>
      <c r="I16" s="97">
        <v>3</v>
      </c>
      <c r="J16" s="97">
        <v>4</v>
      </c>
      <c r="K16" s="97">
        <v>5</v>
      </c>
      <c r="L16" s="97">
        <v>6</v>
      </c>
      <c r="M16" s="97">
        <v>7</v>
      </c>
      <c r="N16" s="97">
        <v>8</v>
      </c>
      <c r="O16" s="97">
        <v>9</v>
      </c>
      <c r="P16" s="97">
        <v>10</v>
      </c>
      <c r="Q16" s="97">
        <v>11</v>
      </c>
      <c r="R16" s="97">
        <v>12</v>
      </c>
      <c r="S16" s="97">
        <v>1</v>
      </c>
      <c r="T16" s="97">
        <v>2</v>
      </c>
      <c r="U16" s="97">
        <v>3</v>
      </c>
      <c r="V16" s="97">
        <v>4</v>
      </c>
      <c r="W16" s="97">
        <v>5</v>
      </c>
      <c r="X16" s="97">
        <v>6</v>
      </c>
      <c r="Y16" s="97">
        <v>7</v>
      </c>
      <c r="Z16" s="97">
        <v>8</v>
      </c>
      <c r="AA16" s="97">
        <v>9</v>
      </c>
      <c r="AB16" s="97">
        <v>10</v>
      </c>
      <c r="AC16" s="97">
        <v>11</v>
      </c>
      <c r="AD16" s="97">
        <v>12</v>
      </c>
      <c r="AE16" s="97">
        <v>1</v>
      </c>
      <c r="AF16" s="97">
        <v>2</v>
      </c>
      <c r="AG16" s="97">
        <v>3</v>
      </c>
      <c r="AH16" s="97">
        <v>4</v>
      </c>
      <c r="AI16" s="97">
        <v>5</v>
      </c>
      <c r="AJ16" s="97">
        <v>6</v>
      </c>
      <c r="AK16" s="97">
        <v>7</v>
      </c>
      <c r="AL16" s="97">
        <v>8</v>
      </c>
      <c r="AM16" s="97">
        <v>9</v>
      </c>
      <c r="AN16" s="97">
        <v>10</v>
      </c>
      <c r="AO16" s="97">
        <v>11</v>
      </c>
      <c r="AP16" s="97">
        <v>12</v>
      </c>
      <c r="AQ16" s="97">
        <v>1</v>
      </c>
      <c r="AR16" s="97">
        <v>2</v>
      </c>
      <c r="AS16" s="97">
        <v>3</v>
      </c>
      <c r="AT16" s="97">
        <v>4</v>
      </c>
      <c r="AU16" s="97">
        <v>5</v>
      </c>
      <c r="AV16" s="97">
        <v>6</v>
      </c>
      <c r="AW16" s="97">
        <v>7</v>
      </c>
      <c r="AX16" s="97">
        <v>8</v>
      </c>
      <c r="AY16" s="97">
        <v>9</v>
      </c>
      <c r="AZ16" s="97">
        <v>10</v>
      </c>
      <c r="BA16" s="97">
        <v>11</v>
      </c>
      <c r="BB16" s="97">
        <v>12</v>
      </c>
      <c r="BC16" s="97">
        <v>1</v>
      </c>
      <c r="BD16" s="97">
        <v>2</v>
      </c>
      <c r="BE16" s="97">
        <v>3</v>
      </c>
      <c r="BF16" s="97">
        <v>4</v>
      </c>
      <c r="BG16" s="97">
        <v>5</v>
      </c>
      <c r="BH16" s="97">
        <v>6</v>
      </c>
      <c r="BI16" s="97">
        <v>7</v>
      </c>
      <c r="BJ16" s="97">
        <v>8</v>
      </c>
      <c r="BK16" s="97">
        <v>9</v>
      </c>
      <c r="BL16" s="97">
        <v>10</v>
      </c>
      <c r="BM16" s="97">
        <v>11</v>
      </c>
      <c r="BN16" s="97">
        <v>12</v>
      </c>
      <c r="BO16" s="97">
        <v>1</v>
      </c>
      <c r="BP16" s="97">
        <v>2</v>
      </c>
      <c r="BQ16" s="97">
        <v>3</v>
      </c>
      <c r="BR16" s="97">
        <v>4</v>
      </c>
      <c r="BS16" s="97">
        <v>5</v>
      </c>
      <c r="BT16" s="97">
        <v>6</v>
      </c>
      <c r="BU16" s="97">
        <v>7</v>
      </c>
      <c r="BV16" s="97">
        <v>8</v>
      </c>
      <c r="BW16" s="97">
        <v>9</v>
      </c>
      <c r="BX16" s="97">
        <v>10</v>
      </c>
      <c r="BY16" s="97">
        <v>11</v>
      </c>
      <c r="BZ16" s="97">
        <v>12</v>
      </c>
      <c r="CA16" s="97">
        <v>1</v>
      </c>
      <c r="CB16" s="97">
        <v>2</v>
      </c>
      <c r="CC16" s="97">
        <v>3</v>
      </c>
      <c r="CD16" s="97">
        <v>4</v>
      </c>
      <c r="CE16" s="97">
        <v>5</v>
      </c>
      <c r="CF16" s="97">
        <v>6</v>
      </c>
      <c r="CG16" s="97">
        <v>7</v>
      </c>
      <c r="CH16" s="97">
        <v>8</v>
      </c>
      <c r="CI16" s="97">
        <v>9</v>
      </c>
      <c r="CJ16" s="97">
        <v>10</v>
      </c>
      <c r="CK16" s="97">
        <v>11</v>
      </c>
      <c r="CL16" s="97">
        <v>12</v>
      </c>
      <c r="CM16" s="97">
        <v>1</v>
      </c>
      <c r="CN16" s="97">
        <v>2</v>
      </c>
      <c r="CO16" s="97">
        <v>3</v>
      </c>
      <c r="CP16" s="97">
        <v>4</v>
      </c>
      <c r="CQ16" s="97">
        <v>5</v>
      </c>
      <c r="CR16" s="97">
        <v>6</v>
      </c>
      <c r="CS16" s="97">
        <v>7</v>
      </c>
      <c r="CT16" s="97">
        <v>8</v>
      </c>
      <c r="CU16" s="97">
        <v>9</v>
      </c>
      <c r="CV16" s="97">
        <v>10</v>
      </c>
      <c r="CW16" s="97">
        <v>11</v>
      </c>
      <c r="CX16" s="97">
        <v>12</v>
      </c>
      <c r="CY16" s="97">
        <v>1</v>
      </c>
      <c r="CZ16" s="97">
        <v>2</v>
      </c>
      <c r="DA16" s="97">
        <v>3</v>
      </c>
      <c r="DB16" s="97">
        <v>4</v>
      </c>
      <c r="DC16" s="97">
        <v>5</v>
      </c>
      <c r="DD16" s="97">
        <v>6</v>
      </c>
      <c r="DE16" s="97">
        <v>7</v>
      </c>
      <c r="DF16" s="97">
        <v>8</v>
      </c>
      <c r="DG16" s="97">
        <v>9</v>
      </c>
      <c r="DH16" s="97">
        <v>10</v>
      </c>
      <c r="DI16" s="97">
        <v>11</v>
      </c>
      <c r="DJ16" s="97">
        <v>12</v>
      </c>
      <c r="DK16" s="97">
        <v>1</v>
      </c>
      <c r="DL16" s="97">
        <v>2</v>
      </c>
      <c r="DM16" s="97">
        <v>3</v>
      </c>
      <c r="DN16" s="97">
        <v>4</v>
      </c>
      <c r="DO16" s="97">
        <v>5</v>
      </c>
      <c r="DP16" s="97">
        <v>6</v>
      </c>
      <c r="DQ16" s="97">
        <v>7</v>
      </c>
      <c r="DR16" s="97">
        <v>8</v>
      </c>
      <c r="DS16" s="97">
        <v>9</v>
      </c>
      <c r="DT16" s="97">
        <v>10</v>
      </c>
      <c r="DU16" s="97">
        <v>11</v>
      </c>
      <c r="DV16" s="97">
        <v>12</v>
      </c>
      <c r="DW16" s="97">
        <v>1</v>
      </c>
      <c r="DX16" s="97">
        <v>2</v>
      </c>
      <c r="DY16" s="97">
        <v>3</v>
      </c>
      <c r="DZ16" s="97">
        <v>4</v>
      </c>
      <c r="EA16" s="97">
        <v>5</v>
      </c>
      <c r="EB16" s="97">
        <v>6</v>
      </c>
      <c r="EC16" s="97">
        <v>7</v>
      </c>
      <c r="ED16" s="97">
        <v>8</v>
      </c>
      <c r="EE16" s="97">
        <v>9</v>
      </c>
      <c r="EF16" s="97">
        <v>10</v>
      </c>
      <c r="EG16" s="97">
        <v>11</v>
      </c>
      <c r="EH16" s="97">
        <v>12</v>
      </c>
      <c r="EI16" s="97">
        <v>1</v>
      </c>
      <c r="EJ16" s="97">
        <v>2</v>
      </c>
      <c r="EK16" s="97">
        <v>3</v>
      </c>
      <c r="EL16" s="97">
        <v>4</v>
      </c>
      <c r="EM16" s="97">
        <v>5</v>
      </c>
      <c r="EN16" s="97">
        <v>6</v>
      </c>
      <c r="EO16" s="97">
        <v>7</v>
      </c>
      <c r="EP16" s="97">
        <v>8</v>
      </c>
      <c r="EQ16" s="97">
        <v>9</v>
      </c>
      <c r="ER16" s="97">
        <v>10</v>
      </c>
      <c r="ES16" s="97">
        <v>11</v>
      </c>
      <c r="ET16" s="97">
        <v>12</v>
      </c>
      <c r="EU16" s="97">
        <v>1</v>
      </c>
      <c r="EV16" s="97">
        <v>2</v>
      </c>
      <c r="EW16" s="97">
        <v>3</v>
      </c>
      <c r="EX16" s="97">
        <v>4</v>
      </c>
      <c r="EY16" s="97">
        <v>5</v>
      </c>
      <c r="EZ16" s="97">
        <v>6</v>
      </c>
      <c r="FA16" s="97">
        <v>7</v>
      </c>
      <c r="FB16" s="97">
        <v>8</v>
      </c>
      <c r="FC16" s="97">
        <v>9</v>
      </c>
      <c r="FD16" s="97">
        <v>10</v>
      </c>
      <c r="FE16" s="97">
        <v>11</v>
      </c>
      <c r="FF16" s="97">
        <v>12</v>
      </c>
      <c r="FG16" s="97">
        <v>1</v>
      </c>
      <c r="FH16" s="97">
        <v>2</v>
      </c>
      <c r="FI16" s="97">
        <v>3</v>
      </c>
      <c r="FJ16" s="97">
        <v>4</v>
      </c>
      <c r="FK16" s="97">
        <v>5</v>
      </c>
      <c r="FL16" s="97">
        <v>6</v>
      </c>
      <c r="FM16" s="97">
        <v>7</v>
      </c>
      <c r="FN16" s="97">
        <v>8</v>
      </c>
      <c r="FO16" s="97">
        <v>9</v>
      </c>
      <c r="FP16" s="97">
        <v>10</v>
      </c>
      <c r="FQ16" s="97">
        <v>11</v>
      </c>
      <c r="FR16" s="97">
        <v>12</v>
      </c>
      <c r="FS16" s="97">
        <v>1</v>
      </c>
      <c r="FT16" s="97">
        <v>2</v>
      </c>
      <c r="FU16" s="97">
        <v>3</v>
      </c>
      <c r="FV16" s="97">
        <v>4</v>
      </c>
      <c r="FW16" s="97">
        <v>5</v>
      </c>
      <c r="FX16" s="97">
        <v>6</v>
      </c>
      <c r="FY16" s="97">
        <v>7</v>
      </c>
      <c r="FZ16" s="97">
        <v>8</v>
      </c>
      <c r="GA16" s="97">
        <v>9</v>
      </c>
      <c r="GB16" s="97">
        <v>7</v>
      </c>
      <c r="GC16" s="97">
        <v>8</v>
      </c>
      <c r="GD16" s="97">
        <v>9</v>
      </c>
      <c r="GE16" s="97">
        <v>10</v>
      </c>
      <c r="GF16" s="97">
        <v>11</v>
      </c>
      <c r="GG16" s="97">
        <v>12</v>
      </c>
      <c r="GH16" s="97">
        <v>1</v>
      </c>
      <c r="GI16" s="97">
        <v>2</v>
      </c>
      <c r="GJ16" s="97">
        <v>3</v>
      </c>
      <c r="GK16" s="97">
        <v>4</v>
      </c>
      <c r="GL16" s="97">
        <v>5</v>
      </c>
      <c r="GM16" s="97">
        <v>6</v>
      </c>
      <c r="GN16" s="97">
        <v>7</v>
      </c>
      <c r="GO16" s="97">
        <v>8</v>
      </c>
      <c r="GQ16" s="88"/>
      <c r="GR16" s="94"/>
      <c r="GS16" s="94"/>
      <c r="GT16" s="88"/>
    </row>
    <row r="17" spans="1:203">
      <c r="A17" s="101" t="s">
        <v>161</v>
      </c>
      <c r="F17" s="100">
        <f>MONTH(F11)</f>
        <v>11</v>
      </c>
      <c r="G17" s="97">
        <f>MONTH(G11)</f>
        <v>12</v>
      </c>
      <c r="H17" s="97">
        <f t="shared" ref="H17:BS17" si="9">MONTH(H11)</f>
        <v>1</v>
      </c>
      <c r="I17" s="97">
        <f t="shared" si="9"/>
        <v>2</v>
      </c>
      <c r="J17" s="97">
        <f t="shared" si="9"/>
        <v>3</v>
      </c>
      <c r="K17" s="97">
        <f t="shared" si="9"/>
        <v>4</v>
      </c>
      <c r="L17" s="97">
        <f t="shared" si="9"/>
        <v>5</v>
      </c>
      <c r="M17" s="97">
        <f t="shared" si="9"/>
        <v>6</v>
      </c>
      <c r="N17" s="97">
        <f t="shared" si="9"/>
        <v>7</v>
      </c>
      <c r="O17" s="97">
        <f t="shared" si="9"/>
        <v>8</v>
      </c>
      <c r="P17" s="97">
        <f t="shared" si="9"/>
        <v>9</v>
      </c>
      <c r="Q17" s="97">
        <f t="shared" si="9"/>
        <v>10</v>
      </c>
      <c r="R17" s="97">
        <f t="shared" si="9"/>
        <v>11</v>
      </c>
      <c r="S17" s="97">
        <f t="shared" si="9"/>
        <v>12</v>
      </c>
      <c r="T17" s="97">
        <f t="shared" si="9"/>
        <v>1</v>
      </c>
      <c r="U17" s="97">
        <f t="shared" si="9"/>
        <v>2</v>
      </c>
      <c r="V17" s="97">
        <f t="shared" si="9"/>
        <v>3</v>
      </c>
      <c r="W17" s="97">
        <f t="shared" si="9"/>
        <v>4</v>
      </c>
      <c r="X17" s="97">
        <f t="shared" si="9"/>
        <v>5</v>
      </c>
      <c r="Y17" s="97">
        <f t="shared" si="9"/>
        <v>6</v>
      </c>
      <c r="Z17" s="97">
        <f t="shared" si="9"/>
        <v>7</v>
      </c>
      <c r="AA17" s="97">
        <f t="shared" si="9"/>
        <v>8</v>
      </c>
      <c r="AB17" s="97">
        <f t="shared" si="9"/>
        <v>9</v>
      </c>
      <c r="AC17" s="97">
        <f t="shared" si="9"/>
        <v>10</v>
      </c>
      <c r="AD17" s="97">
        <f t="shared" si="9"/>
        <v>11</v>
      </c>
      <c r="AE17" s="97">
        <f t="shared" si="9"/>
        <v>12</v>
      </c>
      <c r="AF17" s="97">
        <f t="shared" si="9"/>
        <v>1</v>
      </c>
      <c r="AG17" s="97">
        <f t="shared" si="9"/>
        <v>2</v>
      </c>
      <c r="AH17" s="97">
        <f t="shared" si="9"/>
        <v>3</v>
      </c>
      <c r="AI17" s="97">
        <f t="shared" si="9"/>
        <v>4</v>
      </c>
      <c r="AJ17" s="97">
        <f t="shared" si="9"/>
        <v>5</v>
      </c>
      <c r="AK17" s="97">
        <f t="shared" si="9"/>
        <v>6</v>
      </c>
      <c r="AL17" s="97">
        <f t="shared" si="9"/>
        <v>7</v>
      </c>
      <c r="AM17" s="97">
        <f t="shared" si="9"/>
        <v>8</v>
      </c>
      <c r="AN17" s="97">
        <f t="shared" si="9"/>
        <v>9</v>
      </c>
      <c r="AO17" s="97">
        <f t="shared" si="9"/>
        <v>10</v>
      </c>
      <c r="AP17" s="97">
        <f t="shared" si="9"/>
        <v>11</v>
      </c>
      <c r="AQ17" s="97">
        <f t="shared" si="9"/>
        <v>12</v>
      </c>
      <c r="AR17" s="97">
        <f t="shared" si="9"/>
        <v>1</v>
      </c>
      <c r="AS17" s="97">
        <f t="shared" si="9"/>
        <v>2</v>
      </c>
      <c r="AT17" s="97">
        <f t="shared" si="9"/>
        <v>3</v>
      </c>
      <c r="AU17" s="97">
        <f t="shared" si="9"/>
        <v>4</v>
      </c>
      <c r="AV17" s="97">
        <f t="shared" si="9"/>
        <v>5</v>
      </c>
      <c r="AW17" s="97">
        <f t="shared" si="9"/>
        <v>6</v>
      </c>
      <c r="AX17" s="97">
        <f t="shared" si="9"/>
        <v>7</v>
      </c>
      <c r="AY17" s="97">
        <f t="shared" si="9"/>
        <v>8</v>
      </c>
      <c r="AZ17" s="97">
        <f t="shared" si="9"/>
        <v>9</v>
      </c>
      <c r="BA17" s="97">
        <f t="shared" si="9"/>
        <v>10</v>
      </c>
      <c r="BB17" s="97">
        <f t="shared" si="9"/>
        <v>11</v>
      </c>
      <c r="BC17" s="97">
        <f t="shared" si="9"/>
        <v>12</v>
      </c>
      <c r="BD17" s="97">
        <f t="shared" si="9"/>
        <v>1</v>
      </c>
      <c r="BE17" s="97">
        <f t="shared" si="9"/>
        <v>2</v>
      </c>
      <c r="BF17" s="97">
        <f t="shared" si="9"/>
        <v>3</v>
      </c>
      <c r="BG17" s="97">
        <f t="shared" si="9"/>
        <v>4</v>
      </c>
      <c r="BH17" s="97">
        <f t="shared" si="9"/>
        <v>5</v>
      </c>
      <c r="BI17" s="97">
        <f t="shared" si="9"/>
        <v>6</v>
      </c>
      <c r="BJ17" s="97">
        <f t="shared" si="9"/>
        <v>7</v>
      </c>
      <c r="BK17" s="97">
        <f t="shared" si="9"/>
        <v>8</v>
      </c>
      <c r="BL17" s="97">
        <f t="shared" si="9"/>
        <v>9</v>
      </c>
      <c r="BM17" s="97">
        <f t="shared" si="9"/>
        <v>10</v>
      </c>
      <c r="BN17" s="97">
        <f t="shared" si="9"/>
        <v>11</v>
      </c>
      <c r="BO17" s="97">
        <f t="shared" si="9"/>
        <v>12</v>
      </c>
      <c r="BP17" s="97">
        <f t="shared" si="9"/>
        <v>1</v>
      </c>
      <c r="BQ17" s="97">
        <f t="shared" si="9"/>
        <v>2</v>
      </c>
      <c r="BR17" s="97">
        <f t="shared" si="9"/>
        <v>3</v>
      </c>
      <c r="BS17" s="97">
        <f t="shared" si="9"/>
        <v>4</v>
      </c>
      <c r="BT17" s="97">
        <f t="shared" ref="BT17:EE17" si="10">MONTH(BT11)</f>
        <v>5</v>
      </c>
      <c r="BU17" s="97">
        <f t="shared" si="10"/>
        <v>6</v>
      </c>
      <c r="BV17" s="97">
        <f t="shared" si="10"/>
        <v>7</v>
      </c>
      <c r="BW17" s="97">
        <f t="shared" si="10"/>
        <v>8</v>
      </c>
      <c r="BX17" s="97">
        <f t="shared" si="10"/>
        <v>9</v>
      </c>
      <c r="BY17" s="97">
        <f t="shared" si="10"/>
        <v>10</v>
      </c>
      <c r="BZ17" s="97">
        <f t="shared" si="10"/>
        <v>11</v>
      </c>
      <c r="CA17" s="97">
        <f t="shared" si="10"/>
        <v>12</v>
      </c>
      <c r="CB17" s="97">
        <f t="shared" si="10"/>
        <v>1</v>
      </c>
      <c r="CC17" s="97">
        <f t="shared" si="10"/>
        <v>2</v>
      </c>
      <c r="CD17" s="97">
        <f t="shared" si="10"/>
        <v>3</v>
      </c>
      <c r="CE17" s="97">
        <f t="shared" si="10"/>
        <v>4</v>
      </c>
      <c r="CF17" s="97">
        <f t="shared" si="10"/>
        <v>5</v>
      </c>
      <c r="CG17" s="97">
        <f t="shared" si="10"/>
        <v>6</v>
      </c>
      <c r="CH17" s="97">
        <f t="shared" si="10"/>
        <v>7</v>
      </c>
      <c r="CI17" s="97">
        <f t="shared" si="10"/>
        <v>8</v>
      </c>
      <c r="CJ17" s="97">
        <f t="shared" si="10"/>
        <v>9</v>
      </c>
      <c r="CK17" s="97">
        <f t="shared" si="10"/>
        <v>10</v>
      </c>
      <c r="CL17" s="97">
        <f t="shared" si="10"/>
        <v>11</v>
      </c>
      <c r="CM17" s="97">
        <f t="shared" si="10"/>
        <v>12</v>
      </c>
      <c r="CN17" s="97">
        <f t="shared" si="10"/>
        <v>1</v>
      </c>
      <c r="CO17" s="97">
        <f t="shared" si="10"/>
        <v>2</v>
      </c>
      <c r="CP17" s="97">
        <f t="shared" si="10"/>
        <v>3</v>
      </c>
      <c r="CQ17" s="97">
        <f t="shared" si="10"/>
        <v>4</v>
      </c>
      <c r="CR17" s="97">
        <f t="shared" si="10"/>
        <v>5</v>
      </c>
      <c r="CS17" s="97">
        <f t="shared" si="10"/>
        <v>6</v>
      </c>
      <c r="CT17" s="97">
        <f t="shared" si="10"/>
        <v>7</v>
      </c>
      <c r="CU17" s="97">
        <f t="shared" si="10"/>
        <v>8</v>
      </c>
      <c r="CV17" s="97">
        <f t="shared" si="10"/>
        <v>9</v>
      </c>
      <c r="CW17" s="97">
        <f t="shared" si="10"/>
        <v>10</v>
      </c>
      <c r="CX17" s="97">
        <f t="shared" si="10"/>
        <v>11</v>
      </c>
      <c r="CY17" s="97">
        <f t="shared" si="10"/>
        <v>12</v>
      </c>
      <c r="CZ17" s="97">
        <f t="shared" si="10"/>
        <v>1</v>
      </c>
      <c r="DA17" s="97">
        <f t="shared" si="10"/>
        <v>2</v>
      </c>
      <c r="DB17" s="97">
        <f t="shared" si="10"/>
        <v>3</v>
      </c>
      <c r="DC17" s="97">
        <f t="shared" si="10"/>
        <v>4</v>
      </c>
      <c r="DD17" s="97">
        <f t="shared" si="10"/>
        <v>5</v>
      </c>
      <c r="DE17" s="97">
        <f t="shared" si="10"/>
        <v>6</v>
      </c>
      <c r="DF17" s="97">
        <f t="shared" si="10"/>
        <v>7</v>
      </c>
      <c r="DG17" s="97">
        <f t="shared" si="10"/>
        <v>8</v>
      </c>
      <c r="DH17" s="97">
        <f t="shared" si="10"/>
        <v>9</v>
      </c>
      <c r="DI17" s="97">
        <f t="shared" si="10"/>
        <v>10</v>
      </c>
      <c r="DJ17" s="97">
        <f t="shared" si="10"/>
        <v>11</v>
      </c>
      <c r="DK17" s="97">
        <f t="shared" si="10"/>
        <v>12</v>
      </c>
      <c r="DL17" s="97">
        <f t="shared" si="10"/>
        <v>1</v>
      </c>
      <c r="DM17" s="97">
        <f t="shared" si="10"/>
        <v>2</v>
      </c>
      <c r="DN17" s="97">
        <f t="shared" si="10"/>
        <v>3</v>
      </c>
      <c r="DO17" s="97">
        <f t="shared" si="10"/>
        <v>4</v>
      </c>
      <c r="DP17" s="97">
        <f t="shared" si="10"/>
        <v>5</v>
      </c>
      <c r="DQ17" s="97">
        <f t="shared" si="10"/>
        <v>6</v>
      </c>
      <c r="DR17" s="97">
        <f t="shared" si="10"/>
        <v>7</v>
      </c>
      <c r="DS17" s="97">
        <f t="shared" si="10"/>
        <v>8</v>
      </c>
      <c r="DT17" s="97">
        <f t="shared" si="10"/>
        <v>9</v>
      </c>
      <c r="DU17" s="97">
        <f t="shared" si="10"/>
        <v>10</v>
      </c>
      <c r="DV17" s="97">
        <f t="shared" si="10"/>
        <v>11</v>
      </c>
      <c r="DW17" s="97">
        <f t="shared" si="10"/>
        <v>12</v>
      </c>
      <c r="DX17" s="97">
        <f t="shared" si="10"/>
        <v>1</v>
      </c>
      <c r="DY17" s="97">
        <f t="shared" si="10"/>
        <v>2</v>
      </c>
      <c r="DZ17" s="97">
        <f t="shared" si="10"/>
        <v>3</v>
      </c>
      <c r="EA17" s="97">
        <f t="shared" si="10"/>
        <v>4</v>
      </c>
      <c r="EB17" s="97">
        <f t="shared" si="10"/>
        <v>5</v>
      </c>
      <c r="EC17" s="97">
        <f t="shared" si="10"/>
        <v>6</v>
      </c>
      <c r="ED17" s="97">
        <f t="shared" si="10"/>
        <v>7</v>
      </c>
      <c r="EE17" s="97">
        <f t="shared" si="10"/>
        <v>8</v>
      </c>
      <c r="EF17" s="97">
        <f t="shared" ref="EF17:GO17" si="11">MONTH(EF11)</f>
        <v>9</v>
      </c>
      <c r="EG17" s="97">
        <f t="shared" si="11"/>
        <v>10</v>
      </c>
      <c r="EH17" s="97">
        <f t="shared" si="11"/>
        <v>11</v>
      </c>
      <c r="EI17" s="97">
        <f t="shared" si="11"/>
        <v>12</v>
      </c>
      <c r="EJ17" s="97">
        <f t="shared" si="11"/>
        <v>1</v>
      </c>
      <c r="EK17" s="97">
        <f t="shared" si="11"/>
        <v>2</v>
      </c>
      <c r="EL17" s="97">
        <f t="shared" si="11"/>
        <v>3</v>
      </c>
      <c r="EM17" s="97">
        <f t="shared" si="11"/>
        <v>4</v>
      </c>
      <c r="EN17" s="97">
        <f t="shared" si="11"/>
        <v>5</v>
      </c>
      <c r="EO17" s="97">
        <f t="shared" si="11"/>
        <v>6</v>
      </c>
      <c r="EP17" s="97">
        <f t="shared" si="11"/>
        <v>7</v>
      </c>
      <c r="EQ17" s="97">
        <f t="shared" si="11"/>
        <v>8</v>
      </c>
      <c r="ER17" s="97">
        <f t="shared" si="11"/>
        <v>9</v>
      </c>
      <c r="ES17" s="97">
        <f t="shared" si="11"/>
        <v>10</v>
      </c>
      <c r="ET17" s="97">
        <f t="shared" si="11"/>
        <v>11</v>
      </c>
      <c r="EU17" s="97">
        <f t="shared" si="11"/>
        <v>12</v>
      </c>
      <c r="EV17" s="97">
        <f t="shared" si="11"/>
        <v>1</v>
      </c>
      <c r="EW17" s="97">
        <f t="shared" si="11"/>
        <v>2</v>
      </c>
      <c r="EX17" s="97">
        <f t="shared" si="11"/>
        <v>3</v>
      </c>
      <c r="EY17" s="97">
        <f t="shared" si="11"/>
        <v>4</v>
      </c>
      <c r="EZ17" s="97">
        <f t="shared" si="11"/>
        <v>5</v>
      </c>
      <c r="FA17" s="97">
        <f t="shared" si="11"/>
        <v>6</v>
      </c>
      <c r="FB17" s="97">
        <f t="shared" si="11"/>
        <v>7</v>
      </c>
      <c r="FC17" s="97">
        <f t="shared" si="11"/>
        <v>8</v>
      </c>
      <c r="FD17" s="97">
        <f t="shared" si="11"/>
        <v>9</v>
      </c>
      <c r="FE17" s="97">
        <f t="shared" si="11"/>
        <v>10</v>
      </c>
      <c r="FF17" s="97">
        <f t="shared" si="11"/>
        <v>11</v>
      </c>
      <c r="FG17" s="97">
        <f t="shared" si="11"/>
        <v>12</v>
      </c>
      <c r="FH17" s="97">
        <f t="shared" si="11"/>
        <v>1</v>
      </c>
      <c r="FI17" s="97">
        <f t="shared" si="11"/>
        <v>2</v>
      </c>
      <c r="FJ17" s="97">
        <f t="shared" si="11"/>
        <v>3</v>
      </c>
      <c r="FK17" s="97">
        <f t="shared" si="11"/>
        <v>4</v>
      </c>
      <c r="FL17" s="97">
        <f t="shared" si="11"/>
        <v>5</v>
      </c>
      <c r="FM17" s="97">
        <f t="shared" si="11"/>
        <v>6</v>
      </c>
      <c r="FN17" s="97">
        <f t="shared" si="11"/>
        <v>7</v>
      </c>
      <c r="FO17" s="97">
        <f t="shared" si="11"/>
        <v>8</v>
      </c>
      <c r="FP17" s="97">
        <f t="shared" si="11"/>
        <v>9</v>
      </c>
      <c r="FQ17" s="97">
        <f t="shared" si="11"/>
        <v>10</v>
      </c>
      <c r="FR17" s="97">
        <f t="shared" si="11"/>
        <v>11</v>
      </c>
      <c r="FS17" s="97">
        <f t="shared" si="11"/>
        <v>12</v>
      </c>
      <c r="FT17" s="97">
        <f t="shared" si="11"/>
        <v>1</v>
      </c>
      <c r="FU17" s="97">
        <f t="shared" si="11"/>
        <v>2</v>
      </c>
      <c r="FV17" s="97">
        <f t="shared" si="11"/>
        <v>3</v>
      </c>
      <c r="FW17" s="97">
        <f t="shared" si="11"/>
        <v>4</v>
      </c>
      <c r="FX17" s="97">
        <f t="shared" si="11"/>
        <v>5</v>
      </c>
      <c r="FY17" s="97">
        <f t="shared" si="11"/>
        <v>6</v>
      </c>
      <c r="FZ17" s="97">
        <f t="shared" si="11"/>
        <v>7</v>
      </c>
      <c r="GA17" s="97">
        <f t="shared" si="11"/>
        <v>8</v>
      </c>
      <c r="GB17" s="97">
        <f t="shared" si="11"/>
        <v>9</v>
      </c>
      <c r="GC17" s="97">
        <f t="shared" si="11"/>
        <v>10</v>
      </c>
      <c r="GD17" s="97">
        <f t="shared" si="11"/>
        <v>11</v>
      </c>
      <c r="GE17" s="97">
        <f t="shared" si="11"/>
        <v>12</v>
      </c>
      <c r="GF17" s="97">
        <f t="shared" si="11"/>
        <v>1</v>
      </c>
      <c r="GG17" s="97">
        <f t="shared" si="11"/>
        <v>2</v>
      </c>
      <c r="GH17" s="97">
        <f t="shared" si="11"/>
        <v>3</v>
      </c>
      <c r="GI17" s="97">
        <f t="shared" si="11"/>
        <v>4</v>
      </c>
      <c r="GJ17" s="97">
        <f t="shared" si="11"/>
        <v>5</v>
      </c>
      <c r="GK17" s="97">
        <f t="shared" si="11"/>
        <v>6</v>
      </c>
      <c r="GL17" s="97">
        <f t="shared" si="11"/>
        <v>7</v>
      </c>
      <c r="GM17" s="97">
        <f t="shared" si="11"/>
        <v>8</v>
      </c>
      <c r="GN17" s="97">
        <f t="shared" si="11"/>
        <v>9</v>
      </c>
      <c r="GO17" s="97">
        <f t="shared" si="11"/>
        <v>10</v>
      </c>
      <c r="GQ17" s="88"/>
      <c r="GR17" s="94"/>
      <c r="GS17" s="94"/>
      <c r="GT17" s="102"/>
    </row>
    <row r="18" spans="1:203">
      <c r="A18" s="101" t="s">
        <v>162</v>
      </c>
      <c r="F18" s="100">
        <v>0</v>
      </c>
      <c r="G18" s="97">
        <v>0</v>
      </c>
      <c r="H18" s="97">
        <v>0</v>
      </c>
      <c r="I18" s="97">
        <v>0</v>
      </c>
      <c r="J18" s="97">
        <v>0</v>
      </c>
      <c r="K18" s="97">
        <v>0</v>
      </c>
      <c r="L18" s="97">
        <v>0</v>
      </c>
      <c r="M18" s="97">
        <v>0</v>
      </c>
      <c r="N18" s="97">
        <v>0</v>
      </c>
      <c r="O18" s="97">
        <v>0</v>
      </c>
      <c r="P18" s="97">
        <v>0</v>
      </c>
      <c r="Q18" s="97">
        <v>0</v>
      </c>
      <c r="R18" s="97">
        <v>0</v>
      </c>
      <c r="S18" s="97">
        <v>0</v>
      </c>
      <c r="T18" s="97">
        <v>0</v>
      </c>
      <c r="U18" s="97">
        <v>0</v>
      </c>
      <c r="V18" s="97">
        <v>0</v>
      </c>
      <c r="W18" s="97">
        <v>0</v>
      </c>
      <c r="X18" s="97">
        <v>0</v>
      </c>
      <c r="Y18" s="97">
        <v>0</v>
      </c>
      <c r="Z18" s="97">
        <v>0</v>
      </c>
      <c r="AA18" s="97">
        <v>0</v>
      </c>
      <c r="AB18" s="97">
        <v>0</v>
      </c>
      <c r="AC18" s="97">
        <v>0</v>
      </c>
      <c r="AD18" s="97">
        <v>0</v>
      </c>
      <c r="AE18" s="97">
        <v>0</v>
      </c>
      <c r="AF18" s="97">
        <v>0</v>
      </c>
      <c r="AG18" s="97">
        <v>0</v>
      </c>
      <c r="AH18" s="97">
        <v>0</v>
      </c>
      <c r="AI18" s="97">
        <v>0</v>
      </c>
      <c r="AJ18" s="97">
        <v>0</v>
      </c>
      <c r="AK18" s="97">
        <v>0</v>
      </c>
      <c r="AL18" s="97">
        <v>0</v>
      </c>
      <c r="AM18" s="97">
        <v>0</v>
      </c>
      <c r="AN18" s="97">
        <v>0</v>
      </c>
      <c r="AO18" s="97">
        <v>0</v>
      </c>
      <c r="AP18" s="97">
        <v>0</v>
      </c>
      <c r="AQ18" s="97">
        <v>0</v>
      </c>
      <c r="AR18" s="97">
        <v>0</v>
      </c>
      <c r="AS18" s="97">
        <v>0</v>
      </c>
      <c r="AT18" s="97">
        <v>0</v>
      </c>
      <c r="AU18" s="97">
        <v>0</v>
      </c>
      <c r="AV18" s="97">
        <v>0</v>
      </c>
      <c r="AW18" s="97">
        <v>0</v>
      </c>
      <c r="AX18" s="97">
        <v>0</v>
      </c>
      <c r="AY18" s="97">
        <v>0</v>
      </c>
      <c r="AZ18" s="97">
        <v>0</v>
      </c>
      <c r="BA18" s="97">
        <v>0</v>
      </c>
      <c r="BB18" s="97">
        <v>0</v>
      </c>
      <c r="BC18" s="97">
        <v>0</v>
      </c>
      <c r="BD18" s="97">
        <v>0</v>
      </c>
      <c r="BE18" s="97">
        <v>0</v>
      </c>
      <c r="BF18" s="97">
        <v>0</v>
      </c>
      <c r="BG18" s="97">
        <v>0</v>
      </c>
      <c r="BH18" s="97">
        <v>0</v>
      </c>
      <c r="BI18" s="97">
        <v>0</v>
      </c>
      <c r="BJ18" s="97">
        <v>0</v>
      </c>
      <c r="BK18" s="97">
        <v>0</v>
      </c>
      <c r="BL18" s="97">
        <v>0</v>
      </c>
      <c r="BM18" s="97">
        <v>0</v>
      </c>
      <c r="BN18" s="97">
        <v>0</v>
      </c>
      <c r="BO18" s="97">
        <v>0</v>
      </c>
      <c r="BP18" s="97">
        <v>0</v>
      </c>
      <c r="BQ18" s="97">
        <v>0</v>
      </c>
      <c r="BR18" s="97">
        <v>0</v>
      </c>
      <c r="BS18" s="97">
        <v>0</v>
      </c>
      <c r="BT18" s="97">
        <v>0</v>
      </c>
      <c r="BU18" s="97">
        <v>0</v>
      </c>
      <c r="BV18" s="97">
        <v>0</v>
      </c>
      <c r="BW18" s="97">
        <v>0</v>
      </c>
      <c r="BX18" s="97">
        <v>0</v>
      </c>
      <c r="BY18" s="97">
        <v>0</v>
      </c>
      <c r="BZ18" s="97">
        <v>0</v>
      </c>
      <c r="CA18" s="97">
        <v>0</v>
      </c>
      <c r="CB18" s="97">
        <v>0</v>
      </c>
      <c r="CC18" s="97">
        <v>0</v>
      </c>
      <c r="CD18" s="97">
        <v>0</v>
      </c>
      <c r="CE18" s="97">
        <v>0</v>
      </c>
      <c r="CF18" s="97">
        <v>0</v>
      </c>
      <c r="CG18" s="97">
        <v>0</v>
      </c>
      <c r="CH18" s="97">
        <v>0</v>
      </c>
      <c r="CI18" s="97">
        <v>0</v>
      </c>
      <c r="CJ18" s="97">
        <v>0</v>
      </c>
      <c r="CK18" s="97">
        <v>0</v>
      </c>
      <c r="CL18" s="97">
        <v>0</v>
      </c>
      <c r="CM18" s="97">
        <v>0</v>
      </c>
      <c r="CN18" s="97">
        <v>0</v>
      </c>
      <c r="CO18" s="97">
        <v>0</v>
      </c>
      <c r="CP18" s="97">
        <v>0</v>
      </c>
      <c r="CQ18" s="97">
        <v>0</v>
      </c>
      <c r="CR18" s="97">
        <v>0</v>
      </c>
      <c r="CS18" s="97">
        <v>0</v>
      </c>
      <c r="CT18" s="97">
        <v>0</v>
      </c>
      <c r="CU18" s="97">
        <v>0</v>
      </c>
      <c r="CV18" s="97">
        <v>0</v>
      </c>
      <c r="CW18" s="97">
        <v>0</v>
      </c>
      <c r="CX18" s="97">
        <v>0</v>
      </c>
      <c r="CY18" s="97">
        <v>0</v>
      </c>
      <c r="CZ18" s="97">
        <v>0</v>
      </c>
      <c r="DA18" s="97">
        <v>0</v>
      </c>
      <c r="DB18" s="97">
        <v>0</v>
      </c>
      <c r="DC18" s="97">
        <v>0</v>
      </c>
      <c r="DD18" s="97">
        <v>0</v>
      </c>
      <c r="DE18" s="97">
        <v>0</v>
      </c>
      <c r="DF18" s="97">
        <v>0</v>
      </c>
      <c r="DG18" s="97">
        <v>0</v>
      </c>
      <c r="DH18" s="97">
        <v>0</v>
      </c>
      <c r="DI18" s="97">
        <v>0</v>
      </c>
      <c r="DJ18" s="97">
        <v>0</v>
      </c>
      <c r="DK18" s="97">
        <v>0</v>
      </c>
      <c r="DL18" s="97">
        <v>0</v>
      </c>
      <c r="DM18" s="97">
        <v>0</v>
      </c>
      <c r="DN18" s="97">
        <v>0</v>
      </c>
      <c r="DO18" s="97">
        <v>0</v>
      </c>
      <c r="DP18" s="97">
        <v>0</v>
      </c>
      <c r="DQ18" s="97">
        <v>0</v>
      </c>
      <c r="DR18" s="97">
        <v>0</v>
      </c>
      <c r="DS18" s="97">
        <v>0</v>
      </c>
      <c r="DT18" s="97">
        <v>0</v>
      </c>
      <c r="DU18" s="97">
        <v>0</v>
      </c>
      <c r="DV18" s="97">
        <v>0</v>
      </c>
      <c r="DW18" s="97">
        <v>0</v>
      </c>
      <c r="DX18" s="97">
        <v>0</v>
      </c>
      <c r="DY18" s="97">
        <v>0</v>
      </c>
      <c r="DZ18" s="97">
        <v>0</v>
      </c>
      <c r="EA18" s="97">
        <v>0</v>
      </c>
      <c r="EB18" s="97">
        <v>0</v>
      </c>
      <c r="EC18" s="97">
        <v>0</v>
      </c>
      <c r="ED18" s="97">
        <v>0</v>
      </c>
      <c r="EE18" s="97">
        <v>0</v>
      </c>
      <c r="EF18" s="97">
        <v>0</v>
      </c>
      <c r="EG18" s="97">
        <v>0</v>
      </c>
      <c r="EH18" s="97">
        <v>0</v>
      </c>
      <c r="EI18" s="97">
        <v>0</v>
      </c>
      <c r="EJ18" s="97">
        <v>0</v>
      </c>
      <c r="EK18" s="97">
        <v>0</v>
      </c>
      <c r="EL18" s="97">
        <v>0</v>
      </c>
      <c r="EM18" s="97">
        <v>0</v>
      </c>
      <c r="EN18" s="97">
        <v>0</v>
      </c>
      <c r="EO18" s="97">
        <v>0</v>
      </c>
      <c r="EP18" s="97">
        <v>0</v>
      </c>
      <c r="EQ18" s="97">
        <v>0</v>
      </c>
      <c r="ER18" s="97">
        <v>0</v>
      </c>
      <c r="ES18" s="97">
        <v>0</v>
      </c>
      <c r="ET18" s="97">
        <v>0</v>
      </c>
      <c r="EU18" s="97">
        <v>0</v>
      </c>
      <c r="EV18" s="97">
        <v>0</v>
      </c>
      <c r="EW18" s="97">
        <v>0</v>
      </c>
      <c r="EX18" s="97">
        <v>0</v>
      </c>
      <c r="EY18" s="97">
        <v>0</v>
      </c>
      <c r="EZ18" s="97">
        <v>0</v>
      </c>
      <c r="FA18" s="97">
        <v>0</v>
      </c>
      <c r="FB18" s="97">
        <v>0</v>
      </c>
      <c r="FC18" s="97">
        <v>0</v>
      </c>
      <c r="FD18" s="97">
        <v>0</v>
      </c>
      <c r="FE18" s="97">
        <v>0</v>
      </c>
      <c r="FF18" s="97">
        <v>0</v>
      </c>
      <c r="FG18" s="97">
        <v>0</v>
      </c>
      <c r="FH18" s="97">
        <v>0</v>
      </c>
      <c r="FI18" s="97">
        <v>0</v>
      </c>
      <c r="FJ18" s="97">
        <v>0</v>
      </c>
      <c r="FK18" s="97">
        <v>0</v>
      </c>
      <c r="FL18" s="97">
        <v>0</v>
      </c>
      <c r="FM18" s="97">
        <v>0</v>
      </c>
      <c r="FN18" s="97">
        <v>0</v>
      </c>
      <c r="FO18" s="97">
        <v>0</v>
      </c>
      <c r="FP18" s="97">
        <v>0</v>
      </c>
      <c r="FQ18" s="97">
        <v>0</v>
      </c>
      <c r="FR18" s="97">
        <v>0</v>
      </c>
      <c r="FS18" s="97">
        <v>0</v>
      </c>
      <c r="FT18" s="97">
        <v>0</v>
      </c>
      <c r="FU18" s="97">
        <v>0</v>
      </c>
      <c r="FV18" s="97">
        <v>0</v>
      </c>
      <c r="FW18" s="97">
        <v>0</v>
      </c>
      <c r="FX18" s="97">
        <v>0</v>
      </c>
      <c r="FY18" s="97">
        <v>0</v>
      </c>
      <c r="FZ18" s="97">
        <v>0</v>
      </c>
      <c r="GA18" s="97">
        <v>0</v>
      </c>
      <c r="GB18" s="97">
        <v>0</v>
      </c>
      <c r="GC18" s="97">
        <v>0</v>
      </c>
      <c r="GD18" s="97">
        <v>0</v>
      </c>
      <c r="GE18" s="97">
        <v>0</v>
      </c>
      <c r="GF18" s="97">
        <v>0</v>
      </c>
      <c r="GG18" s="97">
        <v>0</v>
      </c>
      <c r="GH18" s="97">
        <v>0</v>
      </c>
      <c r="GI18" s="97">
        <v>0</v>
      </c>
      <c r="GJ18" s="97">
        <v>0</v>
      </c>
      <c r="GK18" s="97">
        <v>0</v>
      </c>
      <c r="GL18" s="97">
        <v>0</v>
      </c>
      <c r="GM18" s="97">
        <v>0</v>
      </c>
      <c r="GN18" s="97">
        <v>0</v>
      </c>
      <c r="GO18" s="97">
        <v>0</v>
      </c>
      <c r="GQ18" s="88"/>
      <c r="GR18" s="94"/>
      <c r="GS18" s="94"/>
      <c r="GT18" s="102"/>
    </row>
    <row r="19" spans="1:203">
      <c r="A19" s="101" t="s">
        <v>355</v>
      </c>
      <c r="F19" s="100" t="str">
        <f t="shared" ref="F19:BQ19" si="12">IF(F15=0,"M"&amp;F14,"Y"&amp;F15&amp;"M"&amp;F16)</f>
        <v>Y1M12</v>
      </c>
      <c r="G19" s="97" t="str">
        <f t="shared" si="12"/>
        <v>Y2M1</v>
      </c>
      <c r="H19" s="97" t="str">
        <f t="shared" si="12"/>
        <v>Y2M2</v>
      </c>
      <c r="I19" s="97" t="str">
        <f t="shared" si="12"/>
        <v>Y2M3</v>
      </c>
      <c r="J19" s="97" t="str">
        <f t="shared" si="12"/>
        <v>Y2M4</v>
      </c>
      <c r="K19" s="97" t="str">
        <f t="shared" si="12"/>
        <v>Y2M5</v>
      </c>
      <c r="L19" s="97" t="str">
        <f t="shared" si="12"/>
        <v>Y2M6</v>
      </c>
      <c r="M19" s="97" t="str">
        <f t="shared" si="12"/>
        <v>Y2M7</v>
      </c>
      <c r="N19" s="97" t="str">
        <f t="shared" si="12"/>
        <v>Y2M8</v>
      </c>
      <c r="O19" s="97" t="str">
        <f t="shared" si="12"/>
        <v>Y2M9</v>
      </c>
      <c r="P19" s="97" t="str">
        <f t="shared" si="12"/>
        <v>Y2M10</v>
      </c>
      <c r="Q19" s="97" t="str">
        <f t="shared" si="12"/>
        <v>Y2M11</v>
      </c>
      <c r="R19" s="97" t="str">
        <f t="shared" si="12"/>
        <v>Y2M12</v>
      </c>
      <c r="S19" s="97" t="str">
        <f t="shared" si="12"/>
        <v>Y3M1</v>
      </c>
      <c r="T19" s="97" t="str">
        <f t="shared" si="12"/>
        <v>Y3M2</v>
      </c>
      <c r="U19" s="97" t="str">
        <f t="shared" si="12"/>
        <v>Y3M3</v>
      </c>
      <c r="V19" s="97" t="str">
        <f t="shared" si="12"/>
        <v>Y3M4</v>
      </c>
      <c r="W19" s="97" t="str">
        <f t="shared" si="12"/>
        <v>Y3M5</v>
      </c>
      <c r="X19" s="97" t="str">
        <f t="shared" si="12"/>
        <v>Y3M6</v>
      </c>
      <c r="Y19" s="97" t="str">
        <f t="shared" si="12"/>
        <v>Y3M7</v>
      </c>
      <c r="Z19" s="97" t="str">
        <f t="shared" si="12"/>
        <v>Y3M8</v>
      </c>
      <c r="AA19" s="97" t="str">
        <f t="shared" si="12"/>
        <v>Y3M9</v>
      </c>
      <c r="AB19" s="97" t="str">
        <f t="shared" si="12"/>
        <v>Y3M10</v>
      </c>
      <c r="AC19" s="97" t="str">
        <f t="shared" si="12"/>
        <v>Y3M11</v>
      </c>
      <c r="AD19" s="97" t="str">
        <f t="shared" si="12"/>
        <v>Y3M12</v>
      </c>
      <c r="AE19" s="97" t="str">
        <f t="shared" si="12"/>
        <v>Y4M1</v>
      </c>
      <c r="AF19" s="97" t="str">
        <f t="shared" si="12"/>
        <v>Y4M2</v>
      </c>
      <c r="AG19" s="97" t="str">
        <f t="shared" si="12"/>
        <v>Y4M3</v>
      </c>
      <c r="AH19" s="97" t="str">
        <f t="shared" si="12"/>
        <v>Y4M4</v>
      </c>
      <c r="AI19" s="97" t="str">
        <f t="shared" si="12"/>
        <v>Y4M5</v>
      </c>
      <c r="AJ19" s="97" t="str">
        <f t="shared" si="12"/>
        <v>Y4M6</v>
      </c>
      <c r="AK19" s="97" t="str">
        <f t="shared" si="12"/>
        <v>Y4M7</v>
      </c>
      <c r="AL19" s="97" t="str">
        <f t="shared" si="12"/>
        <v>Y4M8</v>
      </c>
      <c r="AM19" s="97" t="str">
        <f t="shared" si="12"/>
        <v>Y4M9</v>
      </c>
      <c r="AN19" s="97" t="str">
        <f t="shared" si="12"/>
        <v>Y4M10</v>
      </c>
      <c r="AO19" s="97" t="str">
        <f t="shared" si="12"/>
        <v>Y4M11</v>
      </c>
      <c r="AP19" s="97" t="str">
        <f t="shared" si="12"/>
        <v>Y4M12</v>
      </c>
      <c r="AQ19" s="97" t="str">
        <f t="shared" si="12"/>
        <v>Y5M1</v>
      </c>
      <c r="AR19" s="97" t="str">
        <f t="shared" si="12"/>
        <v>Y5M2</v>
      </c>
      <c r="AS19" s="97" t="str">
        <f t="shared" si="12"/>
        <v>Y5M3</v>
      </c>
      <c r="AT19" s="97" t="str">
        <f t="shared" si="12"/>
        <v>Y5M4</v>
      </c>
      <c r="AU19" s="97" t="str">
        <f t="shared" si="12"/>
        <v>Y5M5</v>
      </c>
      <c r="AV19" s="97" t="str">
        <f t="shared" si="12"/>
        <v>Y5M6</v>
      </c>
      <c r="AW19" s="97" t="str">
        <f t="shared" si="12"/>
        <v>Y5M7</v>
      </c>
      <c r="AX19" s="97" t="str">
        <f t="shared" si="12"/>
        <v>Y5M8</v>
      </c>
      <c r="AY19" s="97" t="str">
        <f t="shared" si="12"/>
        <v>Y5M9</v>
      </c>
      <c r="AZ19" s="97" t="str">
        <f t="shared" si="12"/>
        <v>Y5M10</v>
      </c>
      <c r="BA19" s="97" t="str">
        <f t="shared" si="12"/>
        <v>Y5M11</v>
      </c>
      <c r="BB19" s="97" t="str">
        <f t="shared" si="12"/>
        <v>Y5M12</v>
      </c>
      <c r="BC19" s="97" t="str">
        <f t="shared" si="12"/>
        <v>Y6M1</v>
      </c>
      <c r="BD19" s="97" t="str">
        <f t="shared" si="12"/>
        <v>Y6M2</v>
      </c>
      <c r="BE19" s="97" t="str">
        <f t="shared" si="12"/>
        <v>Y6M3</v>
      </c>
      <c r="BF19" s="97" t="str">
        <f t="shared" si="12"/>
        <v>Y6M4</v>
      </c>
      <c r="BG19" s="97" t="str">
        <f t="shared" si="12"/>
        <v>Y6M5</v>
      </c>
      <c r="BH19" s="97" t="str">
        <f t="shared" si="12"/>
        <v>Y6M6</v>
      </c>
      <c r="BI19" s="97" t="str">
        <f t="shared" si="12"/>
        <v>Y6M7</v>
      </c>
      <c r="BJ19" s="97" t="str">
        <f t="shared" si="12"/>
        <v>Y6M8</v>
      </c>
      <c r="BK19" s="97" t="str">
        <f t="shared" si="12"/>
        <v>Y6M9</v>
      </c>
      <c r="BL19" s="97" t="str">
        <f t="shared" si="12"/>
        <v>Y6M10</v>
      </c>
      <c r="BM19" s="97" t="str">
        <f t="shared" si="12"/>
        <v>Y6M11</v>
      </c>
      <c r="BN19" s="97" t="str">
        <f t="shared" si="12"/>
        <v>Y6M12</v>
      </c>
      <c r="BO19" s="97" t="str">
        <f t="shared" si="12"/>
        <v>Y7M1</v>
      </c>
      <c r="BP19" s="97" t="str">
        <f t="shared" si="12"/>
        <v>Y7M2</v>
      </c>
      <c r="BQ19" s="97" t="str">
        <f t="shared" si="12"/>
        <v>Y7M3</v>
      </c>
      <c r="BR19" s="97" t="str">
        <f t="shared" ref="BR19:EC19" si="13">IF(BR15=0,"M"&amp;BR14,"Y"&amp;BR15&amp;"M"&amp;BR16)</f>
        <v>Y7M4</v>
      </c>
      <c r="BS19" s="97" t="str">
        <f t="shared" si="13"/>
        <v>Y7M5</v>
      </c>
      <c r="BT19" s="97" t="str">
        <f t="shared" si="13"/>
        <v>Y7M6</v>
      </c>
      <c r="BU19" s="97" t="str">
        <f t="shared" si="13"/>
        <v>Y7M7</v>
      </c>
      <c r="BV19" s="97" t="str">
        <f t="shared" si="13"/>
        <v>Y7M8</v>
      </c>
      <c r="BW19" s="97" t="str">
        <f t="shared" si="13"/>
        <v>Y7M9</v>
      </c>
      <c r="BX19" s="97" t="str">
        <f t="shared" si="13"/>
        <v>Y7M10</v>
      </c>
      <c r="BY19" s="97" t="str">
        <f t="shared" si="13"/>
        <v>Y7M11</v>
      </c>
      <c r="BZ19" s="97" t="str">
        <f t="shared" si="13"/>
        <v>Y7M12</v>
      </c>
      <c r="CA19" s="97" t="str">
        <f t="shared" si="13"/>
        <v>Y8M1</v>
      </c>
      <c r="CB19" s="97" t="str">
        <f t="shared" si="13"/>
        <v>Y8M2</v>
      </c>
      <c r="CC19" s="97" t="str">
        <f t="shared" si="13"/>
        <v>Y8M3</v>
      </c>
      <c r="CD19" s="97" t="str">
        <f t="shared" si="13"/>
        <v>Y8M4</v>
      </c>
      <c r="CE19" s="97" t="str">
        <f t="shared" si="13"/>
        <v>Y8M5</v>
      </c>
      <c r="CF19" s="97" t="str">
        <f t="shared" si="13"/>
        <v>Y8M6</v>
      </c>
      <c r="CG19" s="97" t="str">
        <f t="shared" si="13"/>
        <v>Y8M7</v>
      </c>
      <c r="CH19" s="97" t="str">
        <f t="shared" si="13"/>
        <v>Y8M8</v>
      </c>
      <c r="CI19" s="97" t="str">
        <f t="shared" si="13"/>
        <v>Y8M9</v>
      </c>
      <c r="CJ19" s="97" t="str">
        <f t="shared" si="13"/>
        <v>Y8M10</v>
      </c>
      <c r="CK19" s="97" t="str">
        <f t="shared" si="13"/>
        <v>Y8M11</v>
      </c>
      <c r="CL19" s="97" t="str">
        <f t="shared" si="13"/>
        <v>Y8M12</v>
      </c>
      <c r="CM19" s="97" t="str">
        <f t="shared" si="13"/>
        <v>Y9M1</v>
      </c>
      <c r="CN19" s="97" t="str">
        <f t="shared" si="13"/>
        <v>Y9M2</v>
      </c>
      <c r="CO19" s="97" t="str">
        <f t="shared" si="13"/>
        <v>Y9M3</v>
      </c>
      <c r="CP19" s="97" t="str">
        <f t="shared" si="13"/>
        <v>Y9M4</v>
      </c>
      <c r="CQ19" s="97" t="str">
        <f t="shared" si="13"/>
        <v>Y9M5</v>
      </c>
      <c r="CR19" s="97" t="str">
        <f t="shared" si="13"/>
        <v>Y9M6</v>
      </c>
      <c r="CS19" s="97" t="str">
        <f t="shared" si="13"/>
        <v>Y9M7</v>
      </c>
      <c r="CT19" s="97" t="str">
        <f t="shared" si="13"/>
        <v>Y9M8</v>
      </c>
      <c r="CU19" s="97" t="str">
        <f t="shared" si="13"/>
        <v>Y9M9</v>
      </c>
      <c r="CV19" s="97" t="str">
        <f t="shared" si="13"/>
        <v>Y9M10</v>
      </c>
      <c r="CW19" s="97" t="str">
        <f t="shared" si="13"/>
        <v>Y9M11</v>
      </c>
      <c r="CX19" s="97" t="str">
        <f t="shared" si="13"/>
        <v>Y9M12</v>
      </c>
      <c r="CY19" s="97" t="str">
        <f t="shared" si="13"/>
        <v>Y10M1</v>
      </c>
      <c r="CZ19" s="97" t="str">
        <f t="shared" si="13"/>
        <v>Y10M2</v>
      </c>
      <c r="DA19" s="97" t="str">
        <f t="shared" si="13"/>
        <v>Y10M3</v>
      </c>
      <c r="DB19" s="97" t="str">
        <f t="shared" si="13"/>
        <v>Y10M4</v>
      </c>
      <c r="DC19" s="97" t="str">
        <f t="shared" si="13"/>
        <v>Y10M5</v>
      </c>
      <c r="DD19" s="97" t="str">
        <f t="shared" si="13"/>
        <v>Y10M6</v>
      </c>
      <c r="DE19" s="97" t="str">
        <f t="shared" si="13"/>
        <v>Y10M7</v>
      </c>
      <c r="DF19" s="97" t="str">
        <f t="shared" si="13"/>
        <v>Y10M8</v>
      </c>
      <c r="DG19" s="97" t="str">
        <f t="shared" si="13"/>
        <v>Y10M9</v>
      </c>
      <c r="DH19" s="97" t="str">
        <f t="shared" si="13"/>
        <v>Y10M10</v>
      </c>
      <c r="DI19" s="97" t="str">
        <f t="shared" si="13"/>
        <v>Y10M11</v>
      </c>
      <c r="DJ19" s="97" t="str">
        <f t="shared" si="13"/>
        <v>Y10M12</v>
      </c>
      <c r="DK19" s="97" t="str">
        <f t="shared" si="13"/>
        <v>Y11M1</v>
      </c>
      <c r="DL19" s="97" t="str">
        <f t="shared" si="13"/>
        <v>Y11M2</v>
      </c>
      <c r="DM19" s="97" t="str">
        <f t="shared" si="13"/>
        <v>Y11M3</v>
      </c>
      <c r="DN19" s="97" t="str">
        <f t="shared" si="13"/>
        <v>Y11M4</v>
      </c>
      <c r="DO19" s="97" t="str">
        <f t="shared" si="13"/>
        <v>Y11M5</v>
      </c>
      <c r="DP19" s="97" t="str">
        <f t="shared" si="13"/>
        <v>Y11M6</v>
      </c>
      <c r="DQ19" s="97" t="str">
        <f t="shared" si="13"/>
        <v>Y11M7</v>
      </c>
      <c r="DR19" s="97" t="str">
        <f t="shared" si="13"/>
        <v>Y11M8</v>
      </c>
      <c r="DS19" s="97" t="str">
        <f t="shared" si="13"/>
        <v>Y11M9</v>
      </c>
      <c r="DT19" s="97" t="str">
        <f t="shared" si="13"/>
        <v>Y11M10</v>
      </c>
      <c r="DU19" s="97" t="str">
        <f t="shared" si="13"/>
        <v>Y11M11</v>
      </c>
      <c r="DV19" s="97" t="str">
        <f t="shared" si="13"/>
        <v>Y11M12</v>
      </c>
      <c r="DW19" s="97" t="str">
        <f t="shared" si="13"/>
        <v>Y12M1</v>
      </c>
      <c r="DX19" s="97" t="str">
        <f t="shared" si="13"/>
        <v>Y12M2</v>
      </c>
      <c r="DY19" s="97" t="str">
        <f t="shared" si="13"/>
        <v>Y12M3</v>
      </c>
      <c r="DZ19" s="97" t="str">
        <f t="shared" si="13"/>
        <v>Y12M4</v>
      </c>
      <c r="EA19" s="97" t="str">
        <f t="shared" si="13"/>
        <v>Y12M5</v>
      </c>
      <c r="EB19" s="97" t="str">
        <f t="shared" si="13"/>
        <v>Y12M6</v>
      </c>
      <c r="EC19" s="97" t="str">
        <f t="shared" si="13"/>
        <v>Y12M7</v>
      </c>
      <c r="ED19" s="97" t="str">
        <f t="shared" ref="ED19:GO19" si="14">IF(ED15=0,"M"&amp;ED14,"Y"&amp;ED15&amp;"M"&amp;ED16)</f>
        <v>Y12M8</v>
      </c>
      <c r="EE19" s="97" t="str">
        <f t="shared" si="14"/>
        <v>Y12M9</v>
      </c>
      <c r="EF19" s="97" t="str">
        <f t="shared" si="14"/>
        <v>Y12M10</v>
      </c>
      <c r="EG19" s="97" t="str">
        <f t="shared" si="14"/>
        <v>Y12M11</v>
      </c>
      <c r="EH19" s="97" t="str">
        <f t="shared" si="14"/>
        <v>Y12M12</v>
      </c>
      <c r="EI19" s="97" t="str">
        <f t="shared" si="14"/>
        <v>Y13M1</v>
      </c>
      <c r="EJ19" s="97" t="str">
        <f t="shared" si="14"/>
        <v>Y13M2</v>
      </c>
      <c r="EK19" s="97" t="str">
        <f t="shared" si="14"/>
        <v>Y13M3</v>
      </c>
      <c r="EL19" s="97" t="str">
        <f t="shared" si="14"/>
        <v>Y13M4</v>
      </c>
      <c r="EM19" s="97" t="str">
        <f t="shared" si="14"/>
        <v>Y13M5</v>
      </c>
      <c r="EN19" s="97" t="str">
        <f t="shared" si="14"/>
        <v>Y13M6</v>
      </c>
      <c r="EO19" s="97" t="str">
        <f t="shared" si="14"/>
        <v>Y13M7</v>
      </c>
      <c r="EP19" s="97" t="str">
        <f t="shared" si="14"/>
        <v>Y13M8</v>
      </c>
      <c r="EQ19" s="97" t="str">
        <f t="shared" si="14"/>
        <v>Y13M9</v>
      </c>
      <c r="ER19" s="97" t="str">
        <f t="shared" si="14"/>
        <v>Y13M10</v>
      </c>
      <c r="ES19" s="97" t="str">
        <f t="shared" si="14"/>
        <v>Y13M11</v>
      </c>
      <c r="ET19" s="97" t="str">
        <f t="shared" si="14"/>
        <v>Y13M12</v>
      </c>
      <c r="EU19" s="97" t="str">
        <f t="shared" si="14"/>
        <v>Y14M1</v>
      </c>
      <c r="EV19" s="97" t="str">
        <f t="shared" si="14"/>
        <v>Y14M2</v>
      </c>
      <c r="EW19" s="97" t="str">
        <f t="shared" si="14"/>
        <v>Y14M3</v>
      </c>
      <c r="EX19" s="97" t="str">
        <f t="shared" si="14"/>
        <v>Y14M4</v>
      </c>
      <c r="EY19" s="97" t="str">
        <f t="shared" si="14"/>
        <v>Y14M5</v>
      </c>
      <c r="EZ19" s="97" t="str">
        <f t="shared" si="14"/>
        <v>Y14M6</v>
      </c>
      <c r="FA19" s="97" t="str">
        <f t="shared" si="14"/>
        <v>Y14M7</v>
      </c>
      <c r="FB19" s="97" t="str">
        <f t="shared" si="14"/>
        <v>Y14M8</v>
      </c>
      <c r="FC19" s="97" t="str">
        <f t="shared" si="14"/>
        <v>Y14M9</v>
      </c>
      <c r="FD19" s="97" t="str">
        <f t="shared" si="14"/>
        <v>Y14M10</v>
      </c>
      <c r="FE19" s="97" t="str">
        <f t="shared" si="14"/>
        <v>Y14M11</v>
      </c>
      <c r="FF19" s="97" t="str">
        <f t="shared" si="14"/>
        <v>Y14M12</v>
      </c>
      <c r="FG19" s="97" t="str">
        <f t="shared" si="14"/>
        <v>Y15M1</v>
      </c>
      <c r="FH19" s="97" t="str">
        <f t="shared" si="14"/>
        <v>Y15M2</v>
      </c>
      <c r="FI19" s="97" t="str">
        <f t="shared" si="14"/>
        <v>Y15M3</v>
      </c>
      <c r="FJ19" s="97" t="str">
        <f t="shared" si="14"/>
        <v>Y15M4</v>
      </c>
      <c r="FK19" s="97" t="str">
        <f t="shared" si="14"/>
        <v>Y15M5</v>
      </c>
      <c r="FL19" s="97" t="str">
        <f t="shared" si="14"/>
        <v>Y15M6</v>
      </c>
      <c r="FM19" s="97" t="str">
        <f t="shared" si="14"/>
        <v>Y15M7</v>
      </c>
      <c r="FN19" s="97" t="str">
        <f t="shared" si="14"/>
        <v>Y15M8</v>
      </c>
      <c r="FO19" s="97" t="str">
        <f t="shared" si="14"/>
        <v>Y15M9</v>
      </c>
      <c r="FP19" s="97" t="str">
        <f t="shared" si="14"/>
        <v>Y15M10</v>
      </c>
      <c r="FQ19" s="97" t="str">
        <f t="shared" si="14"/>
        <v>Y15M11</v>
      </c>
      <c r="FR19" s="97" t="str">
        <f t="shared" si="14"/>
        <v>Y15M12</v>
      </c>
      <c r="FS19" s="97" t="str">
        <f t="shared" si="14"/>
        <v>Y16M1</v>
      </c>
      <c r="FT19" s="97" t="str">
        <f t="shared" si="14"/>
        <v>Y16M2</v>
      </c>
      <c r="FU19" s="97" t="str">
        <f t="shared" si="14"/>
        <v>Y16M3</v>
      </c>
      <c r="FV19" s="97" t="str">
        <f t="shared" si="14"/>
        <v>Y16M4</v>
      </c>
      <c r="FW19" s="97" t="str">
        <f t="shared" si="14"/>
        <v>Y16M5</v>
      </c>
      <c r="FX19" s="97" t="str">
        <f t="shared" si="14"/>
        <v>Y16M6</v>
      </c>
      <c r="FY19" s="97" t="str">
        <f t="shared" si="14"/>
        <v>Y16M7</v>
      </c>
      <c r="FZ19" s="97" t="str">
        <f t="shared" si="14"/>
        <v>Y16M8</v>
      </c>
      <c r="GA19" s="97" t="str">
        <f t="shared" si="14"/>
        <v>Y16M9</v>
      </c>
      <c r="GB19" s="97" t="str">
        <f t="shared" si="14"/>
        <v>M175</v>
      </c>
      <c r="GC19" s="97" t="str">
        <f t="shared" si="14"/>
        <v>M176</v>
      </c>
      <c r="GD19" s="97" t="str">
        <f t="shared" si="14"/>
        <v>M177</v>
      </c>
      <c r="GE19" s="97" t="str">
        <f t="shared" si="14"/>
        <v>M178</v>
      </c>
      <c r="GF19" s="97" t="str">
        <f t="shared" si="14"/>
        <v>M179</v>
      </c>
      <c r="GG19" s="97" t="str">
        <f t="shared" si="14"/>
        <v>M180</v>
      </c>
      <c r="GH19" s="97" t="str">
        <f t="shared" si="14"/>
        <v>M181</v>
      </c>
      <c r="GI19" s="97" t="str">
        <f t="shared" si="14"/>
        <v>M182</v>
      </c>
      <c r="GJ19" s="97" t="str">
        <f t="shared" si="14"/>
        <v>M183</v>
      </c>
      <c r="GK19" s="97" t="str">
        <f t="shared" si="14"/>
        <v>M184</v>
      </c>
      <c r="GL19" s="97" t="str">
        <f t="shared" si="14"/>
        <v>M185</v>
      </c>
      <c r="GM19" s="97" t="str">
        <f t="shared" si="14"/>
        <v>M186</v>
      </c>
      <c r="GN19" s="97" t="str">
        <f t="shared" si="14"/>
        <v>M187</v>
      </c>
      <c r="GO19" s="97" t="str">
        <f t="shared" si="14"/>
        <v>M188</v>
      </c>
      <c r="GQ19" s="88"/>
      <c r="GR19" s="94"/>
      <c r="GS19" s="94"/>
      <c r="GT19" s="102"/>
    </row>
    <row r="20" spans="1:203">
      <c r="A20" s="101" t="s">
        <v>163</v>
      </c>
      <c r="F20" s="100" t="str">
        <f t="shared" ref="F20:BQ20" si="15">IF(F14&lt;0,"Pre","Q"&amp;INT((F14-1)/3)+1)</f>
        <v>Q4</v>
      </c>
      <c r="G20" s="97" t="str">
        <f t="shared" si="15"/>
        <v>Q5</v>
      </c>
      <c r="H20" s="97" t="str">
        <f t="shared" si="15"/>
        <v>Q5</v>
      </c>
      <c r="I20" s="97" t="str">
        <f t="shared" si="15"/>
        <v>Q5</v>
      </c>
      <c r="J20" s="97" t="str">
        <f t="shared" si="15"/>
        <v>Q6</v>
      </c>
      <c r="K20" s="97" t="str">
        <f t="shared" si="15"/>
        <v>Q6</v>
      </c>
      <c r="L20" s="97" t="str">
        <f t="shared" si="15"/>
        <v>Q6</v>
      </c>
      <c r="M20" s="97" t="str">
        <f t="shared" si="15"/>
        <v>Q7</v>
      </c>
      <c r="N20" s="97" t="str">
        <f t="shared" si="15"/>
        <v>Q7</v>
      </c>
      <c r="O20" s="97" t="str">
        <f t="shared" si="15"/>
        <v>Q7</v>
      </c>
      <c r="P20" s="97" t="str">
        <f t="shared" si="15"/>
        <v>Q8</v>
      </c>
      <c r="Q20" s="97" t="str">
        <f t="shared" si="15"/>
        <v>Q8</v>
      </c>
      <c r="R20" s="97" t="str">
        <f t="shared" si="15"/>
        <v>Q8</v>
      </c>
      <c r="S20" s="97" t="str">
        <f t="shared" si="15"/>
        <v>Q9</v>
      </c>
      <c r="T20" s="97" t="str">
        <f t="shared" si="15"/>
        <v>Q9</v>
      </c>
      <c r="U20" s="97" t="str">
        <f t="shared" si="15"/>
        <v>Q9</v>
      </c>
      <c r="V20" s="97" t="str">
        <f t="shared" si="15"/>
        <v>Q10</v>
      </c>
      <c r="W20" s="97" t="str">
        <f t="shared" si="15"/>
        <v>Q10</v>
      </c>
      <c r="X20" s="97" t="str">
        <f t="shared" si="15"/>
        <v>Q10</v>
      </c>
      <c r="Y20" s="97" t="str">
        <f t="shared" si="15"/>
        <v>Q11</v>
      </c>
      <c r="Z20" s="97" t="str">
        <f t="shared" si="15"/>
        <v>Q11</v>
      </c>
      <c r="AA20" s="97" t="str">
        <f t="shared" si="15"/>
        <v>Q11</v>
      </c>
      <c r="AB20" s="97" t="str">
        <f t="shared" si="15"/>
        <v>Q12</v>
      </c>
      <c r="AC20" s="97" t="str">
        <f t="shared" si="15"/>
        <v>Q12</v>
      </c>
      <c r="AD20" s="97" t="str">
        <f t="shared" si="15"/>
        <v>Q12</v>
      </c>
      <c r="AE20" s="97" t="str">
        <f t="shared" si="15"/>
        <v>Q13</v>
      </c>
      <c r="AF20" s="97" t="str">
        <f t="shared" si="15"/>
        <v>Q13</v>
      </c>
      <c r="AG20" s="97" t="str">
        <f t="shared" si="15"/>
        <v>Q13</v>
      </c>
      <c r="AH20" s="97" t="str">
        <f t="shared" si="15"/>
        <v>Q14</v>
      </c>
      <c r="AI20" s="97" t="str">
        <f t="shared" si="15"/>
        <v>Q14</v>
      </c>
      <c r="AJ20" s="97" t="str">
        <f t="shared" si="15"/>
        <v>Q14</v>
      </c>
      <c r="AK20" s="97" t="str">
        <f t="shared" si="15"/>
        <v>Q15</v>
      </c>
      <c r="AL20" s="97" t="str">
        <f t="shared" si="15"/>
        <v>Q15</v>
      </c>
      <c r="AM20" s="97" t="str">
        <f t="shared" si="15"/>
        <v>Q15</v>
      </c>
      <c r="AN20" s="97" t="str">
        <f t="shared" si="15"/>
        <v>Q16</v>
      </c>
      <c r="AO20" s="97" t="str">
        <f t="shared" si="15"/>
        <v>Q16</v>
      </c>
      <c r="AP20" s="97" t="str">
        <f t="shared" si="15"/>
        <v>Q16</v>
      </c>
      <c r="AQ20" s="97" t="str">
        <f t="shared" si="15"/>
        <v>Q17</v>
      </c>
      <c r="AR20" s="97" t="str">
        <f t="shared" si="15"/>
        <v>Q17</v>
      </c>
      <c r="AS20" s="97" t="str">
        <f t="shared" si="15"/>
        <v>Q17</v>
      </c>
      <c r="AT20" s="97" t="str">
        <f t="shared" si="15"/>
        <v>Q18</v>
      </c>
      <c r="AU20" s="97" t="str">
        <f t="shared" si="15"/>
        <v>Q18</v>
      </c>
      <c r="AV20" s="97" t="str">
        <f t="shared" si="15"/>
        <v>Q18</v>
      </c>
      <c r="AW20" s="97" t="str">
        <f t="shared" si="15"/>
        <v>Q19</v>
      </c>
      <c r="AX20" s="97" t="str">
        <f t="shared" si="15"/>
        <v>Q19</v>
      </c>
      <c r="AY20" s="97" t="str">
        <f t="shared" si="15"/>
        <v>Q19</v>
      </c>
      <c r="AZ20" s="97" t="str">
        <f t="shared" si="15"/>
        <v>Q20</v>
      </c>
      <c r="BA20" s="97" t="str">
        <f t="shared" si="15"/>
        <v>Q20</v>
      </c>
      <c r="BB20" s="97" t="str">
        <f t="shared" si="15"/>
        <v>Q20</v>
      </c>
      <c r="BC20" s="97" t="str">
        <f t="shared" si="15"/>
        <v>Q21</v>
      </c>
      <c r="BD20" s="97" t="str">
        <f t="shared" si="15"/>
        <v>Q21</v>
      </c>
      <c r="BE20" s="97" t="str">
        <f t="shared" si="15"/>
        <v>Q21</v>
      </c>
      <c r="BF20" s="97" t="str">
        <f t="shared" si="15"/>
        <v>Q22</v>
      </c>
      <c r="BG20" s="97" t="str">
        <f t="shared" si="15"/>
        <v>Q22</v>
      </c>
      <c r="BH20" s="97" t="str">
        <f t="shared" si="15"/>
        <v>Q22</v>
      </c>
      <c r="BI20" s="97" t="str">
        <f t="shared" si="15"/>
        <v>Q23</v>
      </c>
      <c r="BJ20" s="97" t="str">
        <f t="shared" si="15"/>
        <v>Q23</v>
      </c>
      <c r="BK20" s="97" t="str">
        <f t="shared" si="15"/>
        <v>Q23</v>
      </c>
      <c r="BL20" s="97" t="str">
        <f t="shared" si="15"/>
        <v>Q24</v>
      </c>
      <c r="BM20" s="97" t="str">
        <f t="shared" si="15"/>
        <v>Q24</v>
      </c>
      <c r="BN20" s="97" t="str">
        <f t="shared" si="15"/>
        <v>Q24</v>
      </c>
      <c r="BO20" s="97" t="str">
        <f t="shared" si="15"/>
        <v>Q25</v>
      </c>
      <c r="BP20" s="97" t="str">
        <f t="shared" si="15"/>
        <v>Q25</v>
      </c>
      <c r="BQ20" s="97" t="str">
        <f t="shared" si="15"/>
        <v>Q25</v>
      </c>
      <c r="BR20" s="97" t="str">
        <f t="shared" ref="BR20:EC20" si="16">IF(BR14&lt;0,"Pre","Q"&amp;INT((BR14-1)/3)+1)</f>
        <v>Q26</v>
      </c>
      <c r="BS20" s="97" t="str">
        <f t="shared" si="16"/>
        <v>Q26</v>
      </c>
      <c r="BT20" s="97" t="str">
        <f t="shared" si="16"/>
        <v>Q26</v>
      </c>
      <c r="BU20" s="97" t="str">
        <f t="shared" si="16"/>
        <v>Q27</v>
      </c>
      <c r="BV20" s="97" t="str">
        <f t="shared" si="16"/>
        <v>Q27</v>
      </c>
      <c r="BW20" s="97" t="str">
        <f t="shared" si="16"/>
        <v>Q27</v>
      </c>
      <c r="BX20" s="97" t="str">
        <f t="shared" si="16"/>
        <v>Q28</v>
      </c>
      <c r="BY20" s="97" t="str">
        <f t="shared" si="16"/>
        <v>Q28</v>
      </c>
      <c r="BZ20" s="97" t="str">
        <f t="shared" si="16"/>
        <v>Q28</v>
      </c>
      <c r="CA20" s="97" t="str">
        <f t="shared" si="16"/>
        <v>Q29</v>
      </c>
      <c r="CB20" s="97" t="str">
        <f t="shared" si="16"/>
        <v>Q29</v>
      </c>
      <c r="CC20" s="97" t="str">
        <f t="shared" si="16"/>
        <v>Q29</v>
      </c>
      <c r="CD20" s="97" t="str">
        <f t="shared" si="16"/>
        <v>Q30</v>
      </c>
      <c r="CE20" s="97" t="str">
        <f t="shared" si="16"/>
        <v>Q30</v>
      </c>
      <c r="CF20" s="97" t="str">
        <f t="shared" si="16"/>
        <v>Q30</v>
      </c>
      <c r="CG20" s="97" t="str">
        <f t="shared" si="16"/>
        <v>Q31</v>
      </c>
      <c r="CH20" s="97" t="str">
        <f t="shared" si="16"/>
        <v>Q31</v>
      </c>
      <c r="CI20" s="97" t="str">
        <f t="shared" si="16"/>
        <v>Q31</v>
      </c>
      <c r="CJ20" s="97" t="str">
        <f t="shared" si="16"/>
        <v>Q32</v>
      </c>
      <c r="CK20" s="97" t="str">
        <f t="shared" si="16"/>
        <v>Q32</v>
      </c>
      <c r="CL20" s="97" t="str">
        <f t="shared" si="16"/>
        <v>Q32</v>
      </c>
      <c r="CM20" s="97" t="str">
        <f t="shared" si="16"/>
        <v>Q33</v>
      </c>
      <c r="CN20" s="97" t="str">
        <f t="shared" si="16"/>
        <v>Q33</v>
      </c>
      <c r="CO20" s="97" t="str">
        <f t="shared" si="16"/>
        <v>Q33</v>
      </c>
      <c r="CP20" s="97" t="str">
        <f t="shared" si="16"/>
        <v>Q34</v>
      </c>
      <c r="CQ20" s="97" t="str">
        <f t="shared" si="16"/>
        <v>Q34</v>
      </c>
      <c r="CR20" s="97" t="str">
        <f t="shared" si="16"/>
        <v>Q34</v>
      </c>
      <c r="CS20" s="97" t="str">
        <f t="shared" si="16"/>
        <v>Q35</v>
      </c>
      <c r="CT20" s="97" t="str">
        <f t="shared" si="16"/>
        <v>Q35</v>
      </c>
      <c r="CU20" s="97" t="str">
        <f t="shared" si="16"/>
        <v>Q35</v>
      </c>
      <c r="CV20" s="97" t="str">
        <f t="shared" si="16"/>
        <v>Q36</v>
      </c>
      <c r="CW20" s="97" t="str">
        <f t="shared" si="16"/>
        <v>Q36</v>
      </c>
      <c r="CX20" s="97" t="str">
        <f t="shared" si="16"/>
        <v>Q36</v>
      </c>
      <c r="CY20" s="97" t="str">
        <f t="shared" si="16"/>
        <v>Q37</v>
      </c>
      <c r="CZ20" s="97" t="str">
        <f t="shared" si="16"/>
        <v>Q37</v>
      </c>
      <c r="DA20" s="97" t="str">
        <f t="shared" si="16"/>
        <v>Q37</v>
      </c>
      <c r="DB20" s="97" t="str">
        <f t="shared" si="16"/>
        <v>Q38</v>
      </c>
      <c r="DC20" s="97" t="str">
        <f t="shared" si="16"/>
        <v>Q38</v>
      </c>
      <c r="DD20" s="97" t="str">
        <f t="shared" si="16"/>
        <v>Q38</v>
      </c>
      <c r="DE20" s="97" t="str">
        <f t="shared" si="16"/>
        <v>Q39</v>
      </c>
      <c r="DF20" s="97" t="str">
        <f t="shared" si="16"/>
        <v>Q39</v>
      </c>
      <c r="DG20" s="97" t="str">
        <f t="shared" si="16"/>
        <v>Q39</v>
      </c>
      <c r="DH20" s="97" t="str">
        <f t="shared" si="16"/>
        <v>Q40</v>
      </c>
      <c r="DI20" s="97" t="str">
        <f t="shared" si="16"/>
        <v>Q40</v>
      </c>
      <c r="DJ20" s="97" t="str">
        <f t="shared" si="16"/>
        <v>Q40</v>
      </c>
      <c r="DK20" s="97" t="str">
        <f t="shared" si="16"/>
        <v>Q41</v>
      </c>
      <c r="DL20" s="97" t="str">
        <f t="shared" si="16"/>
        <v>Q41</v>
      </c>
      <c r="DM20" s="97" t="str">
        <f t="shared" si="16"/>
        <v>Q41</v>
      </c>
      <c r="DN20" s="97" t="str">
        <f t="shared" si="16"/>
        <v>Q42</v>
      </c>
      <c r="DO20" s="97" t="str">
        <f t="shared" si="16"/>
        <v>Q42</v>
      </c>
      <c r="DP20" s="97" t="str">
        <f t="shared" si="16"/>
        <v>Q42</v>
      </c>
      <c r="DQ20" s="97" t="str">
        <f t="shared" si="16"/>
        <v>Q43</v>
      </c>
      <c r="DR20" s="97" t="str">
        <f t="shared" si="16"/>
        <v>Q43</v>
      </c>
      <c r="DS20" s="97" t="str">
        <f t="shared" si="16"/>
        <v>Q43</v>
      </c>
      <c r="DT20" s="97" t="str">
        <f t="shared" si="16"/>
        <v>Q44</v>
      </c>
      <c r="DU20" s="97" t="str">
        <f t="shared" si="16"/>
        <v>Q44</v>
      </c>
      <c r="DV20" s="97" t="str">
        <f t="shared" si="16"/>
        <v>Q44</v>
      </c>
      <c r="DW20" s="97" t="str">
        <f t="shared" si="16"/>
        <v>Q45</v>
      </c>
      <c r="DX20" s="97" t="str">
        <f t="shared" si="16"/>
        <v>Q45</v>
      </c>
      <c r="DY20" s="97" t="str">
        <f t="shared" si="16"/>
        <v>Q45</v>
      </c>
      <c r="DZ20" s="97" t="str">
        <f t="shared" si="16"/>
        <v>Q46</v>
      </c>
      <c r="EA20" s="97" t="str">
        <f t="shared" si="16"/>
        <v>Q46</v>
      </c>
      <c r="EB20" s="97" t="str">
        <f t="shared" si="16"/>
        <v>Q46</v>
      </c>
      <c r="EC20" s="97" t="str">
        <f t="shared" si="16"/>
        <v>Q47</v>
      </c>
      <c r="ED20" s="97" t="str">
        <f t="shared" ref="ED20:GO20" si="17">IF(ED14&lt;0,"Pre","Q"&amp;INT((ED14-1)/3)+1)</f>
        <v>Q47</v>
      </c>
      <c r="EE20" s="97" t="str">
        <f t="shared" si="17"/>
        <v>Q47</v>
      </c>
      <c r="EF20" s="97" t="str">
        <f t="shared" si="17"/>
        <v>Q48</v>
      </c>
      <c r="EG20" s="97" t="str">
        <f t="shared" si="17"/>
        <v>Q48</v>
      </c>
      <c r="EH20" s="97" t="str">
        <f t="shared" si="17"/>
        <v>Q48</v>
      </c>
      <c r="EI20" s="97" t="str">
        <f t="shared" si="17"/>
        <v>Q49</v>
      </c>
      <c r="EJ20" s="97" t="str">
        <f t="shared" si="17"/>
        <v>Q49</v>
      </c>
      <c r="EK20" s="97" t="str">
        <f t="shared" si="17"/>
        <v>Q49</v>
      </c>
      <c r="EL20" s="97" t="str">
        <f t="shared" si="17"/>
        <v>Q50</v>
      </c>
      <c r="EM20" s="97" t="str">
        <f t="shared" si="17"/>
        <v>Q50</v>
      </c>
      <c r="EN20" s="97" t="str">
        <f t="shared" si="17"/>
        <v>Q50</v>
      </c>
      <c r="EO20" s="97" t="str">
        <f t="shared" si="17"/>
        <v>Q51</v>
      </c>
      <c r="EP20" s="97" t="str">
        <f t="shared" si="17"/>
        <v>Q51</v>
      </c>
      <c r="EQ20" s="97" t="str">
        <f t="shared" si="17"/>
        <v>Q51</v>
      </c>
      <c r="ER20" s="97" t="str">
        <f t="shared" si="17"/>
        <v>Q52</v>
      </c>
      <c r="ES20" s="97" t="str">
        <f t="shared" si="17"/>
        <v>Q52</v>
      </c>
      <c r="ET20" s="97" t="str">
        <f t="shared" si="17"/>
        <v>Q52</v>
      </c>
      <c r="EU20" s="97" t="str">
        <f t="shared" si="17"/>
        <v>Q53</v>
      </c>
      <c r="EV20" s="97" t="str">
        <f t="shared" si="17"/>
        <v>Q53</v>
      </c>
      <c r="EW20" s="97" t="str">
        <f t="shared" si="17"/>
        <v>Q53</v>
      </c>
      <c r="EX20" s="97" t="str">
        <f t="shared" si="17"/>
        <v>Q54</v>
      </c>
      <c r="EY20" s="97" t="str">
        <f t="shared" si="17"/>
        <v>Q54</v>
      </c>
      <c r="EZ20" s="97" t="str">
        <f t="shared" si="17"/>
        <v>Q54</v>
      </c>
      <c r="FA20" s="97" t="str">
        <f t="shared" si="17"/>
        <v>Q55</v>
      </c>
      <c r="FB20" s="97" t="str">
        <f t="shared" si="17"/>
        <v>Q55</v>
      </c>
      <c r="FC20" s="97" t="str">
        <f t="shared" si="17"/>
        <v>Q55</v>
      </c>
      <c r="FD20" s="97" t="str">
        <f t="shared" si="17"/>
        <v>Q56</v>
      </c>
      <c r="FE20" s="97" t="str">
        <f t="shared" si="17"/>
        <v>Q56</v>
      </c>
      <c r="FF20" s="97" t="str">
        <f t="shared" si="17"/>
        <v>Q56</v>
      </c>
      <c r="FG20" s="97" t="str">
        <f t="shared" si="17"/>
        <v>Q57</v>
      </c>
      <c r="FH20" s="97" t="str">
        <f t="shared" si="17"/>
        <v>Q57</v>
      </c>
      <c r="FI20" s="97" t="str">
        <f t="shared" si="17"/>
        <v>Q57</v>
      </c>
      <c r="FJ20" s="97" t="str">
        <f t="shared" si="17"/>
        <v>Q58</v>
      </c>
      <c r="FK20" s="97" t="str">
        <f t="shared" si="17"/>
        <v>Q58</v>
      </c>
      <c r="FL20" s="97" t="str">
        <f t="shared" si="17"/>
        <v>Q58</v>
      </c>
      <c r="FM20" s="97" t="str">
        <f t="shared" si="17"/>
        <v>Q59</v>
      </c>
      <c r="FN20" s="97" t="str">
        <f t="shared" si="17"/>
        <v>Q59</v>
      </c>
      <c r="FO20" s="97" t="str">
        <f t="shared" si="17"/>
        <v>Q59</v>
      </c>
      <c r="FP20" s="97" t="str">
        <f t="shared" si="17"/>
        <v>Q60</v>
      </c>
      <c r="FQ20" s="97" t="str">
        <f t="shared" si="17"/>
        <v>Q60</v>
      </c>
      <c r="FR20" s="97" t="str">
        <f t="shared" si="17"/>
        <v>Q60</v>
      </c>
      <c r="FS20" s="97" t="str">
        <f t="shared" si="17"/>
        <v>Q61</v>
      </c>
      <c r="FT20" s="97" t="str">
        <f t="shared" si="17"/>
        <v>Q61</v>
      </c>
      <c r="FU20" s="97" t="str">
        <f t="shared" si="17"/>
        <v>Q61</v>
      </c>
      <c r="FV20" s="97" t="str">
        <f t="shared" si="17"/>
        <v>Q62</v>
      </c>
      <c r="FW20" s="97" t="str">
        <f t="shared" si="17"/>
        <v>Q62</v>
      </c>
      <c r="FX20" s="97" t="str">
        <f t="shared" si="17"/>
        <v>Q62</v>
      </c>
      <c r="FY20" s="97" t="str">
        <f t="shared" si="17"/>
        <v>Q63</v>
      </c>
      <c r="FZ20" s="97" t="str">
        <f t="shared" si="17"/>
        <v>Q63</v>
      </c>
      <c r="GA20" s="97" t="str">
        <f t="shared" si="17"/>
        <v>Q63</v>
      </c>
      <c r="GB20" s="97" t="str">
        <f t="shared" si="17"/>
        <v>Q59</v>
      </c>
      <c r="GC20" s="97" t="str">
        <f t="shared" si="17"/>
        <v>Q59</v>
      </c>
      <c r="GD20" s="97" t="str">
        <f t="shared" si="17"/>
        <v>Q59</v>
      </c>
      <c r="GE20" s="97" t="str">
        <f t="shared" si="17"/>
        <v>Q60</v>
      </c>
      <c r="GF20" s="97" t="str">
        <f t="shared" si="17"/>
        <v>Q60</v>
      </c>
      <c r="GG20" s="97" t="str">
        <f t="shared" si="17"/>
        <v>Q60</v>
      </c>
      <c r="GH20" s="97" t="str">
        <f t="shared" si="17"/>
        <v>Q61</v>
      </c>
      <c r="GI20" s="97" t="str">
        <f t="shared" si="17"/>
        <v>Q61</v>
      </c>
      <c r="GJ20" s="97" t="str">
        <f t="shared" si="17"/>
        <v>Q61</v>
      </c>
      <c r="GK20" s="97" t="str">
        <f t="shared" si="17"/>
        <v>Q62</v>
      </c>
      <c r="GL20" s="97" t="str">
        <f t="shared" si="17"/>
        <v>Q62</v>
      </c>
      <c r="GM20" s="97" t="str">
        <f t="shared" si="17"/>
        <v>Q62</v>
      </c>
      <c r="GN20" s="97" t="str">
        <f t="shared" si="17"/>
        <v>Q63</v>
      </c>
      <c r="GO20" s="97" t="str">
        <f t="shared" si="17"/>
        <v>Q63</v>
      </c>
      <c r="GQ20" s="88"/>
      <c r="GR20" s="94"/>
      <c r="GS20" s="94"/>
      <c r="GT20" s="102"/>
    </row>
    <row r="21" spans="1:203">
      <c r="A21" s="101" t="s">
        <v>164</v>
      </c>
      <c r="F21" s="100">
        <v>1</v>
      </c>
      <c r="G21" s="97">
        <v>1</v>
      </c>
      <c r="H21" s="97">
        <v>1</v>
      </c>
      <c r="I21" s="97">
        <v>1</v>
      </c>
      <c r="J21" s="97">
        <v>1</v>
      </c>
      <c r="K21" s="97">
        <v>1</v>
      </c>
      <c r="L21" s="97">
        <v>1</v>
      </c>
      <c r="M21" s="97">
        <v>1</v>
      </c>
      <c r="N21" s="97">
        <v>1</v>
      </c>
      <c r="O21" s="97">
        <v>1</v>
      </c>
      <c r="P21" s="97">
        <v>1</v>
      </c>
      <c r="Q21" s="97">
        <v>1</v>
      </c>
      <c r="R21" s="97">
        <v>1</v>
      </c>
      <c r="S21" s="97">
        <v>1</v>
      </c>
      <c r="T21" s="97">
        <v>1</v>
      </c>
      <c r="U21" s="97">
        <v>1</v>
      </c>
      <c r="V21" s="97">
        <v>1</v>
      </c>
      <c r="W21" s="97">
        <v>1</v>
      </c>
      <c r="X21" s="97">
        <v>1</v>
      </c>
      <c r="Y21" s="97">
        <v>1</v>
      </c>
      <c r="Z21" s="97">
        <v>1</v>
      </c>
      <c r="AA21" s="97">
        <v>1</v>
      </c>
      <c r="AB21" s="97">
        <v>1</v>
      </c>
      <c r="AC21" s="97">
        <v>1</v>
      </c>
      <c r="AD21" s="97">
        <v>1</v>
      </c>
      <c r="AE21" s="97">
        <v>1</v>
      </c>
      <c r="AF21" s="97">
        <v>1</v>
      </c>
      <c r="AG21" s="97">
        <v>1</v>
      </c>
      <c r="AH21" s="97">
        <v>1</v>
      </c>
      <c r="AI21" s="97">
        <v>1</v>
      </c>
      <c r="AJ21" s="97">
        <v>1</v>
      </c>
      <c r="AK21" s="97">
        <v>1</v>
      </c>
      <c r="AL21" s="97">
        <v>1</v>
      </c>
      <c r="AM21" s="97">
        <v>1</v>
      </c>
      <c r="AN21" s="97">
        <v>1</v>
      </c>
      <c r="AO21" s="97">
        <v>1</v>
      </c>
      <c r="AP21" s="97">
        <v>1</v>
      </c>
      <c r="AQ21" s="97">
        <v>1</v>
      </c>
      <c r="AR21" s="97">
        <v>1</v>
      </c>
      <c r="AS21" s="97">
        <v>1</v>
      </c>
      <c r="AT21" s="97">
        <v>1</v>
      </c>
      <c r="AU21" s="97">
        <v>1</v>
      </c>
      <c r="AV21" s="97">
        <v>1</v>
      </c>
      <c r="AW21" s="97">
        <v>1</v>
      </c>
      <c r="AX21" s="97">
        <v>1</v>
      </c>
      <c r="AY21" s="97">
        <v>1</v>
      </c>
      <c r="AZ21" s="97">
        <v>1</v>
      </c>
      <c r="BA21" s="97">
        <v>1</v>
      </c>
      <c r="BB21" s="97">
        <v>1</v>
      </c>
      <c r="BC21" s="97">
        <v>1</v>
      </c>
      <c r="BD21" s="97">
        <v>1</v>
      </c>
      <c r="BE21" s="97">
        <v>1</v>
      </c>
      <c r="BF21" s="97">
        <v>1</v>
      </c>
      <c r="BG21" s="97">
        <v>1</v>
      </c>
      <c r="BH21" s="97">
        <v>1</v>
      </c>
      <c r="BI21" s="97">
        <v>1</v>
      </c>
      <c r="BJ21" s="97">
        <v>1</v>
      </c>
      <c r="BK21" s="97">
        <v>1</v>
      </c>
      <c r="BL21" s="97">
        <v>1</v>
      </c>
      <c r="BM21" s="97">
        <v>1</v>
      </c>
      <c r="BN21" s="97">
        <v>1</v>
      </c>
      <c r="BO21" s="97">
        <v>1</v>
      </c>
      <c r="BP21" s="97">
        <v>1</v>
      </c>
      <c r="BQ21" s="97">
        <v>1</v>
      </c>
      <c r="BR21" s="97">
        <v>1</v>
      </c>
      <c r="BS21" s="97">
        <v>1</v>
      </c>
      <c r="BT21" s="97">
        <v>1</v>
      </c>
      <c r="BU21" s="97">
        <v>1</v>
      </c>
      <c r="BV21" s="97">
        <v>1</v>
      </c>
      <c r="BW21" s="97">
        <v>1</v>
      </c>
      <c r="BX21" s="97">
        <v>1</v>
      </c>
      <c r="BY21" s="97">
        <v>1</v>
      </c>
      <c r="BZ21" s="97">
        <v>1</v>
      </c>
      <c r="CA21" s="97">
        <v>1</v>
      </c>
      <c r="CB21" s="97">
        <v>1</v>
      </c>
      <c r="CC21" s="97">
        <v>1</v>
      </c>
      <c r="CD21" s="97">
        <v>1</v>
      </c>
      <c r="CE21" s="97">
        <v>1</v>
      </c>
      <c r="CF21" s="97">
        <v>1</v>
      </c>
      <c r="CG21" s="97">
        <v>1</v>
      </c>
      <c r="CH21" s="97">
        <v>1</v>
      </c>
      <c r="CI21" s="97">
        <v>1</v>
      </c>
      <c r="CJ21" s="97">
        <v>1</v>
      </c>
      <c r="CK21" s="97">
        <v>1</v>
      </c>
      <c r="CL21" s="97">
        <v>1</v>
      </c>
      <c r="CM21" s="97">
        <v>1</v>
      </c>
      <c r="CN21" s="97">
        <v>1</v>
      </c>
      <c r="CO21" s="97">
        <v>1</v>
      </c>
      <c r="CP21" s="97">
        <v>1</v>
      </c>
      <c r="CQ21" s="97">
        <v>1</v>
      </c>
      <c r="CR21" s="97">
        <v>1</v>
      </c>
      <c r="CS21" s="97">
        <v>1</v>
      </c>
      <c r="CT21" s="97">
        <v>1</v>
      </c>
      <c r="CU21" s="97">
        <v>1</v>
      </c>
      <c r="CV21" s="97">
        <v>1</v>
      </c>
      <c r="CW21" s="97">
        <v>1</v>
      </c>
      <c r="CX21" s="97">
        <v>1</v>
      </c>
      <c r="CY21" s="97">
        <v>1</v>
      </c>
      <c r="CZ21" s="97">
        <v>1</v>
      </c>
      <c r="DA21" s="97">
        <v>1</v>
      </c>
      <c r="DB21" s="97">
        <v>1</v>
      </c>
      <c r="DC21" s="97">
        <v>1</v>
      </c>
      <c r="DD21" s="97">
        <v>1</v>
      </c>
      <c r="DE21" s="97">
        <v>1</v>
      </c>
      <c r="DF21" s="97">
        <v>1</v>
      </c>
      <c r="DG21" s="97">
        <v>1</v>
      </c>
      <c r="DH21" s="97">
        <v>1</v>
      </c>
      <c r="DI21" s="97">
        <v>0</v>
      </c>
      <c r="DJ21" s="97">
        <v>0</v>
      </c>
      <c r="DK21" s="97">
        <v>0</v>
      </c>
      <c r="DL21" s="97">
        <v>0</v>
      </c>
      <c r="DM21" s="97">
        <v>0</v>
      </c>
      <c r="DN21" s="97">
        <v>0</v>
      </c>
      <c r="DO21" s="97">
        <v>0</v>
      </c>
      <c r="DP21" s="97">
        <v>0</v>
      </c>
      <c r="DQ21" s="97">
        <v>0</v>
      </c>
      <c r="DR21" s="97">
        <v>0</v>
      </c>
      <c r="DS21" s="97">
        <v>0</v>
      </c>
      <c r="DT21" s="97">
        <v>0</v>
      </c>
      <c r="DU21" s="97">
        <v>0</v>
      </c>
      <c r="DV21" s="97">
        <v>0</v>
      </c>
      <c r="DW21" s="97">
        <v>0</v>
      </c>
      <c r="DX21" s="97">
        <v>0</v>
      </c>
      <c r="DY21" s="97">
        <v>0</v>
      </c>
      <c r="DZ21" s="97">
        <v>0</v>
      </c>
      <c r="EA21" s="97">
        <v>0</v>
      </c>
      <c r="EB21" s="97">
        <v>0</v>
      </c>
      <c r="EC21" s="97">
        <v>0</v>
      </c>
      <c r="ED21" s="97">
        <v>0</v>
      </c>
      <c r="EE21" s="97">
        <v>0</v>
      </c>
      <c r="EF21" s="97">
        <v>0</v>
      </c>
      <c r="EG21" s="97">
        <v>0</v>
      </c>
      <c r="EH21" s="97">
        <v>0</v>
      </c>
      <c r="EI21" s="97">
        <v>0</v>
      </c>
      <c r="EJ21" s="97">
        <v>0</v>
      </c>
      <c r="EK21" s="97">
        <v>0</v>
      </c>
      <c r="EL21" s="97">
        <v>0</v>
      </c>
      <c r="EM21" s="97">
        <v>0</v>
      </c>
      <c r="EN21" s="97">
        <v>0</v>
      </c>
      <c r="EO21" s="97">
        <v>0</v>
      </c>
      <c r="EP21" s="97">
        <v>0</v>
      </c>
      <c r="EQ21" s="97">
        <v>0</v>
      </c>
      <c r="ER21" s="97">
        <v>0</v>
      </c>
      <c r="ES21" s="97">
        <v>0</v>
      </c>
      <c r="ET21" s="97">
        <v>0</v>
      </c>
      <c r="EU21" s="97">
        <v>0</v>
      </c>
      <c r="EV21" s="97">
        <v>0</v>
      </c>
      <c r="EW21" s="97">
        <v>0</v>
      </c>
      <c r="EX21" s="97">
        <v>0</v>
      </c>
      <c r="EY21" s="97">
        <v>0</v>
      </c>
      <c r="EZ21" s="97">
        <v>0</v>
      </c>
      <c r="FA21" s="97">
        <v>0</v>
      </c>
      <c r="FB21" s="97">
        <v>0</v>
      </c>
      <c r="FC21" s="97">
        <v>0</v>
      </c>
      <c r="FD21" s="97">
        <v>0</v>
      </c>
      <c r="FE21" s="97">
        <v>0</v>
      </c>
      <c r="FF21" s="97">
        <v>0</v>
      </c>
      <c r="FG21" s="97">
        <v>0</v>
      </c>
      <c r="FH21" s="97">
        <v>0</v>
      </c>
      <c r="FI21" s="97">
        <v>0</v>
      </c>
      <c r="FJ21" s="97">
        <v>0</v>
      </c>
      <c r="FK21" s="97">
        <v>0</v>
      </c>
      <c r="FL21" s="97">
        <v>0</v>
      </c>
      <c r="FM21" s="97">
        <v>0</v>
      </c>
      <c r="FN21" s="97">
        <v>0</v>
      </c>
      <c r="FO21" s="97">
        <v>0</v>
      </c>
      <c r="FP21" s="97">
        <v>0</v>
      </c>
      <c r="FQ21" s="97">
        <v>0</v>
      </c>
      <c r="FR21" s="97">
        <v>0</v>
      </c>
      <c r="FS21" s="97">
        <v>0</v>
      </c>
      <c r="FT21" s="97">
        <v>0</v>
      </c>
      <c r="FU21" s="97">
        <v>0</v>
      </c>
      <c r="FV21" s="97">
        <v>0</v>
      </c>
      <c r="FW21" s="97">
        <v>0</v>
      </c>
      <c r="FX21" s="97">
        <v>0</v>
      </c>
      <c r="FY21" s="97">
        <v>0</v>
      </c>
      <c r="FZ21" s="97">
        <v>0</v>
      </c>
      <c r="GA21" s="97">
        <v>0</v>
      </c>
      <c r="GB21" s="97">
        <v>0</v>
      </c>
      <c r="GC21" s="97">
        <v>0</v>
      </c>
      <c r="GD21" s="97">
        <v>0</v>
      </c>
      <c r="GE21" s="97">
        <v>0</v>
      </c>
      <c r="GF21" s="97">
        <v>0</v>
      </c>
      <c r="GG21" s="97">
        <v>0</v>
      </c>
      <c r="GH21" s="97">
        <v>0</v>
      </c>
      <c r="GI21" s="97">
        <v>0</v>
      </c>
      <c r="GJ21" s="97">
        <v>0</v>
      </c>
      <c r="GK21" s="97">
        <v>0</v>
      </c>
      <c r="GL21" s="97">
        <v>0</v>
      </c>
      <c r="GM21" s="97">
        <v>0</v>
      </c>
      <c r="GN21" s="97">
        <v>0</v>
      </c>
      <c r="GO21" s="97">
        <v>0</v>
      </c>
      <c r="GQ21" s="88"/>
      <c r="GR21" s="94"/>
      <c r="GS21" s="94"/>
      <c r="GT21" s="102"/>
    </row>
    <row r="22" spans="1:203">
      <c r="A22" s="101" t="s">
        <v>165</v>
      </c>
      <c r="F22" s="100">
        <v>107</v>
      </c>
      <c r="G22" s="100">
        <f>IF(F22&gt;0,F22-1,0)</f>
        <v>106</v>
      </c>
      <c r="H22" s="97">
        <f t="shared" ref="H22:BS22" si="18">IF(G22&gt;0,G22-1,0)</f>
        <v>105</v>
      </c>
      <c r="I22" s="97">
        <f t="shared" si="18"/>
        <v>104</v>
      </c>
      <c r="J22" s="97">
        <f t="shared" si="18"/>
        <v>103</v>
      </c>
      <c r="K22" s="97">
        <f t="shared" si="18"/>
        <v>102</v>
      </c>
      <c r="L22" s="97">
        <f t="shared" si="18"/>
        <v>101</v>
      </c>
      <c r="M22" s="97">
        <f t="shared" si="18"/>
        <v>100</v>
      </c>
      <c r="N22" s="97">
        <f t="shared" si="18"/>
        <v>99</v>
      </c>
      <c r="O22" s="97">
        <f t="shared" si="18"/>
        <v>98</v>
      </c>
      <c r="P22" s="97">
        <f t="shared" si="18"/>
        <v>97</v>
      </c>
      <c r="Q22" s="97">
        <f t="shared" si="18"/>
        <v>96</v>
      </c>
      <c r="R22" s="97">
        <f t="shared" si="18"/>
        <v>95</v>
      </c>
      <c r="S22" s="97">
        <f t="shared" si="18"/>
        <v>94</v>
      </c>
      <c r="T22" s="97">
        <f t="shared" si="18"/>
        <v>93</v>
      </c>
      <c r="U22" s="97">
        <f t="shared" si="18"/>
        <v>92</v>
      </c>
      <c r="V22" s="97">
        <f t="shared" si="18"/>
        <v>91</v>
      </c>
      <c r="W22" s="97">
        <f t="shared" si="18"/>
        <v>90</v>
      </c>
      <c r="X22" s="97">
        <f t="shared" si="18"/>
        <v>89</v>
      </c>
      <c r="Y22" s="97">
        <f t="shared" si="18"/>
        <v>88</v>
      </c>
      <c r="Z22" s="97">
        <f t="shared" si="18"/>
        <v>87</v>
      </c>
      <c r="AA22" s="97">
        <f t="shared" si="18"/>
        <v>86</v>
      </c>
      <c r="AB22" s="97">
        <f t="shared" si="18"/>
        <v>85</v>
      </c>
      <c r="AC22" s="97">
        <f t="shared" si="18"/>
        <v>84</v>
      </c>
      <c r="AD22" s="97">
        <f t="shared" si="18"/>
        <v>83</v>
      </c>
      <c r="AE22" s="97">
        <f t="shared" si="18"/>
        <v>82</v>
      </c>
      <c r="AF22" s="97">
        <f t="shared" si="18"/>
        <v>81</v>
      </c>
      <c r="AG22" s="97">
        <f t="shared" si="18"/>
        <v>80</v>
      </c>
      <c r="AH22" s="97">
        <f t="shared" si="18"/>
        <v>79</v>
      </c>
      <c r="AI22" s="97">
        <f t="shared" si="18"/>
        <v>78</v>
      </c>
      <c r="AJ22" s="97">
        <f t="shared" si="18"/>
        <v>77</v>
      </c>
      <c r="AK22" s="97">
        <f t="shared" si="18"/>
        <v>76</v>
      </c>
      <c r="AL22" s="97">
        <f t="shared" si="18"/>
        <v>75</v>
      </c>
      <c r="AM22" s="97">
        <f t="shared" si="18"/>
        <v>74</v>
      </c>
      <c r="AN22" s="97">
        <f t="shared" si="18"/>
        <v>73</v>
      </c>
      <c r="AO22" s="97">
        <f t="shared" si="18"/>
        <v>72</v>
      </c>
      <c r="AP22" s="97">
        <f t="shared" si="18"/>
        <v>71</v>
      </c>
      <c r="AQ22" s="97">
        <f t="shared" si="18"/>
        <v>70</v>
      </c>
      <c r="AR22" s="97">
        <f t="shared" si="18"/>
        <v>69</v>
      </c>
      <c r="AS22" s="97">
        <f t="shared" si="18"/>
        <v>68</v>
      </c>
      <c r="AT22" s="97">
        <f t="shared" si="18"/>
        <v>67</v>
      </c>
      <c r="AU22" s="97">
        <f t="shared" si="18"/>
        <v>66</v>
      </c>
      <c r="AV22" s="97">
        <f t="shared" si="18"/>
        <v>65</v>
      </c>
      <c r="AW22" s="97">
        <f t="shared" si="18"/>
        <v>64</v>
      </c>
      <c r="AX22" s="97">
        <f t="shared" si="18"/>
        <v>63</v>
      </c>
      <c r="AY22" s="97">
        <f t="shared" si="18"/>
        <v>62</v>
      </c>
      <c r="AZ22" s="97">
        <f t="shared" si="18"/>
        <v>61</v>
      </c>
      <c r="BA22" s="97">
        <f t="shared" si="18"/>
        <v>60</v>
      </c>
      <c r="BB22" s="97">
        <f t="shared" si="18"/>
        <v>59</v>
      </c>
      <c r="BC22" s="97">
        <f t="shared" si="18"/>
        <v>58</v>
      </c>
      <c r="BD22" s="97">
        <f t="shared" si="18"/>
        <v>57</v>
      </c>
      <c r="BE22" s="97">
        <f t="shared" si="18"/>
        <v>56</v>
      </c>
      <c r="BF22" s="97">
        <f t="shared" si="18"/>
        <v>55</v>
      </c>
      <c r="BG22" s="97">
        <f t="shared" si="18"/>
        <v>54</v>
      </c>
      <c r="BH22" s="97">
        <f t="shared" si="18"/>
        <v>53</v>
      </c>
      <c r="BI22" s="97">
        <f t="shared" si="18"/>
        <v>52</v>
      </c>
      <c r="BJ22" s="97">
        <f t="shared" si="18"/>
        <v>51</v>
      </c>
      <c r="BK22" s="97">
        <f t="shared" si="18"/>
        <v>50</v>
      </c>
      <c r="BL22" s="97">
        <f t="shared" si="18"/>
        <v>49</v>
      </c>
      <c r="BM22" s="97">
        <f t="shared" si="18"/>
        <v>48</v>
      </c>
      <c r="BN22" s="97">
        <f t="shared" si="18"/>
        <v>47</v>
      </c>
      <c r="BO22" s="97">
        <f t="shared" si="18"/>
        <v>46</v>
      </c>
      <c r="BP22" s="97">
        <f t="shared" si="18"/>
        <v>45</v>
      </c>
      <c r="BQ22" s="97">
        <f t="shared" si="18"/>
        <v>44</v>
      </c>
      <c r="BR22" s="97">
        <f t="shared" si="18"/>
        <v>43</v>
      </c>
      <c r="BS22" s="97">
        <f t="shared" si="18"/>
        <v>42</v>
      </c>
      <c r="BT22" s="97">
        <f t="shared" ref="BT22:EE22" si="19">IF(BS22&gt;0,BS22-1,0)</f>
        <v>41</v>
      </c>
      <c r="BU22" s="97">
        <f t="shared" si="19"/>
        <v>40</v>
      </c>
      <c r="BV22" s="97">
        <f t="shared" si="19"/>
        <v>39</v>
      </c>
      <c r="BW22" s="97">
        <f t="shared" si="19"/>
        <v>38</v>
      </c>
      <c r="BX22" s="97">
        <f t="shared" si="19"/>
        <v>37</v>
      </c>
      <c r="BY22" s="97">
        <f t="shared" si="19"/>
        <v>36</v>
      </c>
      <c r="BZ22" s="97">
        <f t="shared" si="19"/>
        <v>35</v>
      </c>
      <c r="CA22" s="97">
        <f t="shared" si="19"/>
        <v>34</v>
      </c>
      <c r="CB22" s="97">
        <f t="shared" si="19"/>
        <v>33</v>
      </c>
      <c r="CC22" s="97">
        <f t="shared" si="19"/>
        <v>32</v>
      </c>
      <c r="CD22" s="97">
        <f t="shared" si="19"/>
        <v>31</v>
      </c>
      <c r="CE22" s="97">
        <f t="shared" si="19"/>
        <v>30</v>
      </c>
      <c r="CF22" s="97">
        <f t="shared" si="19"/>
        <v>29</v>
      </c>
      <c r="CG22" s="97">
        <f t="shared" si="19"/>
        <v>28</v>
      </c>
      <c r="CH22" s="97">
        <f t="shared" si="19"/>
        <v>27</v>
      </c>
      <c r="CI22" s="97">
        <f t="shared" si="19"/>
        <v>26</v>
      </c>
      <c r="CJ22" s="97">
        <f t="shared" si="19"/>
        <v>25</v>
      </c>
      <c r="CK22" s="97">
        <f t="shared" si="19"/>
        <v>24</v>
      </c>
      <c r="CL22" s="97">
        <f t="shared" si="19"/>
        <v>23</v>
      </c>
      <c r="CM22" s="97">
        <f t="shared" si="19"/>
        <v>22</v>
      </c>
      <c r="CN22" s="97">
        <f t="shared" si="19"/>
        <v>21</v>
      </c>
      <c r="CO22" s="97">
        <f t="shared" si="19"/>
        <v>20</v>
      </c>
      <c r="CP22" s="97">
        <f t="shared" si="19"/>
        <v>19</v>
      </c>
      <c r="CQ22" s="97">
        <f t="shared" si="19"/>
        <v>18</v>
      </c>
      <c r="CR22" s="97">
        <f t="shared" si="19"/>
        <v>17</v>
      </c>
      <c r="CS22" s="97">
        <f t="shared" si="19"/>
        <v>16</v>
      </c>
      <c r="CT22" s="97">
        <f t="shared" si="19"/>
        <v>15</v>
      </c>
      <c r="CU22" s="97">
        <f t="shared" si="19"/>
        <v>14</v>
      </c>
      <c r="CV22" s="97">
        <f t="shared" si="19"/>
        <v>13</v>
      </c>
      <c r="CW22" s="97">
        <f t="shared" si="19"/>
        <v>12</v>
      </c>
      <c r="CX22" s="97">
        <f t="shared" si="19"/>
        <v>11</v>
      </c>
      <c r="CY22" s="97">
        <f t="shared" si="19"/>
        <v>10</v>
      </c>
      <c r="CZ22" s="97">
        <f t="shared" si="19"/>
        <v>9</v>
      </c>
      <c r="DA22" s="97">
        <f t="shared" si="19"/>
        <v>8</v>
      </c>
      <c r="DB22" s="97">
        <f t="shared" si="19"/>
        <v>7</v>
      </c>
      <c r="DC22" s="97">
        <f t="shared" si="19"/>
        <v>6</v>
      </c>
      <c r="DD22" s="97">
        <f t="shared" si="19"/>
        <v>5</v>
      </c>
      <c r="DE22" s="97">
        <f t="shared" si="19"/>
        <v>4</v>
      </c>
      <c r="DF22" s="97">
        <f t="shared" si="19"/>
        <v>3</v>
      </c>
      <c r="DG22" s="97">
        <f t="shared" si="19"/>
        <v>2</v>
      </c>
      <c r="DH22" s="97">
        <f t="shared" si="19"/>
        <v>1</v>
      </c>
      <c r="DI22" s="97">
        <f t="shared" si="19"/>
        <v>0</v>
      </c>
      <c r="DJ22" s="97">
        <f t="shared" si="19"/>
        <v>0</v>
      </c>
      <c r="DK22" s="97">
        <f t="shared" si="19"/>
        <v>0</v>
      </c>
      <c r="DL22" s="97">
        <f t="shared" si="19"/>
        <v>0</v>
      </c>
      <c r="DM22" s="97">
        <f t="shared" si="19"/>
        <v>0</v>
      </c>
      <c r="DN22" s="97">
        <f t="shared" si="19"/>
        <v>0</v>
      </c>
      <c r="DO22" s="97">
        <f t="shared" si="19"/>
        <v>0</v>
      </c>
      <c r="DP22" s="97">
        <f t="shared" si="19"/>
        <v>0</v>
      </c>
      <c r="DQ22" s="97">
        <f t="shared" si="19"/>
        <v>0</v>
      </c>
      <c r="DR22" s="97">
        <f t="shared" si="19"/>
        <v>0</v>
      </c>
      <c r="DS22" s="97">
        <f t="shared" si="19"/>
        <v>0</v>
      </c>
      <c r="DT22" s="97">
        <f t="shared" si="19"/>
        <v>0</v>
      </c>
      <c r="DU22" s="97">
        <f t="shared" si="19"/>
        <v>0</v>
      </c>
      <c r="DV22" s="97">
        <f t="shared" si="19"/>
        <v>0</v>
      </c>
      <c r="DW22" s="97">
        <f t="shared" si="19"/>
        <v>0</v>
      </c>
      <c r="DX22" s="97">
        <f t="shared" si="19"/>
        <v>0</v>
      </c>
      <c r="DY22" s="97">
        <f t="shared" si="19"/>
        <v>0</v>
      </c>
      <c r="DZ22" s="97">
        <f t="shared" si="19"/>
        <v>0</v>
      </c>
      <c r="EA22" s="97">
        <f t="shared" si="19"/>
        <v>0</v>
      </c>
      <c r="EB22" s="97">
        <f t="shared" si="19"/>
        <v>0</v>
      </c>
      <c r="EC22" s="97">
        <f t="shared" si="19"/>
        <v>0</v>
      </c>
      <c r="ED22" s="97">
        <f t="shared" si="19"/>
        <v>0</v>
      </c>
      <c r="EE22" s="97">
        <f t="shared" si="19"/>
        <v>0</v>
      </c>
      <c r="EF22" s="97">
        <f t="shared" ref="EF22:GO22" si="20">IF(EE22&gt;0,EE22-1,0)</f>
        <v>0</v>
      </c>
      <c r="EG22" s="97">
        <f t="shared" si="20"/>
        <v>0</v>
      </c>
      <c r="EH22" s="97">
        <f t="shared" si="20"/>
        <v>0</v>
      </c>
      <c r="EI22" s="97">
        <f t="shared" si="20"/>
        <v>0</v>
      </c>
      <c r="EJ22" s="97">
        <f t="shared" si="20"/>
        <v>0</v>
      </c>
      <c r="EK22" s="97">
        <f t="shared" si="20"/>
        <v>0</v>
      </c>
      <c r="EL22" s="97">
        <f t="shared" si="20"/>
        <v>0</v>
      </c>
      <c r="EM22" s="97">
        <f t="shared" si="20"/>
        <v>0</v>
      </c>
      <c r="EN22" s="97">
        <f t="shared" si="20"/>
        <v>0</v>
      </c>
      <c r="EO22" s="97">
        <f t="shared" si="20"/>
        <v>0</v>
      </c>
      <c r="EP22" s="97">
        <f t="shared" si="20"/>
        <v>0</v>
      </c>
      <c r="EQ22" s="97">
        <f t="shared" si="20"/>
        <v>0</v>
      </c>
      <c r="ER22" s="97">
        <f t="shared" si="20"/>
        <v>0</v>
      </c>
      <c r="ES22" s="97">
        <f t="shared" si="20"/>
        <v>0</v>
      </c>
      <c r="ET22" s="97">
        <f t="shared" si="20"/>
        <v>0</v>
      </c>
      <c r="EU22" s="97">
        <f t="shared" si="20"/>
        <v>0</v>
      </c>
      <c r="EV22" s="97">
        <f t="shared" si="20"/>
        <v>0</v>
      </c>
      <c r="EW22" s="97">
        <f t="shared" si="20"/>
        <v>0</v>
      </c>
      <c r="EX22" s="97">
        <f t="shared" si="20"/>
        <v>0</v>
      </c>
      <c r="EY22" s="97">
        <f t="shared" si="20"/>
        <v>0</v>
      </c>
      <c r="EZ22" s="97">
        <f t="shared" si="20"/>
        <v>0</v>
      </c>
      <c r="FA22" s="97">
        <f t="shared" si="20"/>
        <v>0</v>
      </c>
      <c r="FB22" s="97">
        <f t="shared" si="20"/>
        <v>0</v>
      </c>
      <c r="FC22" s="97">
        <f t="shared" si="20"/>
        <v>0</v>
      </c>
      <c r="FD22" s="97">
        <f t="shared" si="20"/>
        <v>0</v>
      </c>
      <c r="FE22" s="97">
        <f t="shared" si="20"/>
        <v>0</v>
      </c>
      <c r="FF22" s="97">
        <f t="shared" si="20"/>
        <v>0</v>
      </c>
      <c r="FG22" s="97">
        <f t="shared" si="20"/>
        <v>0</v>
      </c>
      <c r="FH22" s="97">
        <f t="shared" si="20"/>
        <v>0</v>
      </c>
      <c r="FI22" s="97">
        <f t="shared" si="20"/>
        <v>0</v>
      </c>
      <c r="FJ22" s="97">
        <f t="shared" si="20"/>
        <v>0</v>
      </c>
      <c r="FK22" s="97">
        <f t="shared" si="20"/>
        <v>0</v>
      </c>
      <c r="FL22" s="97">
        <f t="shared" si="20"/>
        <v>0</v>
      </c>
      <c r="FM22" s="97">
        <f t="shared" si="20"/>
        <v>0</v>
      </c>
      <c r="FN22" s="97">
        <f t="shared" si="20"/>
        <v>0</v>
      </c>
      <c r="FO22" s="97">
        <f t="shared" si="20"/>
        <v>0</v>
      </c>
      <c r="FP22" s="97">
        <f t="shared" si="20"/>
        <v>0</v>
      </c>
      <c r="FQ22" s="97">
        <f t="shared" si="20"/>
        <v>0</v>
      </c>
      <c r="FR22" s="97">
        <f t="shared" si="20"/>
        <v>0</v>
      </c>
      <c r="FS22" s="97">
        <f t="shared" si="20"/>
        <v>0</v>
      </c>
      <c r="FT22" s="97">
        <f t="shared" si="20"/>
        <v>0</v>
      </c>
      <c r="FU22" s="97">
        <f t="shared" si="20"/>
        <v>0</v>
      </c>
      <c r="FV22" s="97">
        <f t="shared" si="20"/>
        <v>0</v>
      </c>
      <c r="FW22" s="97">
        <f t="shared" si="20"/>
        <v>0</v>
      </c>
      <c r="FX22" s="97">
        <f t="shared" si="20"/>
        <v>0</v>
      </c>
      <c r="FY22" s="97">
        <f t="shared" si="20"/>
        <v>0</v>
      </c>
      <c r="FZ22" s="97">
        <f t="shared" si="20"/>
        <v>0</v>
      </c>
      <c r="GA22" s="97">
        <f t="shared" si="20"/>
        <v>0</v>
      </c>
      <c r="GB22" s="97">
        <f t="shared" si="20"/>
        <v>0</v>
      </c>
      <c r="GC22" s="97">
        <f t="shared" si="20"/>
        <v>0</v>
      </c>
      <c r="GD22" s="97">
        <f t="shared" si="20"/>
        <v>0</v>
      </c>
      <c r="GE22" s="97">
        <f t="shared" si="20"/>
        <v>0</v>
      </c>
      <c r="GF22" s="97">
        <f t="shared" si="20"/>
        <v>0</v>
      </c>
      <c r="GG22" s="97">
        <f t="shared" si="20"/>
        <v>0</v>
      </c>
      <c r="GH22" s="97">
        <f t="shared" si="20"/>
        <v>0</v>
      </c>
      <c r="GI22" s="97">
        <f t="shared" si="20"/>
        <v>0</v>
      </c>
      <c r="GJ22" s="97">
        <f t="shared" si="20"/>
        <v>0</v>
      </c>
      <c r="GK22" s="97">
        <f t="shared" si="20"/>
        <v>0</v>
      </c>
      <c r="GL22" s="97">
        <f t="shared" si="20"/>
        <v>0</v>
      </c>
      <c r="GM22" s="97">
        <f t="shared" si="20"/>
        <v>0</v>
      </c>
      <c r="GN22" s="97">
        <f t="shared" si="20"/>
        <v>0</v>
      </c>
      <c r="GO22" s="97">
        <f t="shared" si="20"/>
        <v>0</v>
      </c>
      <c r="GQ22" s="88"/>
      <c r="GR22" s="94"/>
      <c r="GS22" s="94"/>
      <c r="GT22" s="102"/>
    </row>
    <row r="23" spans="1:203">
      <c r="A23" s="101" t="s">
        <v>166</v>
      </c>
      <c r="F23" s="100" t="s">
        <v>169</v>
      </c>
      <c r="G23" s="100" t="s">
        <v>169</v>
      </c>
      <c r="H23" s="97" t="s">
        <v>169</v>
      </c>
      <c r="I23" s="97" t="s">
        <v>169</v>
      </c>
      <c r="J23" s="97" t="s">
        <v>169</v>
      </c>
      <c r="K23" s="97" t="s">
        <v>170</v>
      </c>
      <c r="L23" s="97" t="s">
        <v>170</v>
      </c>
      <c r="M23" s="97" t="s">
        <v>170</v>
      </c>
      <c r="N23" s="97" t="s">
        <v>170</v>
      </c>
      <c r="O23" s="97" t="s">
        <v>170</v>
      </c>
      <c r="P23" s="97" t="s">
        <v>170</v>
      </c>
      <c r="Q23" s="97" t="s">
        <v>170</v>
      </c>
      <c r="R23" s="97" t="s">
        <v>170</v>
      </c>
      <c r="S23" s="97" t="s">
        <v>170</v>
      </c>
      <c r="T23" s="97" t="s">
        <v>170</v>
      </c>
      <c r="U23" s="97" t="s">
        <v>170</v>
      </c>
      <c r="V23" s="97" t="s">
        <v>170</v>
      </c>
      <c r="W23" s="97" t="s">
        <v>171</v>
      </c>
      <c r="X23" s="97" t="s">
        <v>171</v>
      </c>
      <c r="Y23" s="97" t="s">
        <v>171</v>
      </c>
      <c r="Z23" s="97" t="s">
        <v>171</v>
      </c>
      <c r="AA23" s="97" t="s">
        <v>171</v>
      </c>
      <c r="AB23" s="97" t="s">
        <v>171</v>
      </c>
      <c r="AC23" s="97" t="s">
        <v>171</v>
      </c>
      <c r="AD23" s="97" t="s">
        <v>171</v>
      </c>
      <c r="AE23" s="97" t="s">
        <v>171</v>
      </c>
      <c r="AF23" s="97" t="s">
        <v>171</v>
      </c>
      <c r="AG23" s="97" t="s">
        <v>171</v>
      </c>
      <c r="AH23" s="97" t="s">
        <v>171</v>
      </c>
      <c r="AI23" s="97" t="s">
        <v>172</v>
      </c>
      <c r="AJ23" s="97" t="s">
        <v>172</v>
      </c>
      <c r="AK23" s="97" t="s">
        <v>172</v>
      </c>
      <c r="AL23" s="97" t="s">
        <v>172</v>
      </c>
      <c r="AM23" s="97" t="s">
        <v>172</v>
      </c>
      <c r="AN23" s="97" t="s">
        <v>172</v>
      </c>
      <c r="AO23" s="97" t="s">
        <v>172</v>
      </c>
      <c r="AP23" s="97" t="s">
        <v>172</v>
      </c>
      <c r="AQ23" s="97" t="s">
        <v>172</v>
      </c>
      <c r="AR23" s="97" t="s">
        <v>172</v>
      </c>
      <c r="AS23" s="97" t="s">
        <v>172</v>
      </c>
      <c r="AT23" s="97" t="s">
        <v>172</v>
      </c>
      <c r="AU23" s="97" t="s">
        <v>173</v>
      </c>
      <c r="AV23" s="97" t="s">
        <v>173</v>
      </c>
      <c r="AW23" s="97" t="s">
        <v>173</v>
      </c>
      <c r="AX23" s="97" t="s">
        <v>173</v>
      </c>
      <c r="AY23" s="97" t="s">
        <v>173</v>
      </c>
      <c r="AZ23" s="97" t="s">
        <v>173</v>
      </c>
      <c r="BA23" s="97" t="s">
        <v>173</v>
      </c>
      <c r="BB23" s="97" t="s">
        <v>173</v>
      </c>
      <c r="BC23" s="97" t="s">
        <v>173</v>
      </c>
      <c r="BD23" s="97" t="s">
        <v>173</v>
      </c>
      <c r="BE23" s="97" t="s">
        <v>173</v>
      </c>
      <c r="BF23" s="97" t="s">
        <v>173</v>
      </c>
      <c r="BG23" s="97" t="s">
        <v>174</v>
      </c>
      <c r="BH23" s="97" t="s">
        <v>174</v>
      </c>
      <c r="BI23" s="97" t="s">
        <v>174</v>
      </c>
      <c r="BJ23" s="97" t="s">
        <v>174</v>
      </c>
      <c r="BK23" s="97" t="s">
        <v>174</v>
      </c>
      <c r="BL23" s="97" t="s">
        <v>174</v>
      </c>
      <c r="BM23" s="97" t="s">
        <v>174</v>
      </c>
      <c r="BN23" s="97" t="s">
        <v>174</v>
      </c>
      <c r="BO23" s="97" t="s">
        <v>174</v>
      </c>
      <c r="BP23" s="97" t="s">
        <v>174</v>
      </c>
      <c r="BQ23" s="97" t="s">
        <v>174</v>
      </c>
      <c r="BR23" s="97" t="s">
        <v>174</v>
      </c>
      <c r="BS23" s="97" t="s">
        <v>175</v>
      </c>
      <c r="BT23" s="97" t="s">
        <v>175</v>
      </c>
      <c r="BU23" s="97" t="s">
        <v>175</v>
      </c>
      <c r="BV23" s="97" t="s">
        <v>175</v>
      </c>
      <c r="BW23" s="97" t="s">
        <v>175</v>
      </c>
      <c r="BX23" s="97" t="s">
        <v>175</v>
      </c>
      <c r="BY23" s="97" t="s">
        <v>175</v>
      </c>
      <c r="BZ23" s="97" t="s">
        <v>175</v>
      </c>
      <c r="CA23" s="97" t="s">
        <v>175</v>
      </c>
      <c r="CB23" s="97" t="s">
        <v>175</v>
      </c>
      <c r="CC23" s="97" t="s">
        <v>175</v>
      </c>
      <c r="CD23" s="97" t="s">
        <v>175</v>
      </c>
      <c r="CE23" s="97" t="s">
        <v>176</v>
      </c>
      <c r="CF23" s="97" t="s">
        <v>176</v>
      </c>
      <c r="CG23" s="97" t="s">
        <v>176</v>
      </c>
      <c r="CH23" s="97" t="s">
        <v>176</v>
      </c>
      <c r="CI23" s="97" t="s">
        <v>176</v>
      </c>
      <c r="CJ23" s="97" t="s">
        <v>176</v>
      </c>
      <c r="CK23" s="97" t="s">
        <v>176</v>
      </c>
      <c r="CL23" s="97" t="s">
        <v>176</v>
      </c>
      <c r="CM23" s="97" t="s">
        <v>176</v>
      </c>
      <c r="CN23" s="97" t="s">
        <v>176</v>
      </c>
      <c r="CO23" s="97" t="s">
        <v>176</v>
      </c>
      <c r="CP23" s="97" t="s">
        <v>176</v>
      </c>
      <c r="CQ23" s="97" t="s">
        <v>177</v>
      </c>
      <c r="CR23" s="97" t="s">
        <v>177</v>
      </c>
      <c r="CS23" s="97" t="s">
        <v>177</v>
      </c>
      <c r="CT23" s="97" t="s">
        <v>177</v>
      </c>
      <c r="CU23" s="97" t="s">
        <v>177</v>
      </c>
      <c r="CV23" s="97" t="s">
        <v>177</v>
      </c>
      <c r="CW23" s="97" t="s">
        <v>177</v>
      </c>
      <c r="CX23" s="97" t="s">
        <v>177</v>
      </c>
      <c r="CY23" s="97" t="s">
        <v>177</v>
      </c>
      <c r="CZ23" s="97" t="s">
        <v>177</v>
      </c>
      <c r="DA23" s="97" t="s">
        <v>177</v>
      </c>
      <c r="DB23" s="97" t="s">
        <v>177</v>
      </c>
      <c r="DC23" s="97" t="s">
        <v>178</v>
      </c>
      <c r="DD23" s="97" t="s">
        <v>178</v>
      </c>
      <c r="DE23" s="97" t="s">
        <v>178</v>
      </c>
      <c r="DF23" s="97" t="s">
        <v>178</v>
      </c>
      <c r="DG23" s="97" t="s">
        <v>178</v>
      </c>
      <c r="DH23" s="97" t="s">
        <v>178</v>
      </c>
      <c r="DI23" s="97" t="s">
        <v>178</v>
      </c>
      <c r="DJ23" s="97" t="s">
        <v>178</v>
      </c>
      <c r="DK23" s="97" t="s">
        <v>178</v>
      </c>
      <c r="DL23" s="97" t="s">
        <v>178</v>
      </c>
      <c r="DM23" s="97" t="s">
        <v>178</v>
      </c>
      <c r="DN23" s="97" t="s">
        <v>178</v>
      </c>
      <c r="DO23" s="97" t="s">
        <v>179</v>
      </c>
      <c r="DP23" s="97" t="s">
        <v>179</v>
      </c>
      <c r="DQ23" s="97" t="s">
        <v>179</v>
      </c>
      <c r="DR23" s="97" t="s">
        <v>179</v>
      </c>
      <c r="DS23" s="97" t="s">
        <v>179</v>
      </c>
      <c r="DT23" s="97" t="s">
        <v>179</v>
      </c>
      <c r="DU23" s="97" t="s">
        <v>179</v>
      </c>
      <c r="DV23" s="97" t="s">
        <v>179</v>
      </c>
      <c r="DW23" s="97" t="s">
        <v>179</v>
      </c>
      <c r="DX23" s="97" t="s">
        <v>179</v>
      </c>
      <c r="DY23" s="97" t="s">
        <v>179</v>
      </c>
      <c r="DZ23" s="97" t="s">
        <v>179</v>
      </c>
      <c r="EA23" s="97" t="s">
        <v>180</v>
      </c>
      <c r="EB23" s="97" t="s">
        <v>180</v>
      </c>
      <c r="EC23" s="97" t="s">
        <v>180</v>
      </c>
      <c r="ED23" s="97" t="s">
        <v>180</v>
      </c>
      <c r="EE23" s="97" t="s">
        <v>180</v>
      </c>
      <c r="EF23" s="97" t="s">
        <v>180</v>
      </c>
      <c r="EG23" s="97" t="s">
        <v>180</v>
      </c>
      <c r="EH23" s="97" t="s">
        <v>180</v>
      </c>
      <c r="EI23" s="97" t="s">
        <v>180</v>
      </c>
      <c r="EJ23" s="97" t="s">
        <v>180</v>
      </c>
      <c r="EK23" s="97" t="s">
        <v>180</v>
      </c>
      <c r="EL23" s="97" t="s">
        <v>180</v>
      </c>
      <c r="EM23" s="97" t="s">
        <v>181</v>
      </c>
      <c r="EN23" s="97" t="s">
        <v>181</v>
      </c>
      <c r="EO23" s="97" t="s">
        <v>181</v>
      </c>
      <c r="EP23" s="97" t="s">
        <v>181</v>
      </c>
      <c r="EQ23" s="97" t="s">
        <v>181</v>
      </c>
      <c r="ER23" s="97" t="s">
        <v>181</v>
      </c>
      <c r="ES23" s="97" t="s">
        <v>181</v>
      </c>
      <c r="ET23" s="97" t="s">
        <v>181</v>
      </c>
      <c r="EU23" s="97" t="s">
        <v>181</v>
      </c>
      <c r="EV23" s="97" t="s">
        <v>181</v>
      </c>
      <c r="EW23" s="97" t="s">
        <v>181</v>
      </c>
      <c r="EX23" s="97" t="s">
        <v>181</v>
      </c>
      <c r="EY23" s="97" t="s">
        <v>182</v>
      </c>
      <c r="EZ23" s="97" t="s">
        <v>182</v>
      </c>
      <c r="FA23" s="97" t="s">
        <v>182</v>
      </c>
      <c r="FB23" s="97" t="s">
        <v>182</v>
      </c>
      <c r="FC23" s="97" t="s">
        <v>182</v>
      </c>
      <c r="FD23" s="97" t="s">
        <v>182</v>
      </c>
      <c r="FE23" s="97" t="s">
        <v>182</v>
      </c>
      <c r="FF23" s="97" t="s">
        <v>182</v>
      </c>
      <c r="FG23" s="97" t="s">
        <v>182</v>
      </c>
      <c r="FH23" s="97" t="s">
        <v>182</v>
      </c>
      <c r="FI23" s="97" t="s">
        <v>182</v>
      </c>
      <c r="FJ23" s="97" t="s">
        <v>182</v>
      </c>
      <c r="FK23" s="97" t="s">
        <v>183</v>
      </c>
      <c r="FL23" s="97" t="s">
        <v>183</v>
      </c>
      <c r="FM23" s="97" t="s">
        <v>183</v>
      </c>
      <c r="FN23" s="97" t="s">
        <v>183</v>
      </c>
      <c r="FO23" s="97" t="s">
        <v>183</v>
      </c>
      <c r="FP23" s="97" t="s">
        <v>183</v>
      </c>
      <c r="FQ23" s="97" t="s">
        <v>183</v>
      </c>
      <c r="FR23" s="97" t="s">
        <v>183</v>
      </c>
      <c r="FS23" s="97" t="s">
        <v>183</v>
      </c>
      <c r="FT23" s="97" t="s">
        <v>183</v>
      </c>
      <c r="FU23" s="97" t="s">
        <v>183</v>
      </c>
      <c r="FV23" s="97" t="s">
        <v>183</v>
      </c>
      <c r="FW23" s="97" t="s">
        <v>184</v>
      </c>
      <c r="FX23" s="97" t="s">
        <v>184</v>
      </c>
      <c r="FY23" s="97" t="s">
        <v>184</v>
      </c>
      <c r="FZ23" s="97" t="s">
        <v>184</v>
      </c>
      <c r="GA23" s="97" t="s">
        <v>184</v>
      </c>
      <c r="GB23" s="97" t="s">
        <v>184</v>
      </c>
      <c r="GC23" s="97" t="s">
        <v>184</v>
      </c>
      <c r="GD23" s="97" t="s">
        <v>184</v>
      </c>
      <c r="GE23" s="97" t="s">
        <v>184</v>
      </c>
      <c r="GF23" s="97" t="s">
        <v>184</v>
      </c>
      <c r="GG23" s="97" t="s">
        <v>184</v>
      </c>
      <c r="GH23" s="97" t="s">
        <v>184</v>
      </c>
      <c r="GI23" s="97" t="s">
        <v>185</v>
      </c>
      <c r="GJ23" s="97" t="s">
        <v>185</v>
      </c>
      <c r="GK23" s="97" t="s">
        <v>185</v>
      </c>
      <c r="GL23" s="97" t="s">
        <v>185</v>
      </c>
      <c r="GM23" s="97" t="s">
        <v>185</v>
      </c>
      <c r="GN23" s="97" t="s">
        <v>185</v>
      </c>
      <c r="GO23" s="97" t="s">
        <v>185</v>
      </c>
      <c r="GQ23" s="88"/>
      <c r="GR23" s="94"/>
      <c r="GS23" s="94"/>
      <c r="GT23" s="102"/>
    </row>
    <row r="24" spans="1:203">
      <c r="A24" s="101" t="s">
        <v>167</v>
      </c>
      <c r="F24" s="100">
        <v>11</v>
      </c>
      <c r="G24" s="100">
        <v>12</v>
      </c>
      <c r="H24" s="97">
        <v>1</v>
      </c>
      <c r="I24" s="97">
        <v>2</v>
      </c>
      <c r="J24" s="97">
        <v>3</v>
      </c>
      <c r="K24" s="97">
        <v>4</v>
      </c>
      <c r="L24" s="97">
        <v>5</v>
      </c>
      <c r="M24" s="97">
        <v>6</v>
      </c>
      <c r="N24" s="97">
        <v>7</v>
      </c>
      <c r="O24" s="97">
        <v>8</v>
      </c>
      <c r="P24" s="97">
        <v>9</v>
      </c>
      <c r="Q24" s="97">
        <v>10</v>
      </c>
      <c r="R24" s="97">
        <v>11</v>
      </c>
      <c r="S24" s="97">
        <v>12</v>
      </c>
      <c r="T24" s="97">
        <v>1</v>
      </c>
      <c r="U24" s="97">
        <v>2</v>
      </c>
      <c r="V24" s="97">
        <v>3</v>
      </c>
      <c r="W24" s="97">
        <v>4</v>
      </c>
      <c r="X24" s="97">
        <v>5</v>
      </c>
      <c r="Y24" s="97">
        <v>6</v>
      </c>
      <c r="Z24" s="97">
        <v>7</v>
      </c>
      <c r="AA24" s="97">
        <v>8</v>
      </c>
      <c r="AB24" s="97">
        <v>9</v>
      </c>
      <c r="AC24" s="97">
        <v>10</v>
      </c>
      <c r="AD24" s="97">
        <v>11</v>
      </c>
      <c r="AE24" s="97">
        <v>12</v>
      </c>
      <c r="AF24" s="97">
        <v>1</v>
      </c>
      <c r="AG24" s="97">
        <v>2</v>
      </c>
      <c r="AH24" s="97">
        <v>3</v>
      </c>
      <c r="AI24" s="97">
        <v>4</v>
      </c>
      <c r="AJ24" s="97">
        <v>5</v>
      </c>
      <c r="AK24" s="97">
        <v>6</v>
      </c>
      <c r="AL24" s="97">
        <v>7</v>
      </c>
      <c r="AM24" s="97">
        <v>8</v>
      </c>
      <c r="AN24" s="97">
        <v>9</v>
      </c>
      <c r="AO24" s="97">
        <v>10</v>
      </c>
      <c r="AP24" s="97">
        <v>11</v>
      </c>
      <c r="AQ24" s="97">
        <v>12</v>
      </c>
      <c r="AR24" s="97">
        <v>1</v>
      </c>
      <c r="AS24" s="97">
        <v>2</v>
      </c>
      <c r="AT24" s="97">
        <v>3</v>
      </c>
      <c r="AU24" s="97">
        <v>4</v>
      </c>
      <c r="AV24" s="97">
        <v>5</v>
      </c>
      <c r="AW24" s="97">
        <v>6</v>
      </c>
      <c r="AX24" s="97">
        <v>7</v>
      </c>
      <c r="AY24" s="97">
        <v>8</v>
      </c>
      <c r="AZ24" s="97">
        <v>9</v>
      </c>
      <c r="BA24" s="97">
        <v>10</v>
      </c>
      <c r="BB24" s="97">
        <v>11</v>
      </c>
      <c r="BC24" s="97">
        <v>12</v>
      </c>
      <c r="BD24" s="97">
        <v>1</v>
      </c>
      <c r="BE24" s="97">
        <v>2</v>
      </c>
      <c r="BF24" s="97">
        <v>3</v>
      </c>
      <c r="BG24" s="97">
        <v>4</v>
      </c>
      <c r="BH24" s="97">
        <v>5</v>
      </c>
      <c r="BI24" s="97">
        <v>6</v>
      </c>
      <c r="BJ24" s="97">
        <v>7</v>
      </c>
      <c r="BK24" s="97">
        <v>8</v>
      </c>
      <c r="BL24" s="97">
        <v>9</v>
      </c>
      <c r="BM24" s="97">
        <v>10</v>
      </c>
      <c r="BN24" s="97">
        <v>11</v>
      </c>
      <c r="BO24" s="97">
        <v>12</v>
      </c>
      <c r="BP24" s="97">
        <v>1</v>
      </c>
      <c r="BQ24" s="97">
        <v>2</v>
      </c>
      <c r="BR24" s="97">
        <v>3</v>
      </c>
      <c r="BS24" s="97">
        <v>4</v>
      </c>
      <c r="BT24" s="97">
        <v>5</v>
      </c>
      <c r="BU24" s="97">
        <v>6</v>
      </c>
      <c r="BV24" s="97">
        <v>7</v>
      </c>
      <c r="BW24" s="97">
        <v>8</v>
      </c>
      <c r="BX24" s="97">
        <v>9</v>
      </c>
      <c r="BY24" s="97">
        <v>10</v>
      </c>
      <c r="BZ24" s="97">
        <v>11</v>
      </c>
      <c r="CA24" s="97">
        <v>12</v>
      </c>
      <c r="CB24" s="97">
        <v>1</v>
      </c>
      <c r="CC24" s="97">
        <v>2</v>
      </c>
      <c r="CD24" s="97">
        <v>3</v>
      </c>
      <c r="CE24" s="97">
        <v>4</v>
      </c>
      <c r="CF24" s="97">
        <v>5</v>
      </c>
      <c r="CG24" s="97">
        <v>6</v>
      </c>
      <c r="CH24" s="97">
        <v>7</v>
      </c>
      <c r="CI24" s="97">
        <v>8</v>
      </c>
      <c r="CJ24" s="97">
        <v>9</v>
      </c>
      <c r="CK24" s="97">
        <v>10</v>
      </c>
      <c r="CL24" s="97">
        <v>11</v>
      </c>
      <c r="CM24" s="97">
        <v>12</v>
      </c>
      <c r="CN24" s="97">
        <v>1</v>
      </c>
      <c r="CO24" s="97">
        <v>2</v>
      </c>
      <c r="CP24" s="97">
        <v>3</v>
      </c>
      <c r="CQ24" s="97">
        <v>4</v>
      </c>
      <c r="CR24" s="97">
        <v>5</v>
      </c>
      <c r="CS24" s="97">
        <v>6</v>
      </c>
      <c r="CT24" s="97">
        <v>7</v>
      </c>
      <c r="CU24" s="97">
        <v>8</v>
      </c>
      <c r="CV24" s="97">
        <v>9</v>
      </c>
      <c r="CW24" s="97">
        <v>10</v>
      </c>
      <c r="CX24" s="97">
        <v>11</v>
      </c>
      <c r="CY24" s="97">
        <v>12</v>
      </c>
      <c r="CZ24" s="97">
        <v>1</v>
      </c>
      <c r="DA24" s="97">
        <v>2</v>
      </c>
      <c r="DB24" s="97">
        <v>3</v>
      </c>
      <c r="DC24" s="97">
        <v>4</v>
      </c>
      <c r="DD24" s="97">
        <v>5</v>
      </c>
      <c r="DE24" s="97">
        <v>6</v>
      </c>
      <c r="DF24" s="97">
        <v>7</v>
      </c>
      <c r="DG24" s="97">
        <v>8</v>
      </c>
      <c r="DH24" s="97">
        <v>9</v>
      </c>
      <c r="DI24" s="97">
        <v>10</v>
      </c>
      <c r="DJ24" s="97">
        <v>11</v>
      </c>
      <c r="DK24" s="97">
        <v>12</v>
      </c>
      <c r="DL24" s="97">
        <v>1</v>
      </c>
      <c r="DM24" s="97">
        <v>2</v>
      </c>
      <c r="DN24" s="97">
        <v>3</v>
      </c>
      <c r="DO24" s="97">
        <v>4</v>
      </c>
      <c r="DP24" s="97">
        <v>5</v>
      </c>
      <c r="DQ24" s="97">
        <v>6</v>
      </c>
      <c r="DR24" s="97">
        <v>7</v>
      </c>
      <c r="DS24" s="97">
        <v>8</v>
      </c>
      <c r="DT24" s="97">
        <v>9</v>
      </c>
      <c r="DU24" s="97">
        <v>10</v>
      </c>
      <c r="DV24" s="97">
        <v>11</v>
      </c>
      <c r="DW24" s="97">
        <v>12</v>
      </c>
      <c r="DX24" s="97">
        <v>1</v>
      </c>
      <c r="DY24" s="97">
        <v>2</v>
      </c>
      <c r="DZ24" s="97">
        <v>3</v>
      </c>
      <c r="EA24" s="97">
        <v>4</v>
      </c>
      <c r="EB24" s="97">
        <v>5</v>
      </c>
      <c r="EC24" s="97">
        <v>6</v>
      </c>
      <c r="ED24" s="97">
        <v>7</v>
      </c>
      <c r="EE24" s="97">
        <v>8</v>
      </c>
      <c r="EF24" s="97">
        <v>9</v>
      </c>
      <c r="EG24" s="97">
        <v>10</v>
      </c>
      <c r="EH24" s="97">
        <v>11</v>
      </c>
      <c r="EI24" s="97">
        <v>12</v>
      </c>
      <c r="EJ24" s="97">
        <v>1</v>
      </c>
      <c r="EK24" s="97">
        <v>2</v>
      </c>
      <c r="EL24" s="97">
        <v>3</v>
      </c>
      <c r="EM24" s="97">
        <v>4</v>
      </c>
      <c r="EN24" s="97">
        <v>5</v>
      </c>
      <c r="EO24" s="97">
        <v>6</v>
      </c>
      <c r="EP24" s="97">
        <v>7</v>
      </c>
      <c r="EQ24" s="97">
        <v>8</v>
      </c>
      <c r="ER24" s="97">
        <v>9</v>
      </c>
      <c r="ES24" s="97">
        <v>10</v>
      </c>
      <c r="ET24" s="97">
        <v>11</v>
      </c>
      <c r="EU24" s="97">
        <v>12</v>
      </c>
      <c r="EV24" s="97">
        <v>1</v>
      </c>
      <c r="EW24" s="97">
        <v>2</v>
      </c>
      <c r="EX24" s="97">
        <v>3</v>
      </c>
      <c r="EY24" s="97">
        <v>4</v>
      </c>
      <c r="EZ24" s="97">
        <v>5</v>
      </c>
      <c r="FA24" s="97">
        <v>6</v>
      </c>
      <c r="FB24" s="97">
        <v>7</v>
      </c>
      <c r="FC24" s="97">
        <v>8</v>
      </c>
      <c r="FD24" s="97">
        <v>9</v>
      </c>
      <c r="FE24" s="97">
        <v>10</v>
      </c>
      <c r="FF24" s="97">
        <v>11</v>
      </c>
      <c r="FG24" s="97">
        <v>12</v>
      </c>
      <c r="FH24" s="97">
        <v>1</v>
      </c>
      <c r="FI24" s="97">
        <v>2</v>
      </c>
      <c r="FJ24" s="97">
        <v>3</v>
      </c>
      <c r="FK24" s="97">
        <v>4</v>
      </c>
      <c r="FL24" s="97">
        <v>5</v>
      </c>
      <c r="FM24" s="97">
        <v>6</v>
      </c>
      <c r="FN24" s="97">
        <v>7</v>
      </c>
      <c r="FO24" s="97">
        <v>8</v>
      </c>
      <c r="FP24" s="97">
        <v>9</v>
      </c>
      <c r="FQ24" s="97">
        <v>10</v>
      </c>
      <c r="FR24" s="97">
        <v>11</v>
      </c>
      <c r="FS24" s="97">
        <v>12</v>
      </c>
      <c r="FT24" s="97">
        <v>1</v>
      </c>
      <c r="FU24" s="97">
        <v>2</v>
      </c>
      <c r="FV24" s="97">
        <v>3</v>
      </c>
      <c r="FW24" s="97">
        <v>4</v>
      </c>
      <c r="FX24" s="97">
        <v>5</v>
      </c>
      <c r="FY24" s="97">
        <v>6</v>
      </c>
      <c r="FZ24" s="97">
        <v>7</v>
      </c>
      <c r="GA24" s="97">
        <v>8</v>
      </c>
      <c r="GB24" s="97">
        <v>9</v>
      </c>
      <c r="GC24" s="97">
        <v>10</v>
      </c>
      <c r="GD24" s="97">
        <v>11</v>
      </c>
      <c r="GE24" s="97">
        <v>12</v>
      </c>
      <c r="GF24" s="97">
        <v>1</v>
      </c>
      <c r="GG24" s="97">
        <v>2</v>
      </c>
      <c r="GH24" s="97">
        <v>3</v>
      </c>
      <c r="GI24" s="97">
        <v>4</v>
      </c>
      <c r="GJ24" s="97">
        <v>5</v>
      </c>
      <c r="GK24" s="97">
        <v>6</v>
      </c>
      <c r="GL24" s="97">
        <v>7</v>
      </c>
      <c r="GM24" s="97">
        <v>8</v>
      </c>
      <c r="GN24" s="97">
        <v>9</v>
      </c>
      <c r="GO24" s="97">
        <v>10</v>
      </c>
      <c r="GQ24" s="88"/>
      <c r="GR24" s="94"/>
      <c r="GS24" s="94"/>
      <c r="GT24" s="102"/>
    </row>
    <row r="25" spans="1:203">
      <c r="GQ25" s="88"/>
      <c r="GR25" s="94"/>
      <c r="GS25" s="94"/>
      <c r="GT25" s="102"/>
    </row>
    <row r="26" spans="1:203" ht="12" customHeight="1">
      <c r="A26" s="103" t="s">
        <v>168</v>
      </c>
      <c r="B26" s="104"/>
      <c r="C26" s="104"/>
      <c r="D26" s="104"/>
      <c r="E26" s="104"/>
      <c r="F26" s="104"/>
      <c r="G26" s="104"/>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4"/>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04"/>
      <c r="BH26" s="104"/>
      <c r="BI26" s="104"/>
      <c r="BJ26" s="104"/>
      <c r="BK26" s="104"/>
      <c r="BL26" s="104"/>
      <c r="BM26" s="104"/>
      <c r="BN26" s="104"/>
      <c r="BO26" s="104"/>
      <c r="BP26" s="104"/>
      <c r="BQ26" s="104"/>
      <c r="BR26" s="104"/>
      <c r="BS26" s="104"/>
      <c r="BT26" s="104"/>
      <c r="BU26" s="104"/>
      <c r="BV26" s="104"/>
      <c r="BW26" s="104"/>
      <c r="BX26" s="104"/>
      <c r="BY26" s="104"/>
      <c r="BZ26" s="104"/>
      <c r="CA26" s="104"/>
      <c r="CB26" s="104"/>
      <c r="CC26" s="104"/>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104"/>
      <c r="EH26" s="104"/>
      <c r="EI26" s="104"/>
      <c r="EJ26" s="104"/>
      <c r="EK26" s="104"/>
      <c r="EL26" s="104"/>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104"/>
      <c r="FO26" s="104"/>
      <c r="FP26" s="104"/>
      <c r="FQ26" s="104"/>
      <c r="FR26" s="104"/>
      <c r="FS26" s="104"/>
      <c r="FT26" s="104"/>
      <c r="FU26" s="104"/>
      <c r="FV26" s="104"/>
      <c r="FW26" s="104"/>
      <c r="FX26" s="104"/>
      <c r="FY26" s="104"/>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104"/>
    </row>
    <row r="27" spans="1:203"/>
    <row r="28" spans="1:203" hidden="1"/>
    <row r="29" spans="1:203" ht="15" hidden="1" customHeight="1"/>
    <row r="30" spans="1:203" ht="15" hidden="1" customHeight="1"/>
    <row r="31" spans="1:203" ht="15" hidden="1" customHeight="1"/>
    <row r="32" spans="1:203" ht="15" hidden="1" customHeight="1"/>
    <row r="33" ht="15" hidden="1" customHeight="1"/>
    <row r="34" ht="15" hidden="1" customHeight="1"/>
  </sheetData>
  <conditionalFormatting sqref="A1:C1 A26:GU26 A5:GU5 A9:GU9">
    <cfRule type="expression" dxfId="197" priority="19" stopIfTrue="1">
      <formula>ErrorsPresent&gt;0</formula>
    </cfRule>
    <cfRule type="expression" dxfId="196" priority="20" stopIfTrue="1">
      <formula>ErrorsPresent&lt;0</formula>
    </cfRule>
  </conditionalFormatting>
  <conditionalFormatting sqref="F15">
    <cfRule type="expression" dxfId="195" priority="18" stopIfTrue="1">
      <formula>F$40&lt;&gt;""</formula>
    </cfRule>
  </conditionalFormatting>
  <conditionalFormatting sqref="E1 GR14">
    <cfRule type="cellIs" dxfId="194" priority="17" stopIfTrue="1" operator="equal">
      <formula>0</formula>
    </cfRule>
  </conditionalFormatting>
  <conditionalFormatting sqref="E1 GR14">
    <cfRule type="cellIs" dxfId="193" priority="15" stopIfTrue="1" operator="greaterThan">
      <formula>0</formula>
    </cfRule>
    <cfRule type="cellIs" dxfId="192" priority="16" stopIfTrue="1" operator="lessThan">
      <formula>0</formula>
    </cfRule>
  </conditionalFormatting>
  <conditionalFormatting sqref="GR13:GR14">
    <cfRule type="cellIs" dxfId="191" priority="14" stopIfTrue="1" operator="equal">
      <formula>0</formula>
    </cfRule>
  </conditionalFormatting>
  <conditionalFormatting sqref="GR13:GR14">
    <cfRule type="cellIs" dxfId="190" priority="12" stopIfTrue="1" operator="greaterThan">
      <formula>0</formula>
    </cfRule>
    <cfRule type="cellIs" dxfId="189" priority="13" stopIfTrue="1" operator="lessThan">
      <formula>0</formula>
    </cfRule>
  </conditionalFormatting>
  <conditionalFormatting sqref="F16">
    <cfRule type="expression" dxfId="188" priority="11" stopIfTrue="1">
      <formula>F$40&lt;&gt;""</formula>
    </cfRule>
  </conditionalFormatting>
  <conditionalFormatting sqref="F17">
    <cfRule type="expression" dxfId="187" priority="10" stopIfTrue="1">
      <formula>F$40&lt;&gt;""</formula>
    </cfRule>
  </conditionalFormatting>
  <conditionalFormatting sqref="F18">
    <cfRule type="expression" dxfId="186" priority="9" stopIfTrue="1">
      <formula>F$40&lt;&gt;""</formula>
    </cfRule>
  </conditionalFormatting>
  <conditionalFormatting sqref="F19">
    <cfRule type="expression" dxfId="185" priority="8" stopIfTrue="1">
      <formula>F$40&lt;&gt;""</formula>
    </cfRule>
  </conditionalFormatting>
  <conditionalFormatting sqref="F20">
    <cfRule type="expression" dxfId="184" priority="7" stopIfTrue="1">
      <formula>F$40&lt;&gt;""</formula>
    </cfRule>
  </conditionalFormatting>
  <conditionalFormatting sqref="F21">
    <cfRule type="expression" dxfId="183" priority="6" stopIfTrue="1">
      <formula>F$40&lt;&gt;""</formula>
    </cfRule>
  </conditionalFormatting>
  <conditionalFormatting sqref="F22">
    <cfRule type="expression" dxfId="182" priority="5" stopIfTrue="1">
      <formula>F$40&lt;&gt;""</formula>
    </cfRule>
  </conditionalFormatting>
  <conditionalFormatting sqref="G22">
    <cfRule type="expression" dxfId="181" priority="4" stopIfTrue="1">
      <formula>G$40&lt;&gt;""</formula>
    </cfRule>
  </conditionalFormatting>
  <conditionalFormatting sqref="F23">
    <cfRule type="expression" dxfId="180" priority="3" stopIfTrue="1">
      <formula>F$43&lt;&gt;""</formula>
    </cfRule>
  </conditionalFormatting>
  <conditionalFormatting sqref="G23">
    <cfRule type="expression" dxfId="179" priority="2" stopIfTrue="1">
      <formula>G$43&lt;&gt;""</formula>
    </cfRule>
  </conditionalFormatting>
  <conditionalFormatting sqref="F24:G24">
    <cfRule type="expression" dxfId="178" priority="1" stopIfTrue="1">
      <formula>F$43&lt;&gt;""</formula>
    </cfRule>
  </conditionalFormatting>
  <pageMargins left="0.7" right="0.7" top="0.75" bottom="0.75" header="0.3" footer="0.3"/>
  <pageSetup paperSize="9" orientation="portrait" horizontalDpi="200" verticalDpi="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outlinePr summaryBelow="0" summaryRight="0"/>
    <pageSetUpPr autoPageBreaks="0"/>
  </sheetPr>
  <dimension ref="A1:XAJ207"/>
  <sheetViews>
    <sheetView showGridLines="0" zoomScale="90" zoomScaleNormal="90" workbookViewId="0">
      <selection activeCell="F12" sqref="F12"/>
    </sheetView>
  </sheetViews>
  <sheetFormatPr defaultColWidth="0" defaultRowHeight="12.75" customHeight="1" zeroHeight="1" outlineLevelRow="1" outlineLevelCol="1"/>
  <cols>
    <col min="1" max="3" width="9.140625" style="94" customWidth="1"/>
    <col min="4" max="4" width="11.140625" style="94" customWidth="1"/>
    <col min="5" max="5" width="9.28515625" style="94" customWidth="1"/>
    <col min="6" max="128" width="11.7109375" style="94" customWidth="1"/>
    <col min="129" max="129" width="1.7109375" style="94" customWidth="1" collapsed="1"/>
    <col min="130" max="131" width="0" style="94" hidden="1" customWidth="1" outlineLevel="1"/>
    <col min="132" max="132" width="1.7109375" style="94" customWidth="1"/>
    <col min="133" max="158" width="0" style="94" hidden="1"/>
    <col min="159" max="230" width="9.140625" style="94" hidden="1"/>
    <col min="231" max="233" width="9.140625" style="94" customWidth="1"/>
    <col min="234" max="234" width="11.140625" style="94" customWidth="1"/>
    <col min="235" max="235" width="9.140625" style="94" customWidth="1"/>
    <col min="236" max="236" width="9.28515625" style="94" customWidth="1"/>
    <col min="237" max="237" width="10.85546875" style="94" customWidth="1"/>
    <col min="238" max="257" width="9.140625" style="94" hidden="1" customWidth="1"/>
    <col min="258" max="258" width="7.28515625" style="94" customWidth="1"/>
    <col min="259" max="260" width="9.140625" style="94" customWidth="1"/>
    <col min="261" max="261" width="12" style="94" customWidth="1"/>
    <col min="262" max="384" width="11.7109375" style="94" customWidth="1"/>
    <col min="385" max="385" width="1.7109375" style="94" customWidth="1"/>
    <col min="386" max="387" width="9.140625" style="94" hidden="1" customWidth="1"/>
    <col min="388" max="388" width="1.7109375" style="94" customWidth="1"/>
    <col min="389" max="486" width="9.140625" style="94" hidden="1"/>
    <col min="487" max="489" width="9.140625" style="94" customWidth="1"/>
    <col min="490" max="490" width="11.140625" style="94" customWidth="1"/>
    <col min="491" max="491" width="9.140625" style="94" customWidth="1"/>
    <col min="492" max="492" width="9.28515625" style="94" customWidth="1"/>
    <col min="493" max="493" width="10.85546875" style="94" customWidth="1"/>
    <col min="494" max="513" width="9.140625" style="94" hidden="1" customWidth="1"/>
    <col min="514" max="514" width="7.28515625" style="94" customWidth="1"/>
    <col min="515" max="516" width="9.140625" style="94" customWidth="1"/>
    <col min="517" max="517" width="12" style="94" customWidth="1"/>
    <col min="518" max="640" width="11.7109375" style="94" customWidth="1"/>
    <col min="641" max="641" width="1.7109375" style="94" customWidth="1"/>
    <col min="642" max="643" width="9.140625" style="94" hidden="1" customWidth="1"/>
    <col min="644" max="644" width="1.7109375" style="94" customWidth="1"/>
    <col min="645" max="742" width="9.140625" style="94" hidden="1"/>
    <col min="743" max="745" width="9.140625" style="94" customWidth="1"/>
    <col min="746" max="746" width="11.140625" style="94" customWidth="1"/>
    <col min="747" max="747" width="9.140625" style="94" customWidth="1"/>
    <col min="748" max="748" width="9.28515625" style="94" customWidth="1"/>
    <col min="749" max="749" width="10.85546875" style="94" customWidth="1"/>
    <col min="750" max="769" width="9.140625" style="94" hidden="1" customWidth="1"/>
    <col min="770" max="770" width="7.28515625" style="94" customWidth="1"/>
    <col min="771" max="772" width="9.140625" style="94" customWidth="1"/>
    <col min="773" max="773" width="12" style="94" customWidth="1"/>
    <col min="774" max="896" width="11.7109375" style="94" customWidth="1"/>
    <col min="897" max="897" width="1.7109375" style="94" customWidth="1"/>
    <col min="898" max="899" width="9.140625" style="94" hidden="1" customWidth="1"/>
    <col min="900" max="900" width="1.7109375" style="94" customWidth="1"/>
    <col min="901" max="998" width="9.140625" style="94" hidden="1"/>
    <col min="999" max="1001" width="9.140625" style="94" customWidth="1"/>
    <col min="1002" max="1002" width="11.140625" style="94" customWidth="1"/>
    <col min="1003" max="1003" width="9.140625" style="94" customWidth="1"/>
    <col min="1004" max="1004" width="9.28515625" style="94" customWidth="1"/>
    <col min="1005" max="1005" width="10.85546875" style="94" customWidth="1"/>
    <col min="1006" max="1025" width="9.140625" style="94" hidden="1" customWidth="1"/>
    <col min="1026" max="1026" width="7.28515625" style="94" customWidth="1"/>
    <col min="1027" max="1028" width="9.140625" style="94" customWidth="1"/>
    <col min="1029" max="1029" width="12" style="94" customWidth="1"/>
    <col min="1030" max="1152" width="11.7109375" style="94" customWidth="1"/>
    <col min="1153" max="1153" width="1.7109375" style="94" customWidth="1"/>
    <col min="1154" max="1155" width="9.140625" style="94" hidden="1" customWidth="1"/>
    <col min="1156" max="1156" width="1.7109375" style="94" customWidth="1"/>
    <col min="1157" max="1254" width="9.140625" style="94" hidden="1"/>
    <col min="1255" max="1257" width="9.140625" style="94" customWidth="1"/>
    <col min="1258" max="1258" width="11.140625" style="94" customWidth="1"/>
    <col min="1259" max="1259" width="9.140625" style="94" customWidth="1"/>
    <col min="1260" max="1260" width="9.28515625" style="94" customWidth="1"/>
    <col min="1261" max="1261" width="10.85546875" style="94" customWidth="1"/>
    <col min="1262" max="1281" width="9.140625" style="94" hidden="1" customWidth="1"/>
    <col min="1282" max="1282" width="7.28515625" style="94" customWidth="1"/>
    <col min="1283" max="1284" width="9.140625" style="94" customWidth="1"/>
    <col min="1285" max="1285" width="12" style="94" customWidth="1"/>
    <col min="1286" max="1408" width="11.7109375" style="94" customWidth="1"/>
    <col min="1409" max="1409" width="1.7109375" style="94" customWidth="1"/>
    <col min="1410" max="1411" width="9.140625" style="94" hidden="1" customWidth="1"/>
    <col min="1412" max="1412" width="1.7109375" style="94" customWidth="1"/>
    <col min="1413" max="1510" width="9.140625" style="94" hidden="1"/>
    <col min="1511" max="1513" width="9.140625" style="94" customWidth="1"/>
    <col min="1514" max="1514" width="11.140625" style="94" customWidth="1"/>
    <col min="1515" max="1515" width="9.140625" style="94" customWidth="1"/>
    <col min="1516" max="1516" width="9.28515625" style="94" customWidth="1"/>
    <col min="1517" max="1517" width="10.85546875" style="94" customWidth="1"/>
    <col min="1518" max="1537" width="9.140625" style="94" hidden="1" customWidth="1"/>
    <col min="1538" max="1538" width="7.28515625" style="94" customWidth="1"/>
    <col min="1539" max="1540" width="9.140625" style="94" customWidth="1"/>
    <col min="1541" max="1541" width="12" style="94" customWidth="1"/>
    <col min="1542" max="1664" width="11.7109375" style="94" customWidth="1"/>
    <col min="1665" max="1665" width="1.7109375" style="94" customWidth="1"/>
    <col min="1666" max="1667" width="9.140625" style="94" hidden="1" customWidth="1"/>
    <col min="1668" max="1668" width="1.7109375" style="94" customWidth="1"/>
    <col min="1669" max="1766" width="9.140625" style="94" hidden="1"/>
    <col min="1767" max="1769" width="9.140625" style="94" customWidth="1"/>
    <col min="1770" max="1770" width="11.140625" style="94" customWidth="1"/>
    <col min="1771" max="1771" width="9.140625" style="94" customWidth="1"/>
    <col min="1772" max="1772" width="9.28515625" style="94" customWidth="1"/>
    <col min="1773" max="1773" width="10.85546875" style="94" customWidth="1"/>
    <col min="1774" max="1793" width="9.140625" style="94" hidden="1" customWidth="1"/>
    <col min="1794" max="1794" width="7.28515625" style="94" customWidth="1"/>
    <col min="1795" max="1796" width="9.140625" style="94" customWidth="1"/>
    <col min="1797" max="1797" width="12" style="94" customWidth="1"/>
    <col min="1798" max="1920" width="11.7109375" style="94" customWidth="1"/>
    <col min="1921" max="1921" width="1.7109375" style="94" customWidth="1"/>
    <col min="1922" max="1923" width="9.140625" style="94" hidden="1" customWidth="1"/>
    <col min="1924" max="1924" width="1.7109375" style="94" customWidth="1"/>
    <col min="1925" max="2022" width="9.140625" style="94" hidden="1"/>
    <col min="2023" max="2025" width="9.140625" style="94" customWidth="1"/>
    <col min="2026" max="2026" width="11.140625" style="94" customWidth="1"/>
    <col min="2027" max="2027" width="9.140625" style="94" customWidth="1"/>
    <col min="2028" max="2028" width="9.28515625" style="94" customWidth="1"/>
    <col min="2029" max="2029" width="10.85546875" style="94" customWidth="1"/>
    <col min="2030" max="2049" width="9.140625" style="94" hidden="1" customWidth="1"/>
    <col min="2050" max="2050" width="7.28515625" style="94" customWidth="1"/>
    <col min="2051" max="2052" width="9.140625" style="94" customWidth="1"/>
    <col min="2053" max="2053" width="12" style="94" customWidth="1"/>
    <col min="2054" max="2176" width="11.7109375" style="94" customWidth="1"/>
    <col min="2177" max="2177" width="1.7109375" style="94" customWidth="1"/>
    <col min="2178" max="2179" width="9.140625" style="94" hidden="1" customWidth="1"/>
    <col min="2180" max="2180" width="1.7109375" style="94" customWidth="1"/>
    <col min="2181" max="2278" width="9.140625" style="94" hidden="1"/>
    <col min="2279" max="2281" width="9.140625" style="94" customWidth="1"/>
    <col min="2282" max="2282" width="11.140625" style="94" customWidth="1"/>
    <col min="2283" max="2283" width="9.140625" style="94" customWidth="1"/>
    <col min="2284" max="2284" width="9.28515625" style="94" customWidth="1"/>
    <col min="2285" max="2285" width="10.85546875" style="94" customWidth="1"/>
    <col min="2286" max="2305" width="9.140625" style="94" hidden="1" customWidth="1"/>
    <col min="2306" max="2306" width="7.28515625" style="94" customWidth="1"/>
    <col min="2307" max="2308" width="9.140625" style="94" customWidth="1"/>
    <col min="2309" max="2309" width="12" style="94" customWidth="1"/>
    <col min="2310" max="2432" width="11.7109375" style="94" customWidth="1"/>
    <col min="2433" max="2433" width="1.7109375" style="94" customWidth="1"/>
    <col min="2434" max="2435" width="9.140625" style="94" hidden="1" customWidth="1"/>
    <col min="2436" max="2436" width="1.7109375" style="94" customWidth="1"/>
    <col min="2437" max="2534" width="9.140625" style="94" hidden="1"/>
    <col min="2535" max="2537" width="9.140625" style="94" customWidth="1"/>
    <col min="2538" max="2538" width="11.140625" style="94" customWidth="1"/>
    <col min="2539" max="2539" width="9.140625" style="94" customWidth="1"/>
    <col min="2540" max="2540" width="9.28515625" style="94" customWidth="1"/>
    <col min="2541" max="2541" width="10.85546875" style="94" customWidth="1"/>
    <col min="2542" max="2561" width="9.140625" style="94" hidden="1" customWidth="1"/>
    <col min="2562" max="2562" width="7.28515625" style="94" customWidth="1"/>
    <col min="2563" max="2564" width="9.140625" style="94" customWidth="1"/>
    <col min="2565" max="2565" width="12" style="94" customWidth="1"/>
    <col min="2566" max="2688" width="11.7109375" style="94" customWidth="1"/>
    <col min="2689" max="2689" width="1.7109375" style="94" customWidth="1"/>
    <col min="2690" max="2691" width="9.140625" style="94" hidden="1" customWidth="1"/>
    <col min="2692" max="2692" width="1.7109375" style="94" customWidth="1"/>
    <col min="2693" max="2790" width="9.140625" style="94" hidden="1"/>
    <col min="2791" max="2793" width="9.140625" style="94" customWidth="1"/>
    <col min="2794" max="2794" width="11.140625" style="94" customWidth="1"/>
    <col min="2795" max="2795" width="9.140625" style="94" customWidth="1"/>
    <col min="2796" max="2796" width="9.28515625" style="94" customWidth="1"/>
    <col min="2797" max="2797" width="10.85546875" style="94" customWidth="1"/>
    <col min="2798" max="2817" width="9.140625" style="94" hidden="1" customWidth="1"/>
    <col min="2818" max="2818" width="7.28515625" style="94" customWidth="1"/>
    <col min="2819" max="2820" width="9.140625" style="94" customWidth="1"/>
    <col min="2821" max="2821" width="12" style="94" customWidth="1"/>
    <col min="2822" max="2944" width="11.7109375" style="94" customWidth="1"/>
    <col min="2945" max="2945" width="1.7109375" style="94" customWidth="1"/>
    <col min="2946" max="2947" width="9.140625" style="94" hidden="1" customWidth="1"/>
    <col min="2948" max="2948" width="1.7109375" style="94" customWidth="1"/>
    <col min="2949" max="3046" width="9.140625" style="94" hidden="1"/>
    <col min="3047" max="3049" width="9.140625" style="94" customWidth="1"/>
    <col min="3050" max="3050" width="11.140625" style="94" customWidth="1"/>
    <col min="3051" max="3051" width="9.140625" style="94" customWidth="1"/>
    <col min="3052" max="3052" width="9.28515625" style="94" customWidth="1"/>
    <col min="3053" max="3053" width="10.85546875" style="94" customWidth="1"/>
    <col min="3054" max="3073" width="9.140625" style="94" hidden="1" customWidth="1"/>
    <col min="3074" max="3074" width="7.28515625" style="94" customWidth="1"/>
    <col min="3075" max="3076" width="9.140625" style="94" customWidth="1"/>
    <col min="3077" max="3077" width="12" style="94" customWidth="1"/>
    <col min="3078" max="3200" width="11.7109375" style="94" customWidth="1"/>
    <col min="3201" max="3201" width="1.7109375" style="94" customWidth="1"/>
    <col min="3202" max="3203" width="9.140625" style="94" hidden="1" customWidth="1"/>
    <col min="3204" max="3204" width="1.7109375" style="94" customWidth="1"/>
    <col min="3205" max="3302" width="9.140625" style="94" hidden="1"/>
    <col min="3303" max="3305" width="9.140625" style="94" customWidth="1"/>
    <col min="3306" max="3306" width="11.140625" style="94" customWidth="1"/>
    <col min="3307" max="3307" width="9.140625" style="94" customWidth="1"/>
    <col min="3308" max="3308" width="9.28515625" style="94" customWidth="1"/>
    <col min="3309" max="3309" width="10.85546875" style="94" customWidth="1"/>
    <col min="3310" max="3329" width="9.140625" style="94" hidden="1" customWidth="1"/>
    <col min="3330" max="3330" width="7.28515625" style="94" customWidth="1"/>
    <col min="3331" max="3332" width="9.140625" style="94" customWidth="1"/>
    <col min="3333" max="3333" width="12" style="94" customWidth="1"/>
    <col min="3334" max="3456" width="11.7109375" style="94" customWidth="1"/>
    <col min="3457" max="3457" width="1.7109375" style="94" customWidth="1"/>
    <col min="3458" max="3459" width="9.140625" style="94" hidden="1" customWidth="1"/>
    <col min="3460" max="3460" width="1.7109375" style="94" customWidth="1"/>
    <col min="3461" max="3558" width="9.140625" style="94" hidden="1"/>
    <col min="3559" max="3561" width="9.140625" style="94" customWidth="1"/>
    <col min="3562" max="3562" width="11.140625" style="94" customWidth="1"/>
    <col min="3563" max="3563" width="9.140625" style="94" customWidth="1"/>
    <col min="3564" max="3564" width="9.28515625" style="94" customWidth="1"/>
    <col min="3565" max="3565" width="10.85546875" style="94" customWidth="1"/>
    <col min="3566" max="3585" width="9.140625" style="94" hidden="1" customWidth="1"/>
    <col min="3586" max="3586" width="7.28515625" style="94" customWidth="1"/>
    <col min="3587" max="3588" width="9.140625" style="94" customWidth="1"/>
    <col min="3589" max="3589" width="12" style="94" customWidth="1"/>
    <col min="3590" max="3712" width="11.7109375" style="94" customWidth="1"/>
    <col min="3713" max="3713" width="1.7109375" style="94" customWidth="1"/>
    <col min="3714" max="3715" width="9.140625" style="94" hidden="1" customWidth="1"/>
    <col min="3716" max="3716" width="1.7109375" style="94" customWidth="1"/>
    <col min="3717" max="3814" width="9.140625" style="94" hidden="1"/>
    <col min="3815" max="3817" width="9.140625" style="94" customWidth="1"/>
    <col min="3818" max="3818" width="11.140625" style="94" customWidth="1"/>
    <col min="3819" max="3819" width="9.140625" style="94" customWidth="1"/>
    <col min="3820" max="3820" width="9.28515625" style="94" customWidth="1"/>
    <col min="3821" max="3821" width="10.85546875" style="94" customWidth="1"/>
    <col min="3822" max="3841" width="9.140625" style="94" hidden="1" customWidth="1"/>
    <col min="3842" max="3842" width="7.28515625" style="94" customWidth="1"/>
    <col min="3843" max="3844" width="9.140625" style="94" customWidth="1"/>
    <col min="3845" max="3845" width="12" style="94" customWidth="1"/>
    <col min="3846" max="3968" width="11.7109375" style="94" customWidth="1"/>
    <col min="3969" max="3969" width="1.7109375" style="94" customWidth="1"/>
    <col min="3970" max="3971" width="9.140625" style="94" hidden="1" customWidth="1"/>
    <col min="3972" max="3972" width="1.7109375" style="94" customWidth="1"/>
    <col min="3973" max="4070" width="9.140625" style="94" hidden="1"/>
    <col min="4071" max="4073" width="9.140625" style="94" customWidth="1"/>
    <col min="4074" max="4074" width="11.140625" style="94" customWidth="1"/>
    <col min="4075" max="4075" width="9.140625" style="94" customWidth="1"/>
    <col min="4076" max="4076" width="9.28515625" style="94" customWidth="1"/>
    <col min="4077" max="4077" width="10.85546875" style="94" customWidth="1"/>
    <col min="4078" max="4097" width="9.140625" style="94" hidden="1" customWidth="1"/>
    <col min="4098" max="4098" width="7.28515625" style="94" customWidth="1"/>
    <col min="4099" max="4100" width="9.140625" style="94" customWidth="1"/>
    <col min="4101" max="4101" width="12" style="94" customWidth="1"/>
    <col min="4102" max="4224" width="11.7109375" style="94" customWidth="1"/>
    <col min="4225" max="4225" width="1.7109375" style="94" customWidth="1"/>
    <col min="4226" max="4227" width="9.140625" style="94" hidden="1" customWidth="1"/>
    <col min="4228" max="4228" width="1.7109375" style="94" customWidth="1"/>
    <col min="4229" max="4326" width="9.140625" style="94" hidden="1"/>
    <col min="4327" max="4329" width="9.140625" style="94" customWidth="1"/>
    <col min="4330" max="4330" width="11.140625" style="94" customWidth="1"/>
    <col min="4331" max="4331" width="9.140625" style="94" customWidth="1"/>
    <col min="4332" max="4332" width="9.28515625" style="94" customWidth="1"/>
    <col min="4333" max="4333" width="10.85546875" style="94" customWidth="1"/>
    <col min="4334" max="4353" width="9.140625" style="94" hidden="1" customWidth="1"/>
    <col min="4354" max="4354" width="7.28515625" style="94" customWidth="1"/>
    <col min="4355" max="4356" width="9.140625" style="94" customWidth="1"/>
    <col min="4357" max="4357" width="12" style="94" customWidth="1"/>
    <col min="4358" max="4480" width="11.7109375" style="94" customWidth="1"/>
    <col min="4481" max="4481" width="1.7109375" style="94" customWidth="1"/>
    <col min="4482" max="4483" width="9.140625" style="94" hidden="1" customWidth="1"/>
    <col min="4484" max="4484" width="1.7109375" style="94" customWidth="1"/>
    <col min="4485" max="4582" width="9.140625" style="94" hidden="1"/>
    <col min="4583" max="4585" width="9.140625" style="94" customWidth="1"/>
    <col min="4586" max="4586" width="11.140625" style="94" customWidth="1"/>
    <col min="4587" max="4587" width="9.140625" style="94" customWidth="1"/>
    <col min="4588" max="4588" width="9.28515625" style="94" customWidth="1"/>
    <col min="4589" max="4589" width="10.85546875" style="94" customWidth="1"/>
    <col min="4590" max="4609" width="9.140625" style="94" hidden="1" customWidth="1"/>
    <col min="4610" max="4610" width="7.28515625" style="94" customWidth="1"/>
    <col min="4611" max="4612" width="9.140625" style="94" customWidth="1"/>
    <col min="4613" max="4613" width="12" style="94" customWidth="1"/>
    <col min="4614" max="4736" width="11.7109375" style="94" customWidth="1"/>
    <col min="4737" max="4737" width="1.7109375" style="94" customWidth="1"/>
    <col min="4738" max="4739" width="9.140625" style="94" hidden="1" customWidth="1"/>
    <col min="4740" max="4740" width="1.7109375" style="94" customWidth="1"/>
    <col min="4741" max="4838" width="9.140625" style="94" hidden="1"/>
    <col min="4839" max="4841" width="9.140625" style="94" customWidth="1"/>
    <col min="4842" max="4842" width="11.140625" style="94" customWidth="1"/>
    <col min="4843" max="4843" width="9.140625" style="94" customWidth="1"/>
    <col min="4844" max="4844" width="9.28515625" style="94" customWidth="1"/>
    <col min="4845" max="4845" width="10.85546875" style="94" customWidth="1"/>
    <col min="4846" max="4865" width="9.140625" style="94" hidden="1" customWidth="1"/>
    <col min="4866" max="4866" width="7.28515625" style="94" customWidth="1"/>
    <col min="4867" max="4868" width="9.140625" style="94" customWidth="1"/>
    <col min="4869" max="4869" width="12" style="94" customWidth="1"/>
    <col min="4870" max="4992" width="11.7109375" style="94" customWidth="1"/>
    <col min="4993" max="4993" width="1.7109375" style="94" customWidth="1"/>
    <col min="4994" max="4995" width="9.140625" style="94" hidden="1" customWidth="1"/>
    <col min="4996" max="4996" width="1.7109375" style="94" customWidth="1"/>
    <col min="4997" max="5094" width="9.140625" style="94" hidden="1"/>
    <col min="5095" max="5097" width="9.140625" style="94" customWidth="1"/>
    <col min="5098" max="5098" width="11.140625" style="94" customWidth="1"/>
    <col min="5099" max="5099" width="9.140625" style="94" customWidth="1"/>
    <col min="5100" max="5100" width="9.28515625" style="94" customWidth="1"/>
    <col min="5101" max="5101" width="10.85546875" style="94" customWidth="1"/>
    <col min="5102" max="5121" width="9.140625" style="94" hidden="1" customWidth="1"/>
    <col min="5122" max="5122" width="7.28515625" style="94" customWidth="1"/>
    <col min="5123" max="5124" width="9.140625" style="94" customWidth="1"/>
    <col min="5125" max="5125" width="12" style="94" customWidth="1"/>
    <col min="5126" max="5248" width="11.7109375" style="94" customWidth="1"/>
    <col min="5249" max="5249" width="1.7109375" style="94" customWidth="1"/>
    <col min="5250" max="5251" width="9.140625" style="94" hidden="1" customWidth="1"/>
    <col min="5252" max="5252" width="1.7109375" style="94" customWidth="1"/>
    <col min="5253" max="5350" width="9.140625" style="94" hidden="1"/>
    <col min="5351" max="5353" width="9.140625" style="94" customWidth="1"/>
    <col min="5354" max="5354" width="11.140625" style="94" customWidth="1"/>
    <col min="5355" max="5355" width="9.140625" style="94" customWidth="1"/>
    <col min="5356" max="5356" width="9.28515625" style="94" customWidth="1"/>
    <col min="5357" max="5357" width="10.85546875" style="94" customWidth="1"/>
    <col min="5358" max="5377" width="9.140625" style="94" hidden="1" customWidth="1"/>
    <col min="5378" max="5378" width="7.28515625" style="94" customWidth="1"/>
    <col min="5379" max="5380" width="9.140625" style="94" customWidth="1"/>
    <col min="5381" max="5381" width="12" style="94" customWidth="1"/>
    <col min="5382" max="5504" width="11.7109375" style="94" customWidth="1"/>
    <col min="5505" max="5505" width="1.7109375" style="94" customWidth="1"/>
    <col min="5506" max="5507" width="9.140625" style="94" hidden="1" customWidth="1"/>
    <col min="5508" max="5508" width="1.7109375" style="94" customWidth="1"/>
    <col min="5509" max="5606" width="9.140625" style="94" hidden="1"/>
    <col min="5607" max="5609" width="9.140625" style="94" customWidth="1"/>
    <col min="5610" max="5610" width="11.140625" style="94" customWidth="1"/>
    <col min="5611" max="5611" width="9.140625" style="94" customWidth="1"/>
    <col min="5612" max="5612" width="9.28515625" style="94" customWidth="1"/>
    <col min="5613" max="5613" width="10.85546875" style="94" customWidth="1"/>
    <col min="5614" max="5633" width="9.140625" style="94" hidden="1" customWidth="1"/>
    <col min="5634" max="5634" width="7.28515625" style="94" customWidth="1"/>
    <col min="5635" max="5636" width="9.140625" style="94" customWidth="1"/>
    <col min="5637" max="5637" width="12" style="94" customWidth="1"/>
    <col min="5638" max="5760" width="11.7109375" style="94" customWidth="1"/>
    <col min="5761" max="5761" width="1.7109375" style="94" customWidth="1"/>
    <col min="5762" max="5763" width="9.140625" style="94" hidden="1" customWidth="1"/>
    <col min="5764" max="5764" width="1.7109375" style="94" customWidth="1"/>
    <col min="5765" max="5862" width="9.140625" style="94" hidden="1"/>
    <col min="5863" max="5865" width="9.140625" style="94" customWidth="1"/>
    <col min="5866" max="5866" width="11.140625" style="94" customWidth="1"/>
    <col min="5867" max="5867" width="9.140625" style="94" customWidth="1"/>
    <col min="5868" max="5868" width="9.28515625" style="94" customWidth="1"/>
    <col min="5869" max="5869" width="10.85546875" style="94" customWidth="1"/>
    <col min="5870" max="5889" width="9.140625" style="94" hidden="1" customWidth="1"/>
    <col min="5890" max="5890" width="7.28515625" style="94" customWidth="1"/>
    <col min="5891" max="5892" width="9.140625" style="94" customWidth="1"/>
    <col min="5893" max="5893" width="12" style="94" customWidth="1"/>
    <col min="5894" max="6016" width="11.7109375" style="94" customWidth="1"/>
    <col min="6017" max="6017" width="1.7109375" style="94" customWidth="1"/>
    <col min="6018" max="6019" width="9.140625" style="94" hidden="1" customWidth="1"/>
    <col min="6020" max="6020" width="1.7109375" style="94" customWidth="1"/>
    <col min="6021" max="6118" width="9.140625" style="94" hidden="1"/>
    <col min="6119" max="6121" width="9.140625" style="94" customWidth="1"/>
    <col min="6122" max="6122" width="11.140625" style="94" customWidth="1"/>
    <col min="6123" max="6123" width="9.140625" style="94" customWidth="1"/>
    <col min="6124" max="6124" width="9.28515625" style="94" customWidth="1"/>
    <col min="6125" max="6125" width="10.85546875" style="94" customWidth="1"/>
    <col min="6126" max="6145" width="9.140625" style="94" hidden="1" customWidth="1"/>
    <col min="6146" max="6146" width="7.28515625" style="94" customWidth="1"/>
    <col min="6147" max="6148" width="9.140625" style="94" customWidth="1"/>
    <col min="6149" max="6149" width="12" style="94" customWidth="1"/>
    <col min="6150" max="6272" width="11.7109375" style="94" customWidth="1"/>
    <col min="6273" max="6273" width="1.7109375" style="94" customWidth="1"/>
    <col min="6274" max="6275" width="9.140625" style="94" hidden="1" customWidth="1"/>
    <col min="6276" max="6276" width="1.7109375" style="94" customWidth="1"/>
    <col min="6277" max="6374" width="9.140625" style="94" hidden="1"/>
    <col min="6375" max="6377" width="9.140625" style="94" customWidth="1"/>
    <col min="6378" max="6378" width="11.140625" style="94" customWidth="1"/>
    <col min="6379" max="6379" width="9.140625" style="94" customWidth="1"/>
    <col min="6380" max="6380" width="9.28515625" style="94" customWidth="1"/>
    <col min="6381" max="6381" width="10.85546875" style="94" customWidth="1"/>
    <col min="6382" max="6401" width="9.140625" style="94" hidden="1" customWidth="1"/>
    <col min="6402" max="6402" width="7.28515625" style="94" customWidth="1"/>
    <col min="6403" max="6404" width="9.140625" style="94" customWidth="1"/>
    <col min="6405" max="6405" width="12" style="94" customWidth="1"/>
    <col min="6406" max="6528" width="11.7109375" style="94" customWidth="1"/>
    <col min="6529" max="6529" width="1.7109375" style="94" customWidth="1"/>
    <col min="6530" max="6531" width="9.140625" style="94" hidden="1" customWidth="1"/>
    <col min="6532" max="6532" width="1.7109375" style="94" customWidth="1"/>
    <col min="6533" max="6630" width="9.140625" style="94" hidden="1"/>
    <col min="6631" max="6633" width="9.140625" style="94" customWidth="1"/>
    <col min="6634" max="6634" width="11.140625" style="94" customWidth="1"/>
    <col min="6635" max="6635" width="9.140625" style="94" customWidth="1"/>
    <col min="6636" max="6636" width="9.28515625" style="94" customWidth="1"/>
    <col min="6637" max="6637" width="10.85546875" style="94" customWidth="1"/>
    <col min="6638" max="6657" width="9.140625" style="94" hidden="1" customWidth="1"/>
    <col min="6658" max="6658" width="7.28515625" style="94" customWidth="1"/>
    <col min="6659" max="6660" width="9.140625" style="94" customWidth="1"/>
    <col min="6661" max="6661" width="12" style="94" customWidth="1"/>
    <col min="6662" max="6784" width="11.7109375" style="94" customWidth="1"/>
    <col min="6785" max="6785" width="1.7109375" style="94" customWidth="1"/>
    <col min="6786" max="6787" width="9.140625" style="94" hidden="1" customWidth="1"/>
    <col min="6788" max="6788" width="1.7109375" style="94" customWidth="1"/>
    <col min="6789" max="6886" width="9.140625" style="94" hidden="1"/>
    <col min="6887" max="6889" width="9.140625" style="94" customWidth="1"/>
    <col min="6890" max="6890" width="11.140625" style="94" customWidth="1"/>
    <col min="6891" max="6891" width="9.140625" style="94" customWidth="1"/>
    <col min="6892" max="6892" width="9.28515625" style="94" customWidth="1"/>
    <col min="6893" max="6893" width="10.85546875" style="94" customWidth="1"/>
    <col min="6894" max="6913" width="9.140625" style="94" hidden="1" customWidth="1"/>
    <col min="6914" max="6914" width="7.28515625" style="94" customWidth="1"/>
    <col min="6915" max="6916" width="9.140625" style="94" customWidth="1"/>
    <col min="6917" max="6917" width="12" style="94" customWidth="1"/>
    <col min="6918" max="7040" width="11.7109375" style="94" customWidth="1"/>
    <col min="7041" max="7041" width="1.7109375" style="94" customWidth="1"/>
    <col min="7042" max="7043" width="9.140625" style="94" hidden="1" customWidth="1"/>
    <col min="7044" max="7044" width="1.7109375" style="94" customWidth="1"/>
    <col min="7045" max="7142" width="9.140625" style="94" hidden="1"/>
    <col min="7143" max="7145" width="9.140625" style="94" customWidth="1"/>
    <col min="7146" max="7146" width="11.140625" style="94" customWidth="1"/>
    <col min="7147" max="7147" width="9.140625" style="94" customWidth="1"/>
    <col min="7148" max="7148" width="9.28515625" style="94" customWidth="1"/>
    <col min="7149" max="7149" width="10.85546875" style="94" customWidth="1"/>
    <col min="7150" max="7169" width="9.140625" style="94" hidden="1" customWidth="1"/>
    <col min="7170" max="7170" width="7.28515625" style="94" customWidth="1"/>
    <col min="7171" max="7172" width="9.140625" style="94" customWidth="1"/>
    <col min="7173" max="7173" width="12" style="94" customWidth="1"/>
    <col min="7174" max="7296" width="11.7109375" style="94" customWidth="1"/>
    <col min="7297" max="7297" width="1.7109375" style="94" customWidth="1"/>
    <col min="7298" max="7299" width="9.140625" style="94" hidden="1" customWidth="1"/>
    <col min="7300" max="7300" width="1.7109375" style="94" customWidth="1"/>
    <col min="7301" max="7398" width="9.140625" style="94" hidden="1"/>
    <col min="7399" max="7401" width="9.140625" style="94" customWidth="1"/>
    <col min="7402" max="7402" width="11.140625" style="94" customWidth="1"/>
    <col min="7403" max="7403" width="9.140625" style="94" customWidth="1"/>
    <col min="7404" max="7404" width="9.28515625" style="94" customWidth="1"/>
    <col min="7405" max="7405" width="10.85546875" style="94" customWidth="1"/>
    <col min="7406" max="7425" width="9.140625" style="94" hidden="1" customWidth="1"/>
    <col min="7426" max="7426" width="7.28515625" style="94" customWidth="1"/>
    <col min="7427" max="7428" width="9.140625" style="94" customWidth="1"/>
    <col min="7429" max="7429" width="12" style="94" customWidth="1"/>
    <col min="7430" max="7552" width="11.7109375" style="94" customWidth="1"/>
    <col min="7553" max="7553" width="1.7109375" style="94" customWidth="1"/>
    <col min="7554" max="7555" width="9.140625" style="94" hidden="1" customWidth="1"/>
    <col min="7556" max="7556" width="1.7109375" style="94" customWidth="1"/>
    <col min="7557" max="7654" width="9.140625" style="94" hidden="1"/>
    <col min="7655" max="7657" width="9.140625" style="94" customWidth="1"/>
    <col min="7658" max="7658" width="11.140625" style="94" customWidth="1"/>
    <col min="7659" max="7659" width="9.140625" style="94" customWidth="1"/>
    <col min="7660" max="7660" width="9.28515625" style="94" customWidth="1"/>
    <col min="7661" max="7661" width="10.85546875" style="94" customWidth="1"/>
    <col min="7662" max="7681" width="9.140625" style="94" hidden="1" customWidth="1"/>
    <col min="7682" max="7682" width="7.28515625" style="94" customWidth="1"/>
    <col min="7683" max="7684" width="9.140625" style="94" customWidth="1"/>
    <col min="7685" max="7685" width="12" style="94" customWidth="1"/>
    <col min="7686" max="7808" width="11.7109375" style="94" customWidth="1"/>
    <col min="7809" max="7809" width="1.7109375" style="94" customWidth="1"/>
    <col min="7810" max="7811" width="9.140625" style="94" hidden="1" customWidth="1"/>
    <col min="7812" max="7812" width="1.7109375" style="94" customWidth="1"/>
    <col min="7813" max="7910" width="9.140625" style="94" hidden="1"/>
    <col min="7911" max="7913" width="9.140625" style="94" customWidth="1"/>
    <col min="7914" max="7914" width="11.140625" style="94" customWidth="1"/>
    <col min="7915" max="7915" width="9.140625" style="94" customWidth="1"/>
    <col min="7916" max="7916" width="9.28515625" style="94" customWidth="1"/>
    <col min="7917" max="7917" width="10.85546875" style="94" customWidth="1"/>
    <col min="7918" max="7937" width="9.140625" style="94" hidden="1" customWidth="1"/>
    <col min="7938" max="7938" width="7.28515625" style="94" customWidth="1"/>
    <col min="7939" max="7940" width="9.140625" style="94" customWidth="1"/>
    <col min="7941" max="7941" width="12" style="94" customWidth="1"/>
    <col min="7942" max="8064" width="11.7109375" style="94" customWidth="1"/>
    <col min="8065" max="8065" width="1.7109375" style="94" customWidth="1"/>
    <col min="8066" max="8067" width="9.140625" style="94" hidden="1" customWidth="1"/>
    <col min="8068" max="8068" width="1.7109375" style="94" customWidth="1"/>
    <col min="8069" max="8166" width="9.140625" style="94" hidden="1"/>
    <col min="8167" max="8169" width="9.140625" style="94" customWidth="1"/>
    <col min="8170" max="8170" width="11.140625" style="94" customWidth="1"/>
    <col min="8171" max="8171" width="9.140625" style="94" customWidth="1"/>
    <col min="8172" max="8172" width="9.28515625" style="94" customWidth="1"/>
    <col min="8173" max="8173" width="10.85546875" style="94" customWidth="1"/>
    <col min="8174" max="8193" width="9.140625" style="94" hidden="1" customWidth="1"/>
    <col min="8194" max="8194" width="7.28515625" style="94" customWidth="1"/>
    <col min="8195" max="8196" width="9.140625" style="94" customWidth="1"/>
    <col min="8197" max="8197" width="12" style="94" customWidth="1"/>
    <col min="8198" max="8320" width="11.7109375" style="94" customWidth="1"/>
    <col min="8321" max="8321" width="1.7109375" style="94" customWidth="1"/>
    <col min="8322" max="8323" width="9.140625" style="94" hidden="1" customWidth="1"/>
    <col min="8324" max="8324" width="1.7109375" style="94" customWidth="1"/>
    <col min="8325" max="8422" width="9.140625" style="94" hidden="1"/>
    <col min="8423" max="8425" width="9.140625" style="94" customWidth="1"/>
    <col min="8426" max="8426" width="11.140625" style="94" customWidth="1"/>
    <col min="8427" max="8427" width="9.140625" style="94" customWidth="1"/>
    <col min="8428" max="8428" width="9.28515625" style="94" customWidth="1"/>
    <col min="8429" max="8429" width="10.85546875" style="94" customWidth="1"/>
    <col min="8430" max="8449" width="9.140625" style="94" hidden="1" customWidth="1"/>
    <col min="8450" max="8450" width="7.28515625" style="94" customWidth="1"/>
    <col min="8451" max="8452" width="9.140625" style="94" customWidth="1"/>
    <col min="8453" max="8453" width="12" style="94" customWidth="1"/>
    <col min="8454" max="8576" width="11.7109375" style="94" customWidth="1"/>
    <col min="8577" max="8577" width="1.7109375" style="94" customWidth="1"/>
    <col min="8578" max="8579" width="9.140625" style="94" hidden="1" customWidth="1"/>
    <col min="8580" max="8580" width="1.7109375" style="94" customWidth="1"/>
    <col min="8581" max="8678" width="9.140625" style="94" hidden="1"/>
    <col min="8679" max="8681" width="9.140625" style="94" customWidth="1"/>
    <col min="8682" max="8682" width="11.140625" style="94" customWidth="1"/>
    <col min="8683" max="8683" width="9.140625" style="94" customWidth="1"/>
    <col min="8684" max="8684" width="9.28515625" style="94" customWidth="1"/>
    <col min="8685" max="8685" width="10.85546875" style="94" customWidth="1"/>
    <col min="8686" max="8705" width="9.140625" style="94" hidden="1" customWidth="1"/>
    <col min="8706" max="8706" width="7.28515625" style="94" customWidth="1"/>
    <col min="8707" max="8708" width="9.140625" style="94" customWidth="1"/>
    <col min="8709" max="8709" width="12" style="94" customWidth="1"/>
    <col min="8710" max="8832" width="11.7109375" style="94" customWidth="1"/>
    <col min="8833" max="8833" width="1.7109375" style="94" customWidth="1"/>
    <col min="8834" max="8835" width="9.140625" style="94" hidden="1" customWidth="1"/>
    <col min="8836" max="8836" width="1.7109375" style="94" customWidth="1"/>
    <col min="8837" max="8934" width="9.140625" style="94" hidden="1"/>
    <col min="8935" max="8937" width="9.140625" style="94" customWidth="1"/>
    <col min="8938" max="8938" width="11.140625" style="94" customWidth="1"/>
    <col min="8939" max="8939" width="9.140625" style="94" customWidth="1"/>
    <col min="8940" max="8940" width="9.28515625" style="94" customWidth="1"/>
    <col min="8941" max="8941" width="10.85546875" style="94" customWidth="1"/>
    <col min="8942" max="8961" width="9.140625" style="94" hidden="1" customWidth="1"/>
    <col min="8962" max="8962" width="7.28515625" style="94" customWidth="1"/>
    <col min="8963" max="8964" width="9.140625" style="94" customWidth="1"/>
    <col min="8965" max="8965" width="12" style="94" customWidth="1"/>
    <col min="8966" max="9088" width="11.7109375" style="94" customWidth="1"/>
    <col min="9089" max="9089" width="1.7109375" style="94" customWidth="1"/>
    <col min="9090" max="9091" width="9.140625" style="94" hidden="1" customWidth="1"/>
    <col min="9092" max="9092" width="1.7109375" style="94" customWidth="1"/>
    <col min="9093" max="9190" width="9.140625" style="94" hidden="1"/>
    <col min="9191" max="9193" width="9.140625" style="94" customWidth="1"/>
    <col min="9194" max="9194" width="11.140625" style="94" customWidth="1"/>
    <col min="9195" max="9195" width="9.140625" style="94" customWidth="1"/>
    <col min="9196" max="9196" width="9.28515625" style="94" customWidth="1"/>
    <col min="9197" max="9197" width="10.85546875" style="94" customWidth="1"/>
    <col min="9198" max="9217" width="9.140625" style="94" hidden="1" customWidth="1"/>
    <col min="9218" max="9218" width="7.28515625" style="94" customWidth="1"/>
    <col min="9219" max="9220" width="9.140625" style="94" customWidth="1"/>
    <col min="9221" max="9221" width="12" style="94" customWidth="1"/>
    <col min="9222" max="9344" width="11.7109375" style="94" customWidth="1"/>
    <col min="9345" max="9345" width="1.7109375" style="94" customWidth="1"/>
    <col min="9346" max="9347" width="9.140625" style="94" hidden="1" customWidth="1"/>
    <col min="9348" max="9348" width="1.7109375" style="94" customWidth="1"/>
    <col min="9349" max="9446" width="9.140625" style="94" hidden="1"/>
    <col min="9447" max="9449" width="9.140625" style="94" customWidth="1"/>
    <col min="9450" max="9450" width="11.140625" style="94" customWidth="1"/>
    <col min="9451" max="9451" width="9.140625" style="94" customWidth="1"/>
    <col min="9452" max="9452" width="9.28515625" style="94" customWidth="1"/>
    <col min="9453" max="9453" width="10.85546875" style="94" customWidth="1"/>
    <col min="9454" max="9473" width="9.140625" style="94" hidden="1" customWidth="1"/>
    <col min="9474" max="9474" width="7.28515625" style="94" customWidth="1"/>
    <col min="9475" max="9476" width="9.140625" style="94" customWidth="1"/>
    <col min="9477" max="9477" width="12" style="94" customWidth="1"/>
    <col min="9478" max="9600" width="11.7109375" style="94" customWidth="1"/>
    <col min="9601" max="9601" width="1.7109375" style="94" customWidth="1"/>
    <col min="9602" max="9603" width="9.140625" style="94" hidden="1" customWidth="1"/>
    <col min="9604" max="9604" width="1.7109375" style="94" customWidth="1"/>
    <col min="9605" max="9702" width="9.140625" style="94" hidden="1"/>
    <col min="9703" max="9705" width="9.140625" style="94" customWidth="1"/>
    <col min="9706" max="9706" width="11.140625" style="94" customWidth="1"/>
    <col min="9707" max="9707" width="9.140625" style="94" customWidth="1"/>
    <col min="9708" max="9708" width="9.28515625" style="94" customWidth="1"/>
    <col min="9709" max="9709" width="10.85546875" style="94" customWidth="1"/>
    <col min="9710" max="9729" width="9.140625" style="94" hidden="1" customWidth="1"/>
    <col min="9730" max="9730" width="7.28515625" style="94" customWidth="1"/>
    <col min="9731" max="9732" width="9.140625" style="94" customWidth="1"/>
    <col min="9733" max="9733" width="12" style="94" customWidth="1"/>
    <col min="9734" max="9856" width="11.7109375" style="94" customWidth="1"/>
    <col min="9857" max="9857" width="1.7109375" style="94" customWidth="1"/>
    <col min="9858" max="9859" width="9.140625" style="94" hidden="1" customWidth="1"/>
    <col min="9860" max="9860" width="1.7109375" style="94" customWidth="1"/>
    <col min="9861" max="9958" width="9.140625" style="94" hidden="1"/>
    <col min="9959" max="9961" width="9.140625" style="94" customWidth="1"/>
    <col min="9962" max="9962" width="11.140625" style="94" customWidth="1"/>
    <col min="9963" max="9963" width="9.140625" style="94" customWidth="1"/>
    <col min="9964" max="9964" width="9.28515625" style="94" customWidth="1"/>
    <col min="9965" max="9965" width="10.85546875" style="94" customWidth="1"/>
    <col min="9966" max="9985" width="9.140625" style="94" hidden="1" customWidth="1"/>
    <col min="9986" max="9986" width="7.28515625" style="94" customWidth="1"/>
    <col min="9987" max="9988" width="9.140625" style="94" customWidth="1"/>
    <col min="9989" max="9989" width="12" style="94" customWidth="1"/>
    <col min="9990" max="10112" width="11.7109375" style="94" customWidth="1"/>
    <col min="10113" max="10113" width="1.7109375" style="94" customWidth="1"/>
    <col min="10114" max="10115" width="9.140625" style="94" hidden="1" customWidth="1"/>
    <col min="10116" max="10116" width="1.7109375" style="94" customWidth="1"/>
    <col min="10117" max="10214" width="9.140625" style="94" hidden="1"/>
    <col min="10215" max="10217" width="9.140625" style="94" customWidth="1"/>
    <col min="10218" max="10218" width="11.140625" style="94" customWidth="1"/>
    <col min="10219" max="10219" width="9.140625" style="94" customWidth="1"/>
    <col min="10220" max="10220" width="9.28515625" style="94" customWidth="1"/>
    <col min="10221" max="10221" width="10.85546875" style="94" customWidth="1"/>
    <col min="10222" max="10241" width="9.140625" style="94" hidden="1" customWidth="1"/>
    <col min="10242" max="10242" width="7.28515625" style="94" customWidth="1"/>
    <col min="10243" max="10244" width="9.140625" style="94" customWidth="1"/>
    <col min="10245" max="10245" width="12" style="94" customWidth="1"/>
    <col min="10246" max="10368" width="11.7109375" style="94" customWidth="1"/>
    <col min="10369" max="10369" width="1.7109375" style="94" customWidth="1"/>
    <col min="10370" max="10371" width="9.140625" style="94" hidden="1" customWidth="1"/>
    <col min="10372" max="10372" width="1.7109375" style="94" customWidth="1"/>
    <col min="10373" max="10470" width="9.140625" style="94" hidden="1"/>
    <col min="10471" max="10473" width="9.140625" style="94" customWidth="1"/>
    <col min="10474" max="10474" width="11.140625" style="94" customWidth="1"/>
    <col min="10475" max="10475" width="9.140625" style="94" customWidth="1"/>
    <col min="10476" max="10476" width="9.28515625" style="94" customWidth="1"/>
    <col min="10477" max="10477" width="10.85546875" style="94" customWidth="1"/>
    <col min="10478" max="10497" width="9.140625" style="94" hidden="1" customWidth="1"/>
    <col min="10498" max="10498" width="7.28515625" style="94" customWidth="1"/>
    <col min="10499" max="10500" width="9.140625" style="94" customWidth="1"/>
    <col min="10501" max="10501" width="12" style="94" customWidth="1"/>
    <col min="10502" max="10624" width="11.7109375" style="94" customWidth="1"/>
    <col min="10625" max="10625" width="1.7109375" style="94" customWidth="1"/>
    <col min="10626" max="10627" width="9.140625" style="94" hidden="1" customWidth="1"/>
    <col min="10628" max="10628" width="1.7109375" style="94" customWidth="1"/>
    <col min="10629" max="10726" width="9.140625" style="94" hidden="1"/>
    <col min="10727" max="10729" width="9.140625" style="94" customWidth="1"/>
    <col min="10730" max="10730" width="11.140625" style="94" customWidth="1"/>
    <col min="10731" max="10731" width="9.140625" style="94" customWidth="1"/>
    <col min="10732" max="10732" width="9.28515625" style="94" customWidth="1"/>
    <col min="10733" max="10733" width="10.85546875" style="94" customWidth="1"/>
    <col min="10734" max="10753" width="9.140625" style="94" hidden="1" customWidth="1"/>
    <col min="10754" max="10754" width="7.28515625" style="94" customWidth="1"/>
    <col min="10755" max="10756" width="9.140625" style="94" customWidth="1"/>
    <col min="10757" max="10757" width="12" style="94" customWidth="1"/>
    <col min="10758" max="10880" width="11.7109375" style="94" customWidth="1"/>
    <col min="10881" max="10881" width="1.7109375" style="94" customWidth="1"/>
    <col min="10882" max="10883" width="9.140625" style="94" hidden="1" customWidth="1"/>
    <col min="10884" max="10884" width="1.7109375" style="94" customWidth="1"/>
    <col min="10885" max="10982" width="9.140625" style="94" hidden="1"/>
    <col min="10983" max="10985" width="9.140625" style="94" customWidth="1"/>
    <col min="10986" max="10986" width="11.140625" style="94" customWidth="1"/>
    <col min="10987" max="10987" width="9.140625" style="94" customWidth="1"/>
    <col min="10988" max="10988" width="9.28515625" style="94" customWidth="1"/>
    <col min="10989" max="10989" width="10.85546875" style="94" customWidth="1"/>
    <col min="10990" max="11009" width="9.140625" style="94" hidden="1" customWidth="1"/>
    <col min="11010" max="11010" width="7.28515625" style="94" customWidth="1"/>
    <col min="11011" max="11012" width="9.140625" style="94" customWidth="1"/>
    <col min="11013" max="11013" width="12" style="94" customWidth="1"/>
    <col min="11014" max="11136" width="11.7109375" style="94" customWidth="1"/>
    <col min="11137" max="11137" width="1.7109375" style="94" customWidth="1"/>
    <col min="11138" max="11139" width="9.140625" style="94" hidden="1" customWidth="1"/>
    <col min="11140" max="11140" width="1.7109375" style="94" customWidth="1"/>
    <col min="11141" max="11238" width="9.140625" style="94" hidden="1"/>
    <col min="11239" max="11241" width="9.140625" style="94" customWidth="1"/>
    <col min="11242" max="11242" width="11.140625" style="94" customWidth="1"/>
    <col min="11243" max="11243" width="9.140625" style="94" customWidth="1"/>
    <col min="11244" max="11244" width="9.28515625" style="94" customWidth="1"/>
    <col min="11245" max="11245" width="10.85546875" style="94" customWidth="1"/>
    <col min="11246" max="11265" width="9.140625" style="94" hidden="1" customWidth="1"/>
    <col min="11266" max="11266" width="7.28515625" style="94" customWidth="1"/>
    <col min="11267" max="11268" width="9.140625" style="94" customWidth="1"/>
    <col min="11269" max="11269" width="12" style="94" customWidth="1"/>
    <col min="11270" max="11392" width="11.7109375" style="94" customWidth="1"/>
    <col min="11393" max="11393" width="1.7109375" style="94" customWidth="1"/>
    <col min="11394" max="11395" width="9.140625" style="94" hidden="1" customWidth="1"/>
    <col min="11396" max="11396" width="1.7109375" style="94" customWidth="1"/>
    <col min="11397" max="11494" width="9.140625" style="94" hidden="1"/>
    <col min="11495" max="11497" width="9.140625" style="94" customWidth="1"/>
    <col min="11498" max="11498" width="11.140625" style="94" customWidth="1"/>
    <col min="11499" max="11499" width="9.140625" style="94" customWidth="1"/>
    <col min="11500" max="11500" width="9.28515625" style="94" customWidth="1"/>
    <col min="11501" max="11501" width="10.85546875" style="94" customWidth="1"/>
    <col min="11502" max="11521" width="9.140625" style="94" hidden="1" customWidth="1"/>
    <col min="11522" max="11522" width="7.28515625" style="94" customWidth="1"/>
    <col min="11523" max="11524" width="9.140625" style="94" customWidth="1"/>
    <col min="11525" max="11525" width="12" style="94" customWidth="1"/>
    <col min="11526" max="11648" width="11.7109375" style="94" customWidth="1"/>
    <col min="11649" max="11649" width="1.7109375" style="94" customWidth="1"/>
    <col min="11650" max="11651" width="9.140625" style="94" hidden="1" customWidth="1"/>
    <col min="11652" max="11652" width="1.7109375" style="94" customWidth="1"/>
    <col min="11653" max="11750" width="9.140625" style="94" hidden="1"/>
    <col min="11751" max="11753" width="9.140625" style="94" customWidth="1"/>
    <col min="11754" max="11754" width="11.140625" style="94" customWidth="1"/>
    <col min="11755" max="11755" width="9.140625" style="94" customWidth="1"/>
    <col min="11756" max="11756" width="9.28515625" style="94" customWidth="1"/>
    <col min="11757" max="11757" width="10.85546875" style="94" customWidth="1"/>
    <col min="11758" max="11777" width="9.140625" style="94" hidden="1" customWidth="1"/>
    <col min="11778" max="11778" width="7.28515625" style="94" customWidth="1"/>
    <col min="11779" max="11780" width="9.140625" style="94" customWidth="1"/>
    <col min="11781" max="11781" width="12" style="94" customWidth="1"/>
    <col min="11782" max="11904" width="11.7109375" style="94" customWidth="1"/>
    <col min="11905" max="11905" width="1.7109375" style="94" customWidth="1"/>
    <col min="11906" max="11907" width="9.140625" style="94" hidden="1" customWidth="1"/>
    <col min="11908" max="11908" width="1.7109375" style="94" customWidth="1"/>
    <col min="11909" max="12006" width="9.140625" style="94" hidden="1"/>
    <col min="12007" max="12009" width="9.140625" style="94" customWidth="1"/>
    <col min="12010" max="12010" width="11.140625" style="94" customWidth="1"/>
    <col min="12011" max="12011" width="9.140625" style="94" customWidth="1"/>
    <col min="12012" max="12012" width="9.28515625" style="94" customWidth="1"/>
    <col min="12013" max="12013" width="10.85546875" style="94" customWidth="1"/>
    <col min="12014" max="12033" width="9.140625" style="94" hidden="1" customWidth="1"/>
    <col min="12034" max="12034" width="7.28515625" style="94" customWidth="1"/>
    <col min="12035" max="12036" width="9.140625" style="94" customWidth="1"/>
    <col min="12037" max="12037" width="12" style="94" customWidth="1"/>
    <col min="12038" max="12160" width="11.7109375" style="94" customWidth="1"/>
    <col min="12161" max="12161" width="1.7109375" style="94" customWidth="1"/>
    <col min="12162" max="12163" width="9.140625" style="94" hidden="1" customWidth="1"/>
    <col min="12164" max="12164" width="1.7109375" style="94" customWidth="1"/>
    <col min="12165" max="12262" width="9.140625" style="94" hidden="1"/>
    <col min="12263" max="12265" width="9.140625" style="94" customWidth="1"/>
    <col min="12266" max="12266" width="11.140625" style="94" customWidth="1"/>
    <col min="12267" max="12267" width="9.140625" style="94" customWidth="1"/>
    <col min="12268" max="12268" width="9.28515625" style="94" customWidth="1"/>
    <col min="12269" max="12269" width="10.85546875" style="94" customWidth="1"/>
    <col min="12270" max="12289" width="9.140625" style="94" hidden="1" customWidth="1"/>
    <col min="12290" max="12290" width="7.28515625" style="94" customWidth="1"/>
    <col min="12291" max="12292" width="9.140625" style="94" customWidth="1"/>
    <col min="12293" max="12293" width="12" style="94" customWidth="1"/>
    <col min="12294" max="12416" width="11.7109375" style="94" customWidth="1"/>
    <col min="12417" max="12417" width="1.7109375" style="94" customWidth="1"/>
    <col min="12418" max="12419" width="9.140625" style="94" hidden="1" customWidth="1"/>
    <col min="12420" max="12420" width="1.7109375" style="94" customWidth="1"/>
    <col min="12421" max="12518" width="9.140625" style="94" hidden="1"/>
    <col min="12519" max="12521" width="9.140625" style="94" customWidth="1"/>
    <col min="12522" max="12522" width="11.140625" style="94" customWidth="1"/>
    <col min="12523" max="12523" width="9.140625" style="94" customWidth="1"/>
    <col min="12524" max="12524" width="9.28515625" style="94" customWidth="1"/>
    <col min="12525" max="12525" width="10.85546875" style="94" customWidth="1"/>
    <col min="12526" max="12545" width="9.140625" style="94" hidden="1" customWidth="1"/>
    <col min="12546" max="12546" width="7.28515625" style="94" customWidth="1"/>
    <col min="12547" max="12548" width="9.140625" style="94" customWidth="1"/>
    <col min="12549" max="12549" width="12" style="94" customWidth="1"/>
    <col min="12550" max="12672" width="11.7109375" style="94" customWidth="1"/>
    <col min="12673" max="12673" width="1.7109375" style="94" customWidth="1"/>
    <col min="12674" max="12675" width="9.140625" style="94" hidden="1" customWidth="1"/>
    <col min="12676" max="12676" width="1.7109375" style="94" customWidth="1"/>
    <col min="12677" max="12774" width="9.140625" style="94" hidden="1"/>
    <col min="12775" max="12777" width="9.140625" style="94" customWidth="1"/>
    <col min="12778" max="12778" width="11.140625" style="94" customWidth="1"/>
    <col min="12779" max="12779" width="9.140625" style="94" customWidth="1"/>
    <col min="12780" max="12780" width="9.28515625" style="94" customWidth="1"/>
    <col min="12781" max="12781" width="10.85546875" style="94" customWidth="1"/>
    <col min="12782" max="12801" width="9.140625" style="94" hidden="1" customWidth="1"/>
    <col min="12802" max="12802" width="7.28515625" style="94" customWidth="1"/>
    <col min="12803" max="12804" width="9.140625" style="94" customWidth="1"/>
    <col min="12805" max="12805" width="12" style="94" customWidth="1"/>
    <col min="12806" max="12928" width="11.7109375" style="94" customWidth="1"/>
    <col min="12929" max="12929" width="1.7109375" style="94" customWidth="1"/>
    <col min="12930" max="12931" width="9.140625" style="94" hidden="1" customWidth="1"/>
    <col min="12932" max="12932" width="1.7109375" style="94" customWidth="1"/>
    <col min="12933" max="13030" width="9.140625" style="94" hidden="1"/>
    <col min="13031" max="13033" width="9.140625" style="94" customWidth="1"/>
    <col min="13034" max="13034" width="11.140625" style="94" customWidth="1"/>
    <col min="13035" max="13035" width="9.140625" style="94" customWidth="1"/>
    <col min="13036" max="13036" width="9.28515625" style="94" customWidth="1"/>
    <col min="13037" max="13037" width="10.85546875" style="94" customWidth="1"/>
    <col min="13038" max="13057" width="9.140625" style="94" hidden="1" customWidth="1"/>
    <col min="13058" max="13058" width="7.28515625" style="94" customWidth="1"/>
    <col min="13059" max="13060" width="9.140625" style="94" customWidth="1"/>
    <col min="13061" max="13061" width="12" style="94" customWidth="1"/>
    <col min="13062" max="13184" width="11.7109375" style="94" customWidth="1"/>
    <col min="13185" max="13185" width="1.7109375" style="94" customWidth="1"/>
    <col min="13186" max="13187" width="9.140625" style="94" hidden="1" customWidth="1"/>
    <col min="13188" max="13188" width="1.7109375" style="94" customWidth="1"/>
    <col min="13189" max="13286" width="9.140625" style="94" hidden="1"/>
    <col min="13287" max="13289" width="9.140625" style="94" customWidth="1"/>
    <col min="13290" max="13290" width="11.140625" style="94" customWidth="1"/>
    <col min="13291" max="13291" width="9.140625" style="94" customWidth="1"/>
    <col min="13292" max="13292" width="9.28515625" style="94" customWidth="1"/>
    <col min="13293" max="13293" width="10.85546875" style="94" customWidth="1"/>
    <col min="13294" max="13313" width="9.140625" style="94" hidden="1" customWidth="1"/>
    <col min="13314" max="13314" width="7.28515625" style="94" customWidth="1"/>
    <col min="13315" max="13316" width="9.140625" style="94" customWidth="1"/>
    <col min="13317" max="13317" width="12" style="94" customWidth="1"/>
    <col min="13318" max="13440" width="11.7109375" style="94" customWidth="1"/>
    <col min="13441" max="13441" width="1.7109375" style="94" customWidth="1"/>
    <col min="13442" max="13443" width="9.140625" style="94" hidden="1" customWidth="1"/>
    <col min="13444" max="13444" width="1.7109375" style="94" customWidth="1"/>
    <col min="13445" max="13542" width="9.140625" style="94" hidden="1"/>
    <col min="13543" max="13545" width="9.140625" style="94" customWidth="1"/>
    <col min="13546" max="13546" width="11.140625" style="94" customWidth="1"/>
    <col min="13547" max="13547" width="9.140625" style="94" customWidth="1"/>
    <col min="13548" max="13548" width="9.28515625" style="94" customWidth="1"/>
    <col min="13549" max="13549" width="10.85546875" style="94" customWidth="1"/>
    <col min="13550" max="13569" width="9.140625" style="94" hidden="1" customWidth="1"/>
    <col min="13570" max="13570" width="7.28515625" style="94" customWidth="1"/>
    <col min="13571" max="13572" width="9.140625" style="94" customWidth="1"/>
    <col min="13573" max="13573" width="12" style="94" customWidth="1"/>
    <col min="13574" max="13696" width="11.7109375" style="94" customWidth="1"/>
    <col min="13697" max="13697" width="1.7109375" style="94" customWidth="1"/>
    <col min="13698" max="13699" width="9.140625" style="94" hidden="1" customWidth="1"/>
    <col min="13700" max="13700" width="1.7109375" style="94" customWidth="1"/>
    <col min="13701" max="13798" width="9.140625" style="94" hidden="1"/>
    <col min="13799" max="13801" width="9.140625" style="94" customWidth="1"/>
    <col min="13802" max="13802" width="11.140625" style="94" customWidth="1"/>
    <col min="13803" max="13803" width="9.140625" style="94" customWidth="1"/>
    <col min="13804" max="13804" width="9.28515625" style="94" customWidth="1"/>
    <col min="13805" max="13805" width="10.85546875" style="94" customWidth="1"/>
    <col min="13806" max="13825" width="9.140625" style="94" hidden="1" customWidth="1"/>
    <col min="13826" max="13826" width="7.28515625" style="94" customWidth="1"/>
    <col min="13827" max="13828" width="9.140625" style="94" customWidth="1"/>
    <col min="13829" max="13829" width="12" style="94" customWidth="1"/>
    <col min="13830" max="13952" width="11.7109375" style="94" customWidth="1"/>
    <col min="13953" max="13953" width="1.7109375" style="94" customWidth="1"/>
    <col min="13954" max="13955" width="9.140625" style="94" hidden="1" customWidth="1"/>
    <col min="13956" max="13956" width="1.7109375" style="94" customWidth="1"/>
    <col min="13957" max="14054" width="9.140625" style="94" hidden="1"/>
    <col min="14055" max="14057" width="9.140625" style="94" customWidth="1"/>
    <col min="14058" max="14058" width="11.140625" style="94" customWidth="1"/>
    <col min="14059" max="14059" width="9.140625" style="94" customWidth="1"/>
    <col min="14060" max="14060" width="9.28515625" style="94" customWidth="1"/>
    <col min="14061" max="14061" width="10.85546875" style="94" customWidth="1"/>
    <col min="14062" max="14081" width="9.140625" style="94" hidden="1" customWidth="1"/>
    <col min="14082" max="14082" width="7.28515625" style="94" customWidth="1"/>
    <col min="14083" max="14084" width="9.140625" style="94" customWidth="1"/>
    <col min="14085" max="14085" width="12" style="94" customWidth="1"/>
    <col min="14086" max="14208" width="11.7109375" style="94" customWidth="1"/>
    <col min="14209" max="14209" width="1.7109375" style="94" customWidth="1"/>
    <col min="14210" max="14211" width="9.140625" style="94" hidden="1" customWidth="1"/>
    <col min="14212" max="14212" width="1.7109375" style="94" customWidth="1"/>
    <col min="14213" max="14310" width="9.140625" style="94" hidden="1"/>
    <col min="14311" max="14313" width="9.140625" style="94" customWidth="1"/>
    <col min="14314" max="14314" width="11.140625" style="94" customWidth="1"/>
    <col min="14315" max="14315" width="9.140625" style="94" customWidth="1"/>
    <col min="14316" max="14316" width="9.28515625" style="94" customWidth="1"/>
    <col min="14317" max="14317" width="10.85546875" style="94" customWidth="1"/>
    <col min="14318" max="14337" width="9.140625" style="94" hidden="1" customWidth="1"/>
    <col min="14338" max="14338" width="7.28515625" style="94" customWidth="1"/>
    <col min="14339" max="14340" width="9.140625" style="94" customWidth="1"/>
    <col min="14341" max="14341" width="12" style="94" customWidth="1"/>
    <col min="14342" max="14464" width="11.7109375" style="94" customWidth="1"/>
    <col min="14465" max="14465" width="1.7109375" style="94" customWidth="1"/>
    <col min="14466" max="14467" width="9.140625" style="94" hidden="1" customWidth="1"/>
    <col min="14468" max="14468" width="1.7109375" style="94" customWidth="1"/>
    <col min="14469" max="14566" width="9.140625" style="94" hidden="1"/>
    <col min="14567" max="14569" width="9.140625" style="94" customWidth="1"/>
    <col min="14570" max="14570" width="11.140625" style="94" customWidth="1"/>
    <col min="14571" max="14571" width="9.140625" style="94" customWidth="1"/>
    <col min="14572" max="14572" width="9.28515625" style="94" customWidth="1"/>
    <col min="14573" max="14573" width="10.85546875" style="94" customWidth="1"/>
    <col min="14574" max="14593" width="9.140625" style="94" hidden="1" customWidth="1"/>
    <col min="14594" max="14594" width="7.28515625" style="94" customWidth="1"/>
    <col min="14595" max="14596" width="9.140625" style="94" customWidth="1"/>
    <col min="14597" max="14597" width="12" style="94" customWidth="1"/>
    <col min="14598" max="14720" width="11.7109375" style="94" customWidth="1"/>
    <col min="14721" max="14721" width="1.7109375" style="94" customWidth="1"/>
    <col min="14722" max="14723" width="9.140625" style="94" hidden="1" customWidth="1"/>
    <col min="14724" max="14724" width="1.7109375" style="94" customWidth="1"/>
    <col min="14725" max="14822" width="9.140625" style="94" hidden="1"/>
    <col min="14823" max="14825" width="9.140625" style="94" customWidth="1"/>
    <col min="14826" max="14826" width="11.140625" style="94" customWidth="1"/>
    <col min="14827" max="14827" width="9.140625" style="94" customWidth="1"/>
    <col min="14828" max="14828" width="9.28515625" style="94" customWidth="1"/>
    <col min="14829" max="14829" width="10.85546875" style="94" customWidth="1"/>
    <col min="14830" max="14849" width="9.140625" style="94" hidden="1" customWidth="1"/>
    <col min="14850" max="14850" width="7.28515625" style="94" customWidth="1"/>
    <col min="14851" max="14852" width="9.140625" style="94" customWidth="1"/>
    <col min="14853" max="14853" width="12" style="94" customWidth="1"/>
    <col min="14854" max="14976" width="11.7109375" style="94" customWidth="1"/>
    <col min="14977" max="14977" width="1.7109375" style="94" customWidth="1"/>
    <col min="14978" max="14979" width="9.140625" style="94" hidden="1" customWidth="1"/>
    <col min="14980" max="14980" width="1.7109375" style="94" customWidth="1"/>
    <col min="14981" max="15078" width="9.140625" style="94" hidden="1"/>
    <col min="15079" max="15081" width="9.140625" style="94" customWidth="1"/>
    <col min="15082" max="15082" width="11.140625" style="94" customWidth="1"/>
    <col min="15083" max="15083" width="9.140625" style="94" customWidth="1"/>
    <col min="15084" max="15084" width="9.28515625" style="94" customWidth="1"/>
    <col min="15085" max="15085" width="10.85546875" style="94" customWidth="1"/>
    <col min="15086" max="15105" width="9.140625" style="94" hidden="1" customWidth="1"/>
    <col min="15106" max="15106" width="7.28515625" style="94" customWidth="1"/>
    <col min="15107" max="15108" width="9.140625" style="94" customWidth="1"/>
    <col min="15109" max="15109" width="12" style="94" customWidth="1"/>
    <col min="15110" max="15232" width="11.7109375" style="94" customWidth="1"/>
    <col min="15233" max="15233" width="1.7109375" style="94" customWidth="1"/>
    <col min="15234" max="15235" width="9.140625" style="94" hidden="1" customWidth="1"/>
    <col min="15236" max="15236" width="1.7109375" style="94" customWidth="1"/>
    <col min="15237" max="15334" width="9.140625" style="94" hidden="1"/>
    <col min="15335" max="15337" width="9.140625" style="94" customWidth="1"/>
    <col min="15338" max="15338" width="11.140625" style="94" customWidth="1"/>
    <col min="15339" max="15339" width="9.140625" style="94" customWidth="1"/>
    <col min="15340" max="15340" width="9.28515625" style="94" customWidth="1"/>
    <col min="15341" max="15341" width="10.85546875" style="94" customWidth="1"/>
    <col min="15342" max="15361" width="9.140625" style="94" hidden="1" customWidth="1"/>
    <col min="15362" max="15362" width="7.28515625" style="94" customWidth="1"/>
    <col min="15363" max="15364" width="9.140625" style="94" customWidth="1"/>
    <col min="15365" max="15365" width="12" style="94" customWidth="1"/>
    <col min="15366" max="15488" width="11.7109375" style="94" customWidth="1"/>
    <col min="15489" max="15489" width="1.7109375" style="94" customWidth="1"/>
    <col min="15490" max="15491" width="9.140625" style="94" hidden="1" customWidth="1"/>
    <col min="15492" max="15492" width="1.7109375" style="94" customWidth="1"/>
    <col min="15493" max="15590" width="9.140625" style="94" hidden="1"/>
    <col min="15591" max="15593" width="9.140625" style="94" customWidth="1"/>
    <col min="15594" max="15594" width="11.140625" style="94" customWidth="1"/>
    <col min="15595" max="15595" width="9.140625" style="94" customWidth="1"/>
    <col min="15596" max="15596" width="9.28515625" style="94" customWidth="1"/>
    <col min="15597" max="15597" width="10.85546875" style="94" customWidth="1"/>
    <col min="15598" max="15617" width="9.140625" style="94" hidden="1" customWidth="1"/>
    <col min="15618" max="15618" width="7.28515625" style="94" customWidth="1"/>
    <col min="15619" max="15620" width="9.140625" style="94" customWidth="1"/>
    <col min="15621" max="15621" width="12" style="94" customWidth="1"/>
    <col min="15622" max="15744" width="11.7109375" style="94" customWidth="1"/>
    <col min="15745" max="15745" width="1.7109375" style="94" customWidth="1"/>
    <col min="15746" max="15747" width="9.140625" style="94" hidden="1" customWidth="1"/>
    <col min="15748" max="15748" width="1.7109375" style="94" customWidth="1"/>
    <col min="15749" max="15846" width="9.140625" style="94" hidden="1"/>
    <col min="15847" max="15849" width="9.140625" style="94" customWidth="1"/>
    <col min="15850" max="15850" width="11.140625" style="94" customWidth="1"/>
    <col min="15851" max="15851" width="9.140625" style="94" customWidth="1"/>
    <col min="15852" max="15852" width="9.28515625" style="94" customWidth="1"/>
    <col min="15853" max="15853" width="10.85546875" style="94" customWidth="1"/>
    <col min="15854" max="15873" width="9.140625" style="94" hidden="1" customWidth="1"/>
    <col min="15874" max="15874" width="7.28515625" style="94" customWidth="1"/>
    <col min="15875" max="15876" width="9.140625" style="94" customWidth="1"/>
    <col min="15877" max="15877" width="12" style="94" customWidth="1"/>
    <col min="15878" max="16000" width="11.7109375" style="94" customWidth="1"/>
    <col min="16001" max="16001" width="1.7109375" style="94" customWidth="1"/>
    <col min="16002" max="16003" width="9.140625" style="94" hidden="1" customWidth="1"/>
    <col min="16004" max="16004" width="1.7109375" style="94" customWidth="1"/>
    <col min="16005" max="16102" width="9.140625" style="94" hidden="1"/>
    <col min="16103" max="16105" width="9.140625" style="94" customWidth="1"/>
    <col min="16106" max="16106" width="11.140625" style="94" customWidth="1"/>
    <col min="16107" max="16107" width="9.140625" style="94" customWidth="1"/>
    <col min="16108" max="16108" width="9.28515625" style="94" customWidth="1"/>
    <col min="16109" max="16109" width="10.85546875" style="94" customWidth="1"/>
    <col min="16110" max="16129" width="9.140625" style="94" hidden="1" customWidth="1"/>
    <col min="16130" max="16130" width="7.28515625" style="94" customWidth="1"/>
    <col min="16131" max="16132" width="9.140625" style="94" customWidth="1"/>
    <col min="16133" max="16133" width="12" style="94" customWidth="1"/>
    <col min="16134" max="16256" width="11.7109375" style="94" customWidth="1"/>
    <col min="16257" max="16257" width="1.7109375" style="94" customWidth="1"/>
    <col min="16258" max="16259" width="9.140625" style="94" hidden="1" customWidth="1"/>
    <col min="16260" max="16260" width="1.7109375" style="94" customWidth="1"/>
    <col min="16261" max="16384" width="9.140625" style="94" hidden="1"/>
  </cols>
  <sheetData>
    <row r="1" spans="1:132" s="179" customFormat="1">
      <c r="A1" s="83" t="s">
        <v>206</v>
      </c>
      <c r="B1" s="23"/>
      <c r="C1" s="83"/>
      <c r="D1" s="83"/>
      <c r="E1" s="178">
        <f>IF(OR(([2]Constants!D508+PLA7C)&gt;0,SUM(DY:EB)&gt;ErrTol),1,0)</f>
        <v>0</v>
      </c>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row>
    <row r="2" spans="1:132" ht="15.75">
      <c r="A2" s="25" t="s">
        <v>355</v>
      </c>
      <c r="B2" s="85"/>
      <c r="C2" s="180"/>
      <c r="D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88"/>
      <c r="EB2" s="88"/>
    </row>
    <row r="3" spans="1:132">
      <c r="A3" s="181"/>
      <c r="B3" s="180"/>
      <c r="C3" s="180"/>
      <c r="D3" s="180"/>
      <c r="F3" s="180"/>
      <c r="G3" s="180"/>
      <c r="H3" s="180"/>
      <c r="I3" s="180"/>
      <c r="J3" s="180"/>
      <c r="K3" s="180"/>
      <c r="L3" s="180"/>
      <c r="M3" s="180"/>
      <c r="N3" s="180"/>
      <c r="O3" s="180"/>
      <c r="P3" s="180"/>
      <c r="Q3" s="210">
        <v>41944</v>
      </c>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88"/>
      <c r="EB3" s="88"/>
    </row>
    <row r="4" spans="1:132">
      <c r="A4" s="180"/>
      <c r="B4" s="180"/>
      <c r="C4" s="180"/>
      <c r="D4" s="180"/>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c r="BM4" s="180"/>
      <c r="BN4" s="180"/>
      <c r="BO4" s="180"/>
      <c r="BP4" s="180"/>
      <c r="BQ4" s="180"/>
      <c r="BR4" s="180"/>
      <c r="BS4" s="180"/>
      <c r="BT4" s="180"/>
      <c r="BU4" s="180"/>
      <c r="BV4" s="180"/>
      <c r="BW4" s="180"/>
      <c r="BX4" s="180"/>
      <c r="BY4" s="180"/>
      <c r="BZ4" s="180"/>
      <c r="CA4" s="180"/>
      <c r="CB4" s="180"/>
      <c r="CC4" s="180"/>
      <c r="CD4" s="180"/>
      <c r="CE4" s="180"/>
      <c r="CF4" s="180"/>
      <c r="CG4" s="180"/>
      <c r="CH4" s="180"/>
      <c r="CI4" s="180"/>
      <c r="CJ4" s="180"/>
      <c r="CK4" s="180"/>
      <c r="CL4" s="180"/>
      <c r="CM4" s="180"/>
      <c r="CN4" s="180"/>
      <c r="CO4" s="180"/>
      <c r="CP4" s="180"/>
      <c r="CQ4" s="180"/>
      <c r="CR4" s="180"/>
      <c r="CS4" s="180"/>
      <c r="CT4" s="180"/>
      <c r="CU4" s="180"/>
      <c r="CV4" s="180"/>
      <c r="CW4" s="180"/>
      <c r="CX4" s="180"/>
      <c r="CY4" s="180"/>
      <c r="CZ4" s="180"/>
      <c r="DA4" s="180"/>
      <c r="DB4" s="180"/>
      <c r="DC4" s="180"/>
      <c r="DD4" s="180"/>
      <c r="DE4" s="180"/>
      <c r="DF4" s="180"/>
      <c r="DG4" s="180"/>
      <c r="DH4" s="180"/>
      <c r="DI4" s="180"/>
      <c r="DJ4" s="180"/>
      <c r="DK4" s="180"/>
      <c r="DL4" s="180"/>
      <c r="DM4" s="180"/>
      <c r="DN4" s="180"/>
      <c r="DO4" s="180"/>
      <c r="DP4" s="180"/>
      <c r="DQ4" s="180"/>
      <c r="DR4" s="180"/>
      <c r="DS4" s="180"/>
      <c r="DT4" s="180"/>
      <c r="DU4" s="180"/>
      <c r="DV4" s="180"/>
      <c r="DW4" s="180"/>
      <c r="DX4" s="180"/>
      <c r="DY4" s="88"/>
      <c r="EB4" s="88"/>
    </row>
    <row r="5" spans="1:132" s="179" customFormat="1" collapsed="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row>
    <row r="6" spans="1:132" s="189" customFormat="1" hidden="1" outlineLevel="1">
      <c r="A6" s="180" t="s">
        <v>388</v>
      </c>
      <c r="B6" s="180"/>
      <c r="C6" s="180"/>
      <c r="D6" s="187">
        <f>PreContractPeriodDurationIn</f>
        <v>3</v>
      </c>
      <c r="E6" s="188"/>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88"/>
      <c r="EB6" s="88"/>
    </row>
    <row r="7" spans="1:132" s="189" customFormat="1" hidden="1" outlineLevel="1">
      <c r="A7" s="180" t="s">
        <v>389</v>
      </c>
      <c r="B7" s="180"/>
      <c r="C7" s="180"/>
      <c r="D7" s="180"/>
      <c r="E7" s="180"/>
      <c r="F7" s="190" t="s">
        <v>142</v>
      </c>
      <c r="G7" s="190" t="s">
        <v>143</v>
      </c>
      <c r="H7" s="190" t="s">
        <v>144</v>
      </c>
      <c r="I7" s="190" t="s">
        <v>145</v>
      </c>
      <c r="J7" s="190" t="s">
        <v>146</v>
      </c>
      <c r="K7" s="190" t="s">
        <v>147</v>
      </c>
      <c r="L7" s="190" t="s">
        <v>148</v>
      </c>
      <c r="M7" s="190" t="s">
        <v>149</v>
      </c>
      <c r="N7" s="190" t="s">
        <v>150</v>
      </c>
      <c r="O7" s="190" t="s">
        <v>151</v>
      </c>
      <c r="P7" s="190" t="s">
        <v>152</v>
      </c>
      <c r="Q7" s="190" t="s">
        <v>153</v>
      </c>
      <c r="R7" s="191" t="s">
        <v>390</v>
      </c>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92"/>
      <c r="CU7" s="192"/>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80"/>
      <c r="DY7" s="88"/>
      <c r="EB7" s="88"/>
    </row>
    <row r="8" spans="1:132">
      <c r="A8" s="185"/>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2"/>
      <c r="EB8" s="182"/>
    </row>
    <row r="9" spans="1:132" s="179" customFormat="1" ht="15">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184"/>
      <c r="EA9" s="183"/>
      <c r="EB9" s="184"/>
    </row>
    <row r="10" spans="1:132" outlineLevel="1">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6"/>
      <c r="EB10" s="186"/>
    </row>
    <row r="11" spans="1:132" outlineLevel="1">
      <c r="A11" s="91" t="s">
        <v>155</v>
      </c>
      <c r="C11" s="180"/>
      <c r="D11" s="180"/>
      <c r="E11" s="180"/>
      <c r="F11" s="196">
        <f>Q3</f>
        <v>41944</v>
      </c>
      <c r="G11" s="197">
        <f t="shared" ref="G11:BR11" si="0">F12+1</f>
        <v>41974</v>
      </c>
      <c r="H11" s="198">
        <f t="shared" si="0"/>
        <v>42005</v>
      </c>
      <c r="I11" s="198">
        <f t="shared" si="0"/>
        <v>42036</v>
      </c>
      <c r="J11" s="198">
        <f t="shared" si="0"/>
        <v>42064</v>
      </c>
      <c r="K11" s="198">
        <f t="shared" si="0"/>
        <v>42095</v>
      </c>
      <c r="L11" s="198">
        <f t="shared" si="0"/>
        <v>42125</v>
      </c>
      <c r="M11" s="198">
        <f t="shared" si="0"/>
        <v>42156</v>
      </c>
      <c r="N11" s="198">
        <f t="shared" si="0"/>
        <v>42186</v>
      </c>
      <c r="O11" s="198">
        <f t="shared" si="0"/>
        <v>42217</v>
      </c>
      <c r="P11" s="198">
        <f t="shared" si="0"/>
        <v>42248</v>
      </c>
      <c r="Q11" s="198">
        <f t="shared" si="0"/>
        <v>42278</v>
      </c>
      <c r="R11" s="198">
        <f t="shared" si="0"/>
        <v>42309</v>
      </c>
      <c r="S11" s="198">
        <f t="shared" si="0"/>
        <v>42339</v>
      </c>
      <c r="T11" s="198">
        <f t="shared" si="0"/>
        <v>42370</v>
      </c>
      <c r="U11" s="198">
        <f t="shared" si="0"/>
        <v>42401</v>
      </c>
      <c r="V11" s="198">
        <f t="shared" si="0"/>
        <v>42430</v>
      </c>
      <c r="W11" s="198">
        <f t="shared" si="0"/>
        <v>42461</v>
      </c>
      <c r="X11" s="198">
        <f t="shared" si="0"/>
        <v>42491</v>
      </c>
      <c r="Y11" s="198">
        <f t="shared" si="0"/>
        <v>42522</v>
      </c>
      <c r="Z11" s="198">
        <f t="shared" si="0"/>
        <v>42552</v>
      </c>
      <c r="AA11" s="198">
        <f t="shared" si="0"/>
        <v>42583</v>
      </c>
      <c r="AB11" s="198">
        <f t="shared" si="0"/>
        <v>42614</v>
      </c>
      <c r="AC11" s="198">
        <f t="shared" si="0"/>
        <v>42644</v>
      </c>
      <c r="AD11" s="198">
        <f t="shared" si="0"/>
        <v>42675</v>
      </c>
      <c r="AE11" s="198">
        <f t="shared" si="0"/>
        <v>42705</v>
      </c>
      <c r="AF11" s="198">
        <f t="shared" si="0"/>
        <v>42736</v>
      </c>
      <c r="AG11" s="198">
        <f t="shared" si="0"/>
        <v>42767</v>
      </c>
      <c r="AH11" s="198">
        <f t="shared" si="0"/>
        <v>42795</v>
      </c>
      <c r="AI11" s="198">
        <f t="shared" si="0"/>
        <v>42826</v>
      </c>
      <c r="AJ11" s="198">
        <f t="shared" si="0"/>
        <v>42856</v>
      </c>
      <c r="AK11" s="198">
        <f t="shared" si="0"/>
        <v>42887</v>
      </c>
      <c r="AL11" s="198">
        <f t="shared" si="0"/>
        <v>42917</v>
      </c>
      <c r="AM11" s="198">
        <f t="shared" si="0"/>
        <v>42948</v>
      </c>
      <c r="AN11" s="198">
        <f t="shared" si="0"/>
        <v>42979</v>
      </c>
      <c r="AO11" s="198">
        <f t="shared" si="0"/>
        <v>43009</v>
      </c>
      <c r="AP11" s="198">
        <f t="shared" si="0"/>
        <v>43040</v>
      </c>
      <c r="AQ11" s="198">
        <f t="shared" si="0"/>
        <v>43070</v>
      </c>
      <c r="AR11" s="198">
        <f t="shared" si="0"/>
        <v>43101</v>
      </c>
      <c r="AS11" s="198">
        <f t="shared" si="0"/>
        <v>43132</v>
      </c>
      <c r="AT11" s="198">
        <f t="shared" si="0"/>
        <v>43160</v>
      </c>
      <c r="AU11" s="198">
        <f t="shared" si="0"/>
        <v>43191</v>
      </c>
      <c r="AV11" s="198">
        <f t="shared" si="0"/>
        <v>43221</v>
      </c>
      <c r="AW11" s="198">
        <f t="shared" si="0"/>
        <v>43252</v>
      </c>
      <c r="AX11" s="198">
        <f t="shared" si="0"/>
        <v>43282</v>
      </c>
      <c r="AY11" s="198">
        <f t="shared" si="0"/>
        <v>43313</v>
      </c>
      <c r="AZ11" s="198">
        <f t="shared" si="0"/>
        <v>43344</v>
      </c>
      <c r="BA11" s="198">
        <f t="shared" si="0"/>
        <v>43374</v>
      </c>
      <c r="BB11" s="198">
        <f t="shared" si="0"/>
        <v>43405</v>
      </c>
      <c r="BC11" s="198">
        <f t="shared" si="0"/>
        <v>43435</v>
      </c>
      <c r="BD11" s="198">
        <f t="shared" si="0"/>
        <v>43466</v>
      </c>
      <c r="BE11" s="198">
        <f t="shared" si="0"/>
        <v>43497</v>
      </c>
      <c r="BF11" s="198">
        <f t="shared" si="0"/>
        <v>43525</v>
      </c>
      <c r="BG11" s="198">
        <f t="shared" si="0"/>
        <v>43556</v>
      </c>
      <c r="BH11" s="198">
        <f t="shared" si="0"/>
        <v>43586</v>
      </c>
      <c r="BI11" s="198">
        <f t="shared" si="0"/>
        <v>43617</v>
      </c>
      <c r="BJ11" s="198">
        <f t="shared" si="0"/>
        <v>43647</v>
      </c>
      <c r="BK11" s="198">
        <f t="shared" si="0"/>
        <v>43678</v>
      </c>
      <c r="BL11" s="198">
        <f t="shared" si="0"/>
        <v>43709</v>
      </c>
      <c r="BM11" s="198">
        <f t="shared" si="0"/>
        <v>43739</v>
      </c>
      <c r="BN11" s="198">
        <f t="shared" si="0"/>
        <v>43770</v>
      </c>
      <c r="BO11" s="198">
        <f t="shared" si="0"/>
        <v>43800</v>
      </c>
      <c r="BP11" s="198">
        <f t="shared" si="0"/>
        <v>43831</v>
      </c>
      <c r="BQ11" s="198">
        <f t="shared" si="0"/>
        <v>43862</v>
      </c>
      <c r="BR11" s="198">
        <f t="shared" si="0"/>
        <v>43891</v>
      </c>
      <c r="BS11" s="198">
        <f t="shared" ref="BS11:DX11" si="1">BR12+1</f>
        <v>43922</v>
      </c>
      <c r="BT11" s="198">
        <f t="shared" si="1"/>
        <v>43952</v>
      </c>
      <c r="BU11" s="198">
        <f t="shared" si="1"/>
        <v>43983</v>
      </c>
      <c r="BV11" s="198">
        <f t="shared" si="1"/>
        <v>44013</v>
      </c>
      <c r="BW11" s="198">
        <f t="shared" si="1"/>
        <v>44044</v>
      </c>
      <c r="BX11" s="198">
        <f t="shared" si="1"/>
        <v>44075</v>
      </c>
      <c r="BY11" s="198">
        <f t="shared" si="1"/>
        <v>44105</v>
      </c>
      <c r="BZ11" s="198">
        <f t="shared" si="1"/>
        <v>44136</v>
      </c>
      <c r="CA11" s="198">
        <f t="shared" si="1"/>
        <v>44166</v>
      </c>
      <c r="CB11" s="198">
        <f t="shared" si="1"/>
        <v>44197</v>
      </c>
      <c r="CC11" s="198">
        <f t="shared" si="1"/>
        <v>44228</v>
      </c>
      <c r="CD11" s="198">
        <f t="shared" si="1"/>
        <v>44256</v>
      </c>
      <c r="CE11" s="198">
        <f t="shared" si="1"/>
        <v>44287</v>
      </c>
      <c r="CF11" s="198">
        <f t="shared" si="1"/>
        <v>44317</v>
      </c>
      <c r="CG11" s="198">
        <f t="shared" si="1"/>
        <v>44348</v>
      </c>
      <c r="CH11" s="198">
        <f t="shared" si="1"/>
        <v>44378</v>
      </c>
      <c r="CI11" s="198">
        <f t="shared" si="1"/>
        <v>44409</v>
      </c>
      <c r="CJ11" s="198">
        <f t="shared" si="1"/>
        <v>44440</v>
      </c>
      <c r="CK11" s="198">
        <f t="shared" si="1"/>
        <v>44470</v>
      </c>
      <c r="CL11" s="198">
        <f t="shared" si="1"/>
        <v>44501</v>
      </c>
      <c r="CM11" s="198">
        <f t="shared" si="1"/>
        <v>44531</v>
      </c>
      <c r="CN11" s="198">
        <f t="shared" si="1"/>
        <v>44562</v>
      </c>
      <c r="CO11" s="198">
        <f t="shared" si="1"/>
        <v>44593</v>
      </c>
      <c r="CP11" s="198">
        <f t="shared" si="1"/>
        <v>44621</v>
      </c>
      <c r="CQ11" s="198">
        <f t="shared" si="1"/>
        <v>44652</v>
      </c>
      <c r="CR11" s="198">
        <f t="shared" si="1"/>
        <v>44682</v>
      </c>
      <c r="CS11" s="198">
        <f t="shared" si="1"/>
        <v>44713</v>
      </c>
      <c r="CT11" s="198">
        <f t="shared" si="1"/>
        <v>44743</v>
      </c>
      <c r="CU11" s="198">
        <f t="shared" si="1"/>
        <v>44774</v>
      </c>
      <c r="CV11" s="198">
        <f t="shared" si="1"/>
        <v>44805</v>
      </c>
      <c r="CW11" s="198">
        <f t="shared" si="1"/>
        <v>44835</v>
      </c>
      <c r="CX11" s="198">
        <f t="shared" si="1"/>
        <v>44866</v>
      </c>
      <c r="CY11" s="198">
        <f t="shared" si="1"/>
        <v>44896</v>
      </c>
      <c r="CZ11" s="198">
        <f t="shared" si="1"/>
        <v>44927</v>
      </c>
      <c r="DA11" s="198">
        <f t="shared" si="1"/>
        <v>44958</v>
      </c>
      <c r="DB11" s="198">
        <f t="shared" si="1"/>
        <v>44986</v>
      </c>
      <c r="DC11" s="198">
        <f t="shared" si="1"/>
        <v>45017</v>
      </c>
      <c r="DD11" s="198">
        <f t="shared" si="1"/>
        <v>45047</v>
      </c>
      <c r="DE11" s="198">
        <f t="shared" si="1"/>
        <v>45078</v>
      </c>
      <c r="DF11" s="198">
        <f t="shared" si="1"/>
        <v>45108</v>
      </c>
      <c r="DG11" s="198">
        <f t="shared" si="1"/>
        <v>45139</v>
      </c>
      <c r="DH11" s="198">
        <f t="shared" si="1"/>
        <v>45170</v>
      </c>
      <c r="DI11" s="198">
        <f t="shared" si="1"/>
        <v>45200</v>
      </c>
      <c r="DJ11" s="198">
        <f t="shared" si="1"/>
        <v>45231</v>
      </c>
      <c r="DK11" s="198">
        <f t="shared" si="1"/>
        <v>45261</v>
      </c>
      <c r="DL11" s="198">
        <f t="shared" si="1"/>
        <v>45292</v>
      </c>
      <c r="DM11" s="198">
        <f t="shared" si="1"/>
        <v>45323</v>
      </c>
      <c r="DN11" s="198">
        <f t="shared" si="1"/>
        <v>45352</v>
      </c>
      <c r="DO11" s="198">
        <f t="shared" si="1"/>
        <v>45383</v>
      </c>
      <c r="DP11" s="198">
        <f t="shared" si="1"/>
        <v>45413</v>
      </c>
      <c r="DQ11" s="198">
        <f t="shared" si="1"/>
        <v>45444</v>
      </c>
      <c r="DR11" s="198">
        <f t="shared" si="1"/>
        <v>45474</v>
      </c>
      <c r="DS11" s="198">
        <f t="shared" si="1"/>
        <v>45505</v>
      </c>
      <c r="DT11" s="198">
        <f t="shared" si="1"/>
        <v>45536</v>
      </c>
      <c r="DU11" s="198">
        <f t="shared" si="1"/>
        <v>45566</v>
      </c>
      <c r="DV11" s="198">
        <f t="shared" si="1"/>
        <v>45597</v>
      </c>
      <c r="DW11" s="198">
        <f t="shared" si="1"/>
        <v>45627</v>
      </c>
      <c r="DX11" s="198">
        <f t="shared" si="1"/>
        <v>45658</v>
      </c>
      <c r="DY11" s="88"/>
      <c r="DZ11" s="193" t="s">
        <v>391</v>
      </c>
      <c r="EB11" s="88"/>
    </row>
    <row r="12" spans="1:132" outlineLevel="1">
      <c r="A12" s="91" t="s">
        <v>156</v>
      </c>
      <c r="C12" s="180"/>
      <c r="D12" s="180"/>
      <c r="E12" s="180"/>
      <c r="F12" s="199">
        <f t="shared" ref="F12:BQ12" si="2">DATE(YEAR(F11),MONTH(F11)+1,DAY(F11)-1)</f>
        <v>41973</v>
      </c>
      <c r="G12" s="200">
        <f t="shared" si="2"/>
        <v>42004</v>
      </c>
      <c r="H12" s="200">
        <f t="shared" si="2"/>
        <v>42035</v>
      </c>
      <c r="I12" s="200">
        <f t="shared" si="2"/>
        <v>42063</v>
      </c>
      <c r="J12" s="200">
        <f t="shared" si="2"/>
        <v>42094</v>
      </c>
      <c r="K12" s="200">
        <f t="shared" si="2"/>
        <v>42124</v>
      </c>
      <c r="L12" s="200">
        <f t="shared" si="2"/>
        <v>42155</v>
      </c>
      <c r="M12" s="200">
        <f t="shared" si="2"/>
        <v>42185</v>
      </c>
      <c r="N12" s="200">
        <f t="shared" si="2"/>
        <v>42216</v>
      </c>
      <c r="O12" s="200">
        <f t="shared" si="2"/>
        <v>42247</v>
      </c>
      <c r="P12" s="200">
        <f t="shared" si="2"/>
        <v>42277</v>
      </c>
      <c r="Q12" s="200">
        <f t="shared" si="2"/>
        <v>42308</v>
      </c>
      <c r="R12" s="200">
        <f t="shared" si="2"/>
        <v>42338</v>
      </c>
      <c r="S12" s="200">
        <f t="shared" si="2"/>
        <v>42369</v>
      </c>
      <c r="T12" s="200">
        <f t="shared" si="2"/>
        <v>42400</v>
      </c>
      <c r="U12" s="200">
        <f t="shared" si="2"/>
        <v>42429</v>
      </c>
      <c r="V12" s="200">
        <f t="shared" si="2"/>
        <v>42460</v>
      </c>
      <c r="W12" s="200">
        <f t="shared" si="2"/>
        <v>42490</v>
      </c>
      <c r="X12" s="200">
        <f t="shared" si="2"/>
        <v>42521</v>
      </c>
      <c r="Y12" s="200">
        <f t="shared" si="2"/>
        <v>42551</v>
      </c>
      <c r="Z12" s="200">
        <f t="shared" si="2"/>
        <v>42582</v>
      </c>
      <c r="AA12" s="200">
        <f t="shared" si="2"/>
        <v>42613</v>
      </c>
      <c r="AB12" s="200">
        <f t="shared" si="2"/>
        <v>42643</v>
      </c>
      <c r="AC12" s="200">
        <f t="shared" si="2"/>
        <v>42674</v>
      </c>
      <c r="AD12" s="200">
        <f t="shared" si="2"/>
        <v>42704</v>
      </c>
      <c r="AE12" s="200">
        <f t="shared" si="2"/>
        <v>42735</v>
      </c>
      <c r="AF12" s="200">
        <f t="shared" si="2"/>
        <v>42766</v>
      </c>
      <c r="AG12" s="200">
        <f t="shared" si="2"/>
        <v>42794</v>
      </c>
      <c r="AH12" s="200">
        <f t="shared" si="2"/>
        <v>42825</v>
      </c>
      <c r="AI12" s="200">
        <f t="shared" si="2"/>
        <v>42855</v>
      </c>
      <c r="AJ12" s="200">
        <f t="shared" si="2"/>
        <v>42886</v>
      </c>
      <c r="AK12" s="200">
        <f t="shared" si="2"/>
        <v>42916</v>
      </c>
      <c r="AL12" s="200">
        <f t="shared" si="2"/>
        <v>42947</v>
      </c>
      <c r="AM12" s="200">
        <f t="shared" si="2"/>
        <v>42978</v>
      </c>
      <c r="AN12" s="200">
        <f t="shared" si="2"/>
        <v>43008</v>
      </c>
      <c r="AO12" s="200">
        <f t="shared" si="2"/>
        <v>43039</v>
      </c>
      <c r="AP12" s="200">
        <f t="shared" si="2"/>
        <v>43069</v>
      </c>
      <c r="AQ12" s="200">
        <f t="shared" si="2"/>
        <v>43100</v>
      </c>
      <c r="AR12" s="200">
        <f t="shared" si="2"/>
        <v>43131</v>
      </c>
      <c r="AS12" s="200">
        <f t="shared" si="2"/>
        <v>43159</v>
      </c>
      <c r="AT12" s="200">
        <f t="shared" si="2"/>
        <v>43190</v>
      </c>
      <c r="AU12" s="200">
        <f t="shared" si="2"/>
        <v>43220</v>
      </c>
      <c r="AV12" s="200">
        <f t="shared" si="2"/>
        <v>43251</v>
      </c>
      <c r="AW12" s="200">
        <f t="shared" si="2"/>
        <v>43281</v>
      </c>
      <c r="AX12" s="200">
        <f t="shared" si="2"/>
        <v>43312</v>
      </c>
      <c r="AY12" s="200">
        <f t="shared" si="2"/>
        <v>43343</v>
      </c>
      <c r="AZ12" s="200">
        <f t="shared" si="2"/>
        <v>43373</v>
      </c>
      <c r="BA12" s="200">
        <f t="shared" si="2"/>
        <v>43404</v>
      </c>
      <c r="BB12" s="200">
        <f t="shared" si="2"/>
        <v>43434</v>
      </c>
      <c r="BC12" s="200">
        <f t="shared" si="2"/>
        <v>43465</v>
      </c>
      <c r="BD12" s="200">
        <f t="shared" si="2"/>
        <v>43496</v>
      </c>
      <c r="BE12" s="200">
        <f t="shared" si="2"/>
        <v>43524</v>
      </c>
      <c r="BF12" s="200">
        <f t="shared" si="2"/>
        <v>43555</v>
      </c>
      <c r="BG12" s="200">
        <f t="shared" si="2"/>
        <v>43585</v>
      </c>
      <c r="BH12" s="200">
        <f t="shared" si="2"/>
        <v>43616</v>
      </c>
      <c r="BI12" s="200">
        <f t="shared" si="2"/>
        <v>43646</v>
      </c>
      <c r="BJ12" s="200">
        <f t="shared" si="2"/>
        <v>43677</v>
      </c>
      <c r="BK12" s="200">
        <f t="shared" si="2"/>
        <v>43708</v>
      </c>
      <c r="BL12" s="200">
        <f t="shared" si="2"/>
        <v>43738</v>
      </c>
      <c r="BM12" s="200">
        <f t="shared" si="2"/>
        <v>43769</v>
      </c>
      <c r="BN12" s="200">
        <f t="shared" si="2"/>
        <v>43799</v>
      </c>
      <c r="BO12" s="200">
        <f t="shared" si="2"/>
        <v>43830</v>
      </c>
      <c r="BP12" s="200">
        <f t="shared" si="2"/>
        <v>43861</v>
      </c>
      <c r="BQ12" s="200">
        <f t="shared" si="2"/>
        <v>43890</v>
      </c>
      <c r="BR12" s="200">
        <f t="shared" ref="BR12:DX12" si="3">DATE(YEAR(BR11),MONTH(BR11)+1,DAY(BR11)-1)</f>
        <v>43921</v>
      </c>
      <c r="BS12" s="200">
        <f t="shared" si="3"/>
        <v>43951</v>
      </c>
      <c r="BT12" s="200">
        <f t="shared" si="3"/>
        <v>43982</v>
      </c>
      <c r="BU12" s="200">
        <f t="shared" si="3"/>
        <v>44012</v>
      </c>
      <c r="BV12" s="200">
        <f t="shared" si="3"/>
        <v>44043</v>
      </c>
      <c r="BW12" s="200">
        <f t="shared" si="3"/>
        <v>44074</v>
      </c>
      <c r="BX12" s="200">
        <f t="shared" si="3"/>
        <v>44104</v>
      </c>
      <c r="BY12" s="200">
        <f t="shared" si="3"/>
        <v>44135</v>
      </c>
      <c r="BZ12" s="200">
        <f t="shared" si="3"/>
        <v>44165</v>
      </c>
      <c r="CA12" s="200">
        <f t="shared" si="3"/>
        <v>44196</v>
      </c>
      <c r="CB12" s="200">
        <f t="shared" si="3"/>
        <v>44227</v>
      </c>
      <c r="CC12" s="200">
        <f t="shared" si="3"/>
        <v>44255</v>
      </c>
      <c r="CD12" s="200">
        <f t="shared" si="3"/>
        <v>44286</v>
      </c>
      <c r="CE12" s="200">
        <f t="shared" si="3"/>
        <v>44316</v>
      </c>
      <c r="CF12" s="200">
        <f t="shared" si="3"/>
        <v>44347</v>
      </c>
      <c r="CG12" s="200">
        <f t="shared" si="3"/>
        <v>44377</v>
      </c>
      <c r="CH12" s="200">
        <f t="shared" si="3"/>
        <v>44408</v>
      </c>
      <c r="CI12" s="200">
        <f t="shared" si="3"/>
        <v>44439</v>
      </c>
      <c r="CJ12" s="200">
        <f t="shared" si="3"/>
        <v>44469</v>
      </c>
      <c r="CK12" s="200">
        <f t="shared" si="3"/>
        <v>44500</v>
      </c>
      <c r="CL12" s="200">
        <f t="shared" si="3"/>
        <v>44530</v>
      </c>
      <c r="CM12" s="200">
        <f t="shared" si="3"/>
        <v>44561</v>
      </c>
      <c r="CN12" s="200">
        <f t="shared" si="3"/>
        <v>44592</v>
      </c>
      <c r="CO12" s="200">
        <f t="shared" si="3"/>
        <v>44620</v>
      </c>
      <c r="CP12" s="200">
        <f t="shared" si="3"/>
        <v>44651</v>
      </c>
      <c r="CQ12" s="200">
        <f t="shared" si="3"/>
        <v>44681</v>
      </c>
      <c r="CR12" s="200">
        <f t="shared" si="3"/>
        <v>44712</v>
      </c>
      <c r="CS12" s="200">
        <f t="shared" si="3"/>
        <v>44742</v>
      </c>
      <c r="CT12" s="200">
        <f t="shared" si="3"/>
        <v>44773</v>
      </c>
      <c r="CU12" s="200">
        <f t="shared" si="3"/>
        <v>44804</v>
      </c>
      <c r="CV12" s="200">
        <f t="shared" si="3"/>
        <v>44834</v>
      </c>
      <c r="CW12" s="200">
        <f t="shared" si="3"/>
        <v>44865</v>
      </c>
      <c r="CX12" s="200">
        <f t="shared" si="3"/>
        <v>44895</v>
      </c>
      <c r="CY12" s="200">
        <f t="shared" si="3"/>
        <v>44926</v>
      </c>
      <c r="CZ12" s="200">
        <f t="shared" si="3"/>
        <v>44957</v>
      </c>
      <c r="DA12" s="200">
        <f t="shared" si="3"/>
        <v>44985</v>
      </c>
      <c r="DB12" s="200">
        <f t="shared" si="3"/>
        <v>45016</v>
      </c>
      <c r="DC12" s="200">
        <f t="shared" si="3"/>
        <v>45046</v>
      </c>
      <c r="DD12" s="200">
        <f t="shared" si="3"/>
        <v>45077</v>
      </c>
      <c r="DE12" s="200">
        <f t="shared" si="3"/>
        <v>45107</v>
      </c>
      <c r="DF12" s="200">
        <f t="shared" si="3"/>
        <v>45138</v>
      </c>
      <c r="DG12" s="200">
        <f t="shared" si="3"/>
        <v>45169</v>
      </c>
      <c r="DH12" s="200">
        <f t="shared" si="3"/>
        <v>45199</v>
      </c>
      <c r="DI12" s="200">
        <f t="shared" si="3"/>
        <v>45230</v>
      </c>
      <c r="DJ12" s="200">
        <f t="shared" si="3"/>
        <v>45260</v>
      </c>
      <c r="DK12" s="200">
        <f t="shared" si="3"/>
        <v>45291</v>
      </c>
      <c r="DL12" s="200">
        <f t="shared" si="3"/>
        <v>45322</v>
      </c>
      <c r="DM12" s="200">
        <f t="shared" si="3"/>
        <v>45351</v>
      </c>
      <c r="DN12" s="200">
        <f t="shared" si="3"/>
        <v>45382</v>
      </c>
      <c r="DO12" s="200">
        <f t="shared" si="3"/>
        <v>45412</v>
      </c>
      <c r="DP12" s="200">
        <f t="shared" si="3"/>
        <v>45443</v>
      </c>
      <c r="DQ12" s="200">
        <f t="shared" si="3"/>
        <v>45473</v>
      </c>
      <c r="DR12" s="200">
        <f t="shared" si="3"/>
        <v>45504</v>
      </c>
      <c r="DS12" s="200">
        <f t="shared" si="3"/>
        <v>45535</v>
      </c>
      <c r="DT12" s="200">
        <f t="shared" si="3"/>
        <v>45565</v>
      </c>
      <c r="DU12" s="200">
        <f t="shared" si="3"/>
        <v>45596</v>
      </c>
      <c r="DV12" s="200">
        <f t="shared" si="3"/>
        <v>45626</v>
      </c>
      <c r="DW12" s="200">
        <f t="shared" si="3"/>
        <v>45657</v>
      </c>
      <c r="DX12" s="200">
        <f t="shared" si="3"/>
        <v>45688</v>
      </c>
      <c r="DY12" s="88"/>
      <c r="DZ12" s="193" t="s">
        <v>392</v>
      </c>
      <c r="EB12" s="88"/>
    </row>
    <row r="13" spans="1:132" outlineLevel="1">
      <c r="A13" s="91" t="s">
        <v>157</v>
      </c>
      <c r="C13" s="180"/>
      <c r="D13" s="180"/>
      <c r="E13" s="180"/>
      <c r="F13" s="201">
        <v>1</v>
      </c>
      <c r="G13" s="202">
        <f t="shared" ref="G13:BR13" si="4">F13+1</f>
        <v>2</v>
      </c>
      <c r="H13" s="203">
        <f t="shared" si="4"/>
        <v>3</v>
      </c>
      <c r="I13" s="203">
        <f t="shared" si="4"/>
        <v>4</v>
      </c>
      <c r="J13" s="203">
        <f t="shared" si="4"/>
        <v>5</v>
      </c>
      <c r="K13" s="203">
        <f t="shared" si="4"/>
        <v>6</v>
      </c>
      <c r="L13" s="203">
        <f t="shared" si="4"/>
        <v>7</v>
      </c>
      <c r="M13" s="203">
        <f t="shared" si="4"/>
        <v>8</v>
      </c>
      <c r="N13" s="203">
        <f t="shared" si="4"/>
        <v>9</v>
      </c>
      <c r="O13" s="203">
        <f t="shared" si="4"/>
        <v>10</v>
      </c>
      <c r="P13" s="203">
        <f t="shared" si="4"/>
        <v>11</v>
      </c>
      <c r="Q13" s="203">
        <f t="shared" si="4"/>
        <v>12</v>
      </c>
      <c r="R13" s="203">
        <f t="shared" si="4"/>
        <v>13</v>
      </c>
      <c r="S13" s="203">
        <f t="shared" si="4"/>
        <v>14</v>
      </c>
      <c r="T13" s="203">
        <f t="shared" si="4"/>
        <v>15</v>
      </c>
      <c r="U13" s="203">
        <f t="shared" si="4"/>
        <v>16</v>
      </c>
      <c r="V13" s="203">
        <f t="shared" si="4"/>
        <v>17</v>
      </c>
      <c r="W13" s="203">
        <f t="shared" si="4"/>
        <v>18</v>
      </c>
      <c r="X13" s="203">
        <f t="shared" si="4"/>
        <v>19</v>
      </c>
      <c r="Y13" s="203">
        <f t="shared" si="4"/>
        <v>20</v>
      </c>
      <c r="Z13" s="203">
        <f t="shared" si="4"/>
        <v>21</v>
      </c>
      <c r="AA13" s="203">
        <f t="shared" si="4"/>
        <v>22</v>
      </c>
      <c r="AB13" s="203">
        <f t="shared" si="4"/>
        <v>23</v>
      </c>
      <c r="AC13" s="203">
        <f t="shared" si="4"/>
        <v>24</v>
      </c>
      <c r="AD13" s="203">
        <f t="shared" si="4"/>
        <v>25</v>
      </c>
      <c r="AE13" s="203">
        <f t="shared" si="4"/>
        <v>26</v>
      </c>
      <c r="AF13" s="203">
        <f t="shared" si="4"/>
        <v>27</v>
      </c>
      <c r="AG13" s="203">
        <f t="shared" si="4"/>
        <v>28</v>
      </c>
      <c r="AH13" s="203">
        <f t="shared" si="4"/>
        <v>29</v>
      </c>
      <c r="AI13" s="203">
        <f t="shared" si="4"/>
        <v>30</v>
      </c>
      <c r="AJ13" s="203">
        <f t="shared" si="4"/>
        <v>31</v>
      </c>
      <c r="AK13" s="203">
        <f t="shared" si="4"/>
        <v>32</v>
      </c>
      <c r="AL13" s="203">
        <f t="shared" si="4"/>
        <v>33</v>
      </c>
      <c r="AM13" s="203">
        <f t="shared" si="4"/>
        <v>34</v>
      </c>
      <c r="AN13" s="203">
        <f t="shared" si="4"/>
        <v>35</v>
      </c>
      <c r="AO13" s="203">
        <f t="shared" si="4"/>
        <v>36</v>
      </c>
      <c r="AP13" s="203">
        <f t="shared" si="4"/>
        <v>37</v>
      </c>
      <c r="AQ13" s="203">
        <f t="shared" si="4"/>
        <v>38</v>
      </c>
      <c r="AR13" s="203">
        <f t="shared" si="4"/>
        <v>39</v>
      </c>
      <c r="AS13" s="203">
        <f t="shared" si="4"/>
        <v>40</v>
      </c>
      <c r="AT13" s="203">
        <f t="shared" si="4"/>
        <v>41</v>
      </c>
      <c r="AU13" s="203">
        <f t="shared" si="4"/>
        <v>42</v>
      </c>
      <c r="AV13" s="203">
        <f t="shared" si="4"/>
        <v>43</v>
      </c>
      <c r="AW13" s="203">
        <f t="shared" si="4"/>
        <v>44</v>
      </c>
      <c r="AX13" s="203">
        <f t="shared" si="4"/>
        <v>45</v>
      </c>
      <c r="AY13" s="203">
        <f t="shared" si="4"/>
        <v>46</v>
      </c>
      <c r="AZ13" s="203">
        <f t="shared" si="4"/>
        <v>47</v>
      </c>
      <c r="BA13" s="203">
        <f t="shared" si="4"/>
        <v>48</v>
      </c>
      <c r="BB13" s="203">
        <f t="shared" si="4"/>
        <v>49</v>
      </c>
      <c r="BC13" s="203">
        <f t="shared" si="4"/>
        <v>50</v>
      </c>
      <c r="BD13" s="203">
        <f t="shared" si="4"/>
        <v>51</v>
      </c>
      <c r="BE13" s="203">
        <f t="shared" si="4"/>
        <v>52</v>
      </c>
      <c r="BF13" s="203">
        <f t="shared" si="4"/>
        <v>53</v>
      </c>
      <c r="BG13" s="203">
        <f t="shared" si="4"/>
        <v>54</v>
      </c>
      <c r="BH13" s="203">
        <f t="shared" si="4"/>
        <v>55</v>
      </c>
      <c r="BI13" s="203">
        <f t="shared" si="4"/>
        <v>56</v>
      </c>
      <c r="BJ13" s="203">
        <f t="shared" si="4"/>
        <v>57</v>
      </c>
      <c r="BK13" s="203">
        <f t="shared" si="4"/>
        <v>58</v>
      </c>
      <c r="BL13" s="203">
        <f t="shared" si="4"/>
        <v>59</v>
      </c>
      <c r="BM13" s="203">
        <f t="shared" si="4"/>
        <v>60</v>
      </c>
      <c r="BN13" s="203">
        <f t="shared" si="4"/>
        <v>61</v>
      </c>
      <c r="BO13" s="203">
        <f t="shared" si="4"/>
        <v>62</v>
      </c>
      <c r="BP13" s="203">
        <f t="shared" si="4"/>
        <v>63</v>
      </c>
      <c r="BQ13" s="203">
        <f t="shared" si="4"/>
        <v>64</v>
      </c>
      <c r="BR13" s="203">
        <f t="shared" si="4"/>
        <v>65</v>
      </c>
      <c r="BS13" s="203">
        <f t="shared" ref="BS13:DX13" si="5">BR13+1</f>
        <v>66</v>
      </c>
      <c r="BT13" s="203">
        <f t="shared" si="5"/>
        <v>67</v>
      </c>
      <c r="BU13" s="203">
        <f t="shared" si="5"/>
        <v>68</v>
      </c>
      <c r="BV13" s="203">
        <f t="shared" si="5"/>
        <v>69</v>
      </c>
      <c r="BW13" s="203">
        <f t="shared" si="5"/>
        <v>70</v>
      </c>
      <c r="BX13" s="203">
        <f t="shared" si="5"/>
        <v>71</v>
      </c>
      <c r="BY13" s="203">
        <f t="shared" si="5"/>
        <v>72</v>
      </c>
      <c r="BZ13" s="203">
        <f t="shared" si="5"/>
        <v>73</v>
      </c>
      <c r="CA13" s="203">
        <f t="shared" si="5"/>
        <v>74</v>
      </c>
      <c r="CB13" s="203">
        <f t="shared" si="5"/>
        <v>75</v>
      </c>
      <c r="CC13" s="203">
        <f t="shared" si="5"/>
        <v>76</v>
      </c>
      <c r="CD13" s="203">
        <f t="shared" si="5"/>
        <v>77</v>
      </c>
      <c r="CE13" s="203">
        <f t="shared" si="5"/>
        <v>78</v>
      </c>
      <c r="CF13" s="203">
        <f t="shared" si="5"/>
        <v>79</v>
      </c>
      <c r="CG13" s="203">
        <f t="shared" si="5"/>
        <v>80</v>
      </c>
      <c r="CH13" s="203">
        <f t="shared" si="5"/>
        <v>81</v>
      </c>
      <c r="CI13" s="203">
        <f t="shared" si="5"/>
        <v>82</v>
      </c>
      <c r="CJ13" s="203">
        <f t="shared" si="5"/>
        <v>83</v>
      </c>
      <c r="CK13" s="203">
        <f t="shared" si="5"/>
        <v>84</v>
      </c>
      <c r="CL13" s="203">
        <f t="shared" si="5"/>
        <v>85</v>
      </c>
      <c r="CM13" s="203">
        <f t="shared" si="5"/>
        <v>86</v>
      </c>
      <c r="CN13" s="203">
        <f t="shared" si="5"/>
        <v>87</v>
      </c>
      <c r="CO13" s="203">
        <f t="shared" si="5"/>
        <v>88</v>
      </c>
      <c r="CP13" s="203">
        <f t="shared" si="5"/>
        <v>89</v>
      </c>
      <c r="CQ13" s="203">
        <f t="shared" si="5"/>
        <v>90</v>
      </c>
      <c r="CR13" s="203">
        <f t="shared" si="5"/>
        <v>91</v>
      </c>
      <c r="CS13" s="203">
        <f t="shared" si="5"/>
        <v>92</v>
      </c>
      <c r="CT13" s="203">
        <f t="shared" si="5"/>
        <v>93</v>
      </c>
      <c r="CU13" s="203">
        <f t="shared" si="5"/>
        <v>94</v>
      </c>
      <c r="CV13" s="203">
        <f t="shared" si="5"/>
        <v>95</v>
      </c>
      <c r="CW13" s="203">
        <f t="shared" si="5"/>
        <v>96</v>
      </c>
      <c r="CX13" s="203">
        <f t="shared" si="5"/>
        <v>97</v>
      </c>
      <c r="CY13" s="203">
        <f t="shared" si="5"/>
        <v>98</v>
      </c>
      <c r="CZ13" s="203">
        <f t="shared" si="5"/>
        <v>99</v>
      </c>
      <c r="DA13" s="203">
        <f t="shared" si="5"/>
        <v>100</v>
      </c>
      <c r="DB13" s="203">
        <f t="shared" si="5"/>
        <v>101</v>
      </c>
      <c r="DC13" s="203">
        <f t="shared" si="5"/>
        <v>102</v>
      </c>
      <c r="DD13" s="203">
        <f t="shared" si="5"/>
        <v>103</v>
      </c>
      <c r="DE13" s="203">
        <f t="shared" si="5"/>
        <v>104</v>
      </c>
      <c r="DF13" s="203">
        <f t="shared" si="5"/>
        <v>105</v>
      </c>
      <c r="DG13" s="203">
        <f t="shared" si="5"/>
        <v>106</v>
      </c>
      <c r="DH13" s="203">
        <f t="shared" si="5"/>
        <v>107</v>
      </c>
      <c r="DI13" s="203">
        <f t="shared" si="5"/>
        <v>108</v>
      </c>
      <c r="DJ13" s="203">
        <f t="shared" si="5"/>
        <v>109</v>
      </c>
      <c r="DK13" s="203">
        <f t="shared" si="5"/>
        <v>110</v>
      </c>
      <c r="DL13" s="203">
        <f t="shared" si="5"/>
        <v>111</v>
      </c>
      <c r="DM13" s="203">
        <f t="shared" si="5"/>
        <v>112</v>
      </c>
      <c r="DN13" s="203">
        <f t="shared" si="5"/>
        <v>113</v>
      </c>
      <c r="DO13" s="203">
        <f t="shared" si="5"/>
        <v>114</v>
      </c>
      <c r="DP13" s="203">
        <f t="shared" si="5"/>
        <v>115</v>
      </c>
      <c r="DQ13" s="203">
        <f t="shared" si="5"/>
        <v>116</v>
      </c>
      <c r="DR13" s="203">
        <f t="shared" si="5"/>
        <v>117</v>
      </c>
      <c r="DS13" s="203">
        <f t="shared" si="5"/>
        <v>118</v>
      </c>
      <c r="DT13" s="203">
        <f t="shared" si="5"/>
        <v>119</v>
      </c>
      <c r="DU13" s="203">
        <f t="shared" si="5"/>
        <v>120</v>
      </c>
      <c r="DV13" s="203">
        <f t="shared" si="5"/>
        <v>121</v>
      </c>
      <c r="DW13" s="203">
        <f t="shared" si="5"/>
        <v>122</v>
      </c>
      <c r="DX13" s="203">
        <f t="shared" si="5"/>
        <v>123</v>
      </c>
      <c r="DY13" s="88"/>
      <c r="DZ13" s="188" t="s">
        <v>393</v>
      </c>
      <c r="EB13" s="88"/>
    </row>
    <row r="14" spans="1:132" outlineLevel="1">
      <c r="A14" s="91" t="s">
        <v>158</v>
      </c>
      <c r="C14" s="180"/>
      <c r="D14" s="180"/>
      <c r="E14" s="180"/>
      <c r="F14" s="202">
        <f t="shared" ref="F14:AK14" si="6">IF(PeriodNoMth&lt;=PreContractPeriodDuration,-1-PreContractPeriodDuration+F13,PeriodNoMth-PreContractPeriodDuration)</f>
        <v>-3</v>
      </c>
      <c r="G14" s="203">
        <f t="shared" si="6"/>
        <v>-2</v>
      </c>
      <c r="H14" s="203">
        <f t="shared" si="6"/>
        <v>-1</v>
      </c>
      <c r="I14" s="203">
        <f t="shared" si="6"/>
        <v>1</v>
      </c>
      <c r="J14" s="203">
        <f t="shared" si="6"/>
        <v>2</v>
      </c>
      <c r="K14" s="203">
        <f t="shared" si="6"/>
        <v>3</v>
      </c>
      <c r="L14" s="203">
        <f t="shared" si="6"/>
        <v>4</v>
      </c>
      <c r="M14" s="203">
        <f t="shared" si="6"/>
        <v>5</v>
      </c>
      <c r="N14" s="203">
        <f t="shared" si="6"/>
        <v>6</v>
      </c>
      <c r="O14" s="203">
        <f t="shared" si="6"/>
        <v>7</v>
      </c>
      <c r="P14" s="203">
        <f t="shared" si="6"/>
        <v>8</v>
      </c>
      <c r="Q14" s="203">
        <f t="shared" si="6"/>
        <v>9</v>
      </c>
      <c r="R14" s="203">
        <f t="shared" si="6"/>
        <v>10</v>
      </c>
      <c r="S14" s="203">
        <f t="shared" si="6"/>
        <v>11</v>
      </c>
      <c r="T14" s="203">
        <f t="shared" si="6"/>
        <v>12</v>
      </c>
      <c r="U14" s="203">
        <f t="shared" si="6"/>
        <v>13</v>
      </c>
      <c r="V14" s="203">
        <f t="shared" si="6"/>
        <v>14</v>
      </c>
      <c r="W14" s="203">
        <f t="shared" si="6"/>
        <v>15</v>
      </c>
      <c r="X14" s="203">
        <f t="shared" si="6"/>
        <v>16</v>
      </c>
      <c r="Y14" s="203">
        <f t="shared" si="6"/>
        <v>17</v>
      </c>
      <c r="Z14" s="203">
        <f t="shared" si="6"/>
        <v>18</v>
      </c>
      <c r="AA14" s="203">
        <f t="shared" si="6"/>
        <v>19</v>
      </c>
      <c r="AB14" s="203">
        <f t="shared" si="6"/>
        <v>20</v>
      </c>
      <c r="AC14" s="203">
        <f t="shared" si="6"/>
        <v>21</v>
      </c>
      <c r="AD14" s="203">
        <f t="shared" si="6"/>
        <v>22</v>
      </c>
      <c r="AE14" s="203">
        <f t="shared" si="6"/>
        <v>23</v>
      </c>
      <c r="AF14" s="203">
        <f t="shared" si="6"/>
        <v>24</v>
      </c>
      <c r="AG14" s="203">
        <f t="shared" si="6"/>
        <v>25</v>
      </c>
      <c r="AH14" s="203">
        <f t="shared" si="6"/>
        <v>26</v>
      </c>
      <c r="AI14" s="203">
        <f t="shared" si="6"/>
        <v>27</v>
      </c>
      <c r="AJ14" s="203">
        <f t="shared" si="6"/>
        <v>28</v>
      </c>
      <c r="AK14" s="203">
        <f t="shared" si="6"/>
        <v>29</v>
      </c>
      <c r="AL14" s="203">
        <f t="shared" ref="AL14:BQ14" si="7">IF(PeriodNoMth&lt;=PreContractPeriodDuration,-1-PreContractPeriodDuration+AL13,PeriodNoMth-PreContractPeriodDuration)</f>
        <v>30</v>
      </c>
      <c r="AM14" s="203">
        <f t="shared" si="7"/>
        <v>31</v>
      </c>
      <c r="AN14" s="203">
        <f t="shared" si="7"/>
        <v>32</v>
      </c>
      <c r="AO14" s="203">
        <f t="shared" si="7"/>
        <v>33</v>
      </c>
      <c r="AP14" s="203">
        <f t="shared" si="7"/>
        <v>34</v>
      </c>
      <c r="AQ14" s="203">
        <f t="shared" si="7"/>
        <v>35</v>
      </c>
      <c r="AR14" s="203">
        <f t="shared" si="7"/>
        <v>36</v>
      </c>
      <c r="AS14" s="203">
        <f t="shared" si="7"/>
        <v>37</v>
      </c>
      <c r="AT14" s="203">
        <f t="shared" si="7"/>
        <v>38</v>
      </c>
      <c r="AU14" s="203">
        <f t="shared" si="7"/>
        <v>39</v>
      </c>
      <c r="AV14" s="203">
        <f t="shared" si="7"/>
        <v>40</v>
      </c>
      <c r="AW14" s="203">
        <f t="shared" si="7"/>
        <v>41</v>
      </c>
      <c r="AX14" s="203">
        <f t="shared" si="7"/>
        <v>42</v>
      </c>
      <c r="AY14" s="203">
        <f t="shared" si="7"/>
        <v>43</v>
      </c>
      <c r="AZ14" s="203">
        <f t="shared" si="7"/>
        <v>44</v>
      </c>
      <c r="BA14" s="203">
        <f t="shared" si="7"/>
        <v>45</v>
      </c>
      <c r="BB14" s="203">
        <f t="shared" si="7"/>
        <v>46</v>
      </c>
      <c r="BC14" s="203">
        <f t="shared" si="7"/>
        <v>47</v>
      </c>
      <c r="BD14" s="203">
        <f t="shared" si="7"/>
        <v>48</v>
      </c>
      <c r="BE14" s="203">
        <f t="shared" si="7"/>
        <v>49</v>
      </c>
      <c r="BF14" s="203">
        <f t="shared" si="7"/>
        <v>50</v>
      </c>
      <c r="BG14" s="203">
        <f t="shared" si="7"/>
        <v>51</v>
      </c>
      <c r="BH14" s="203">
        <f t="shared" si="7"/>
        <v>52</v>
      </c>
      <c r="BI14" s="203">
        <f t="shared" si="7"/>
        <v>53</v>
      </c>
      <c r="BJ14" s="203">
        <f t="shared" si="7"/>
        <v>54</v>
      </c>
      <c r="BK14" s="203">
        <f t="shared" si="7"/>
        <v>55</v>
      </c>
      <c r="BL14" s="203">
        <f t="shared" si="7"/>
        <v>56</v>
      </c>
      <c r="BM14" s="203">
        <f t="shared" si="7"/>
        <v>57</v>
      </c>
      <c r="BN14" s="203">
        <f t="shared" si="7"/>
        <v>58</v>
      </c>
      <c r="BO14" s="203">
        <f t="shared" si="7"/>
        <v>59</v>
      </c>
      <c r="BP14" s="203">
        <f t="shared" si="7"/>
        <v>60</v>
      </c>
      <c r="BQ14" s="203">
        <f t="shared" si="7"/>
        <v>61</v>
      </c>
      <c r="BR14" s="203">
        <f t="shared" ref="BR14:CW14" si="8">IF(PeriodNoMth&lt;=PreContractPeriodDuration,-1-PreContractPeriodDuration+BR13,PeriodNoMth-PreContractPeriodDuration)</f>
        <v>62</v>
      </c>
      <c r="BS14" s="203">
        <f t="shared" si="8"/>
        <v>63</v>
      </c>
      <c r="BT14" s="203">
        <f t="shared" si="8"/>
        <v>64</v>
      </c>
      <c r="BU14" s="203">
        <f t="shared" si="8"/>
        <v>65</v>
      </c>
      <c r="BV14" s="203">
        <f t="shared" si="8"/>
        <v>66</v>
      </c>
      <c r="BW14" s="203">
        <f t="shared" si="8"/>
        <v>67</v>
      </c>
      <c r="BX14" s="203">
        <f t="shared" si="8"/>
        <v>68</v>
      </c>
      <c r="BY14" s="203">
        <f t="shared" si="8"/>
        <v>69</v>
      </c>
      <c r="BZ14" s="203">
        <f t="shared" si="8"/>
        <v>70</v>
      </c>
      <c r="CA14" s="203">
        <f t="shared" si="8"/>
        <v>71</v>
      </c>
      <c r="CB14" s="203">
        <f t="shared" si="8"/>
        <v>72</v>
      </c>
      <c r="CC14" s="203">
        <f t="shared" si="8"/>
        <v>73</v>
      </c>
      <c r="CD14" s="203">
        <f t="shared" si="8"/>
        <v>74</v>
      </c>
      <c r="CE14" s="203">
        <f t="shared" si="8"/>
        <v>75</v>
      </c>
      <c r="CF14" s="203">
        <f t="shared" si="8"/>
        <v>76</v>
      </c>
      <c r="CG14" s="203">
        <f t="shared" si="8"/>
        <v>77</v>
      </c>
      <c r="CH14" s="203">
        <f t="shared" si="8"/>
        <v>78</v>
      </c>
      <c r="CI14" s="203">
        <f t="shared" si="8"/>
        <v>79</v>
      </c>
      <c r="CJ14" s="203">
        <f t="shared" si="8"/>
        <v>80</v>
      </c>
      <c r="CK14" s="203">
        <f t="shared" si="8"/>
        <v>81</v>
      </c>
      <c r="CL14" s="203">
        <f t="shared" si="8"/>
        <v>82</v>
      </c>
      <c r="CM14" s="203">
        <f t="shared" si="8"/>
        <v>83</v>
      </c>
      <c r="CN14" s="203">
        <f t="shared" si="8"/>
        <v>84</v>
      </c>
      <c r="CO14" s="203">
        <f t="shared" si="8"/>
        <v>85</v>
      </c>
      <c r="CP14" s="203">
        <f t="shared" si="8"/>
        <v>86</v>
      </c>
      <c r="CQ14" s="203">
        <f t="shared" si="8"/>
        <v>87</v>
      </c>
      <c r="CR14" s="203">
        <f t="shared" si="8"/>
        <v>88</v>
      </c>
      <c r="CS14" s="203">
        <f t="shared" si="8"/>
        <v>89</v>
      </c>
      <c r="CT14" s="203">
        <f t="shared" si="8"/>
        <v>90</v>
      </c>
      <c r="CU14" s="203">
        <f t="shared" si="8"/>
        <v>91</v>
      </c>
      <c r="CV14" s="203">
        <f t="shared" si="8"/>
        <v>92</v>
      </c>
      <c r="CW14" s="203">
        <f t="shared" si="8"/>
        <v>93</v>
      </c>
      <c r="CX14" s="203">
        <f t="shared" ref="CX14:DX14" si="9">IF(PeriodNoMth&lt;=PreContractPeriodDuration,-1-PreContractPeriodDuration+CX13,PeriodNoMth-PreContractPeriodDuration)</f>
        <v>94</v>
      </c>
      <c r="CY14" s="203">
        <f t="shared" si="9"/>
        <v>95</v>
      </c>
      <c r="CZ14" s="203">
        <f t="shared" si="9"/>
        <v>96</v>
      </c>
      <c r="DA14" s="203">
        <f t="shared" si="9"/>
        <v>97</v>
      </c>
      <c r="DB14" s="203">
        <f t="shared" si="9"/>
        <v>98</v>
      </c>
      <c r="DC14" s="203">
        <f t="shared" si="9"/>
        <v>99</v>
      </c>
      <c r="DD14" s="203">
        <f t="shared" si="9"/>
        <v>100</v>
      </c>
      <c r="DE14" s="203">
        <f t="shared" si="9"/>
        <v>101</v>
      </c>
      <c r="DF14" s="203">
        <f t="shared" si="9"/>
        <v>102</v>
      </c>
      <c r="DG14" s="203">
        <f t="shared" si="9"/>
        <v>103</v>
      </c>
      <c r="DH14" s="203">
        <f t="shared" si="9"/>
        <v>104</v>
      </c>
      <c r="DI14" s="203">
        <f t="shared" si="9"/>
        <v>105</v>
      </c>
      <c r="DJ14" s="203">
        <f t="shared" si="9"/>
        <v>106</v>
      </c>
      <c r="DK14" s="203">
        <f t="shared" si="9"/>
        <v>107</v>
      </c>
      <c r="DL14" s="203">
        <f t="shared" si="9"/>
        <v>108</v>
      </c>
      <c r="DM14" s="203">
        <f t="shared" si="9"/>
        <v>109</v>
      </c>
      <c r="DN14" s="203">
        <f t="shared" si="9"/>
        <v>110</v>
      </c>
      <c r="DO14" s="203">
        <f t="shared" si="9"/>
        <v>111</v>
      </c>
      <c r="DP14" s="203">
        <f t="shared" si="9"/>
        <v>112</v>
      </c>
      <c r="DQ14" s="203">
        <f t="shared" si="9"/>
        <v>113</v>
      </c>
      <c r="DR14" s="203">
        <f t="shared" si="9"/>
        <v>114</v>
      </c>
      <c r="DS14" s="203">
        <f t="shared" si="9"/>
        <v>115</v>
      </c>
      <c r="DT14" s="203">
        <f t="shared" si="9"/>
        <v>116</v>
      </c>
      <c r="DU14" s="203">
        <f t="shared" si="9"/>
        <v>117</v>
      </c>
      <c r="DV14" s="203">
        <f t="shared" si="9"/>
        <v>118</v>
      </c>
      <c r="DW14" s="203">
        <f t="shared" si="9"/>
        <v>119</v>
      </c>
      <c r="DX14" s="203">
        <f t="shared" si="9"/>
        <v>120</v>
      </c>
      <c r="DY14" s="88"/>
      <c r="DZ14" s="188" t="s">
        <v>394</v>
      </c>
      <c r="EB14" s="88"/>
    </row>
    <row r="15" spans="1:132" outlineLevel="1">
      <c r="A15" s="91" t="s">
        <v>159</v>
      </c>
      <c r="C15" s="180"/>
      <c r="D15" s="180"/>
      <c r="E15" s="180"/>
      <c r="F15" s="202">
        <f t="shared" ref="F15:AK15" si="10">IF(PeriodNoMth&lt;=PreContractPeriodDuration,0,INT((PeriodCounter-1)/MinY)+1)</f>
        <v>0</v>
      </c>
      <c r="G15" s="203">
        <f t="shared" si="10"/>
        <v>0</v>
      </c>
      <c r="H15" s="203">
        <f t="shared" si="10"/>
        <v>0</v>
      </c>
      <c r="I15" s="203">
        <f t="shared" si="10"/>
        <v>1</v>
      </c>
      <c r="J15" s="203">
        <f t="shared" si="10"/>
        <v>1</v>
      </c>
      <c r="K15" s="203">
        <f t="shared" si="10"/>
        <v>1</v>
      </c>
      <c r="L15" s="203">
        <f t="shared" si="10"/>
        <v>1</v>
      </c>
      <c r="M15" s="203">
        <f t="shared" si="10"/>
        <v>1</v>
      </c>
      <c r="N15" s="203">
        <f t="shared" si="10"/>
        <v>1</v>
      </c>
      <c r="O15" s="203">
        <f t="shared" si="10"/>
        <v>1</v>
      </c>
      <c r="P15" s="203">
        <f t="shared" si="10"/>
        <v>1</v>
      </c>
      <c r="Q15" s="203">
        <f t="shared" si="10"/>
        <v>1</v>
      </c>
      <c r="R15" s="203">
        <f t="shared" si="10"/>
        <v>1</v>
      </c>
      <c r="S15" s="203">
        <f t="shared" si="10"/>
        <v>1</v>
      </c>
      <c r="T15" s="203">
        <f t="shared" si="10"/>
        <v>1</v>
      </c>
      <c r="U15" s="203">
        <f t="shared" si="10"/>
        <v>2</v>
      </c>
      <c r="V15" s="203">
        <f t="shared" si="10"/>
        <v>2</v>
      </c>
      <c r="W15" s="203">
        <f t="shared" si="10"/>
        <v>2</v>
      </c>
      <c r="X15" s="203">
        <f t="shared" si="10"/>
        <v>2</v>
      </c>
      <c r="Y15" s="203">
        <f t="shared" si="10"/>
        <v>2</v>
      </c>
      <c r="Z15" s="203">
        <f t="shared" si="10"/>
        <v>2</v>
      </c>
      <c r="AA15" s="203">
        <f t="shared" si="10"/>
        <v>2</v>
      </c>
      <c r="AB15" s="203">
        <f t="shared" si="10"/>
        <v>2</v>
      </c>
      <c r="AC15" s="203">
        <f t="shared" si="10"/>
        <v>2</v>
      </c>
      <c r="AD15" s="203">
        <f t="shared" si="10"/>
        <v>2</v>
      </c>
      <c r="AE15" s="203">
        <f t="shared" si="10"/>
        <v>2</v>
      </c>
      <c r="AF15" s="203">
        <f t="shared" si="10"/>
        <v>2</v>
      </c>
      <c r="AG15" s="203">
        <f t="shared" si="10"/>
        <v>3</v>
      </c>
      <c r="AH15" s="203">
        <f t="shared" si="10"/>
        <v>3</v>
      </c>
      <c r="AI15" s="203">
        <f t="shared" si="10"/>
        <v>3</v>
      </c>
      <c r="AJ15" s="203">
        <f t="shared" si="10"/>
        <v>3</v>
      </c>
      <c r="AK15" s="203">
        <f t="shared" si="10"/>
        <v>3</v>
      </c>
      <c r="AL15" s="203">
        <f t="shared" ref="AL15:BQ15" si="11">IF(PeriodNoMth&lt;=PreContractPeriodDuration,0,INT((PeriodCounter-1)/MinY)+1)</f>
        <v>3</v>
      </c>
      <c r="AM15" s="203">
        <f t="shared" si="11"/>
        <v>3</v>
      </c>
      <c r="AN15" s="203">
        <f t="shared" si="11"/>
        <v>3</v>
      </c>
      <c r="AO15" s="203">
        <f t="shared" si="11"/>
        <v>3</v>
      </c>
      <c r="AP15" s="203">
        <f t="shared" si="11"/>
        <v>3</v>
      </c>
      <c r="AQ15" s="203">
        <f t="shared" si="11"/>
        <v>3</v>
      </c>
      <c r="AR15" s="203">
        <f t="shared" si="11"/>
        <v>3</v>
      </c>
      <c r="AS15" s="203">
        <f t="shared" si="11"/>
        <v>4</v>
      </c>
      <c r="AT15" s="203">
        <f t="shared" si="11"/>
        <v>4</v>
      </c>
      <c r="AU15" s="203">
        <f t="shared" si="11"/>
        <v>4</v>
      </c>
      <c r="AV15" s="203">
        <f t="shared" si="11"/>
        <v>4</v>
      </c>
      <c r="AW15" s="203">
        <f t="shared" si="11"/>
        <v>4</v>
      </c>
      <c r="AX15" s="203">
        <f t="shared" si="11"/>
        <v>4</v>
      </c>
      <c r="AY15" s="203">
        <f t="shared" si="11"/>
        <v>4</v>
      </c>
      <c r="AZ15" s="203">
        <f t="shared" si="11"/>
        <v>4</v>
      </c>
      <c r="BA15" s="203">
        <f t="shared" si="11"/>
        <v>4</v>
      </c>
      <c r="BB15" s="203">
        <f t="shared" si="11"/>
        <v>4</v>
      </c>
      <c r="BC15" s="203">
        <f t="shared" si="11"/>
        <v>4</v>
      </c>
      <c r="BD15" s="203">
        <f t="shared" si="11"/>
        <v>4</v>
      </c>
      <c r="BE15" s="203">
        <f t="shared" si="11"/>
        <v>5</v>
      </c>
      <c r="BF15" s="203">
        <f t="shared" si="11"/>
        <v>5</v>
      </c>
      <c r="BG15" s="203">
        <f t="shared" si="11"/>
        <v>5</v>
      </c>
      <c r="BH15" s="203">
        <f t="shared" si="11"/>
        <v>5</v>
      </c>
      <c r="BI15" s="203">
        <f t="shared" si="11"/>
        <v>5</v>
      </c>
      <c r="BJ15" s="203">
        <f t="shared" si="11"/>
        <v>5</v>
      </c>
      <c r="BK15" s="203">
        <f t="shared" si="11"/>
        <v>5</v>
      </c>
      <c r="BL15" s="203">
        <f t="shared" si="11"/>
        <v>5</v>
      </c>
      <c r="BM15" s="203">
        <f t="shared" si="11"/>
        <v>5</v>
      </c>
      <c r="BN15" s="203">
        <f t="shared" si="11"/>
        <v>5</v>
      </c>
      <c r="BO15" s="203">
        <f t="shared" si="11"/>
        <v>5</v>
      </c>
      <c r="BP15" s="203">
        <f t="shared" si="11"/>
        <v>5</v>
      </c>
      <c r="BQ15" s="203">
        <f t="shared" si="11"/>
        <v>6</v>
      </c>
      <c r="BR15" s="203">
        <f t="shared" ref="BR15:CW15" si="12">IF(PeriodNoMth&lt;=PreContractPeriodDuration,0,INT((PeriodCounter-1)/MinY)+1)</f>
        <v>6</v>
      </c>
      <c r="BS15" s="203">
        <f t="shared" si="12"/>
        <v>6</v>
      </c>
      <c r="BT15" s="203">
        <f t="shared" si="12"/>
        <v>6</v>
      </c>
      <c r="BU15" s="203">
        <f t="shared" si="12"/>
        <v>6</v>
      </c>
      <c r="BV15" s="203">
        <f t="shared" si="12"/>
        <v>6</v>
      </c>
      <c r="BW15" s="203">
        <f t="shared" si="12"/>
        <v>6</v>
      </c>
      <c r="BX15" s="203">
        <f t="shared" si="12"/>
        <v>6</v>
      </c>
      <c r="BY15" s="203">
        <f t="shared" si="12"/>
        <v>6</v>
      </c>
      <c r="BZ15" s="203">
        <f t="shared" si="12"/>
        <v>6</v>
      </c>
      <c r="CA15" s="203">
        <f t="shared" si="12"/>
        <v>6</v>
      </c>
      <c r="CB15" s="203">
        <f t="shared" si="12"/>
        <v>6</v>
      </c>
      <c r="CC15" s="203">
        <f t="shared" si="12"/>
        <v>7</v>
      </c>
      <c r="CD15" s="203">
        <f t="shared" si="12"/>
        <v>7</v>
      </c>
      <c r="CE15" s="203">
        <f t="shared" si="12"/>
        <v>7</v>
      </c>
      <c r="CF15" s="203">
        <f t="shared" si="12"/>
        <v>7</v>
      </c>
      <c r="CG15" s="203">
        <f t="shared" si="12"/>
        <v>7</v>
      </c>
      <c r="CH15" s="203">
        <f t="shared" si="12"/>
        <v>7</v>
      </c>
      <c r="CI15" s="203">
        <f t="shared" si="12"/>
        <v>7</v>
      </c>
      <c r="CJ15" s="203">
        <f t="shared" si="12"/>
        <v>7</v>
      </c>
      <c r="CK15" s="203">
        <f t="shared" si="12"/>
        <v>7</v>
      </c>
      <c r="CL15" s="203">
        <f t="shared" si="12"/>
        <v>7</v>
      </c>
      <c r="CM15" s="203">
        <f t="shared" si="12"/>
        <v>7</v>
      </c>
      <c r="CN15" s="203">
        <f t="shared" si="12"/>
        <v>7</v>
      </c>
      <c r="CO15" s="203">
        <f t="shared" si="12"/>
        <v>8</v>
      </c>
      <c r="CP15" s="203">
        <f t="shared" si="12"/>
        <v>8</v>
      </c>
      <c r="CQ15" s="203">
        <f t="shared" si="12"/>
        <v>8</v>
      </c>
      <c r="CR15" s="203">
        <f t="shared" si="12"/>
        <v>8</v>
      </c>
      <c r="CS15" s="203">
        <f t="shared" si="12"/>
        <v>8</v>
      </c>
      <c r="CT15" s="203">
        <f t="shared" si="12"/>
        <v>8</v>
      </c>
      <c r="CU15" s="203">
        <f t="shared" si="12"/>
        <v>8</v>
      </c>
      <c r="CV15" s="203">
        <f t="shared" si="12"/>
        <v>8</v>
      </c>
      <c r="CW15" s="203">
        <f t="shared" si="12"/>
        <v>8</v>
      </c>
      <c r="CX15" s="203">
        <f t="shared" ref="CX15:DX15" si="13">IF(PeriodNoMth&lt;=PreContractPeriodDuration,0,INT((PeriodCounter-1)/MinY)+1)</f>
        <v>8</v>
      </c>
      <c r="CY15" s="203">
        <f t="shared" si="13"/>
        <v>8</v>
      </c>
      <c r="CZ15" s="203">
        <f t="shared" si="13"/>
        <v>8</v>
      </c>
      <c r="DA15" s="203">
        <f t="shared" si="13"/>
        <v>9</v>
      </c>
      <c r="DB15" s="203">
        <f t="shared" si="13"/>
        <v>9</v>
      </c>
      <c r="DC15" s="203">
        <f t="shared" si="13"/>
        <v>9</v>
      </c>
      <c r="DD15" s="203">
        <f t="shared" si="13"/>
        <v>9</v>
      </c>
      <c r="DE15" s="203">
        <f t="shared" si="13"/>
        <v>9</v>
      </c>
      <c r="DF15" s="203">
        <f t="shared" si="13"/>
        <v>9</v>
      </c>
      <c r="DG15" s="203">
        <f t="shared" si="13"/>
        <v>9</v>
      </c>
      <c r="DH15" s="203">
        <f t="shared" si="13"/>
        <v>9</v>
      </c>
      <c r="DI15" s="203">
        <f t="shared" si="13"/>
        <v>9</v>
      </c>
      <c r="DJ15" s="203">
        <f t="shared" si="13"/>
        <v>9</v>
      </c>
      <c r="DK15" s="203">
        <f t="shared" si="13"/>
        <v>9</v>
      </c>
      <c r="DL15" s="203">
        <f t="shared" si="13"/>
        <v>9</v>
      </c>
      <c r="DM15" s="203">
        <f t="shared" si="13"/>
        <v>10</v>
      </c>
      <c r="DN15" s="203">
        <f t="shared" si="13"/>
        <v>10</v>
      </c>
      <c r="DO15" s="203">
        <f t="shared" si="13"/>
        <v>10</v>
      </c>
      <c r="DP15" s="203">
        <f t="shared" si="13"/>
        <v>10</v>
      </c>
      <c r="DQ15" s="203">
        <f t="shared" si="13"/>
        <v>10</v>
      </c>
      <c r="DR15" s="203">
        <f t="shared" si="13"/>
        <v>10</v>
      </c>
      <c r="DS15" s="203">
        <f t="shared" si="13"/>
        <v>10</v>
      </c>
      <c r="DT15" s="203">
        <f t="shared" si="13"/>
        <v>10</v>
      </c>
      <c r="DU15" s="203">
        <f t="shared" si="13"/>
        <v>10</v>
      </c>
      <c r="DV15" s="203">
        <f t="shared" si="13"/>
        <v>10</v>
      </c>
      <c r="DW15" s="203">
        <f t="shared" si="13"/>
        <v>10</v>
      </c>
      <c r="DX15" s="203">
        <f t="shared" si="13"/>
        <v>10</v>
      </c>
      <c r="DY15" s="88"/>
      <c r="DZ15" s="188" t="s">
        <v>395</v>
      </c>
      <c r="EB15" s="88"/>
    </row>
    <row r="16" spans="1:132" outlineLevel="1">
      <c r="A16" s="91" t="s">
        <v>160</v>
      </c>
      <c r="C16" s="185"/>
      <c r="D16" s="185"/>
      <c r="E16" s="194"/>
      <c r="F16" s="202">
        <f t="shared" ref="F16:AK16" si="14">IF(MOD(F14,MinY)=0,MinY,MOD(F14,MinY))</f>
        <v>9</v>
      </c>
      <c r="G16" s="204">
        <f t="shared" si="14"/>
        <v>10</v>
      </c>
      <c r="H16" s="204">
        <f t="shared" si="14"/>
        <v>11</v>
      </c>
      <c r="I16" s="204">
        <f t="shared" si="14"/>
        <v>1</v>
      </c>
      <c r="J16" s="203">
        <f t="shared" si="14"/>
        <v>2</v>
      </c>
      <c r="K16" s="203">
        <f t="shared" si="14"/>
        <v>3</v>
      </c>
      <c r="L16" s="203">
        <f t="shared" si="14"/>
        <v>4</v>
      </c>
      <c r="M16" s="203">
        <f t="shared" si="14"/>
        <v>5</v>
      </c>
      <c r="N16" s="203">
        <f t="shared" si="14"/>
        <v>6</v>
      </c>
      <c r="O16" s="203">
        <f t="shared" si="14"/>
        <v>7</v>
      </c>
      <c r="P16" s="203">
        <f t="shared" si="14"/>
        <v>8</v>
      </c>
      <c r="Q16" s="203">
        <f t="shared" si="14"/>
        <v>9</v>
      </c>
      <c r="R16" s="203">
        <f t="shared" si="14"/>
        <v>10</v>
      </c>
      <c r="S16" s="203">
        <f t="shared" si="14"/>
        <v>11</v>
      </c>
      <c r="T16" s="203">
        <f t="shared" si="14"/>
        <v>12</v>
      </c>
      <c r="U16" s="203">
        <f t="shared" si="14"/>
        <v>1</v>
      </c>
      <c r="V16" s="203">
        <f t="shared" si="14"/>
        <v>2</v>
      </c>
      <c r="W16" s="203">
        <f t="shared" si="14"/>
        <v>3</v>
      </c>
      <c r="X16" s="203">
        <f t="shared" si="14"/>
        <v>4</v>
      </c>
      <c r="Y16" s="203">
        <f t="shared" si="14"/>
        <v>5</v>
      </c>
      <c r="Z16" s="203">
        <f t="shared" si="14"/>
        <v>6</v>
      </c>
      <c r="AA16" s="203">
        <f t="shared" si="14"/>
        <v>7</v>
      </c>
      <c r="AB16" s="203">
        <f t="shared" si="14"/>
        <v>8</v>
      </c>
      <c r="AC16" s="203">
        <f t="shared" si="14"/>
        <v>9</v>
      </c>
      <c r="AD16" s="203">
        <f t="shared" si="14"/>
        <v>10</v>
      </c>
      <c r="AE16" s="203">
        <f t="shared" si="14"/>
        <v>11</v>
      </c>
      <c r="AF16" s="203">
        <f t="shared" si="14"/>
        <v>12</v>
      </c>
      <c r="AG16" s="203">
        <f t="shared" si="14"/>
        <v>1</v>
      </c>
      <c r="AH16" s="203">
        <f t="shared" si="14"/>
        <v>2</v>
      </c>
      <c r="AI16" s="203">
        <f t="shared" si="14"/>
        <v>3</v>
      </c>
      <c r="AJ16" s="203">
        <f t="shared" si="14"/>
        <v>4</v>
      </c>
      <c r="AK16" s="203">
        <f t="shared" si="14"/>
        <v>5</v>
      </c>
      <c r="AL16" s="203">
        <f t="shared" ref="AL16:BQ16" si="15">IF(MOD(AL14,MinY)=0,MinY,MOD(AL14,MinY))</f>
        <v>6</v>
      </c>
      <c r="AM16" s="203">
        <f t="shared" si="15"/>
        <v>7</v>
      </c>
      <c r="AN16" s="203">
        <f t="shared" si="15"/>
        <v>8</v>
      </c>
      <c r="AO16" s="203">
        <f t="shared" si="15"/>
        <v>9</v>
      </c>
      <c r="AP16" s="203">
        <f t="shared" si="15"/>
        <v>10</v>
      </c>
      <c r="AQ16" s="203">
        <f t="shared" si="15"/>
        <v>11</v>
      </c>
      <c r="AR16" s="203">
        <f t="shared" si="15"/>
        <v>12</v>
      </c>
      <c r="AS16" s="203">
        <f t="shared" si="15"/>
        <v>1</v>
      </c>
      <c r="AT16" s="203">
        <f t="shared" si="15"/>
        <v>2</v>
      </c>
      <c r="AU16" s="203">
        <f t="shared" si="15"/>
        <v>3</v>
      </c>
      <c r="AV16" s="203">
        <f t="shared" si="15"/>
        <v>4</v>
      </c>
      <c r="AW16" s="203">
        <f t="shared" si="15"/>
        <v>5</v>
      </c>
      <c r="AX16" s="203">
        <f t="shared" si="15"/>
        <v>6</v>
      </c>
      <c r="AY16" s="203">
        <f t="shared" si="15"/>
        <v>7</v>
      </c>
      <c r="AZ16" s="203">
        <f t="shared" si="15"/>
        <v>8</v>
      </c>
      <c r="BA16" s="203">
        <f t="shared" si="15"/>
        <v>9</v>
      </c>
      <c r="BB16" s="203">
        <f t="shared" si="15"/>
        <v>10</v>
      </c>
      <c r="BC16" s="203">
        <f t="shared" si="15"/>
        <v>11</v>
      </c>
      <c r="BD16" s="203">
        <f t="shared" si="15"/>
        <v>12</v>
      </c>
      <c r="BE16" s="203">
        <f t="shared" si="15"/>
        <v>1</v>
      </c>
      <c r="BF16" s="203">
        <f t="shared" si="15"/>
        <v>2</v>
      </c>
      <c r="BG16" s="203">
        <f t="shared" si="15"/>
        <v>3</v>
      </c>
      <c r="BH16" s="203">
        <f t="shared" si="15"/>
        <v>4</v>
      </c>
      <c r="BI16" s="203">
        <f t="shared" si="15"/>
        <v>5</v>
      </c>
      <c r="BJ16" s="203">
        <f t="shared" si="15"/>
        <v>6</v>
      </c>
      <c r="BK16" s="203">
        <f t="shared" si="15"/>
        <v>7</v>
      </c>
      <c r="BL16" s="203">
        <f t="shared" si="15"/>
        <v>8</v>
      </c>
      <c r="BM16" s="203">
        <f t="shared" si="15"/>
        <v>9</v>
      </c>
      <c r="BN16" s="203">
        <f t="shared" si="15"/>
        <v>10</v>
      </c>
      <c r="BO16" s="203">
        <f t="shared" si="15"/>
        <v>11</v>
      </c>
      <c r="BP16" s="203">
        <f t="shared" si="15"/>
        <v>12</v>
      </c>
      <c r="BQ16" s="203">
        <f t="shared" si="15"/>
        <v>1</v>
      </c>
      <c r="BR16" s="203">
        <f t="shared" ref="BR16:CW16" si="16">IF(MOD(BR14,MinY)=0,MinY,MOD(BR14,MinY))</f>
        <v>2</v>
      </c>
      <c r="BS16" s="203">
        <f t="shared" si="16"/>
        <v>3</v>
      </c>
      <c r="BT16" s="203">
        <f t="shared" si="16"/>
        <v>4</v>
      </c>
      <c r="BU16" s="203">
        <f t="shared" si="16"/>
        <v>5</v>
      </c>
      <c r="BV16" s="203">
        <f t="shared" si="16"/>
        <v>6</v>
      </c>
      <c r="BW16" s="203">
        <f t="shared" si="16"/>
        <v>7</v>
      </c>
      <c r="BX16" s="203">
        <f t="shared" si="16"/>
        <v>8</v>
      </c>
      <c r="BY16" s="203">
        <f t="shared" si="16"/>
        <v>9</v>
      </c>
      <c r="BZ16" s="203">
        <f t="shared" si="16"/>
        <v>10</v>
      </c>
      <c r="CA16" s="203">
        <f t="shared" si="16"/>
        <v>11</v>
      </c>
      <c r="CB16" s="203">
        <f t="shared" si="16"/>
        <v>12</v>
      </c>
      <c r="CC16" s="203">
        <f t="shared" si="16"/>
        <v>1</v>
      </c>
      <c r="CD16" s="203">
        <f t="shared" si="16"/>
        <v>2</v>
      </c>
      <c r="CE16" s="203">
        <f t="shared" si="16"/>
        <v>3</v>
      </c>
      <c r="CF16" s="203">
        <f t="shared" si="16"/>
        <v>4</v>
      </c>
      <c r="CG16" s="203">
        <f t="shared" si="16"/>
        <v>5</v>
      </c>
      <c r="CH16" s="203">
        <f t="shared" si="16"/>
        <v>6</v>
      </c>
      <c r="CI16" s="203">
        <f t="shared" si="16"/>
        <v>7</v>
      </c>
      <c r="CJ16" s="203">
        <f t="shared" si="16"/>
        <v>8</v>
      </c>
      <c r="CK16" s="203">
        <f t="shared" si="16"/>
        <v>9</v>
      </c>
      <c r="CL16" s="203">
        <f t="shared" si="16"/>
        <v>10</v>
      </c>
      <c r="CM16" s="203">
        <f t="shared" si="16"/>
        <v>11</v>
      </c>
      <c r="CN16" s="203">
        <f t="shared" si="16"/>
        <v>12</v>
      </c>
      <c r="CO16" s="203">
        <f t="shared" si="16"/>
        <v>1</v>
      </c>
      <c r="CP16" s="203">
        <f t="shared" si="16"/>
        <v>2</v>
      </c>
      <c r="CQ16" s="203">
        <f t="shared" si="16"/>
        <v>3</v>
      </c>
      <c r="CR16" s="203">
        <f t="shared" si="16"/>
        <v>4</v>
      </c>
      <c r="CS16" s="203">
        <f t="shared" si="16"/>
        <v>5</v>
      </c>
      <c r="CT16" s="203">
        <f t="shared" si="16"/>
        <v>6</v>
      </c>
      <c r="CU16" s="203">
        <f t="shared" si="16"/>
        <v>7</v>
      </c>
      <c r="CV16" s="203">
        <f t="shared" si="16"/>
        <v>8</v>
      </c>
      <c r="CW16" s="203">
        <f t="shared" si="16"/>
        <v>9</v>
      </c>
      <c r="CX16" s="203">
        <f t="shared" ref="CX16:DX16" si="17">IF(MOD(CX14,MinY)=0,MinY,MOD(CX14,MinY))</f>
        <v>10</v>
      </c>
      <c r="CY16" s="203">
        <f t="shared" si="17"/>
        <v>11</v>
      </c>
      <c r="CZ16" s="203">
        <f t="shared" si="17"/>
        <v>12</v>
      </c>
      <c r="DA16" s="203">
        <f t="shared" si="17"/>
        <v>1</v>
      </c>
      <c r="DB16" s="203">
        <f t="shared" si="17"/>
        <v>2</v>
      </c>
      <c r="DC16" s="203">
        <f t="shared" si="17"/>
        <v>3</v>
      </c>
      <c r="DD16" s="203">
        <f t="shared" si="17"/>
        <v>4</v>
      </c>
      <c r="DE16" s="203">
        <f t="shared" si="17"/>
        <v>5</v>
      </c>
      <c r="DF16" s="203">
        <f t="shared" si="17"/>
        <v>6</v>
      </c>
      <c r="DG16" s="203">
        <f t="shared" si="17"/>
        <v>7</v>
      </c>
      <c r="DH16" s="203">
        <f t="shared" si="17"/>
        <v>8</v>
      </c>
      <c r="DI16" s="203">
        <f t="shared" si="17"/>
        <v>9</v>
      </c>
      <c r="DJ16" s="203">
        <f t="shared" si="17"/>
        <v>10</v>
      </c>
      <c r="DK16" s="203">
        <f t="shared" si="17"/>
        <v>11</v>
      </c>
      <c r="DL16" s="203">
        <f t="shared" si="17"/>
        <v>12</v>
      </c>
      <c r="DM16" s="203">
        <f t="shared" si="17"/>
        <v>1</v>
      </c>
      <c r="DN16" s="203">
        <f t="shared" si="17"/>
        <v>2</v>
      </c>
      <c r="DO16" s="203">
        <f t="shared" si="17"/>
        <v>3</v>
      </c>
      <c r="DP16" s="203">
        <f t="shared" si="17"/>
        <v>4</v>
      </c>
      <c r="DQ16" s="203">
        <f t="shared" si="17"/>
        <v>5</v>
      </c>
      <c r="DR16" s="203">
        <f t="shared" si="17"/>
        <v>6</v>
      </c>
      <c r="DS16" s="203">
        <f t="shared" si="17"/>
        <v>7</v>
      </c>
      <c r="DT16" s="203">
        <f t="shared" si="17"/>
        <v>8</v>
      </c>
      <c r="DU16" s="203">
        <f t="shared" si="17"/>
        <v>9</v>
      </c>
      <c r="DV16" s="203">
        <f t="shared" si="17"/>
        <v>10</v>
      </c>
      <c r="DW16" s="203">
        <f t="shared" si="17"/>
        <v>11</v>
      </c>
      <c r="DX16" s="203">
        <f t="shared" si="17"/>
        <v>12</v>
      </c>
      <c r="DY16" s="88"/>
      <c r="DZ16" s="188" t="s">
        <v>396</v>
      </c>
      <c r="EB16" s="88"/>
    </row>
    <row r="17" spans="1:132" outlineLevel="1">
      <c r="A17" s="91" t="s">
        <v>161</v>
      </c>
      <c r="C17" s="185"/>
      <c r="D17" s="185"/>
      <c r="E17" s="185"/>
      <c r="F17" s="202">
        <f>MONTH(F11)</f>
        <v>11</v>
      </c>
      <c r="G17" s="204">
        <f>MONTH(G11)</f>
        <v>12</v>
      </c>
      <c r="H17" s="204">
        <f t="shared" ref="H17:BS17" si="18">MONTH(H11)</f>
        <v>1</v>
      </c>
      <c r="I17" s="204">
        <f t="shared" si="18"/>
        <v>2</v>
      </c>
      <c r="J17" s="203">
        <f t="shared" si="18"/>
        <v>3</v>
      </c>
      <c r="K17" s="203">
        <f t="shared" si="18"/>
        <v>4</v>
      </c>
      <c r="L17" s="203">
        <f t="shared" si="18"/>
        <v>5</v>
      </c>
      <c r="M17" s="203">
        <f t="shared" si="18"/>
        <v>6</v>
      </c>
      <c r="N17" s="203">
        <f t="shared" si="18"/>
        <v>7</v>
      </c>
      <c r="O17" s="203">
        <f t="shared" si="18"/>
        <v>8</v>
      </c>
      <c r="P17" s="203">
        <f t="shared" si="18"/>
        <v>9</v>
      </c>
      <c r="Q17" s="203">
        <f t="shared" si="18"/>
        <v>10</v>
      </c>
      <c r="R17" s="203">
        <f t="shared" si="18"/>
        <v>11</v>
      </c>
      <c r="S17" s="203">
        <f t="shared" si="18"/>
        <v>12</v>
      </c>
      <c r="T17" s="203">
        <f t="shared" si="18"/>
        <v>1</v>
      </c>
      <c r="U17" s="203">
        <f t="shared" si="18"/>
        <v>2</v>
      </c>
      <c r="V17" s="203">
        <f t="shared" si="18"/>
        <v>3</v>
      </c>
      <c r="W17" s="203">
        <f t="shared" si="18"/>
        <v>4</v>
      </c>
      <c r="X17" s="203">
        <f t="shared" si="18"/>
        <v>5</v>
      </c>
      <c r="Y17" s="203">
        <f t="shared" si="18"/>
        <v>6</v>
      </c>
      <c r="Z17" s="203">
        <f t="shared" si="18"/>
        <v>7</v>
      </c>
      <c r="AA17" s="203">
        <f t="shared" si="18"/>
        <v>8</v>
      </c>
      <c r="AB17" s="203">
        <f t="shared" si="18"/>
        <v>9</v>
      </c>
      <c r="AC17" s="203">
        <f t="shared" si="18"/>
        <v>10</v>
      </c>
      <c r="AD17" s="203">
        <f t="shared" si="18"/>
        <v>11</v>
      </c>
      <c r="AE17" s="203">
        <f t="shared" si="18"/>
        <v>12</v>
      </c>
      <c r="AF17" s="203">
        <f t="shared" si="18"/>
        <v>1</v>
      </c>
      <c r="AG17" s="203">
        <f t="shared" si="18"/>
        <v>2</v>
      </c>
      <c r="AH17" s="203">
        <f t="shared" si="18"/>
        <v>3</v>
      </c>
      <c r="AI17" s="203">
        <f t="shared" si="18"/>
        <v>4</v>
      </c>
      <c r="AJ17" s="203">
        <f t="shared" si="18"/>
        <v>5</v>
      </c>
      <c r="AK17" s="203">
        <f t="shared" si="18"/>
        <v>6</v>
      </c>
      <c r="AL17" s="203">
        <f t="shared" si="18"/>
        <v>7</v>
      </c>
      <c r="AM17" s="203">
        <f t="shared" si="18"/>
        <v>8</v>
      </c>
      <c r="AN17" s="203">
        <f t="shared" si="18"/>
        <v>9</v>
      </c>
      <c r="AO17" s="203">
        <f t="shared" si="18"/>
        <v>10</v>
      </c>
      <c r="AP17" s="203">
        <f t="shared" si="18"/>
        <v>11</v>
      </c>
      <c r="AQ17" s="203">
        <f t="shared" si="18"/>
        <v>12</v>
      </c>
      <c r="AR17" s="203">
        <f t="shared" si="18"/>
        <v>1</v>
      </c>
      <c r="AS17" s="203">
        <f t="shared" si="18"/>
        <v>2</v>
      </c>
      <c r="AT17" s="203">
        <f t="shared" si="18"/>
        <v>3</v>
      </c>
      <c r="AU17" s="203">
        <f t="shared" si="18"/>
        <v>4</v>
      </c>
      <c r="AV17" s="203">
        <f t="shared" si="18"/>
        <v>5</v>
      </c>
      <c r="AW17" s="203">
        <f t="shared" si="18"/>
        <v>6</v>
      </c>
      <c r="AX17" s="203">
        <f t="shared" si="18"/>
        <v>7</v>
      </c>
      <c r="AY17" s="203">
        <f t="shared" si="18"/>
        <v>8</v>
      </c>
      <c r="AZ17" s="203">
        <f t="shared" si="18"/>
        <v>9</v>
      </c>
      <c r="BA17" s="203">
        <f t="shared" si="18"/>
        <v>10</v>
      </c>
      <c r="BB17" s="203">
        <f t="shared" si="18"/>
        <v>11</v>
      </c>
      <c r="BC17" s="203">
        <f t="shared" si="18"/>
        <v>12</v>
      </c>
      <c r="BD17" s="203">
        <f t="shared" si="18"/>
        <v>1</v>
      </c>
      <c r="BE17" s="203">
        <f t="shared" si="18"/>
        <v>2</v>
      </c>
      <c r="BF17" s="203">
        <f t="shared" si="18"/>
        <v>3</v>
      </c>
      <c r="BG17" s="203">
        <f t="shared" si="18"/>
        <v>4</v>
      </c>
      <c r="BH17" s="203">
        <f t="shared" si="18"/>
        <v>5</v>
      </c>
      <c r="BI17" s="203">
        <f t="shared" si="18"/>
        <v>6</v>
      </c>
      <c r="BJ17" s="203">
        <f t="shared" si="18"/>
        <v>7</v>
      </c>
      <c r="BK17" s="203">
        <f t="shared" si="18"/>
        <v>8</v>
      </c>
      <c r="BL17" s="203">
        <f t="shared" si="18"/>
        <v>9</v>
      </c>
      <c r="BM17" s="203">
        <f t="shared" si="18"/>
        <v>10</v>
      </c>
      <c r="BN17" s="203">
        <f t="shared" si="18"/>
        <v>11</v>
      </c>
      <c r="BO17" s="203">
        <f t="shared" si="18"/>
        <v>12</v>
      </c>
      <c r="BP17" s="203">
        <f t="shared" si="18"/>
        <v>1</v>
      </c>
      <c r="BQ17" s="203">
        <f t="shared" si="18"/>
        <v>2</v>
      </c>
      <c r="BR17" s="203">
        <f t="shared" si="18"/>
        <v>3</v>
      </c>
      <c r="BS17" s="203">
        <f t="shared" si="18"/>
        <v>4</v>
      </c>
      <c r="BT17" s="203">
        <f t="shared" ref="BT17:DX17" si="19">MONTH(BT11)</f>
        <v>5</v>
      </c>
      <c r="BU17" s="203">
        <f t="shared" si="19"/>
        <v>6</v>
      </c>
      <c r="BV17" s="203">
        <f t="shared" si="19"/>
        <v>7</v>
      </c>
      <c r="BW17" s="203">
        <f t="shared" si="19"/>
        <v>8</v>
      </c>
      <c r="BX17" s="203">
        <f t="shared" si="19"/>
        <v>9</v>
      </c>
      <c r="BY17" s="203">
        <f t="shared" si="19"/>
        <v>10</v>
      </c>
      <c r="BZ17" s="203">
        <f t="shared" si="19"/>
        <v>11</v>
      </c>
      <c r="CA17" s="203">
        <f t="shared" si="19"/>
        <v>12</v>
      </c>
      <c r="CB17" s="203">
        <f t="shared" si="19"/>
        <v>1</v>
      </c>
      <c r="CC17" s="203">
        <f t="shared" si="19"/>
        <v>2</v>
      </c>
      <c r="CD17" s="203">
        <f t="shared" si="19"/>
        <v>3</v>
      </c>
      <c r="CE17" s="203">
        <f t="shared" si="19"/>
        <v>4</v>
      </c>
      <c r="CF17" s="203">
        <f t="shared" si="19"/>
        <v>5</v>
      </c>
      <c r="CG17" s="203">
        <f t="shared" si="19"/>
        <v>6</v>
      </c>
      <c r="CH17" s="203">
        <f t="shared" si="19"/>
        <v>7</v>
      </c>
      <c r="CI17" s="203">
        <f t="shared" si="19"/>
        <v>8</v>
      </c>
      <c r="CJ17" s="203">
        <f t="shared" si="19"/>
        <v>9</v>
      </c>
      <c r="CK17" s="203">
        <f t="shared" si="19"/>
        <v>10</v>
      </c>
      <c r="CL17" s="203">
        <f t="shared" si="19"/>
        <v>11</v>
      </c>
      <c r="CM17" s="203">
        <f t="shared" si="19"/>
        <v>12</v>
      </c>
      <c r="CN17" s="203">
        <f t="shared" si="19"/>
        <v>1</v>
      </c>
      <c r="CO17" s="203">
        <f t="shared" si="19"/>
        <v>2</v>
      </c>
      <c r="CP17" s="203">
        <f t="shared" si="19"/>
        <v>3</v>
      </c>
      <c r="CQ17" s="203">
        <f t="shared" si="19"/>
        <v>4</v>
      </c>
      <c r="CR17" s="203">
        <f t="shared" si="19"/>
        <v>5</v>
      </c>
      <c r="CS17" s="203">
        <f t="shared" si="19"/>
        <v>6</v>
      </c>
      <c r="CT17" s="203">
        <f t="shared" si="19"/>
        <v>7</v>
      </c>
      <c r="CU17" s="203">
        <f t="shared" si="19"/>
        <v>8</v>
      </c>
      <c r="CV17" s="203">
        <f t="shared" si="19"/>
        <v>9</v>
      </c>
      <c r="CW17" s="203">
        <f t="shared" si="19"/>
        <v>10</v>
      </c>
      <c r="CX17" s="203">
        <f t="shared" si="19"/>
        <v>11</v>
      </c>
      <c r="CY17" s="203">
        <f t="shared" si="19"/>
        <v>12</v>
      </c>
      <c r="CZ17" s="203">
        <f t="shared" si="19"/>
        <v>1</v>
      </c>
      <c r="DA17" s="203">
        <f t="shared" si="19"/>
        <v>2</v>
      </c>
      <c r="DB17" s="203">
        <f t="shared" si="19"/>
        <v>3</v>
      </c>
      <c r="DC17" s="203">
        <f t="shared" si="19"/>
        <v>4</v>
      </c>
      <c r="DD17" s="203">
        <f t="shared" si="19"/>
        <v>5</v>
      </c>
      <c r="DE17" s="203">
        <f t="shared" si="19"/>
        <v>6</v>
      </c>
      <c r="DF17" s="203">
        <f t="shared" si="19"/>
        <v>7</v>
      </c>
      <c r="DG17" s="203">
        <f t="shared" si="19"/>
        <v>8</v>
      </c>
      <c r="DH17" s="203">
        <f t="shared" si="19"/>
        <v>9</v>
      </c>
      <c r="DI17" s="203">
        <f t="shared" si="19"/>
        <v>10</v>
      </c>
      <c r="DJ17" s="203">
        <f t="shared" si="19"/>
        <v>11</v>
      </c>
      <c r="DK17" s="203">
        <f t="shared" si="19"/>
        <v>12</v>
      </c>
      <c r="DL17" s="203">
        <f t="shared" si="19"/>
        <v>1</v>
      </c>
      <c r="DM17" s="203">
        <f t="shared" si="19"/>
        <v>2</v>
      </c>
      <c r="DN17" s="203">
        <f t="shared" si="19"/>
        <v>3</v>
      </c>
      <c r="DO17" s="203">
        <f t="shared" si="19"/>
        <v>4</v>
      </c>
      <c r="DP17" s="203">
        <f t="shared" si="19"/>
        <v>5</v>
      </c>
      <c r="DQ17" s="203">
        <f t="shared" si="19"/>
        <v>6</v>
      </c>
      <c r="DR17" s="203">
        <f t="shared" si="19"/>
        <v>7</v>
      </c>
      <c r="DS17" s="203">
        <f t="shared" si="19"/>
        <v>8</v>
      </c>
      <c r="DT17" s="203">
        <f t="shared" si="19"/>
        <v>9</v>
      </c>
      <c r="DU17" s="203">
        <f t="shared" si="19"/>
        <v>10</v>
      </c>
      <c r="DV17" s="203">
        <f t="shared" si="19"/>
        <v>11</v>
      </c>
      <c r="DW17" s="203">
        <f t="shared" si="19"/>
        <v>12</v>
      </c>
      <c r="DX17" s="203">
        <f t="shared" si="19"/>
        <v>1</v>
      </c>
      <c r="DY17" s="88"/>
      <c r="DZ17" s="188" t="s">
        <v>397</v>
      </c>
      <c r="EB17" s="88"/>
    </row>
    <row r="18" spans="1:132" outlineLevel="1">
      <c r="A18" s="91" t="s">
        <v>162</v>
      </c>
      <c r="C18" s="185"/>
      <c r="D18" s="185"/>
      <c r="E18" s="185"/>
      <c r="F18" s="202" t="str">
        <f t="shared" ref="F18:AK18" si="20">INDEX(MonthListIn,MONTH(F11))</f>
        <v>November</v>
      </c>
      <c r="G18" s="205" t="str">
        <f t="shared" si="20"/>
        <v>December</v>
      </c>
      <c r="H18" s="205" t="str">
        <f t="shared" si="20"/>
        <v>January</v>
      </c>
      <c r="I18" s="205" t="str">
        <f t="shared" si="20"/>
        <v>February</v>
      </c>
      <c r="J18" s="205" t="str">
        <f t="shared" si="20"/>
        <v>March</v>
      </c>
      <c r="K18" s="205" t="str">
        <f t="shared" si="20"/>
        <v>April</v>
      </c>
      <c r="L18" s="205" t="str">
        <f t="shared" si="20"/>
        <v>May</v>
      </c>
      <c r="M18" s="205" t="str">
        <f t="shared" si="20"/>
        <v>June</v>
      </c>
      <c r="N18" s="205" t="str">
        <f t="shared" si="20"/>
        <v>July</v>
      </c>
      <c r="O18" s="205" t="str">
        <f t="shared" si="20"/>
        <v>August</v>
      </c>
      <c r="P18" s="205" t="str">
        <f t="shared" si="20"/>
        <v>September</v>
      </c>
      <c r="Q18" s="205" t="str">
        <f t="shared" si="20"/>
        <v>October</v>
      </c>
      <c r="R18" s="205" t="str">
        <f t="shared" si="20"/>
        <v>November</v>
      </c>
      <c r="S18" s="205" t="str">
        <f t="shared" si="20"/>
        <v>December</v>
      </c>
      <c r="T18" s="205" t="str">
        <f t="shared" si="20"/>
        <v>January</v>
      </c>
      <c r="U18" s="205" t="str">
        <f t="shared" si="20"/>
        <v>February</v>
      </c>
      <c r="V18" s="205" t="str">
        <f t="shared" si="20"/>
        <v>March</v>
      </c>
      <c r="W18" s="205" t="str">
        <f t="shared" si="20"/>
        <v>April</v>
      </c>
      <c r="X18" s="205" t="str">
        <f t="shared" si="20"/>
        <v>May</v>
      </c>
      <c r="Y18" s="205" t="str">
        <f t="shared" si="20"/>
        <v>June</v>
      </c>
      <c r="Z18" s="205" t="str">
        <f t="shared" si="20"/>
        <v>July</v>
      </c>
      <c r="AA18" s="205" t="str">
        <f t="shared" si="20"/>
        <v>August</v>
      </c>
      <c r="AB18" s="205" t="str">
        <f t="shared" si="20"/>
        <v>September</v>
      </c>
      <c r="AC18" s="205" t="str">
        <f t="shared" si="20"/>
        <v>October</v>
      </c>
      <c r="AD18" s="205" t="str">
        <f t="shared" si="20"/>
        <v>November</v>
      </c>
      <c r="AE18" s="205" t="str">
        <f t="shared" si="20"/>
        <v>December</v>
      </c>
      <c r="AF18" s="205" t="str">
        <f t="shared" si="20"/>
        <v>January</v>
      </c>
      <c r="AG18" s="205" t="str">
        <f t="shared" si="20"/>
        <v>February</v>
      </c>
      <c r="AH18" s="205" t="str">
        <f t="shared" si="20"/>
        <v>March</v>
      </c>
      <c r="AI18" s="205" t="str">
        <f t="shared" si="20"/>
        <v>April</v>
      </c>
      <c r="AJ18" s="205" t="str">
        <f t="shared" si="20"/>
        <v>May</v>
      </c>
      <c r="AK18" s="205" t="str">
        <f t="shared" si="20"/>
        <v>June</v>
      </c>
      <c r="AL18" s="205" t="str">
        <f t="shared" ref="AL18:BQ18" si="21">INDEX(MonthListIn,MONTH(AL11))</f>
        <v>July</v>
      </c>
      <c r="AM18" s="205" t="str">
        <f t="shared" si="21"/>
        <v>August</v>
      </c>
      <c r="AN18" s="205" t="str">
        <f t="shared" si="21"/>
        <v>September</v>
      </c>
      <c r="AO18" s="205" t="str">
        <f t="shared" si="21"/>
        <v>October</v>
      </c>
      <c r="AP18" s="205" t="str">
        <f t="shared" si="21"/>
        <v>November</v>
      </c>
      <c r="AQ18" s="205" t="str">
        <f t="shared" si="21"/>
        <v>December</v>
      </c>
      <c r="AR18" s="205" t="str">
        <f t="shared" si="21"/>
        <v>January</v>
      </c>
      <c r="AS18" s="205" t="str">
        <f t="shared" si="21"/>
        <v>February</v>
      </c>
      <c r="AT18" s="205" t="str">
        <f t="shared" si="21"/>
        <v>March</v>
      </c>
      <c r="AU18" s="205" t="str">
        <f t="shared" si="21"/>
        <v>April</v>
      </c>
      <c r="AV18" s="205" t="str">
        <f t="shared" si="21"/>
        <v>May</v>
      </c>
      <c r="AW18" s="205" t="str">
        <f t="shared" si="21"/>
        <v>June</v>
      </c>
      <c r="AX18" s="205" t="str">
        <f t="shared" si="21"/>
        <v>July</v>
      </c>
      <c r="AY18" s="205" t="str">
        <f t="shared" si="21"/>
        <v>August</v>
      </c>
      <c r="AZ18" s="205" t="str">
        <f t="shared" si="21"/>
        <v>September</v>
      </c>
      <c r="BA18" s="205" t="str">
        <f t="shared" si="21"/>
        <v>October</v>
      </c>
      <c r="BB18" s="205" t="str">
        <f t="shared" si="21"/>
        <v>November</v>
      </c>
      <c r="BC18" s="205" t="str">
        <f t="shared" si="21"/>
        <v>December</v>
      </c>
      <c r="BD18" s="205" t="str">
        <f t="shared" si="21"/>
        <v>January</v>
      </c>
      <c r="BE18" s="205" t="str">
        <f t="shared" si="21"/>
        <v>February</v>
      </c>
      <c r="BF18" s="205" t="str">
        <f t="shared" si="21"/>
        <v>March</v>
      </c>
      <c r="BG18" s="205" t="str">
        <f t="shared" si="21"/>
        <v>April</v>
      </c>
      <c r="BH18" s="205" t="str">
        <f t="shared" si="21"/>
        <v>May</v>
      </c>
      <c r="BI18" s="205" t="str">
        <f t="shared" si="21"/>
        <v>June</v>
      </c>
      <c r="BJ18" s="205" t="str">
        <f t="shared" si="21"/>
        <v>July</v>
      </c>
      <c r="BK18" s="205" t="str">
        <f t="shared" si="21"/>
        <v>August</v>
      </c>
      <c r="BL18" s="205" t="str">
        <f t="shared" si="21"/>
        <v>September</v>
      </c>
      <c r="BM18" s="205" t="str">
        <f t="shared" si="21"/>
        <v>October</v>
      </c>
      <c r="BN18" s="205" t="str">
        <f t="shared" si="21"/>
        <v>November</v>
      </c>
      <c r="BO18" s="205" t="str">
        <f t="shared" si="21"/>
        <v>December</v>
      </c>
      <c r="BP18" s="205" t="str">
        <f t="shared" si="21"/>
        <v>January</v>
      </c>
      <c r="BQ18" s="205" t="str">
        <f t="shared" si="21"/>
        <v>February</v>
      </c>
      <c r="BR18" s="205" t="str">
        <f t="shared" ref="BR18:CW18" si="22">INDEX(MonthListIn,MONTH(BR11))</f>
        <v>March</v>
      </c>
      <c r="BS18" s="205" t="str">
        <f t="shared" si="22"/>
        <v>April</v>
      </c>
      <c r="BT18" s="205" t="str">
        <f t="shared" si="22"/>
        <v>May</v>
      </c>
      <c r="BU18" s="205" t="str">
        <f t="shared" si="22"/>
        <v>June</v>
      </c>
      <c r="BV18" s="205" t="str">
        <f t="shared" si="22"/>
        <v>July</v>
      </c>
      <c r="BW18" s="205" t="str">
        <f t="shared" si="22"/>
        <v>August</v>
      </c>
      <c r="BX18" s="205" t="str">
        <f t="shared" si="22"/>
        <v>September</v>
      </c>
      <c r="BY18" s="205" t="str">
        <f t="shared" si="22"/>
        <v>October</v>
      </c>
      <c r="BZ18" s="205" t="str">
        <f t="shared" si="22"/>
        <v>November</v>
      </c>
      <c r="CA18" s="205" t="str">
        <f t="shared" si="22"/>
        <v>December</v>
      </c>
      <c r="CB18" s="205" t="str">
        <f t="shared" si="22"/>
        <v>January</v>
      </c>
      <c r="CC18" s="205" t="str">
        <f t="shared" si="22"/>
        <v>February</v>
      </c>
      <c r="CD18" s="205" t="str">
        <f t="shared" si="22"/>
        <v>March</v>
      </c>
      <c r="CE18" s="205" t="str">
        <f t="shared" si="22"/>
        <v>April</v>
      </c>
      <c r="CF18" s="205" t="str">
        <f t="shared" si="22"/>
        <v>May</v>
      </c>
      <c r="CG18" s="205" t="str">
        <f t="shared" si="22"/>
        <v>June</v>
      </c>
      <c r="CH18" s="205" t="str">
        <f t="shared" si="22"/>
        <v>July</v>
      </c>
      <c r="CI18" s="205" t="str">
        <f t="shared" si="22"/>
        <v>August</v>
      </c>
      <c r="CJ18" s="205" t="str">
        <f t="shared" si="22"/>
        <v>September</v>
      </c>
      <c r="CK18" s="205" t="str">
        <f t="shared" si="22"/>
        <v>October</v>
      </c>
      <c r="CL18" s="205" t="str">
        <f t="shared" si="22"/>
        <v>November</v>
      </c>
      <c r="CM18" s="205" t="str">
        <f t="shared" si="22"/>
        <v>December</v>
      </c>
      <c r="CN18" s="205" t="str">
        <f t="shared" si="22"/>
        <v>January</v>
      </c>
      <c r="CO18" s="205" t="str">
        <f t="shared" si="22"/>
        <v>February</v>
      </c>
      <c r="CP18" s="205" t="str">
        <f t="shared" si="22"/>
        <v>March</v>
      </c>
      <c r="CQ18" s="205" t="str">
        <f t="shared" si="22"/>
        <v>April</v>
      </c>
      <c r="CR18" s="205" t="str">
        <f t="shared" si="22"/>
        <v>May</v>
      </c>
      <c r="CS18" s="205" t="str">
        <f t="shared" si="22"/>
        <v>June</v>
      </c>
      <c r="CT18" s="205" t="str">
        <f t="shared" si="22"/>
        <v>July</v>
      </c>
      <c r="CU18" s="205" t="str">
        <f t="shared" si="22"/>
        <v>August</v>
      </c>
      <c r="CV18" s="205" t="str">
        <f t="shared" si="22"/>
        <v>September</v>
      </c>
      <c r="CW18" s="205" t="str">
        <f t="shared" si="22"/>
        <v>October</v>
      </c>
      <c r="CX18" s="205" t="str">
        <f t="shared" ref="CX18:DX18" si="23">INDEX(MonthListIn,MONTH(CX11))</f>
        <v>November</v>
      </c>
      <c r="CY18" s="205" t="str">
        <f t="shared" si="23"/>
        <v>December</v>
      </c>
      <c r="CZ18" s="205" t="str">
        <f t="shared" si="23"/>
        <v>January</v>
      </c>
      <c r="DA18" s="205" t="str">
        <f t="shared" si="23"/>
        <v>February</v>
      </c>
      <c r="DB18" s="205" t="str">
        <f t="shared" si="23"/>
        <v>March</v>
      </c>
      <c r="DC18" s="205" t="str">
        <f t="shared" si="23"/>
        <v>April</v>
      </c>
      <c r="DD18" s="205" t="str">
        <f t="shared" si="23"/>
        <v>May</v>
      </c>
      <c r="DE18" s="205" t="str">
        <f t="shared" si="23"/>
        <v>June</v>
      </c>
      <c r="DF18" s="205" t="str">
        <f t="shared" si="23"/>
        <v>July</v>
      </c>
      <c r="DG18" s="205" t="str">
        <f t="shared" si="23"/>
        <v>August</v>
      </c>
      <c r="DH18" s="205" t="str">
        <f t="shared" si="23"/>
        <v>September</v>
      </c>
      <c r="DI18" s="205" t="str">
        <f t="shared" si="23"/>
        <v>October</v>
      </c>
      <c r="DJ18" s="205" t="str">
        <f t="shared" si="23"/>
        <v>November</v>
      </c>
      <c r="DK18" s="205" t="str">
        <f t="shared" si="23"/>
        <v>December</v>
      </c>
      <c r="DL18" s="205" t="str">
        <f t="shared" si="23"/>
        <v>January</v>
      </c>
      <c r="DM18" s="205" t="str">
        <f t="shared" si="23"/>
        <v>February</v>
      </c>
      <c r="DN18" s="205" t="str">
        <f t="shared" si="23"/>
        <v>March</v>
      </c>
      <c r="DO18" s="205" t="str">
        <f t="shared" si="23"/>
        <v>April</v>
      </c>
      <c r="DP18" s="205" t="str">
        <f t="shared" si="23"/>
        <v>May</v>
      </c>
      <c r="DQ18" s="205" t="str">
        <f t="shared" si="23"/>
        <v>June</v>
      </c>
      <c r="DR18" s="205" t="str">
        <f t="shared" si="23"/>
        <v>July</v>
      </c>
      <c r="DS18" s="205" t="str">
        <f t="shared" si="23"/>
        <v>August</v>
      </c>
      <c r="DT18" s="205" t="str">
        <f t="shared" si="23"/>
        <v>September</v>
      </c>
      <c r="DU18" s="205" t="str">
        <f t="shared" si="23"/>
        <v>October</v>
      </c>
      <c r="DV18" s="205" t="str">
        <f t="shared" si="23"/>
        <v>November</v>
      </c>
      <c r="DW18" s="205" t="str">
        <f t="shared" si="23"/>
        <v>December</v>
      </c>
      <c r="DX18" s="205" t="str">
        <f t="shared" si="23"/>
        <v>January</v>
      </c>
      <c r="DY18" s="88"/>
      <c r="DZ18" s="188" t="s">
        <v>398</v>
      </c>
      <c r="EB18" s="88"/>
    </row>
    <row r="19" spans="1:132" outlineLevel="1">
      <c r="A19" s="91" t="s">
        <v>355</v>
      </c>
      <c r="C19" s="185"/>
      <c r="D19" s="185"/>
      <c r="E19" s="185"/>
      <c r="F19" s="206" t="str">
        <f t="shared" ref="F19:BQ19" si="24">IF(F15=0,"M"&amp;F14,"Y"&amp;F15&amp;"M"&amp;F16)</f>
        <v>M-3</v>
      </c>
      <c r="G19" s="207" t="str">
        <f t="shared" si="24"/>
        <v>M-2</v>
      </c>
      <c r="H19" s="207" t="str">
        <f t="shared" si="24"/>
        <v>M-1</v>
      </c>
      <c r="I19" s="207" t="str">
        <f t="shared" si="24"/>
        <v>Y1M1</v>
      </c>
      <c r="J19" s="207" t="str">
        <f t="shared" si="24"/>
        <v>Y1M2</v>
      </c>
      <c r="K19" s="207" t="str">
        <f t="shared" si="24"/>
        <v>Y1M3</v>
      </c>
      <c r="L19" s="207" t="str">
        <f t="shared" si="24"/>
        <v>Y1M4</v>
      </c>
      <c r="M19" s="207" t="str">
        <f t="shared" si="24"/>
        <v>Y1M5</v>
      </c>
      <c r="N19" s="207" t="str">
        <f t="shared" si="24"/>
        <v>Y1M6</v>
      </c>
      <c r="O19" s="207" t="str">
        <f t="shared" si="24"/>
        <v>Y1M7</v>
      </c>
      <c r="P19" s="207" t="str">
        <f t="shared" si="24"/>
        <v>Y1M8</v>
      </c>
      <c r="Q19" s="207" t="str">
        <f t="shared" si="24"/>
        <v>Y1M9</v>
      </c>
      <c r="R19" s="207" t="str">
        <f t="shared" si="24"/>
        <v>Y1M10</v>
      </c>
      <c r="S19" s="207" t="str">
        <f t="shared" si="24"/>
        <v>Y1M11</v>
      </c>
      <c r="T19" s="207" t="str">
        <f t="shared" si="24"/>
        <v>Y1M12</v>
      </c>
      <c r="U19" s="207" t="str">
        <f t="shared" si="24"/>
        <v>Y2M1</v>
      </c>
      <c r="V19" s="207" t="str">
        <f t="shared" si="24"/>
        <v>Y2M2</v>
      </c>
      <c r="W19" s="207" t="str">
        <f t="shared" si="24"/>
        <v>Y2M3</v>
      </c>
      <c r="X19" s="207" t="str">
        <f t="shared" si="24"/>
        <v>Y2M4</v>
      </c>
      <c r="Y19" s="207" t="str">
        <f t="shared" si="24"/>
        <v>Y2M5</v>
      </c>
      <c r="Z19" s="207" t="str">
        <f t="shared" si="24"/>
        <v>Y2M6</v>
      </c>
      <c r="AA19" s="207" t="str">
        <f t="shared" si="24"/>
        <v>Y2M7</v>
      </c>
      <c r="AB19" s="207" t="str">
        <f t="shared" si="24"/>
        <v>Y2M8</v>
      </c>
      <c r="AC19" s="207" t="str">
        <f t="shared" si="24"/>
        <v>Y2M9</v>
      </c>
      <c r="AD19" s="207" t="str">
        <f t="shared" si="24"/>
        <v>Y2M10</v>
      </c>
      <c r="AE19" s="207" t="str">
        <f t="shared" si="24"/>
        <v>Y2M11</v>
      </c>
      <c r="AF19" s="207" t="str">
        <f t="shared" si="24"/>
        <v>Y2M12</v>
      </c>
      <c r="AG19" s="207" t="str">
        <f t="shared" si="24"/>
        <v>Y3M1</v>
      </c>
      <c r="AH19" s="207" t="str">
        <f t="shared" si="24"/>
        <v>Y3M2</v>
      </c>
      <c r="AI19" s="207" t="str">
        <f t="shared" si="24"/>
        <v>Y3M3</v>
      </c>
      <c r="AJ19" s="207" t="str">
        <f t="shared" si="24"/>
        <v>Y3M4</v>
      </c>
      <c r="AK19" s="207" t="str">
        <f t="shared" si="24"/>
        <v>Y3M5</v>
      </c>
      <c r="AL19" s="207" t="str">
        <f t="shared" si="24"/>
        <v>Y3M6</v>
      </c>
      <c r="AM19" s="207" t="str">
        <f t="shared" si="24"/>
        <v>Y3M7</v>
      </c>
      <c r="AN19" s="207" t="str">
        <f t="shared" si="24"/>
        <v>Y3M8</v>
      </c>
      <c r="AO19" s="207" t="str">
        <f t="shared" si="24"/>
        <v>Y3M9</v>
      </c>
      <c r="AP19" s="207" t="str">
        <f t="shared" si="24"/>
        <v>Y3M10</v>
      </c>
      <c r="AQ19" s="207" t="str">
        <f t="shared" si="24"/>
        <v>Y3M11</v>
      </c>
      <c r="AR19" s="207" t="str">
        <f t="shared" si="24"/>
        <v>Y3M12</v>
      </c>
      <c r="AS19" s="207" t="str">
        <f t="shared" si="24"/>
        <v>Y4M1</v>
      </c>
      <c r="AT19" s="207" t="str">
        <f t="shared" si="24"/>
        <v>Y4M2</v>
      </c>
      <c r="AU19" s="207" t="str">
        <f t="shared" si="24"/>
        <v>Y4M3</v>
      </c>
      <c r="AV19" s="207" t="str">
        <f t="shared" si="24"/>
        <v>Y4M4</v>
      </c>
      <c r="AW19" s="207" t="str">
        <f t="shared" si="24"/>
        <v>Y4M5</v>
      </c>
      <c r="AX19" s="207" t="str">
        <f t="shared" si="24"/>
        <v>Y4M6</v>
      </c>
      <c r="AY19" s="207" t="str">
        <f t="shared" si="24"/>
        <v>Y4M7</v>
      </c>
      <c r="AZ19" s="207" t="str">
        <f t="shared" si="24"/>
        <v>Y4M8</v>
      </c>
      <c r="BA19" s="207" t="str">
        <f t="shared" si="24"/>
        <v>Y4M9</v>
      </c>
      <c r="BB19" s="207" t="str">
        <f t="shared" si="24"/>
        <v>Y4M10</v>
      </c>
      <c r="BC19" s="207" t="str">
        <f t="shared" si="24"/>
        <v>Y4M11</v>
      </c>
      <c r="BD19" s="207" t="str">
        <f t="shared" si="24"/>
        <v>Y4M12</v>
      </c>
      <c r="BE19" s="207" t="str">
        <f t="shared" si="24"/>
        <v>Y5M1</v>
      </c>
      <c r="BF19" s="207" t="str">
        <f t="shared" si="24"/>
        <v>Y5M2</v>
      </c>
      <c r="BG19" s="207" t="str">
        <f t="shared" si="24"/>
        <v>Y5M3</v>
      </c>
      <c r="BH19" s="207" t="str">
        <f t="shared" si="24"/>
        <v>Y5M4</v>
      </c>
      <c r="BI19" s="207" t="str">
        <f t="shared" si="24"/>
        <v>Y5M5</v>
      </c>
      <c r="BJ19" s="207" t="str">
        <f t="shared" si="24"/>
        <v>Y5M6</v>
      </c>
      <c r="BK19" s="207" t="str">
        <f t="shared" si="24"/>
        <v>Y5M7</v>
      </c>
      <c r="BL19" s="207" t="str">
        <f t="shared" si="24"/>
        <v>Y5M8</v>
      </c>
      <c r="BM19" s="207" t="str">
        <f t="shared" si="24"/>
        <v>Y5M9</v>
      </c>
      <c r="BN19" s="207" t="str">
        <f t="shared" si="24"/>
        <v>Y5M10</v>
      </c>
      <c r="BO19" s="207" t="str">
        <f t="shared" si="24"/>
        <v>Y5M11</v>
      </c>
      <c r="BP19" s="207" t="str">
        <f t="shared" si="24"/>
        <v>Y5M12</v>
      </c>
      <c r="BQ19" s="207" t="str">
        <f t="shared" si="24"/>
        <v>Y6M1</v>
      </c>
      <c r="BR19" s="207" t="str">
        <f t="shared" ref="BR19:DX19" si="25">IF(BR15=0,"M"&amp;BR14,"Y"&amp;BR15&amp;"M"&amp;BR16)</f>
        <v>Y6M2</v>
      </c>
      <c r="BS19" s="207" t="str">
        <f t="shared" si="25"/>
        <v>Y6M3</v>
      </c>
      <c r="BT19" s="207" t="str">
        <f t="shared" si="25"/>
        <v>Y6M4</v>
      </c>
      <c r="BU19" s="207" t="str">
        <f t="shared" si="25"/>
        <v>Y6M5</v>
      </c>
      <c r="BV19" s="207" t="str">
        <f t="shared" si="25"/>
        <v>Y6M6</v>
      </c>
      <c r="BW19" s="207" t="str">
        <f t="shared" si="25"/>
        <v>Y6M7</v>
      </c>
      <c r="BX19" s="207" t="str">
        <f t="shared" si="25"/>
        <v>Y6M8</v>
      </c>
      <c r="BY19" s="207" t="str">
        <f t="shared" si="25"/>
        <v>Y6M9</v>
      </c>
      <c r="BZ19" s="207" t="str">
        <f t="shared" si="25"/>
        <v>Y6M10</v>
      </c>
      <c r="CA19" s="207" t="str">
        <f t="shared" si="25"/>
        <v>Y6M11</v>
      </c>
      <c r="CB19" s="207" t="str">
        <f t="shared" si="25"/>
        <v>Y6M12</v>
      </c>
      <c r="CC19" s="207" t="str">
        <f t="shared" si="25"/>
        <v>Y7M1</v>
      </c>
      <c r="CD19" s="207" t="str">
        <f t="shared" si="25"/>
        <v>Y7M2</v>
      </c>
      <c r="CE19" s="207" t="str">
        <f t="shared" si="25"/>
        <v>Y7M3</v>
      </c>
      <c r="CF19" s="207" t="str">
        <f t="shared" si="25"/>
        <v>Y7M4</v>
      </c>
      <c r="CG19" s="207" t="str">
        <f t="shared" si="25"/>
        <v>Y7M5</v>
      </c>
      <c r="CH19" s="207" t="str">
        <f t="shared" si="25"/>
        <v>Y7M6</v>
      </c>
      <c r="CI19" s="207" t="str">
        <f t="shared" si="25"/>
        <v>Y7M7</v>
      </c>
      <c r="CJ19" s="207" t="str">
        <f t="shared" si="25"/>
        <v>Y7M8</v>
      </c>
      <c r="CK19" s="207" t="str">
        <f t="shared" si="25"/>
        <v>Y7M9</v>
      </c>
      <c r="CL19" s="207" t="str">
        <f t="shared" si="25"/>
        <v>Y7M10</v>
      </c>
      <c r="CM19" s="207" t="str">
        <f t="shared" si="25"/>
        <v>Y7M11</v>
      </c>
      <c r="CN19" s="207" t="str">
        <f t="shared" si="25"/>
        <v>Y7M12</v>
      </c>
      <c r="CO19" s="207" t="str">
        <f t="shared" si="25"/>
        <v>Y8M1</v>
      </c>
      <c r="CP19" s="207" t="str">
        <f t="shared" si="25"/>
        <v>Y8M2</v>
      </c>
      <c r="CQ19" s="207" t="str">
        <f t="shared" si="25"/>
        <v>Y8M3</v>
      </c>
      <c r="CR19" s="207" t="str">
        <f t="shared" si="25"/>
        <v>Y8M4</v>
      </c>
      <c r="CS19" s="207" t="str">
        <f t="shared" si="25"/>
        <v>Y8M5</v>
      </c>
      <c r="CT19" s="207" t="str">
        <f t="shared" si="25"/>
        <v>Y8M6</v>
      </c>
      <c r="CU19" s="207" t="str">
        <f t="shared" si="25"/>
        <v>Y8M7</v>
      </c>
      <c r="CV19" s="207" t="str">
        <f t="shared" si="25"/>
        <v>Y8M8</v>
      </c>
      <c r="CW19" s="207" t="str">
        <f t="shared" si="25"/>
        <v>Y8M9</v>
      </c>
      <c r="CX19" s="207" t="str">
        <f t="shared" si="25"/>
        <v>Y8M10</v>
      </c>
      <c r="CY19" s="207" t="str">
        <f t="shared" si="25"/>
        <v>Y8M11</v>
      </c>
      <c r="CZ19" s="207" t="str">
        <f t="shared" si="25"/>
        <v>Y8M12</v>
      </c>
      <c r="DA19" s="207" t="str">
        <f t="shared" si="25"/>
        <v>Y9M1</v>
      </c>
      <c r="DB19" s="207" t="str">
        <f t="shared" si="25"/>
        <v>Y9M2</v>
      </c>
      <c r="DC19" s="207" t="str">
        <f t="shared" si="25"/>
        <v>Y9M3</v>
      </c>
      <c r="DD19" s="207" t="str">
        <f t="shared" si="25"/>
        <v>Y9M4</v>
      </c>
      <c r="DE19" s="207" t="str">
        <f t="shared" si="25"/>
        <v>Y9M5</v>
      </c>
      <c r="DF19" s="207" t="str">
        <f t="shared" si="25"/>
        <v>Y9M6</v>
      </c>
      <c r="DG19" s="207" t="str">
        <f t="shared" si="25"/>
        <v>Y9M7</v>
      </c>
      <c r="DH19" s="207" t="str">
        <f t="shared" si="25"/>
        <v>Y9M8</v>
      </c>
      <c r="DI19" s="207" t="str">
        <f t="shared" si="25"/>
        <v>Y9M9</v>
      </c>
      <c r="DJ19" s="207" t="str">
        <f t="shared" si="25"/>
        <v>Y9M10</v>
      </c>
      <c r="DK19" s="207" t="str">
        <f t="shared" si="25"/>
        <v>Y9M11</v>
      </c>
      <c r="DL19" s="207" t="str">
        <f t="shared" si="25"/>
        <v>Y9M12</v>
      </c>
      <c r="DM19" s="207" t="str">
        <f t="shared" si="25"/>
        <v>Y10M1</v>
      </c>
      <c r="DN19" s="207" t="str">
        <f t="shared" si="25"/>
        <v>Y10M2</v>
      </c>
      <c r="DO19" s="207" t="str">
        <f t="shared" si="25"/>
        <v>Y10M3</v>
      </c>
      <c r="DP19" s="207" t="str">
        <f t="shared" si="25"/>
        <v>Y10M4</v>
      </c>
      <c r="DQ19" s="207" t="str">
        <f t="shared" si="25"/>
        <v>Y10M5</v>
      </c>
      <c r="DR19" s="207" t="str">
        <f t="shared" si="25"/>
        <v>Y10M6</v>
      </c>
      <c r="DS19" s="207" t="str">
        <f t="shared" si="25"/>
        <v>Y10M7</v>
      </c>
      <c r="DT19" s="207" t="str">
        <f t="shared" si="25"/>
        <v>Y10M8</v>
      </c>
      <c r="DU19" s="207" t="str">
        <f t="shared" si="25"/>
        <v>Y10M9</v>
      </c>
      <c r="DV19" s="207" t="str">
        <f t="shared" si="25"/>
        <v>Y10M10</v>
      </c>
      <c r="DW19" s="207" t="str">
        <f t="shared" si="25"/>
        <v>Y10M11</v>
      </c>
      <c r="DX19" s="207" t="str">
        <f t="shared" si="25"/>
        <v>Y10M12</v>
      </c>
      <c r="DY19" s="88"/>
      <c r="DZ19" s="188" t="s">
        <v>399</v>
      </c>
      <c r="EB19" s="88"/>
    </row>
    <row r="20" spans="1:132" outlineLevel="1">
      <c r="A20" s="91" t="s">
        <v>163</v>
      </c>
      <c r="C20" s="185"/>
      <c r="D20" s="185"/>
      <c r="E20" s="185"/>
      <c r="F20" s="206" t="str">
        <f t="shared" ref="F20:BQ20" si="26">IF(F14&lt;0,"Pre","Q"&amp;INT((F14-1)/3)+1)</f>
        <v>Pre</v>
      </c>
      <c r="G20" s="207" t="str">
        <f t="shared" si="26"/>
        <v>Pre</v>
      </c>
      <c r="H20" s="207" t="str">
        <f t="shared" si="26"/>
        <v>Pre</v>
      </c>
      <c r="I20" s="207" t="str">
        <f t="shared" si="26"/>
        <v>Q1</v>
      </c>
      <c r="J20" s="207" t="str">
        <f t="shared" si="26"/>
        <v>Q1</v>
      </c>
      <c r="K20" s="207" t="str">
        <f t="shared" si="26"/>
        <v>Q1</v>
      </c>
      <c r="L20" s="207" t="str">
        <f t="shared" si="26"/>
        <v>Q2</v>
      </c>
      <c r="M20" s="207" t="str">
        <f t="shared" si="26"/>
        <v>Q2</v>
      </c>
      <c r="N20" s="207" t="str">
        <f t="shared" si="26"/>
        <v>Q2</v>
      </c>
      <c r="O20" s="207" t="str">
        <f t="shared" si="26"/>
        <v>Q3</v>
      </c>
      <c r="P20" s="207" t="str">
        <f t="shared" si="26"/>
        <v>Q3</v>
      </c>
      <c r="Q20" s="207" t="str">
        <f t="shared" si="26"/>
        <v>Q3</v>
      </c>
      <c r="R20" s="207" t="str">
        <f t="shared" si="26"/>
        <v>Q4</v>
      </c>
      <c r="S20" s="207" t="str">
        <f t="shared" si="26"/>
        <v>Q4</v>
      </c>
      <c r="T20" s="207" t="str">
        <f t="shared" si="26"/>
        <v>Q4</v>
      </c>
      <c r="U20" s="207" t="str">
        <f t="shared" si="26"/>
        <v>Q5</v>
      </c>
      <c r="V20" s="207" t="str">
        <f t="shared" si="26"/>
        <v>Q5</v>
      </c>
      <c r="W20" s="207" t="str">
        <f t="shared" si="26"/>
        <v>Q5</v>
      </c>
      <c r="X20" s="207" t="str">
        <f t="shared" si="26"/>
        <v>Q6</v>
      </c>
      <c r="Y20" s="207" t="str">
        <f t="shared" si="26"/>
        <v>Q6</v>
      </c>
      <c r="Z20" s="207" t="str">
        <f t="shared" si="26"/>
        <v>Q6</v>
      </c>
      <c r="AA20" s="207" t="str">
        <f t="shared" si="26"/>
        <v>Q7</v>
      </c>
      <c r="AB20" s="207" t="str">
        <f t="shared" si="26"/>
        <v>Q7</v>
      </c>
      <c r="AC20" s="207" t="str">
        <f t="shared" si="26"/>
        <v>Q7</v>
      </c>
      <c r="AD20" s="207" t="str">
        <f t="shared" si="26"/>
        <v>Q8</v>
      </c>
      <c r="AE20" s="207" t="str">
        <f t="shared" si="26"/>
        <v>Q8</v>
      </c>
      <c r="AF20" s="207" t="str">
        <f t="shared" si="26"/>
        <v>Q8</v>
      </c>
      <c r="AG20" s="207" t="str">
        <f t="shared" si="26"/>
        <v>Q9</v>
      </c>
      <c r="AH20" s="207" t="str">
        <f t="shared" si="26"/>
        <v>Q9</v>
      </c>
      <c r="AI20" s="207" t="str">
        <f t="shared" si="26"/>
        <v>Q9</v>
      </c>
      <c r="AJ20" s="207" t="str">
        <f t="shared" si="26"/>
        <v>Q10</v>
      </c>
      <c r="AK20" s="207" t="str">
        <f t="shared" si="26"/>
        <v>Q10</v>
      </c>
      <c r="AL20" s="207" t="str">
        <f t="shared" si="26"/>
        <v>Q10</v>
      </c>
      <c r="AM20" s="207" t="str">
        <f t="shared" si="26"/>
        <v>Q11</v>
      </c>
      <c r="AN20" s="207" t="str">
        <f t="shared" si="26"/>
        <v>Q11</v>
      </c>
      <c r="AO20" s="207" t="str">
        <f t="shared" si="26"/>
        <v>Q11</v>
      </c>
      <c r="AP20" s="207" t="str">
        <f t="shared" si="26"/>
        <v>Q12</v>
      </c>
      <c r="AQ20" s="207" t="str">
        <f t="shared" si="26"/>
        <v>Q12</v>
      </c>
      <c r="AR20" s="207" t="str">
        <f t="shared" si="26"/>
        <v>Q12</v>
      </c>
      <c r="AS20" s="207" t="str">
        <f t="shared" si="26"/>
        <v>Q13</v>
      </c>
      <c r="AT20" s="207" t="str">
        <f t="shared" si="26"/>
        <v>Q13</v>
      </c>
      <c r="AU20" s="207" t="str">
        <f t="shared" si="26"/>
        <v>Q13</v>
      </c>
      <c r="AV20" s="207" t="str">
        <f t="shared" si="26"/>
        <v>Q14</v>
      </c>
      <c r="AW20" s="207" t="str">
        <f t="shared" si="26"/>
        <v>Q14</v>
      </c>
      <c r="AX20" s="207" t="str">
        <f t="shared" si="26"/>
        <v>Q14</v>
      </c>
      <c r="AY20" s="207" t="str">
        <f t="shared" si="26"/>
        <v>Q15</v>
      </c>
      <c r="AZ20" s="207" t="str">
        <f t="shared" si="26"/>
        <v>Q15</v>
      </c>
      <c r="BA20" s="207" t="str">
        <f t="shared" si="26"/>
        <v>Q15</v>
      </c>
      <c r="BB20" s="207" t="str">
        <f t="shared" si="26"/>
        <v>Q16</v>
      </c>
      <c r="BC20" s="207" t="str">
        <f t="shared" si="26"/>
        <v>Q16</v>
      </c>
      <c r="BD20" s="207" t="str">
        <f t="shared" si="26"/>
        <v>Q16</v>
      </c>
      <c r="BE20" s="207" t="str">
        <f t="shared" si="26"/>
        <v>Q17</v>
      </c>
      <c r="BF20" s="207" t="str">
        <f t="shared" si="26"/>
        <v>Q17</v>
      </c>
      <c r="BG20" s="207" t="str">
        <f t="shared" si="26"/>
        <v>Q17</v>
      </c>
      <c r="BH20" s="207" t="str">
        <f t="shared" si="26"/>
        <v>Q18</v>
      </c>
      <c r="BI20" s="207" t="str">
        <f t="shared" si="26"/>
        <v>Q18</v>
      </c>
      <c r="BJ20" s="207" t="str">
        <f t="shared" si="26"/>
        <v>Q18</v>
      </c>
      <c r="BK20" s="207" t="str">
        <f t="shared" si="26"/>
        <v>Q19</v>
      </c>
      <c r="BL20" s="207" t="str">
        <f t="shared" si="26"/>
        <v>Q19</v>
      </c>
      <c r="BM20" s="207" t="str">
        <f t="shared" si="26"/>
        <v>Q19</v>
      </c>
      <c r="BN20" s="207" t="str">
        <f t="shared" si="26"/>
        <v>Q20</v>
      </c>
      <c r="BO20" s="207" t="str">
        <f t="shared" si="26"/>
        <v>Q20</v>
      </c>
      <c r="BP20" s="207" t="str">
        <f t="shared" si="26"/>
        <v>Q20</v>
      </c>
      <c r="BQ20" s="207" t="str">
        <f t="shared" si="26"/>
        <v>Q21</v>
      </c>
      <c r="BR20" s="207" t="str">
        <f t="shared" ref="BR20:DX20" si="27">IF(BR14&lt;0,"Pre","Q"&amp;INT((BR14-1)/3)+1)</f>
        <v>Q21</v>
      </c>
      <c r="BS20" s="207" t="str">
        <f t="shared" si="27"/>
        <v>Q21</v>
      </c>
      <c r="BT20" s="207" t="str">
        <f t="shared" si="27"/>
        <v>Q22</v>
      </c>
      <c r="BU20" s="207" t="str">
        <f t="shared" si="27"/>
        <v>Q22</v>
      </c>
      <c r="BV20" s="207" t="str">
        <f t="shared" si="27"/>
        <v>Q22</v>
      </c>
      <c r="BW20" s="207" t="str">
        <f t="shared" si="27"/>
        <v>Q23</v>
      </c>
      <c r="BX20" s="207" t="str">
        <f t="shared" si="27"/>
        <v>Q23</v>
      </c>
      <c r="BY20" s="207" t="str">
        <f t="shared" si="27"/>
        <v>Q23</v>
      </c>
      <c r="BZ20" s="207" t="str">
        <f t="shared" si="27"/>
        <v>Q24</v>
      </c>
      <c r="CA20" s="207" t="str">
        <f t="shared" si="27"/>
        <v>Q24</v>
      </c>
      <c r="CB20" s="207" t="str">
        <f t="shared" si="27"/>
        <v>Q24</v>
      </c>
      <c r="CC20" s="207" t="str">
        <f t="shared" si="27"/>
        <v>Q25</v>
      </c>
      <c r="CD20" s="207" t="str">
        <f t="shared" si="27"/>
        <v>Q25</v>
      </c>
      <c r="CE20" s="207" t="str">
        <f t="shared" si="27"/>
        <v>Q25</v>
      </c>
      <c r="CF20" s="207" t="str">
        <f t="shared" si="27"/>
        <v>Q26</v>
      </c>
      <c r="CG20" s="207" t="str">
        <f t="shared" si="27"/>
        <v>Q26</v>
      </c>
      <c r="CH20" s="207" t="str">
        <f t="shared" si="27"/>
        <v>Q26</v>
      </c>
      <c r="CI20" s="207" t="str">
        <f t="shared" si="27"/>
        <v>Q27</v>
      </c>
      <c r="CJ20" s="207" t="str">
        <f t="shared" si="27"/>
        <v>Q27</v>
      </c>
      <c r="CK20" s="207" t="str">
        <f t="shared" si="27"/>
        <v>Q27</v>
      </c>
      <c r="CL20" s="207" t="str">
        <f t="shared" si="27"/>
        <v>Q28</v>
      </c>
      <c r="CM20" s="207" t="str">
        <f t="shared" si="27"/>
        <v>Q28</v>
      </c>
      <c r="CN20" s="207" t="str">
        <f t="shared" si="27"/>
        <v>Q28</v>
      </c>
      <c r="CO20" s="207" t="str">
        <f t="shared" si="27"/>
        <v>Q29</v>
      </c>
      <c r="CP20" s="207" t="str">
        <f t="shared" si="27"/>
        <v>Q29</v>
      </c>
      <c r="CQ20" s="207" t="str">
        <f t="shared" si="27"/>
        <v>Q29</v>
      </c>
      <c r="CR20" s="207" t="str">
        <f t="shared" si="27"/>
        <v>Q30</v>
      </c>
      <c r="CS20" s="207" t="str">
        <f t="shared" si="27"/>
        <v>Q30</v>
      </c>
      <c r="CT20" s="207" t="str">
        <f t="shared" si="27"/>
        <v>Q30</v>
      </c>
      <c r="CU20" s="207" t="str">
        <f t="shared" si="27"/>
        <v>Q31</v>
      </c>
      <c r="CV20" s="207" t="str">
        <f t="shared" si="27"/>
        <v>Q31</v>
      </c>
      <c r="CW20" s="207" t="str">
        <f t="shared" si="27"/>
        <v>Q31</v>
      </c>
      <c r="CX20" s="207" t="str">
        <f t="shared" si="27"/>
        <v>Q32</v>
      </c>
      <c r="CY20" s="207" t="str">
        <f t="shared" si="27"/>
        <v>Q32</v>
      </c>
      <c r="CZ20" s="207" t="str">
        <f t="shared" si="27"/>
        <v>Q32</v>
      </c>
      <c r="DA20" s="207" t="str">
        <f t="shared" si="27"/>
        <v>Q33</v>
      </c>
      <c r="DB20" s="207" t="str">
        <f t="shared" si="27"/>
        <v>Q33</v>
      </c>
      <c r="DC20" s="207" t="str">
        <f t="shared" si="27"/>
        <v>Q33</v>
      </c>
      <c r="DD20" s="207" t="str">
        <f t="shared" si="27"/>
        <v>Q34</v>
      </c>
      <c r="DE20" s="207" t="str">
        <f t="shared" si="27"/>
        <v>Q34</v>
      </c>
      <c r="DF20" s="207" t="str">
        <f t="shared" si="27"/>
        <v>Q34</v>
      </c>
      <c r="DG20" s="207" t="str">
        <f t="shared" si="27"/>
        <v>Q35</v>
      </c>
      <c r="DH20" s="207" t="str">
        <f t="shared" si="27"/>
        <v>Q35</v>
      </c>
      <c r="DI20" s="207" t="str">
        <f t="shared" si="27"/>
        <v>Q35</v>
      </c>
      <c r="DJ20" s="207" t="str">
        <f t="shared" si="27"/>
        <v>Q36</v>
      </c>
      <c r="DK20" s="207" t="str">
        <f t="shared" si="27"/>
        <v>Q36</v>
      </c>
      <c r="DL20" s="207" t="str">
        <f t="shared" si="27"/>
        <v>Q36</v>
      </c>
      <c r="DM20" s="207" t="str">
        <f t="shared" si="27"/>
        <v>Q37</v>
      </c>
      <c r="DN20" s="207" t="str">
        <f t="shared" si="27"/>
        <v>Q37</v>
      </c>
      <c r="DO20" s="207" t="str">
        <f t="shared" si="27"/>
        <v>Q37</v>
      </c>
      <c r="DP20" s="207" t="str">
        <f t="shared" si="27"/>
        <v>Q38</v>
      </c>
      <c r="DQ20" s="207" t="str">
        <f t="shared" si="27"/>
        <v>Q38</v>
      </c>
      <c r="DR20" s="207" t="str">
        <f t="shared" si="27"/>
        <v>Q38</v>
      </c>
      <c r="DS20" s="207" t="str">
        <f t="shared" si="27"/>
        <v>Q39</v>
      </c>
      <c r="DT20" s="207" t="str">
        <f t="shared" si="27"/>
        <v>Q39</v>
      </c>
      <c r="DU20" s="207" t="str">
        <f t="shared" si="27"/>
        <v>Q39</v>
      </c>
      <c r="DV20" s="207" t="str">
        <f t="shared" si="27"/>
        <v>Q40</v>
      </c>
      <c r="DW20" s="207" t="str">
        <f t="shared" si="27"/>
        <v>Q40</v>
      </c>
      <c r="DX20" s="207" t="str">
        <f t="shared" si="27"/>
        <v>Q40</v>
      </c>
      <c r="DY20" s="88"/>
      <c r="DZ20" s="188" t="s">
        <v>400</v>
      </c>
      <c r="EB20" s="88"/>
    </row>
    <row r="21" spans="1:132" outlineLevel="1">
      <c r="A21" s="91" t="s">
        <v>164</v>
      </c>
      <c r="C21" s="185"/>
      <c r="D21" s="185"/>
      <c r="E21" s="185"/>
      <c r="F21" s="202">
        <f t="shared" ref="F21:AK21" si="28">IF(AND(PreContractStartDateIn&lt;=DateToMth,DateToMth&lt;=ContractEndDateIn),1,0)</f>
        <v>0</v>
      </c>
      <c r="G21" s="203">
        <f t="shared" si="28"/>
        <v>0</v>
      </c>
      <c r="H21" s="203">
        <f t="shared" si="28"/>
        <v>0</v>
      </c>
      <c r="I21" s="203">
        <f t="shared" si="28"/>
        <v>0</v>
      </c>
      <c r="J21" s="203">
        <f t="shared" si="28"/>
        <v>0</v>
      </c>
      <c r="K21" s="203">
        <f t="shared" si="28"/>
        <v>0</v>
      </c>
      <c r="L21" s="203">
        <f t="shared" si="28"/>
        <v>0</v>
      </c>
      <c r="M21" s="203">
        <f t="shared" si="28"/>
        <v>0</v>
      </c>
      <c r="N21" s="203">
        <f t="shared" si="28"/>
        <v>0</v>
      </c>
      <c r="O21" s="203">
        <f t="shared" si="28"/>
        <v>0</v>
      </c>
      <c r="P21" s="203">
        <f t="shared" si="28"/>
        <v>0</v>
      </c>
      <c r="Q21" s="203">
        <f t="shared" si="28"/>
        <v>0</v>
      </c>
      <c r="R21" s="203">
        <f t="shared" si="28"/>
        <v>0</v>
      </c>
      <c r="S21" s="203">
        <f t="shared" si="28"/>
        <v>0</v>
      </c>
      <c r="T21" s="203">
        <f t="shared" si="28"/>
        <v>0</v>
      </c>
      <c r="U21" s="203">
        <f t="shared" si="28"/>
        <v>0</v>
      </c>
      <c r="V21" s="203">
        <f t="shared" si="28"/>
        <v>0</v>
      </c>
      <c r="W21" s="203">
        <f t="shared" si="28"/>
        <v>0</v>
      </c>
      <c r="X21" s="203">
        <f t="shared" si="28"/>
        <v>0</v>
      </c>
      <c r="Y21" s="203">
        <f t="shared" si="28"/>
        <v>0</v>
      </c>
      <c r="Z21" s="203">
        <f t="shared" si="28"/>
        <v>0</v>
      </c>
      <c r="AA21" s="203">
        <f t="shared" si="28"/>
        <v>0</v>
      </c>
      <c r="AB21" s="203">
        <f t="shared" si="28"/>
        <v>0</v>
      </c>
      <c r="AC21" s="203">
        <f t="shared" si="28"/>
        <v>0</v>
      </c>
      <c r="AD21" s="203">
        <f t="shared" si="28"/>
        <v>0</v>
      </c>
      <c r="AE21" s="203">
        <f t="shared" si="28"/>
        <v>0</v>
      </c>
      <c r="AF21" s="203">
        <f t="shared" si="28"/>
        <v>0</v>
      </c>
      <c r="AG21" s="203">
        <f t="shared" si="28"/>
        <v>0</v>
      </c>
      <c r="AH21" s="203">
        <f t="shared" si="28"/>
        <v>0</v>
      </c>
      <c r="AI21" s="203">
        <f t="shared" si="28"/>
        <v>0</v>
      </c>
      <c r="AJ21" s="203">
        <f t="shared" si="28"/>
        <v>0</v>
      </c>
      <c r="AK21" s="203">
        <f t="shared" si="28"/>
        <v>0</v>
      </c>
      <c r="AL21" s="203">
        <f t="shared" ref="AL21:BQ21" si="29">IF(AND(PreContractStartDateIn&lt;=DateToMth,DateToMth&lt;=ContractEndDateIn),1,0)</f>
        <v>0</v>
      </c>
      <c r="AM21" s="203">
        <f t="shared" si="29"/>
        <v>0</v>
      </c>
      <c r="AN21" s="203">
        <f t="shared" si="29"/>
        <v>0</v>
      </c>
      <c r="AO21" s="203">
        <f t="shared" si="29"/>
        <v>0</v>
      </c>
      <c r="AP21" s="203">
        <f t="shared" si="29"/>
        <v>0</v>
      </c>
      <c r="AQ21" s="203">
        <f t="shared" si="29"/>
        <v>0</v>
      </c>
      <c r="AR21" s="203">
        <f t="shared" si="29"/>
        <v>0</v>
      </c>
      <c r="AS21" s="203">
        <f t="shared" si="29"/>
        <v>0</v>
      </c>
      <c r="AT21" s="203">
        <f t="shared" si="29"/>
        <v>0</v>
      </c>
      <c r="AU21" s="203">
        <f t="shared" si="29"/>
        <v>0</v>
      </c>
      <c r="AV21" s="203">
        <f t="shared" si="29"/>
        <v>0</v>
      </c>
      <c r="AW21" s="203">
        <f t="shared" si="29"/>
        <v>0</v>
      </c>
      <c r="AX21" s="203">
        <f t="shared" si="29"/>
        <v>0</v>
      </c>
      <c r="AY21" s="203">
        <f t="shared" si="29"/>
        <v>0</v>
      </c>
      <c r="AZ21" s="203">
        <f t="shared" si="29"/>
        <v>0</v>
      </c>
      <c r="BA21" s="203">
        <f t="shared" si="29"/>
        <v>0</v>
      </c>
      <c r="BB21" s="203">
        <f t="shared" si="29"/>
        <v>0</v>
      </c>
      <c r="BC21" s="203">
        <f t="shared" si="29"/>
        <v>0</v>
      </c>
      <c r="BD21" s="203">
        <f t="shared" si="29"/>
        <v>0</v>
      </c>
      <c r="BE21" s="203">
        <f t="shared" si="29"/>
        <v>0</v>
      </c>
      <c r="BF21" s="203">
        <f t="shared" si="29"/>
        <v>0</v>
      </c>
      <c r="BG21" s="203">
        <f t="shared" si="29"/>
        <v>0</v>
      </c>
      <c r="BH21" s="203">
        <f t="shared" si="29"/>
        <v>0</v>
      </c>
      <c r="BI21" s="203">
        <f t="shared" si="29"/>
        <v>0</v>
      </c>
      <c r="BJ21" s="203">
        <f t="shared" si="29"/>
        <v>0</v>
      </c>
      <c r="BK21" s="203">
        <f t="shared" si="29"/>
        <v>0</v>
      </c>
      <c r="BL21" s="203">
        <f t="shared" si="29"/>
        <v>0</v>
      </c>
      <c r="BM21" s="203">
        <f t="shared" si="29"/>
        <v>0</v>
      </c>
      <c r="BN21" s="203">
        <f t="shared" si="29"/>
        <v>0</v>
      </c>
      <c r="BO21" s="203">
        <f t="shared" si="29"/>
        <v>0</v>
      </c>
      <c r="BP21" s="203">
        <f t="shared" si="29"/>
        <v>0</v>
      </c>
      <c r="BQ21" s="203">
        <f t="shared" si="29"/>
        <v>0</v>
      </c>
      <c r="BR21" s="203">
        <f t="shared" ref="BR21:CW21" si="30">IF(AND(PreContractStartDateIn&lt;=DateToMth,DateToMth&lt;=ContractEndDateIn),1,0)</f>
        <v>0</v>
      </c>
      <c r="BS21" s="203">
        <f t="shared" si="30"/>
        <v>0</v>
      </c>
      <c r="BT21" s="203">
        <f t="shared" si="30"/>
        <v>0</v>
      </c>
      <c r="BU21" s="203">
        <f t="shared" si="30"/>
        <v>0</v>
      </c>
      <c r="BV21" s="203">
        <f t="shared" si="30"/>
        <v>0</v>
      </c>
      <c r="BW21" s="203">
        <f t="shared" si="30"/>
        <v>0</v>
      </c>
      <c r="BX21" s="203">
        <f t="shared" si="30"/>
        <v>0</v>
      </c>
      <c r="BY21" s="203">
        <f t="shared" si="30"/>
        <v>0</v>
      </c>
      <c r="BZ21" s="203">
        <f t="shared" si="30"/>
        <v>0</v>
      </c>
      <c r="CA21" s="203">
        <f t="shared" si="30"/>
        <v>0</v>
      </c>
      <c r="CB21" s="203">
        <f t="shared" si="30"/>
        <v>0</v>
      </c>
      <c r="CC21" s="203">
        <f t="shared" si="30"/>
        <v>0</v>
      </c>
      <c r="CD21" s="203">
        <f t="shared" si="30"/>
        <v>0</v>
      </c>
      <c r="CE21" s="203">
        <f t="shared" si="30"/>
        <v>0</v>
      </c>
      <c r="CF21" s="203">
        <f t="shared" si="30"/>
        <v>0</v>
      </c>
      <c r="CG21" s="203">
        <f t="shared" si="30"/>
        <v>0</v>
      </c>
      <c r="CH21" s="203">
        <f t="shared" si="30"/>
        <v>0</v>
      </c>
      <c r="CI21" s="203">
        <f t="shared" si="30"/>
        <v>0</v>
      </c>
      <c r="CJ21" s="203">
        <f t="shared" si="30"/>
        <v>0</v>
      </c>
      <c r="CK21" s="203">
        <f t="shared" si="30"/>
        <v>0</v>
      </c>
      <c r="CL21" s="203">
        <f t="shared" si="30"/>
        <v>0</v>
      </c>
      <c r="CM21" s="203">
        <f t="shared" si="30"/>
        <v>0</v>
      </c>
      <c r="CN21" s="203">
        <f t="shared" si="30"/>
        <v>0</v>
      </c>
      <c r="CO21" s="203">
        <f t="shared" si="30"/>
        <v>0</v>
      </c>
      <c r="CP21" s="203">
        <f t="shared" si="30"/>
        <v>0</v>
      </c>
      <c r="CQ21" s="203">
        <f t="shared" si="30"/>
        <v>0</v>
      </c>
      <c r="CR21" s="203">
        <f t="shared" si="30"/>
        <v>0</v>
      </c>
      <c r="CS21" s="203">
        <f t="shared" si="30"/>
        <v>0</v>
      </c>
      <c r="CT21" s="203">
        <f t="shared" si="30"/>
        <v>0</v>
      </c>
      <c r="CU21" s="203">
        <f t="shared" si="30"/>
        <v>0</v>
      </c>
      <c r="CV21" s="203">
        <f t="shared" si="30"/>
        <v>0</v>
      </c>
      <c r="CW21" s="203">
        <f t="shared" si="30"/>
        <v>0</v>
      </c>
      <c r="CX21" s="203">
        <f t="shared" ref="CX21:DX21" si="31">IF(AND(PreContractStartDateIn&lt;=DateToMth,DateToMth&lt;=ContractEndDateIn),1,0)</f>
        <v>0</v>
      </c>
      <c r="CY21" s="203">
        <f t="shared" si="31"/>
        <v>0</v>
      </c>
      <c r="CZ21" s="203">
        <f t="shared" si="31"/>
        <v>0</v>
      </c>
      <c r="DA21" s="203">
        <f t="shared" si="31"/>
        <v>0</v>
      </c>
      <c r="DB21" s="203">
        <f t="shared" si="31"/>
        <v>0</v>
      </c>
      <c r="DC21" s="203">
        <f t="shared" si="31"/>
        <v>0</v>
      </c>
      <c r="DD21" s="203">
        <f t="shared" si="31"/>
        <v>0</v>
      </c>
      <c r="DE21" s="203">
        <f t="shared" si="31"/>
        <v>0</v>
      </c>
      <c r="DF21" s="203">
        <f t="shared" si="31"/>
        <v>0</v>
      </c>
      <c r="DG21" s="203">
        <f t="shared" si="31"/>
        <v>0</v>
      </c>
      <c r="DH21" s="203">
        <f t="shared" si="31"/>
        <v>0</v>
      </c>
      <c r="DI21" s="203">
        <f t="shared" si="31"/>
        <v>0</v>
      </c>
      <c r="DJ21" s="203">
        <f t="shared" si="31"/>
        <v>0</v>
      </c>
      <c r="DK21" s="203">
        <f t="shared" si="31"/>
        <v>0</v>
      </c>
      <c r="DL21" s="203">
        <f t="shared" si="31"/>
        <v>0</v>
      </c>
      <c r="DM21" s="203">
        <f t="shared" si="31"/>
        <v>0</v>
      </c>
      <c r="DN21" s="203">
        <f t="shared" si="31"/>
        <v>0</v>
      </c>
      <c r="DO21" s="203">
        <f t="shared" si="31"/>
        <v>0</v>
      </c>
      <c r="DP21" s="203">
        <f t="shared" si="31"/>
        <v>0</v>
      </c>
      <c r="DQ21" s="203">
        <f t="shared" si="31"/>
        <v>0</v>
      </c>
      <c r="DR21" s="203">
        <f t="shared" si="31"/>
        <v>0</v>
      </c>
      <c r="DS21" s="203">
        <f t="shared" si="31"/>
        <v>0</v>
      </c>
      <c r="DT21" s="203">
        <f t="shared" si="31"/>
        <v>0</v>
      </c>
      <c r="DU21" s="203">
        <f t="shared" si="31"/>
        <v>0</v>
      </c>
      <c r="DV21" s="203">
        <f t="shared" si="31"/>
        <v>0</v>
      </c>
      <c r="DW21" s="203">
        <f t="shared" si="31"/>
        <v>0</v>
      </c>
      <c r="DX21" s="203">
        <f t="shared" si="31"/>
        <v>0</v>
      </c>
      <c r="DY21" s="88"/>
      <c r="DZ21" s="188" t="s">
        <v>401</v>
      </c>
      <c r="EB21" s="88"/>
    </row>
    <row r="22" spans="1:132" outlineLevel="1">
      <c r="A22" s="91" t="s">
        <v>165</v>
      </c>
      <c r="C22" s="185"/>
      <c r="D22" s="185"/>
      <c r="E22" s="185"/>
      <c r="F22" s="202">
        <f>SUM(ActivePeriodFlag)</f>
        <v>0</v>
      </c>
      <c r="G22" s="203">
        <f>IF(F22&gt;0,F22-1,0)</f>
        <v>0</v>
      </c>
      <c r="H22" s="203">
        <f t="shared" ref="H22:BS22" si="32">IF(G22&gt;0,G22-1,0)</f>
        <v>0</v>
      </c>
      <c r="I22" s="203">
        <f t="shared" si="32"/>
        <v>0</v>
      </c>
      <c r="J22" s="203">
        <f t="shared" si="32"/>
        <v>0</v>
      </c>
      <c r="K22" s="203">
        <f t="shared" si="32"/>
        <v>0</v>
      </c>
      <c r="L22" s="203">
        <f t="shared" si="32"/>
        <v>0</v>
      </c>
      <c r="M22" s="203">
        <f t="shared" si="32"/>
        <v>0</v>
      </c>
      <c r="N22" s="203">
        <f t="shared" si="32"/>
        <v>0</v>
      </c>
      <c r="O22" s="203">
        <f t="shared" si="32"/>
        <v>0</v>
      </c>
      <c r="P22" s="203">
        <f t="shared" si="32"/>
        <v>0</v>
      </c>
      <c r="Q22" s="203">
        <f t="shared" si="32"/>
        <v>0</v>
      </c>
      <c r="R22" s="203">
        <f t="shared" si="32"/>
        <v>0</v>
      </c>
      <c r="S22" s="203">
        <f t="shared" si="32"/>
        <v>0</v>
      </c>
      <c r="T22" s="203">
        <f t="shared" si="32"/>
        <v>0</v>
      </c>
      <c r="U22" s="203">
        <f t="shared" si="32"/>
        <v>0</v>
      </c>
      <c r="V22" s="203">
        <f t="shared" si="32"/>
        <v>0</v>
      </c>
      <c r="W22" s="203">
        <f t="shared" si="32"/>
        <v>0</v>
      </c>
      <c r="X22" s="203">
        <f t="shared" si="32"/>
        <v>0</v>
      </c>
      <c r="Y22" s="203">
        <f t="shared" si="32"/>
        <v>0</v>
      </c>
      <c r="Z22" s="203">
        <f t="shared" si="32"/>
        <v>0</v>
      </c>
      <c r="AA22" s="203">
        <f t="shared" si="32"/>
        <v>0</v>
      </c>
      <c r="AB22" s="203">
        <f t="shared" si="32"/>
        <v>0</v>
      </c>
      <c r="AC22" s="203">
        <f t="shared" si="32"/>
        <v>0</v>
      </c>
      <c r="AD22" s="203">
        <f t="shared" si="32"/>
        <v>0</v>
      </c>
      <c r="AE22" s="203">
        <f t="shared" si="32"/>
        <v>0</v>
      </c>
      <c r="AF22" s="203">
        <f t="shared" si="32"/>
        <v>0</v>
      </c>
      <c r="AG22" s="203">
        <f t="shared" si="32"/>
        <v>0</v>
      </c>
      <c r="AH22" s="203">
        <f t="shared" si="32"/>
        <v>0</v>
      </c>
      <c r="AI22" s="203">
        <f t="shared" si="32"/>
        <v>0</v>
      </c>
      <c r="AJ22" s="203">
        <f t="shared" si="32"/>
        <v>0</v>
      </c>
      <c r="AK22" s="203">
        <f t="shared" si="32"/>
        <v>0</v>
      </c>
      <c r="AL22" s="203">
        <f t="shared" si="32"/>
        <v>0</v>
      </c>
      <c r="AM22" s="203">
        <f t="shared" si="32"/>
        <v>0</v>
      </c>
      <c r="AN22" s="203">
        <f t="shared" si="32"/>
        <v>0</v>
      </c>
      <c r="AO22" s="203">
        <f t="shared" si="32"/>
        <v>0</v>
      </c>
      <c r="AP22" s="203">
        <f t="shared" si="32"/>
        <v>0</v>
      </c>
      <c r="AQ22" s="203">
        <f t="shared" si="32"/>
        <v>0</v>
      </c>
      <c r="AR22" s="203">
        <f t="shared" si="32"/>
        <v>0</v>
      </c>
      <c r="AS22" s="203">
        <f t="shared" si="32"/>
        <v>0</v>
      </c>
      <c r="AT22" s="203">
        <f t="shared" si="32"/>
        <v>0</v>
      </c>
      <c r="AU22" s="203">
        <f t="shared" si="32"/>
        <v>0</v>
      </c>
      <c r="AV22" s="203">
        <f t="shared" si="32"/>
        <v>0</v>
      </c>
      <c r="AW22" s="203">
        <f t="shared" si="32"/>
        <v>0</v>
      </c>
      <c r="AX22" s="203">
        <f t="shared" si="32"/>
        <v>0</v>
      </c>
      <c r="AY22" s="203">
        <f t="shared" si="32"/>
        <v>0</v>
      </c>
      <c r="AZ22" s="203">
        <f t="shared" si="32"/>
        <v>0</v>
      </c>
      <c r="BA22" s="203">
        <f t="shared" si="32"/>
        <v>0</v>
      </c>
      <c r="BB22" s="203">
        <f t="shared" si="32"/>
        <v>0</v>
      </c>
      <c r="BC22" s="203">
        <f t="shared" si="32"/>
        <v>0</v>
      </c>
      <c r="BD22" s="203">
        <f t="shared" si="32"/>
        <v>0</v>
      </c>
      <c r="BE22" s="203">
        <f t="shared" si="32"/>
        <v>0</v>
      </c>
      <c r="BF22" s="203">
        <f t="shared" si="32"/>
        <v>0</v>
      </c>
      <c r="BG22" s="203">
        <f t="shared" si="32"/>
        <v>0</v>
      </c>
      <c r="BH22" s="203">
        <f t="shared" si="32"/>
        <v>0</v>
      </c>
      <c r="BI22" s="203">
        <f t="shared" si="32"/>
        <v>0</v>
      </c>
      <c r="BJ22" s="203">
        <f t="shared" si="32"/>
        <v>0</v>
      </c>
      <c r="BK22" s="203">
        <f t="shared" si="32"/>
        <v>0</v>
      </c>
      <c r="BL22" s="203">
        <f t="shared" si="32"/>
        <v>0</v>
      </c>
      <c r="BM22" s="203">
        <f t="shared" si="32"/>
        <v>0</v>
      </c>
      <c r="BN22" s="203">
        <f t="shared" si="32"/>
        <v>0</v>
      </c>
      <c r="BO22" s="203">
        <f t="shared" si="32"/>
        <v>0</v>
      </c>
      <c r="BP22" s="203">
        <f t="shared" si="32"/>
        <v>0</v>
      </c>
      <c r="BQ22" s="203">
        <f t="shared" si="32"/>
        <v>0</v>
      </c>
      <c r="BR22" s="203">
        <f t="shared" si="32"/>
        <v>0</v>
      </c>
      <c r="BS22" s="203">
        <f t="shared" si="32"/>
        <v>0</v>
      </c>
      <c r="BT22" s="203">
        <f t="shared" ref="BT22:DX22" si="33">IF(BS22&gt;0,BS22-1,0)</f>
        <v>0</v>
      </c>
      <c r="BU22" s="203">
        <f t="shared" si="33"/>
        <v>0</v>
      </c>
      <c r="BV22" s="203">
        <f t="shared" si="33"/>
        <v>0</v>
      </c>
      <c r="BW22" s="203">
        <f t="shared" si="33"/>
        <v>0</v>
      </c>
      <c r="BX22" s="203">
        <f t="shared" si="33"/>
        <v>0</v>
      </c>
      <c r="BY22" s="203">
        <f t="shared" si="33"/>
        <v>0</v>
      </c>
      <c r="BZ22" s="203">
        <f t="shared" si="33"/>
        <v>0</v>
      </c>
      <c r="CA22" s="203">
        <f t="shared" si="33"/>
        <v>0</v>
      </c>
      <c r="CB22" s="203">
        <f t="shared" si="33"/>
        <v>0</v>
      </c>
      <c r="CC22" s="203">
        <f t="shared" si="33"/>
        <v>0</v>
      </c>
      <c r="CD22" s="203">
        <f t="shared" si="33"/>
        <v>0</v>
      </c>
      <c r="CE22" s="203">
        <f t="shared" si="33"/>
        <v>0</v>
      </c>
      <c r="CF22" s="203">
        <f t="shared" si="33"/>
        <v>0</v>
      </c>
      <c r="CG22" s="203">
        <f t="shared" si="33"/>
        <v>0</v>
      </c>
      <c r="CH22" s="203">
        <f t="shared" si="33"/>
        <v>0</v>
      </c>
      <c r="CI22" s="203">
        <f t="shared" si="33"/>
        <v>0</v>
      </c>
      <c r="CJ22" s="203">
        <f t="shared" si="33"/>
        <v>0</v>
      </c>
      <c r="CK22" s="203">
        <f t="shared" si="33"/>
        <v>0</v>
      </c>
      <c r="CL22" s="203">
        <f t="shared" si="33"/>
        <v>0</v>
      </c>
      <c r="CM22" s="203">
        <f t="shared" si="33"/>
        <v>0</v>
      </c>
      <c r="CN22" s="203">
        <f t="shared" si="33"/>
        <v>0</v>
      </c>
      <c r="CO22" s="203">
        <f t="shared" si="33"/>
        <v>0</v>
      </c>
      <c r="CP22" s="203">
        <f t="shared" si="33"/>
        <v>0</v>
      </c>
      <c r="CQ22" s="203">
        <f t="shared" si="33"/>
        <v>0</v>
      </c>
      <c r="CR22" s="203">
        <f t="shared" si="33"/>
        <v>0</v>
      </c>
      <c r="CS22" s="203">
        <f t="shared" si="33"/>
        <v>0</v>
      </c>
      <c r="CT22" s="203">
        <f t="shared" si="33"/>
        <v>0</v>
      </c>
      <c r="CU22" s="203">
        <f t="shared" si="33"/>
        <v>0</v>
      </c>
      <c r="CV22" s="203">
        <f t="shared" si="33"/>
        <v>0</v>
      </c>
      <c r="CW22" s="203">
        <f t="shared" si="33"/>
        <v>0</v>
      </c>
      <c r="CX22" s="203">
        <f t="shared" si="33"/>
        <v>0</v>
      </c>
      <c r="CY22" s="203">
        <f t="shared" si="33"/>
        <v>0</v>
      </c>
      <c r="CZ22" s="203">
        <f t="shared" si="33"/>
        <v>0</v>
      </c>
      <c r="DA22" s="203">
        <f t="shared" si="33"/>
        <v>0</v>
      </c>
      <c r="DB22" s="203">
        <f t="shared" si="33"/>
        <v>0</v>
      </c>
      <c r="DC22" s="203">
        <f t="shared" si="33"/>
        <v>0</v>
      </c>
      <c r="DD22" s="203">
        <f t="shared" si="33"/>
        <v>0</v>
      </c>
      <c r="DE22" s="203">
        <f t="shared" si="33"/>
        <v>0</v>
      </c>
      <c r="DF22" s="203">
        <f t="shared" si="33"/>
        <v>0</v>
      </c>
      <c r="DG22" s="203">
        <f t="shared" si="33"/>
        <v>0</v>
      </c>
      <c r="DH22" s="203">
        <f t="shared" si="33"/>
        <v>0</v>
      </c>
      <c r="DI22" s="203">
        <f t="shared" si="33"/>
        <v>0</v>
      </c>
      <c r="DJ22" s="203">
        <f t="shared" si="33"/>
        <v>0</v>
      </c>
      <c r="DK22" s="203">
        <f t="shared" si="33"/>
        <v>0</v>
      </c>
      <c r="DL22" s="203">
        <f t="shared" si="33"/>
        <v>0</v>
      </c>
      <c r="DM22" s="203">
        <f t="shared" si="33"/>
        <v>0</v>
      </c>
      <c r="DN22" s="203">
        <f t="shared" si="33"/>
        <v>0</v>
      </c>
      <c r="DO22" s="203">
        <f t="shared" si="33"/>
        <v>0</v>
      </c>
      <c r="DP22" s="203">
        <f t="shared" si="33"/>
        <v>0</v>
      </c>
      <c r="DQ22" s="203">
        <f t="shared" si="33"/>
        <v>0</v>
      </c>
      <c r="DR22" s="203">
        <f t="shared" si="33"/>
        <v>0</v>
      </c>
      <c r="DS22" s="203">
        <f t="shared" si="33"/>
        <v>0</v>
      </c>
      <c r="DT22" s="203">
        <f t="shared" si="33"/>
        <v>0</v>
      </c>
      <c r="DU22" s="203">
        <f t="shared" si="33"/>
        <v>0</v>
      </c>
      <c r="DV22" s="203">
        <f t="shared" si="33"/>
        <v>0</v>
      </c>
      <c r="DW22" s="203">
        <f t="shared" si="33"/>
        <v>0</v>
      </c>
      <c r="DX22" s="203">
        <f t="shared" si="33"/>
        <v>0</v>
      </c>
      <c r="DY22" s="88"/>
      <c r="DZ22" s="188" t="s">
        <v>402</v>
      </c>
      <c r="EB22" s="88"/>
    </row>
    <row r="23" spans="1:132" outlineLevel="1">
      <c r="A23" s="91" t="s">
        <v>166</v>
      </c>
      <c r="C23" s="185"/>
      <c r="D23" s="185"/>
      <c r="E23" s="195"/>
      <c r="F23" s="202" t="str">
        <f>YEAR(CompanyYearStartDateIn)&amp;"/"&amp;RIGHT(YEAR(CompanyYearStartDateIn)+1,1)</f>
        <v>2008/9</v>
      </c>
      <c r="G23" s="203" t="str">
        <f t="shared" ref="G23:U23" si="34">IF(MONTH(G11)=4,YEAR(G11)&amp;"/"&amp;RIGHT(YEAR(G11)+1,IF(YEAR(G11)&gt;2008,2,1)),F23)</f>
        <v>2008/9</v>
      </c>
      <c r="H23" s="203" t="str">
        <f t="shared" si="34"/>
        <v>2008/9</v>
      </c>
      <c r="I23" s="203" t="str">
        <f t="shared" si="34"/>
        <v>2008/9</v>
      </c>
      <c r="J23" s="203" t="str">
        <f t="shared" si="34"/>
        <v>2008/9</v>
      </c>
      <c r="K23" s="203" t="str">
        <f t="shared" si="34"/>
        <v>2015/16</v>
      </c>
      <c r="L23" s="203" t="str">
        <f t="shared" si="34"/>
        <v>2015/16</v>
      </c>
      <c r="M23" s="203" t="str">
        <f t="shared" si="34"/>
        <v>2015/16</v>
      </c>
      <c r="N23" s="203" t="str">
        <f t="shared" si="34"/>
        <v>2015/16</v>
      </c>
      <c r="O23" s="203" t="str">
        <f t="shared" si="34"/>
        <v>2015/16</v>
      </c>
      <c r="P23" s="203" t="str">
        <f t="shared" si="34"/>
        <v>2015/16</v>
      </c>
      <c r="Q23" s="203" t="str">
        <f t="shared" si="34"/>
        <v>2015/16</v>
      </c>
      <c r="R23" s="203" t="str">
        <f t="shared" si="34"/>
        <v>2015/16</v>
      </c>
      <c r="S23" s="203" t="str">
        <f t="shared" si="34"/>
        <v>2015/16</v>
      </c>
      <c r="T23" s="203" t="str">
        <f t="shared" si="34"/>
        <v>2015/16</v>
      </c>
      <c r="U23" s="203" t="str">
        <f t="shared" si="34"/>
        <v>2015/16</v>
      </c>
      <c r="V23" s="203" t="str">
        <f>IF(MONTH(V11)=4,YEAR(V11)&amp;"/"&amp;RIGHT(YEAR(V11)+1,IF(YEAR(V11)&gt;2008,2,1)),U23)</f>
        <v>2015/16</v>
      </c>
      <c r="W23" s="203" t="str">
        <f t="shared" ref="W23:CH23" si="35">IF(MONTH(W11)=4,YEAR(W11)&amp;"/"&amp;RIGHT(YEAR(W11)+1,IF(YEAR(W11)&gt;2009,2,1)),V23)</f>
        <v>2016/17</v>
      </c>
      <c r="X23" s="203" t="str">
        <f t="shared" si="35"/>
        <v>2016/17</v>
      </c>
      <c r="Y23" s="203" t="str">
        <f t="shared" si="35"/>
        <v>2016/17</v>
      </c>
      <c r="Z23" s="203" t="str">
        <f t="shared" si="35"/>
        <v>2016/17</v>
      </c>
      <c r="AA23" s="203" t="str">
        <f t="shared" si="35"/>
        <v>2016/17</v>
      </c>
      <c r="AB23" s="203" t="str">
        <f t="shared" si="35"/>
        <v>2016/17</v>
      </c>
      <c r="AC23" s="203" t="str">
        <f t="shared" si="35"/>
        <v>2016/17</v>
      </c>
      <c r="AD23" s="203" t="str">
        <f t="shared" si="35"/>
        <v>2016/17</v>
      </c>
      <c r="AE23" s="203" t="str">
        <f t="shared" si="35"/>
        <v>2016/17</v>
      </c>
      <c r="AF23" s="203" t="str">
        <f t="shared" si="35"/>
        <v>2016/17</v>
      </c>
      <c r="AG23" s="203" t="str">
        <f t="shared" si="35"/>
        <v>2016/17</v>
      </c>
      <c r="AH23" s="203" t="str">
        <f t="shared" si="35"/>
        <v>2016/17</v>
      </c>
      <c r="AI23" s="203" t="str">
        <f t="shared" si="35"/>
        <v>2017/18</v>
      </c>
      <c r="AJ23" s="203" t="str">
        <f t="shared" si="35"/>
        <v>2017/18</v>
      </c>
      <c r="AK23" s="203" t="str">
        <f t="shared" si="35"/>
        <v>2017/18</v>
      </c>
      <c r="AL23" s="203" t="str">
        <f t="shared" si="35"/>
        <v>2017/18</v>
      </c>
      <c r="AM23" s="203" t="str">
        <f t="shared" si="35"/>
        <v>2017/18</v>
      </c>
      <c r="AN23" s="203" t="str">
        <f t="shared" si="35"/>
        <v>2017/18</v>
      </c>
      <c r="AO23" s="203" t="str">
        <f t="shared" si="35"/>
        <v>2017/18</v>
      </c>
      <c r="AP23" s="203" t="str">
        <f t="shared" si="35"/>
        <v>2017/18</v>
      </c>
      <c r="AQ23" s="203" t="str">
        <f t="shared" si="35"/>
        <v>2017/18</v>
      </c>
      <c r="AR23" s="203" t="str">
        <f t="shared" si="35"/>
        <v>2017/18</v>
      </c>
      <c r="AS23" s="203" t="str">
        <f t="shared" si="35"/>
        <v>2017/18</v>
      </c>
      <c r="AT23" s="203" t="str">
        <f t="shared" si="35"/>
        <v>2017/18</v>
      </c>
      <c r="AU23" s="203" t="str">
        <f t="shared" si="35"/>
        <v>2018/19</v>
      </c>
      <c r="AV23" s="203" t="str">
        <f t="shared" si="35"/>
        <v>2018/19</v>
      </c>
      <c r="AW23" s="203" t="str">
        <f t="shared" si="35"/>
        <v>2018/19</v>
      </c>
      <c r="AX23" s="203" t="str">
        <f t="shared" si="35"/>
        <v>2018/19</v>
      </c>
      <c r="AY23" s="203" t="str">
        <f t="shared" si="35"/>
        <v>2018/19</v>
      </c>
      <c r="AZ23" s="203" t="str">
        <f t="shared" si="35"/>
        <v>2018/19</v>
      </c>
      <c r="BA23" s="203" t="str">
        <f t="shared" si="35"/>
        <v>2018/19</v>
      </c>
      <c r="BB23" s="203" t="str">
        <f t="shared" si="35"/>
        <v>2018/19</v>
      </c>
      <c r="BC23" s="203" t="str">
        <f t="shared" si="35"/>
        <v>2018/19</v>
      </c>
      <c r="BD23" s="203" t="str">
        <f t="shared" si="35"/>
        <v>2018/19</v>
      </c>
      <c r="BE23" s="203" t="str">
        <f t="shared" si="35"/>
        <v>2018/19</v>
      </c>
      <c r="BF23" s="203" t="str">
        <f t="shared" si="35"/>
        <v>2018/19</v>
      </c>
      <c r="BG23" s="203" t="str">
        <f t="shared" si="35"/>
        <v>2019/20</v>
      </c>
      <c r="BH23" s="203" t="str">
        <f t="shared" si="35"/>
        <v>2019/20</v>
      </c>
      <c r="BI23" s="203" t="str">
        <f t="shared" si="35"/>
        <v>2019/20</v>
      </c>
      <c r="BJ23" s="203" t="str">
        <f t="shared" si="35"/>
        <v>2019/20</v>
      </c>
      <c r="BK23" s="203" t="str">
        <f t="shared" si="35"/>
        <v>2019/20</v>
      </c>
      <c r="BL23" s="203" t="str">
        <f t="shared" si="35"/>
        <v>2019/20</v>
      </c>
      <c r="BM23" s="203" t="str">
        <f t="shared" si="35"/>
        <v>2019/20</v>
      </c>
      <c r="BN23" s="203" t="str">
        <f t="shared" si="35"/>
        <v>2019/20</v>
      </c>
      <c r="BO23" s="203" t="str">
        <f t="shared" si="35"/>
        <v>2019/20</v>
      </c>
      <c r="BP23" s="203" t="str">
        <f t="shared" si="35"/>
        <v>2019/20</v>
      </c>
      <c r="BQ23" s="203" t="str">
        <f t="shared" si="35"/>
        <v>2019/20</v>
      </c>
      <c r="BR23" s="203" t="str">
        <f t="shared" si="35"/>
        <v>2019/20</v>
      </c>
      <c r="BS23" s="203" t="str">
        <f t="shared" si="35"/>
        <v>2020/21</v>
      </c>
      <c r="BT23" s="203" t="str">
        <f t="shared" si="35"/>
        <v>2020/21</v>
      </c>
      <c r="BU23" s="203" t="str">
        <f t="shared" si="35"/>
        <v>2020/21</v>
      </c>
      <c r="BV23" s="203" t="str">
        <f t="shared" si="35"/>
        <v>2020/21</v>
      </c>
      <c r="BW23" s="203" t="str">
        <f t="shared" si="35"/>
        <v>2020/21</v>
      </c>
      <c r="BX23" s="203" t="str">
        <f t="shared" si="35"/>
        <v>2020/21</v>
      </c>
      <c r="BY23" s="203" t="str">
        <f t="shared" si="35"/>
        <v>2020/21</v>
      </c>
      <c r="BZ23" s="203" t="str">
        <f t="shared" si="35"/>
        <v>2020/21</v>
      </c>
      <c r="CA23" s="203" t="str">
        <f t="shared" si="35"/>
        <v>2020/21</v>
      </c>
      <c r="CB23" s="203" t="str">
        <f t="shared" si="35"/>
        <v>2020/21</v>
      </c>
      <c r="CC23" s="203" t="str">
        <f t="shared" si="35"/>
        <v>2020/21</v>
      </c>
      <c r="CD23" s="203" t="str">
        <f t="shared" si="35"/>
        <v>2020/21</v>
      </c>
      <c r="CE23" s="203" t="str">
        <f t="shared" si="35"/>
        <v>2021/22</v>
      </c>
      <c r="CF23" s="203" t="str">
        <f t="shared" si="35"/>
        <v>2021/22</v>
      </c>
      <c r="CG23" s="203" t="str">
        <f t="shared" si="35"/>
        <v>2021/22</v>
      </c>
      <c r="CH23" s="203" t="str">
        <f t="shared" si="35"/>
        <v>2021/22</v>
      </c>
      <c r="CI23" s="203" t="str">
        <f t="shared" ref="CI23:DX23" si="36">IF(MONTH(CI11)=4,YEAR(CI11)&amp;"/"&amp;RIGHT(YEAR(CI11)+1,IF(YEAR(CI11)&gt;2009,2,1)),CH23)</f>
        <v>2021/22</v>
      </c>
      <c r="CJ23" s="203" t="str">
        <f t="shared" si="36"/>
        <v>2021/22</v>
      </c>
      <c r="CK23" s="203" t="str">
        <f t="shared" si="36"/>
        <v>2021/22</v>
      </c>
      <c r="CL23" s="203" t="str">
        <f t="shared" si="36"/>
        <v>2021/22</v>
      </c>
      <c r="CM23" s="203" t="str">
        <f t="shared" si="36"/>
        <v>2021/22</v>
      </c>
      <c r="CN23" s="203" t="str">
        <f t="shared" si="36"/>
        <v>2021/22</v>
      </c>
      <c r="CO23" s="203" t="str">
        <f t="shared" si="36"/>
        <v>2021/22</v>
      </c>
      <c r="CP23" s="203" t="str">
        <f t="shared" si="36"/>
        <v>2021/22</v>
      </c>
      <c r="CQ23" s="203" t="str">
        <f t="shared" si="36"/>
        <v>2022/23</v>
      </c>
      <c r="CR23" s="203" t="str">
        <f t="shared" si="36"/>
        <v>2022/23</v>
      </c>
      <c r="CS23" s="203" t="str">
        <f t="shared" si="36"/>
        <v>2022/23</v>
      </c>
      <c r="CT23" s="203" t="str">
        <f t="shared" si="36"/>
        <v>2022/23</v>
      </c>
      <c r="CU23" s="203" t="str">
        <f t="shared" si="36"/>
        <v>2022/23</v>
      </c>
      <c r="CV23" s="203" t="str">
        <f t="shared" si="36"/>
        <v>2022/23</v>
      </c>
      <c r="CW23" s="203" t="str">
        <f t="shared" si="36"/>
        <v>2022/23</v>
      </c>
      <c r="CX23" s="203" t="str">
        <f t="shared" si="36"/>
        <v>2022/23</v>
      </c>
      <c r="CY23" s="203" t="str">
        <f t="shared" si="36"/>
        <v>2022/23</v>
      </c>
      <c r="CZ23" s="203" t="str">
        <f t="shared" si="36"/>
        <v>2022/23</v>
      </c>
      <c r="DA23" s="203" t="str">
        <f t="shared" si="36"/>
        <v>2022/23</v>
      </c>
      <c r="DB23" s="203" t="str">
        <f t="shared" si="36"/>
        <v>2022/23</v>
      </c>
      <c r="DC23" s="203" t="str">
        <f t="shared" si="36"/>
        <v>2023/24</v>
      </c>
      <c r="DD23" s="203" t="str">
        <f t="shared" si="36"/>
        <v>2023/24</v>
      </c>
      <c r="DE23" s="203" t="str">
        <f t="shared" si="36"/>
        <v>2023/24</v>
      </c>
      <c r="DF23" s="203" t="str">
        <f t="shared" si="36"/>
        <v>2023/24</v>
      </c>
      <c r="DG23" s="203" t="str">
        <f t="shared" si="36"/>
        <v>2023/24</v>
      </c>
      <c r="DH23" s="203" t="str">
        <f t="shared" si="36"/>
        <v>2023/24</v>
      </c>
      <c r="DI23" s="203" t="str">
        <f t="shared" si="36"/>
        <v>2023/24</v>
      </c>
      <c r="DJ23" s="203" t="str">
        <f t="shared" si="36"/>
        <v>2023/24</v>
      </c>
      <c r="DK23" s="203" t="str">
        <f t="shared" si="36"/>
        <v>2023/24</v>
      </c>
      <c r="DL23" s="203" t="str">
        <f t="shared" si="36"/>
        <v>2023/24</v>
      </c>
      <c r="DM23" s="203" t="str">
        <f t="shared" si="36"/>
        <v>2023/24</v>
      </c>
      <c r="DN23" s="203" t="str">
        <f t="shared" si="36"/>
        <v>2023/24</v>
      </c>
      <c r="DO23" s="203" t="str">
        <f t="shared" si="36"/>
        <v>2024/25</v>
      </c>
      <c r="DP23" s="203" t="str">
        <f t="shared" si="36"/>
        <v>2024/25</v>
      </c>
      <c r="DQ23" s="203" t="str">
        <f t="shared" si="36"/>
        <v>2024/25</v>
      </c>
      <c r="DR23" s="203" t="str">
        <f t="shared" si="36"/>
        <v>2024/25</v>
      </c>
      <c r="DS23" s="203" t="str">
        <f t="shared" si="36"/>
        <v>2024/25</v>
      </c>
      <c r="DT23" s="203" t="str">
        <f t="shared" si="36"/>
        <v>2024/25</v>
      </c>
      <c r="DU23" s="203" t="str">
        <f t="shared" si="36"/>
        <v>2024/25</v>
      </c>
      <c r="DV23" s="203" t="str">
        <f t="shared" si="36"/>
        <v>2024/25</v>
      </c>
      <c r="DW23" s="203" t="str">
        <f t="shared" si="36"/>
        <v>2024/25</v>
      </c>
      <c r="DX23" s="203" t="str">
        <f t="shared" si="36"/>
        <v>2024/25</v>
      </c>
      <c r="DY23" s="88"/>
      <c r="DZ23" s="188" t="s">
        <v>403</v>
      </c>
      <c r="EB23" s="88"/>
    </row>
    <row r="24" spans="1:132" outlineLevel="1">
      <c r="A24" s="91" t="s">
        <v>167</v>
      </c>
      <c r="C24" s="185"/>
      <c r="D24" s="185"/>
      <c r="E24" s="185"/>
      <c r="F24" s="202">
        <f>MONTH(F11)-3</f>
        <v>8</v>
      </c>
      <c r="G24" s="203">
        <f>IF(F24=12,1,F24+1)</f>
        <v>9</v>
      </c>
      <c r="H24" s="203">
        <f>IF(G24=12,1,G24+1)</f>
        <v>10</v>
      </c>
      <c r="I24" s="203">
        <f>IF(H24=12,1,H24+1)</f>
        <v>11</v>
      </c>
      <c r="J24" s="203">
        <f>IF(I24=12,1,I24+1)</f>
        <v>12</v>
      </c>
      <c r="K24" s="203">
        <f t="shared" ref="K24:BV24" si="37">IF(J24=12,1,J24+1)</f>
        <v>1</v>
      </c>
      <c r="L24" s="203">
        <f t="shared" si="37"/>
        <v>2</v>
      </c>
      <c r="M24" s="203">
        <f t="shared" si="37"/>
        <v>3</v>
      </c>
      <c r="N24" s="203">
        <f t="shared" si="37"/>
        <v>4</v>
      </c>
      <c r="O24" s="203">
        <f t="shared" si="37"/>
        <v>5</v>
      </c>
      <c r="P24" s="203">
        <f t="shared" si="37"/>
        <v>6</v>
      </c>
      <c r="Q24" s="203">
        <f t="shared" si="37"/>
        <v>7</v>
      </c>
      <c r="R24" s="203">
        <f t="shared" si="37"/>
        <v>8</v>
      </c>
      <c r="S24" s="203">
        <f t="shared" si="37"/>
        <v>9</v>
      </c>
      <c r="T24" s="203">
        <f t="shared" si="37"/>
        <v>10</v>
      </c>
      <c r="U24" s="203">
        <f t="shared" si="37"/>
        <v>11</v>
      </c>
      <c r="V24" s="203">
        <f t="shared" si="37"/>
        <v>12</v>
      </c>
      <c r="W24" s="203">
        <f t="shared" si="37"/>
        <v>1</v>
      </c>
      <c r="X24" s="203">
        <f t="shared" si="37"/>
        <v>2</v>
      </c>
      <c r="Y24" s="203">
        <f t="shared" si="37"/>
        <v>3</v>
      </c>
      <c r="Z24" s="203">
        <f t="shared" si="37"/>
        <v>4</v>
      </c>
      <c r="AA24" s="203">
        <f t="shared" si="37"/>
        <v>5</v>
      </c>
      <c r="AB24" s="203">
        <f t="shared" si="37"/>
        <v>6</v>
      </c>
      <c r="AC24" s="203">
        <f t="shared" si="37"/>
        <v>7</v>
      </c>
      <c r="AD24" s="203">
        <f t="shared" si="37"/>
        <v>8</v>
      </c>
      <c r="AE24" s="203">
        <f t="shared" si="37"/>
        <v>9</v>
      </c>
      <c r="AF24" s="203">
        <f t="shared" si="37"/>
        <v>10</v>
      </c>
      <c r="AG24" s="203">
        <f t="shared" si="37"/>
        <v>11</v>
      </c>
      <c r="AH24" s="203">
        <f t="shared" si="37"/>
        <v>12</v>
      </c>
      <c r="AI24" s="203">
        <f t="shared" si="37"/>
        <v>1</v>
      </c>
      <c r="AJ24" s="203">
        <f t="shared" si="37"/>
        <v>2</v>
      </c>
      <c r="AK24" s="203">
        <f t="shared" si="37"/>
        <v>3</v>
      </c>
      <c r="AL24" s="203">
        <f t="shared" si="37"/>
        <v>4</v>
      </c>
      <c r="AM24" s="203">
        <f t="shared" si="37"/>
        <v>5</v>
      </c>
      <c r="AN24" s="203">
        <f t="shared" si="37"/>
        <v>6</v>
      </c>
      <c r="AO24" s="203">
        <f t="shared" si="37"/>
        <v>7</v>
      </c>
      <c r="AP24" s="203">
        <f t="shared" si="37"/>
        <v>8</v>
      </c>
      <c r="AQ24" s="203">
        <f t="shared" si="37"/>
        <v>9</v>
      </c>
      <c r="AR24" s="203">
        <f t="shared" si="37"/>
        <v>10</v>
      </c>
      <c r="AS24" s="203">
        <f t="shared" si="37"/>
        <v>11</v>
      </c>
      <c r="AT24" s="203">
        <f t="shared" si="37"/>
        <v>12</v>
      </c>
      <c r="AU24" s="203">
        <f t="shared" si="37"/>
        <v>1</v>
      </c>
      <c r="AV24" s="203">
        <f t="shared" si="37"/>
        <v>2</v>
      </c>
      <c r="AW24" s="203">
        <f t="shared" si="37"/>
        <v>3</v>
      </c>
      <c r="AX24" s="203">
        <f t="shared" si="37"/>
        <v>4</v>
      </c>
      <c r="AY24" s="203">
        <f t="shared" si="37"/>
        <v>5</v>
      </c>
      <c r="AZ24" s="203">
        <f t="shared" si="37"/>
        <v>6</v>
      </c>
      <c r="BA24" s="203">
        <f t="shared" si="37"/>
        <v>7</v>
      </c>
      <c r="BB24" s="203">
        <f t="shared" si="37"/>
        <v>8</v>
      </c>
      <c r="BC24" s="203">
        <f t="shared" si="37"/>
        <v>9</v>
      </c>
      <c r="BD24" s="203">
        <f t="shared" si="37"/>
        <v>10</v>
      </c>
      <c r="BE24" s="203">
        <f t="shared" si="37"/>
        <v>11</v>
      </c>
      <c r="BF24" s="203">
        <f t="shared" si="37"/>
        <v>12</v>
      </c>
      <c r="BG24" s="203">
        <f t="shared" si="37"/>
        <v>1</v>
      </c>
      <c r="BH24" s="203">
        <f t="shared" si="37"/>
        <v>2</v>
      </c>
      <c r="BI24" s="203">
        <f t="shared" si="37"/>
        <v>3</v>
      </c>
      <c r="BJ24" s="203">
        <f t="shared" si="37"/>
        <v>4</v>
      </c>
      <c r="BK24" s="203">
        <f t="shared" si="37"/>
        <v>5</v>
      </c>
      <c r="BL24" s="203">
        <f t="shared" si="37"/>
        <v>6</v>
      </c>
      <c r="BM24" s="203">
        <f t="shared" si="37"/>
        <v>7</v>
      </c>
      <c r="BN24" s="203">
        <f t="shared" si="37"/>
        <v>8</v>
      </c>
      <c r="BO24" s="203">
        <f t="shared" si="37"/>
        <v>9</v>
      </c>
      <c r="BP24" s="203">
        <f t="shared" si="37"/>
        <v>10</v>
      </c>
      <c r="BQ24" s="203">
        <f t="shared" si="37"/>
        <v>11</v>
      </c>
      <c r="BR24" s="203">
        <f t="shared" si="37"/>
        <v>12</v>
      </c>
      <c r="BS24" s="203">
        <f t="shared" si="37"/>
        <v>1</v>
      </c>
      <c r="BT24" s="203">
        <f t="shared" si="37"/>
        <v>2</v>
      </c>
      <c r="BU24" s="203">
        <f t="shared" si="37"/>
        <v>3</v>
      </c>
      <c r="BV24" s="203">
        <f t="shared" si="37"/>
        <v>4</v>
      </c>
      <c r="BW24" s="203">
        <f t="shared" ref="BW24:DX24" si="38">IF(BV24=12,1,BV24+1)</f>
        <v>5</v>
      </c>
      <c r="BX24" s="203">
        <f t="shared" si="38"/>
        <v>6</v>
      </c>
      <c r="BY24" s="203">
        <f t="shared" si="38"/>
        <v>7</v>
      </c>
      <c r="BZ24" s="203">
        <f t="shared" si="38"/>
        <v>8</v>
      </c>
      <c r="CA24" s="203">
        <f t="shared" si="38"/>
        <v>9</v>
      </c>
      <c r="CB24" s="203">
        <f t="shared" si="38"/>
        <v>10</v>
      </c>
      <c r="CC24" s="203">
        <f t="shared" si="38"/>
        <v>11</v>
      </c>
      <c r="CD24" s="203">
        <f t="shared" si="38"/>
        <v>12</v>
      </c>
      <c r="CE24" s="203">
        <f t="shared" si="38"/>
        <v>1</v>
      </c>
      <c r="CF24" s="203">
        <f t="shared" si="38"/>
        <v>2</v>
      </c>
      <c r="CG24" s="203">
        <f t="shared" si="38"/>
        <v>3</v>
      </c>
      <c r="CH24" s="203">
        <f t="shared" si="38"/>
        <v>4</v>
      </c>
      <c r="CI24" s="203">
        <f t="shared" si="38"/>
        <v>5</v>
      </c>
      <c r="CJ24" s="203">
        <f t="shared" si="38"/>
        <v>6</v>
      </c>
      <c r="CK24" s="203">
        <f t="shared" si="38"/>
        <v>7</v>
      </c>
      <c r="CL24" s="203">
        <f t="shared" si="38"/>
        <v>8</v>
      </c>
      <c r="CM24" s="203">
        <f t="shared" si="38"/>
        <v>9</v>
      </c>
      <c r="CN24" s="203">
        <f t="shared" si="38"/>
        <v>10</v>
      </c>
      <c r="CO24" s="203">
        <f t="shared" si="38"/>
        <v>11</v>
      </c>
      <c r="CP24" s="203">
        <f t="shared" si="38"/>
        <v>12</v>
      </c>
      <c r="CQ24" s="203">
        <f t="shared" si="38"/>
        <v>1</v>
      </c>
      <c r="CR24" s="203">
        <f t="shared" si="38"/>
        <v>2</v>
      </c>
      <c r="CS24" s="203">
        <f t="shared" si="38"/>
        <v>3</v>
      </c>
      <c r="CT24" s="203">
        <f t="shared" si="38"/>
        <v>4</v>
      </c>
      <c r="CU24" s="203">
        <f t="shared" si="38"/>
        <v>5</v>
      </c>
      <c r="CV24" s="203">
        <f t="shared" si="38"/>
        <v>6</v>
      </c>
      <c r="CW24" s="203">
        <f t="shared" si="38"/>
        <v>7</v>
      </c>
      <c r="CX24" s="203">
        <f t="shared" si="38"/>
        <v>8</v>
      </c>
      <c r="CY24" s="203">
        <f t="shared" si="38"/>
        <v>9</v>
      </c>
      <c r="CZ24" s="203">
        <f t="shared" si="38"/>
        <v>10</v>
      </c>
      <c r="DA24" s="203">
        <f t="shared" si="38"/>
        <v>11</v>
      </c>
      <c r="DB24" s="203">
        <f t="shared" si="38"/>
        <v>12</v>
      </c>
      <c r="DC24" s="203">
        <f t="shared" si="38"/>
        <v>1</v>
      </c>
      <c r="DD24" s="203">
        <f t="shared" si="38"/>
        <v>2</v>
      </c>
      <c r="DE24" s="203">
        <f t="shared" si="38"/>
        <v>3</v>
      </c>
      <c r="DF24" s="203">
        <f t="shared" si="38"/>
        <v>4</v>
      </c>
      <c r="DG24" s="203">
        <f t="shared" si="38"/>
        <v>5</v>
      </c>
      <c r="DH24" s="203">
        <f t="shared" si="38"/>
        <v>6</v>
      </c>
      <c r="DI24" s="203">
        <f t="shared" si="38"/>
        <v>7</v>
      </c>
      <c r="DJ24" s="203">
        <f t="shared" si="38"/>
        <v>8</v>
      </c>
      <c r="DK24" s="203">
        <f t="shared" si="38"/>
        <v>9</v>
      </c>
      <c r="DL24" s="203">
        <f t="shared" si="38"/>
        <v>10</v>
      </c>
      <c r="DM24" s="203">
        <f t="shared" si="38"/>
        <v>11</v>
      </c>
      <c r="DN24" s="203">
        <f t="shared" si="38"/>
        <v>12</v>
      </c>
      <c r="DO24" s="203">
        <f t="shared" si="38"/>
        <v>1</v>
      </c>
      <c r="DP24" s="203">
        <f t="shared" si="38"/>
        <v>2</v>
      </c>
      <c r="DQ24" s="203">
        <f t="shared" si="38"/>
        <v>3</v>
      </c>
      <c r="DR24" s="203">
        <f t="shared" si="38"/>
        <v>4</v>
      </c>
      <c r="DS24" s="203">
        <f t="shared" si="38"/>
        <v>5</v>
      </c>
      <c r="DT24" s="203">
        <f t="shared" si="38"/>
        <v>6</v>
      </c>
      <c r="DU24" s="203">
        <f t="shared" si="38"/>
        <v>7</v>
      </c>
      <c r="DV24" s="203">
        <f t="shared" si="38"/>
        <v>8</v>
      </c>
      <c r="DW24" s="203">
        <f t="shared" si="38"/>
        <v>9</v>
      </c>
      <c r="DX24" s="203">
        <f t="shared" si="38"/>
        <v>10</v>
      </c>
      <c r="DY24" s="88"/>
      <c r="DZ24" s="188" t="s">
        <v>404</v>
      </c>
      <c r="EB24" s="88"/>
    </row>
    <row r="25" spans="1:132">
      <c r="A25" s="185"/>
      <c r="B25" s="185"/>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5"/>
      <c r="CU25" s="185"/>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2"/>
      <c r="EB25" s="182"/>
    </row>
    <row r="26" spans="1:132" s="179" customFormat="1">
      <c r="A26" s="208" t="s">
        <v>405</v>
      </c>
      <c r="B26" s="209"/>
      <c r="C26" s="209"/>
      <c r="D26" s="209"/>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09"/>
      <c r="BC26" s="209"/>
      <c r="BD26" s="209"/>
      <c r="BE26" s="209"/>
      <c r="BF26" s="209"/>
      <c r="BG26" s="209"/>
      <c r="BH26" s="209"/>
      <c r="BI26" s="209"/>
      <c r="BJ26" s="209"/>
      <c r="BK26" s="209"/>
      <c r="BL26" s="209"/>
      <c r="BM26" s="209"/>
      <c r="BN26" s="209"/>
      <c r="BO26" s="209"/>
      <c r="BP26" s="209"/>
      <c r="BQ26" s="209"/>
      <c r="BR26" s="209"/>
      <c r="BS26" s="209"/>
      <c r="BT26" s="209"/>
      <c r="BU26" s="209"/>
      <c r="BV26" s="209"/>
      <c r="BW26" s="209"/>
      <c r="BX26" s="209"/>
      <c r="BY26" s="209"/>
      <c r="BZ26" s="209"/>
      <c r="CA26" s="209"/>
      <c r="CB26" s="209"/>
      <c r="CC26" s="209"/>
      <c r="CD26" s="209"/>
      <c r="CE26" s="209"/>
      <c r="CF26" s="209"/>
      <c r="CG26" s="209"/>
      <c r="CH26" s="209"/>
      <c r="CI26" s="209"/>
      <c r="CJ26" s="209"/>
      <c r="CK26" s="209"/>
      <c r="CL26" s="209"/>
      <c r="CM26" s="209"/>
      <c r="CN26" s="209"/>
      <c r="CO26" s="209"/>
      <c r="CP26" s="209"/>
      <c r="CQ26" s="209"/>
      <c r="CR26" s="209"/>
      <c r="CS26" s="209"/>
      <c r="CT26" s="209"/>
      <c r="CU26" s="209"/>
      <c r="CV26" s="209"/>
      <c r="CW26" s="209"/>
      <c r="CX26" s="209"/>
      <c r="CY26" s="209"/>
      <c r="CZ26" s="209"/>
      <c r="DA26" s="209"/>
      <c r="DB26" s="209"/>
      <c r="DC26" s="209"/>
      <c r="DD26" s="209"/>
      <c r="DE26" s="209"/>
      <c r="DF26" s="209"/>
      <c r="DG26" s="209"/>
      <c r="DH26" s="209"/>
      <c r="DI26" s="209"/>
      <c r="DJ26" s="209"/>
      <c r="DK26" s="209"/>
      <c r="DL26" s="209"/>
      <c r="DM26" s="209"/>
      <c r="DN26" s="209"/>
      <c r="DO26" s="209"/>
      <c r="DP26" s="209"/>
      <c r="DQ26" s="209"/>
      <c r="DR26" s="209"/>
      <c r="DS26" s="209"/>
      <c r="DT26" s="209"/>
      <c r="DU26" s="209"/>
      <c r="DV26" s="209"/>
      <c r="DW26" s="209"/>
      <c r="DX26" s="209"/>
      <c r="DY26" s="209"/>
      <c r="DZ26" s="209"/>
      <c r="EA26" s="209"/>
      <c r="EB26" s="209"/>
    </row>
    <row r="27" spans="1:132" outlineLevel="1">
      <c r="A27" s="185"/>
      <c r="B27" s="185"/>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K27" s="185"/>
      <c r="BL27" s="185"/>
      <c r="BM27" s="185"/>
      <c r="BN27" s="185"/>
      <c r="BO27" s="185"/>
      <c r="BP27" s="185"/>
      <c r="BQ27" s="185"/>
      <c r="BR27" s="185"/>
      <c r="BS27" s="185"/>
      <c r="BT27" s="185"/>
      <c r="BU27" s="185"/>
      <c r="BV27" s="185"/>
      <c r="BW27" s="185"/>
      <c r="BX27" s="185"/>
      <c r="BY27" s="185"/>
      <c r="BZ27" s="185"/>
      <c r="CA27" s="185"/>
      <c r="CB27" s="185"/>
      <c r="CC27" s="185"/>
      <c r="CD27" s="185"/>
      <c r="CE27" s="185"/>
      <c r="CF27" s="185"/>
      <c r="CG27" s="185"/>
      <c r="CH27" s="185"/>
      <c r="CI27" s="185"/>
      <c r="CJ27" s="185"/>
      <c r="CK27" s="185"/>
      <c r="CL27" s="185"/>
      <c r="CM27" s="185"/>
      <c r="CN27" s="185"/>
      <c r="CO27" s="185"/>
      <c r="CP27" s="185"/>
      <c r="CQ27" s="185"/>
      <c r="CR27" s="185"/>
      <c r="CS27" s="185"/>
      <c r="CT27" s="185"/>
      <c r="CU27" s="185"/>
      <c r="CV27" s="185"/>
      <c r="CW27" s="185"/>
      <c r="CX27" s="185"/>
      <c r="CY27" s="185"/>
      <c r="CZ27" s="185"/>
      <c r="DA27" s="185"/>
      <c r="DB27" s="185"/>
      <c r="DC27" s="185"/>
      <c r="DD27" s="185"/>
      <c r="DE27" s="185"/>
      <c r="DF27" s="185"/>
      <c r="DG27" s="185"/>
      <c r="DH27" s="185"/>
      <c r="DI27" s="185"/>
      <c r="DJ27" s="185"/>
      <c r="DK27" s="185"/>
      <c r="DL27" s="185"/>
      <c r="DM27" s="185"/>
      <c r="DN27" s="185"/>
      <c r="DO27" s="185"/>
      <c r="DP27" s="185"/>
      <c r="DQ27" s="185"/>
      <c r="DR27" s="185"/>
      <c r="DS27" s="185"/>
      <c r="DT27" s="185"/>
      <c r="DU27" s="185"/>
      <c r="DV27" s="185"/>
      <c r="DW27" s="185"/>
      <c r="DX27" s="185"/>
      <c r="DY27" s="186"/>
      <c r="EB27" s="186"/>
    </row>
    <row r="28" spans="1:132" hidden="1"/>
    <row r="29" spans="1:132" hidden="1"/>
    <row r="30" spans="1:132" hidden="1"/>
    <row r="31" spans="1:132" hidden="1"/>
    <row r="32" spans="1:1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spans="1:1" hidden="1"/>
    <row r="162" spans="1:1" hidden="1"/>
    <row r="163" spans="1:1" hidden="1">
      <c r="A163" s="24"/>
    </row>
    <row r="164" spans="1:1" hidden="1">
      <c r="A164" s="24"/>
    </row>
    <row r="165" spans="1:1" ht="12.75" hidden="1" customHeight="1"/>
    <row r="166" spans="1:1" ht="12.75" hidden="1" customHeight="1"/>
    <row r="167" spans="1:1" ht="12.75" hidden="1" customHeight="1"/>
    <row r="168" spans="1:1" ht="12.75" hidden="1" customHeight="1"/>
    <row r="169" spans="1:1" ht="12.75" hidden="1" customHeight="1"/>
    <row r="170" spans="1:1" ht="12.75" hidden="1" customHeight="1"/>
    <row r="171" spans="1:1" ht="12.75" hidden="1" customHeight="1"/>
    <row r="172" spans="1:1" ht="12.75" hidden="1" customHeight="1"/>
    <row r="173" spans="1:1" ht="12.75" hidden="1" customHeight="1"/>
    <row r="174" spans="1:1" ht="12.75" hidden="1" customHeight="1"/>
    <row r="175" spans="1:1" ht="12.75" hidden="1" customHeight="1"/>
    <row r="176" spans="1:1" ht="12.75" hidden="1" customHeight="1"/>
    <row r="177" ht="12.75" hidden="1" customHeight="1"/>
    <row r="178" ht="12.75" hidden="1" customHeight="1"/>
    <row r="179" ht="12.75" hidden="1" customHeight="1"/>
    <row r="180" ht="12.75" hidden="1" customHeight="1"/>
    <row r="181" ht="12.75" hidden="1" customHeight="1"/>
    <row r="182" ht="12.75" hidden="1" customHeight="1"/>
    <row r="183" ht="12.75" hidden="1" customHeight="1"/>
    <row r="184" ht="12.75" hidden="1" customHeight="1"/>
    <row r="185" ht="12.75" hidden="1" customHeight="1"/>
    <row r="186" ht="12.75" hidden="1" customHeight="1"/>
    <row r="187" ht="12.75" hidden="1" customHeight="1"/>
    <row r="188" ht="12.75" hidden="1" customHeight="1"/>
    <row r="189" ht="12.75" hidden="1" customHeight="1"/>
    <row r="190" ht="12.75" hidden="1" customHeight="1"/>
    <row r="191" ht="12.75" hidden="1" customHeight="1"/>
    <row r="192" ht="12.75" hidden="1" customHeight="1"/>
    <row r="193" ht="12.75" hidden="1" customHeight="1"/>
    <row r="194" ht="12.75" hidden="1" customHeight="1"/>
    <row r="195" ht="12.75" hidden="1" customHeight="1"/>
    <row r="196" ht="12.75" hidden="1" customHeight="1"/>
    <row r="197" ht="12.75" hidden="1" customHeight="1"/>
    <row r="198" ht="12.75" hidden="1" customHeight="1"/>
    <row r="199" ht="12.75" hidden="1" customHeight="1"/>
    <row r="200" ht="12.75" hidden="1" customHeight="1"/>
    <row r="201" ht="12.75" hidden="1" customHeight="1"/>
    <row r="202" ht="12.75" hidden="1" customHeight="1"/>
    <row r="203" ht="12.75" customHeight="1"/>
    <row r="204" ht="12.75" customHeight="1"/>
    <row r="205" ht="12.75" customHeight="1"/>
    <row r="206" ht="12.75" customHeight="1"/>
    <row r="207" ht="12.75" customHeight="1"/>
  </sheetData>
  <sheetProtection autoFilter="0"/>
  <conditionalFormatting sqref="F11:DX11">
    <cfRule type="cellIs" dxfId="177" priority="11" stopIfTrue="1" operator="between">
      <formula>PreContractStartDateIn</formula>
      <formula>ContractEndDateIn</formula>
    </cfRule>
  </conditionalFormatting>
  <conditionalFormatting sqref="E1">
    <cfRule type="cellIs" dxfId="176" priority="12" stopIfTrue="1" operator="greaterThan">
      <formula>0</formula>
    </cfRule>
    <cfRule type="cellIs" dxfId="175" priority="13" stopIfTrue="1" operator="lessThan">
      <formula>0</formula>
    </cfRule>
  </conditionalFormatting>
  <conditionalFormatting sqref="F1:EB1 B5:EB5 B9:DY9">
    <cfRule type="expression" dxfId="174" priority="1" stopIfTrue="1">
      <formula>ErrorsPresent&gt;0</formula>
    </cfRule>
    <cfRule type="expression" dxfId="173" priority="2" stopIfTrue="1">
      <formula>ErrorsPresent&lt;0</formula>
    </cfRule>
  </conditionalFormatting>
  <conditionalFormatting sqref="A1:B1">
    <cfRule type="expression" dxfId="172" priority="9" stopIfTrue="1">
      <formula>ErrorsPresent&gt;0</formula>
    </cfRule>
    <cfRule type="expression" dxfId="171" priority="10" stopIfTrue="1">
      <formula>ErrorsPresent&lt;0</formula>
    </cfRule>
  </conditionalFormatting>
  <conditionalFormatting sqref="A9">
    <cfRule type="expression" dxfId="170" priority="7" stopIfTrue="1">
      <formula>ErrorsPresent&gt;0</formula>
    </cfRule>
    <cfRule type="expression" dxfId="169" priority="8" stopIfTrue="1">
      <formula>ErrorsPresent&lt;0</formula>
    </cfRule>
  </conditionalFormatting>
  <conditionalFormatting sqref="C1:D1">
    <cfRule type="expression" dxfId="168" priority="5" stopIfTrue="1">
      <formula>ErrorsPresent&gt;0</formula>
    </cfRule>
    <cfRule type="expression" dxfId="167" priority="6" stopIfTrue="1">
      <formula>ErrorsPresent&lt;0</formula>
    </cfRule>
  </conditionalFormatting>
  <conditionalFormatting sqref="A5">
    <cfRule type="expression" dxfId="166" priority="3" stopIfTrue="1">
      <formula>ErrorsPresent&gt;0</formula>
    </cfRule>
    <cfRule type="expression" dxfId="165" priority="4" stopIfTrue="1">
      <formula>ErrorsPresent&lt;0</formula>
    </cfRule>
  </conditionalFormatting>
  <conditionalFormatting sqref="F12:DX24">
    <cfRule type="expression" dxfId="164" priority="14" stopIfTrue="1">
      <formula>#REF!&lt;&gt;""</formula>
    </cfRule>
  </conditionalFormatting>
  <hyperlinks>
    <hyperlink ref="E1" location="PLA5A" tooltip="Hyperlink to &quot;Error Checks&quot; sheet" display="PLA5A"/>
  </hyperlinks>
  <pageMargins left="0.4" right="0.4" top="1" bottom="1" header="0.5" footer="0.5"/>
  <pageSetup scale="53" orientation="landscape" r:id="rId1"/>
  <headerFooter alignWithMargins="0">
    <oddHeader>&amp;LFUJITSU SERVICES&amp;RCOMMERCIAL IN CONFIDENCE</oddHeader>
    <oddFooter>&amp;L&amp;"Arial,Italic"&amp;F&amp;C&amp;"Arial,Italic"Printed on &amp;D at &amp;T&amp;R&amp;"Arial,Italic"Page &amp;P of &amp;N</oddFooter>
  </headerFooter>
  <colBreaks count="1" manualBreakCount="1">
    <brk id="17" min="4" max="139"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outlinePr summaryBelow="0" summaryRight="0"/>
    <pageSetUpPr autoPageBreaks="0"/>
  </sheetPr>
  <dimension ref="A1:XAJ207"/>
  <sheetViews>
    <sheetView showGridLines="0" zoomScale="90" zoomScaleNormal="90" workbookViewId="0">
      <selection activeCell="F14" sqref="F14"/>
    </sheetView>
  </sheetViews>
  <sheetFormatPr defaultColWidth="0" defaultRowHeight="12.75" customHeight="1" zeroHeight="1" outlineLevelRow="1" outlineLevelCol="1"/>
  <cols>
    <col min="1" max="3" width="9.140625" style="94" customWidth="1"/>
    <col min="4" max="4" width="11.140625" style="94" customWidth="1"/>
    <col min="5" max="5" width="9.28515625" style="94" customWidth="1"/>
    <col min="6" max="128" width="11.7109375" style="94" customWidth="1"/>
    <col min="129" max="129" width="1.7109375" style="94" customWidth="1" collapsed="1"/>
    <col min="130" max="131" width="0" style="94" hidden="1" customWidth="1" outlineLevel="1"/>
    <col min="132" max="132" width="1.7109375" style="94" customWidth="1"/>
    <col min="133" max="158" width="0" style="94" hidden="1"/>
    <col min="159" max="230" width="9.140625" style="94" hidden="1"/>
    <col min="231" max="233" width="9.140625" style="94" customWidth="1"/>
    <col min="234" max="234" width="11.140625" style="94" customWidth="1"/>
    <col min="235" max="235" width="9.140625" style="94" customWidth="1"/>
    <col min="236" max="236" width="9.28515625" style="94" customWidth="1"/>
    <col min="237" max="237" width="10.85546875" style="94" customWidth="1"/>
    <col min="238" max="257" width="9.140625" style="94" hidden="1" customWidth="1"/>
    <col min="258" max="258" width="7.28515625" style="94" customWidth="1"/>
    <col min="259" max="260" width="9.140625" style="94" customWidth="1"/>
    <col min="261" max="261" width="12" style="94" customWidth="1"/>
    <col min="262" max="384" width="11.7109375" style="94" customWidth="1"/>
    <col min="385" max="385" width="1.7109375" style="94" customWidth="1"/>
    <col min="386" max="387" width="9.140625" style="94" hidden="1" customWidth="1"/>
    <col min="388" max="388" width="1.7109375" style="94" customWidth="1"/>
    <col min="389" max="486" width="9.140625" style="94" hidden="1"/>
    <col min="487" max="489" width="9.140625" style="94" customWidth="1"/>
    <col min="490" max="490" width="11.140625" style="94" customWidth="1"/>
    <col min="491" max="491" width="9.140625" style="94" customWidth="1"/>
    <col min="492" max="492" width="9.28515625" style="94" customWidth="1"/>
    <col min="493" max="493" width="10.85546875" style="94" customWidth="1"/>
    <col min="494" max="513" width="9.140625" style="94" hidden="1" customWidth="1"/>
    <col min="514" max="514" width="7.28515625" style="94" customWidth="1"/>
    <col min="515" max="516" width="9.140625" style="94" customWidth="1"/>
    <col min="517" max="517" width="12" style="94" customWidth="1"/>
    <col min="518" max="640" width="11.7109375" style="94" customWidth="1"/>
    <col min="641" max="641" width="1.7109375" style="94" customWidth="1"/>
    <col min="642" max="643" width="9.140625" style="94" hidden="1" customWidth="1"/>
    <col min="644" max="644" width="1.7109375" style="94" customWidth="1"/>
    <col min="645" max="742" width="9.140625" style="94" hidden="1"/>
    <col min="743" max="745" width="9.140625" style="94" customWidth="1"/>
    <col min="746" max="746" width="11.140625" style="94" customWidth="1"/>
    <col min="747" max="747" width="9.140625" style="94" customWidth="1"/>
    <col min="748" max="748" width="9.28515625" style="94" customWidth="1"/>
    <col min="749" max="749" width="10.85546875" style="94" customWidth="1"/>
    <col min="750" max="769" width="9.140625" style="94" hidden="1" customWidth="1"/>
    <col min="770" max="770" width="7.28515625" style="94" customWidth="1"/>
    <col min="771" max="772" width="9.140625" style="94" customWidth="1"/>
    <col min="773" max="773" width="12" style="94" customWidth="1"/>
    <col min="774" max="896" width="11.7109375" style="94" customWidth="1"/>
    <col min="897" max="897" width="1.7109375" style="94" customWidth="1"/>
    <col min="898" max="899" width="9.140625" style="94" hidden="1" customWidth="1"/>
    <col min="900" max="900" width="1.7109375" style="94" customWidth="1"/>
    <col min="901" max="998" width="9.140625" style="94" hidden="1"/>
    <col min="999" max="1001" width="9.140625" style="94" customWidth="1"/>
    <col min="1002" max="1002" width="11.140625" style="94" customWidth="1"/>
    <col min="1003" max="1003" width="9.140625" style="94" customWidth="1"/>
    <col min="1004" max="1004" width="9.28515625" style="94" customWidth="1"/>
    <col min="1005" max="1005" width="10.85546875" style="94" customWidth="1"/>
    <col min="1006" max="1025" width="9.140625" style="94" hidden="1" customWidth="1"/>
    <col min="1026" max="1026" width="7.28515625" style="94" customWidth="1"/>
    <col min="1027" max="1028" width="9.140625" style="94" customWidth="1"/>
    <col min="1029" max="1029" width="12" style="94" customWidth="1"/>
    <col min="1030" max="1152" width="11.7109375" style="94" customWidth="1"/>
    <col min="1153" max="1153" width="1.7109375" style="94" customWidth="1"/>
    <col min="1154" max="1155" width="9.140625" style="94" hidden="1" customWidth="1"/>
    <col min="1156" max="1156" width="1.7109375" style="94" customWidth="1"/>
    <col min="1157" max="1254" width="9.140625" style="94" hidden="1"/>
    <col min="1255" max="1257" width="9.140625" style="94" customWidth="1"/>
    <col min="1258" max="1258" width="11.140625" style="94" customWidth="1"/>
    <col min="1259" max="1259" width="9.140625" style="94" customWidth="1"/>
    <col min="1260" max="1260" width="9.28515625" style="94" customWidth="1"/>
    <col min="1261" max="1261" width="10.85546875" style="94" customWidth="1"/>
    <col min="1262" max="1281" width="9.140625" style="94" hidden="1" customWidth="1"/>
    <col min="1282" max="1282" width="7.28515625" style="94" customWidth="1"/>
    <col min="1283" max="1284" width="9.140625" style="94" customWidth="1"/>
    <col min="1285" max="1285" width="12" style="94" customWidth="1"/>
    <col min="1286" max="1408" width="11.7109375" style="94" customWidth="1"/>
    <col min="1409" max="1409" width="1.7109375" style="94" customWidth="1"/>
    <col min="1410" max="1411" width="9.140625" style="94" hidden="1" customWidth="1"/>
    <col min="1412" max="1412" width="1.7109375" style="94" customWidth="1"/>
    <col min="1413" max="1510" width="9.140625" style="94" hidden="1"/>
    <col min="1511" max="1513" width="9.140625" style="94" customWidth="1"/>
    <col min="1514" max="1514" width="11.140625" style="94" customWidth="1"/>
    <col min="1515" max="1515" width="9.140625" style="94" customWidth="1"/>
    <col min="1516" max="1516" width="9.28515625" style="94" customWidth="1"/>
    <col min="1517" max="1517" width="10.85546875" style="94" customWidth="1"/>
    <col min="1518" max="1537" width="9.140625" style="94" hidden="1" customWidth="1"/>
    <col min="1538" max="1538" width="7.28515625" style="94" customWidth="1"/>
    <col min="1539" max="1540" width="9.140625" style="94" customWidth="1"/>
    <col min="1541" max="1541" width="12" style="94" customWidth="1"/>
    <col min="1542" max="1664" width="11.7109375" style="94" customWidth="1"/>
    <col min="1665" max="1665" width="1.7109375" style="94" customWidth="1"/>
    <col min="1666" max="1667" width="9.140625" style="94" hidden="1" customWidth="1"/>
    <col min="1668" max="1668" width="1.7109375" style="94" customWidth="1"/>
    <col min="1669" max="1766" width="9.140625" style="94" hidden="1"/>
    <col min="1767" max="1769" width="9.140625" style="94" customWidth="1"/>
    <col min="1770" max="1770" width="11.140625" style="94" customWidth="1"/>
    <col min="1771" max="1771" width="9.140625" style="94" customWidth="1"/>
    <col min="1772" max="1772" width="9.28515625" style="94" customWidth="1"/>
    <col min="1773" max="1773" width="10.85546875" style="94" customWidth="1"/>
    <col min="1774" max="1793" width="9.140625" style="94" hidden="1" customWidth="1"/>
    <col min="1794" max="1794" width="7.28515625" style="94" customWidth="1"/>
    <col min="1795" max="1796" width="9.140625" style="94" customWidth="1"/>
    <col min="1797" max="1797" width="12" style="94" customWidth="1"/>
    <col min="1798" max="1920" width="11.7109375" style="94" customWidth="1"/>
    <col min="1921" max="1921" width="1.7109375" style="94" customWidth="1"/>
    <col min="1922" max="1923" width="9.140625" style="94" hidden="1" customWidth="1"/>
    <col min="1924" max="1924" width="1.7109375" style="94" customWidth="1"/>
    <col min="1925" max="2022" width="9.140625" style="94" hidden="1"/>
    <col min="2023" max="2025" width="9.140625" style="94" customWidth="1"/>
    <col min="2026" max="2026" width="11.140625" style="94" customWidth="1"/>
    <col min="2027" max="2027" width="9.140625" style="94" customWidth="1"/>
    <col min="2028" max="2028" width="9.28515625" style="94" customWidth="1"/>
    <col min="2029" max="2029" width="10.85546875" style="94" customWidth="1"/>
    <col min="2030" max="2049" width="9.140625" style="94" hidden="1" customWidth="1"/>
    <col min="2050" max="2050" width="7.28515625" style="94" customWidth="1"/>
    <col min="2051" max="2052" width="9.140625" style="94" customWidth="1"/>
    <col min="2053" max="2053" width="12" style="94" customWidth="1"/>
    <col min="2054" max="2176" width="11.7109375" style="94" customWidth="1"/>
    <col min="2177" max="2177" width="1.7109375" style="94" customWidth="1"/>
    <col min="2178" max="2179" width="9.140625" style="94" hidden="1" customWidth="1"/>
    <col min="2180" max="2180" width="1.7109375" style="94" customWidth="1"/>
    <col min="2181" max="2278" width="9.140625" style="94" hidden="1"/>
    <col min="2279" max="2281" width="9.140625" style="94" customWidth="1"/>
    <col min="2282" max="2282" width="11.140625" style="94" customWidth="1"/>
    <col min="2283" max="2283" width="9.140625" style="94" customWidth="1"/>
    <col min="2284" max="2284" width="9.28515625" style="94" customWidth="1"/>
    <col min="2285" max="2285" width="10.85546875" style="94" customWidth="1"/>
    <col min="2286" max="2305" width="9.140625" style="94" hidden="1" customWidth="1"/>
    <col min="2306" max="2306" width="7.28515625" style="94" customWidth="1"/>
    <col min="2307" max="2308" width="9.140625" style="94" customWidth="1"/>
    <col min="2309" max="2309" width="12" style="94" customWidth="1"/>
    <col min="2310" max="2432" width="11.7109375" style="94" customWidth="1"/>
    <col min="2433" max="2433" width="1.7109375" style="94" customWidth="1"/>
    <col min="2434" max="2435" width="9.140625" style="94" hidden="1" customWidth="1"/>
    <col min="2436" max="2436" width="1.7109375" style="94" customWidth="1"/>
    <col min="2437" max="2534" width="9.140625" style="94" hidden="1"/>
    <col min="2535" max="2537" width="9.140625" style="94" customWidth="1"/>
    <col min="2538" max="2538" width="11.140625" style="94" customWidth="1"/>
    <col min="2539" max="2539" width="9.140625" style="94" customWidth="1"/>
    <col min="2540" max="2540" width="9.28515625" style="94" customWidth="1"/>
    <col min="2541" max="2541" width="10.85546875" style="94" customWidth="1"/>
    <col min="2542" max="2561" width="9.140625" style="94" hidden="1" customWidth="1"/>
    <col min="2562" max="2562" width="7.28515625" style="94" customWidth="1"/>
    <col min="2563" max="2564" width="9.140625" style="94" customWidth="1"/>
    <col min="2565" max="2565" width="12" style="94" customWidth="1"/>
    <col min="2566" max="2688" width="11.7109375" style="94" customWidth="1"/>
    <col min="2689" max="2689" width="1.7109375" style="94" customWidth="1"/>
    <col min="2690" max="2691" width="9.140625" style="94" hidden="1" customWidth="1"/>
    <col min="2692" max="2692" width="1.7109375" style="94" customWidth="1"/>
    <col min="2693" max="2790" width="9.140625" style="94" hidden="1"/>
    <col min="2791" max="2793" width="9.140625" style="94" customWidth="1"/>
    <col min="2794" max="2794" width="11.140625" style="94" customWidth="1"/>
    <col min="2795" max="2795" width="9.140625" style="94" customWidth="1"/>
    <col min="2796" max="2796" width="9.28515625" style="94" customWidth="1"/>
    <col min="2797" max="2797" width="10.85546875" style="94" customWidth="1"/>
    <col min="2798" max="2817" width="9.140625" style="94" hidden="1" customWidth="1"/>
    <col min="2818" max="2818" width="7.28515625" style="94" customWidth="1"/>
    <col min="2819" max="2820" width="9.140625" style="94" customWidth="1"/>
    <col min="2821" max="2821" width="12" style="94" customWidth="1"/>
    <col min="2822" max="2944" width="11.7109375" style="94" customWidth="1"/>
    <col min="2945" max="2945" width="1.7109375" style="94" customWidth="1"/>
    <col min="2946" max="2947" width="9.140625" style="94" hidden="1" customWidth="1"/>
    <col min="2948" max="2948" width="1.7109375" style="94" customWidth="1"/>
    <col min="2949" max="3046" width="9.140625" style="94" hidden="1"/>
    <col min="3047" max="3049" width="9.140625" style="94" customWidth="1"/>
    <col min="3050" max="3050" width="11.140625" style="94" customWidth="1"/>
    <col min="3051" max="3051" width="9.140625" style="94" customWidth="1"/>
    <col min="3052" max="3052" width="9.28515625" style="94" customWidth="1"/>
    <col min="3053" max="3053" width="10.85546875" style="94" customWidth="1"/>
    <col min="3054" max="3073" width="9.140625" style="94" hidden="1" customWidth="1"/>
    <col min="3074" max="3074" width="7.28515625" style="94" customWidth="1"/>
    <col min="3075" max="3076" width="9.140625" style="94" customWidth="1"/>
    <col min="3077" max="3077" width="12" style="94" customWidth="1"/>
    <col min="3078" max="3200" width="11.7109375" style="94" customWidth="1"/>
    <col min="3201" max="3201" width="1.7109375" style="94" customWidth="1"/>
    <col min="3202" max="3203" width="9.140625" style="94" hidden="1" customWidth="1"/>
    <col min="3204" max="3204" width="1.7109375" style="94" customWidth="1"/>
    <col min="3205" max="3302" width="9.140625" style="94" hidden="1"/>
    <col min="3303" max="3305" width="9.140625" style="94" customWidth="1"/>
    <col min="3306" max="3306" width="11.140625" style="94" customWidth="1"/>
    <col min="3307" max="3307" width="9.140625" style="94" customWidth="1"/>
    <col min="3308" max="3308" width="9.28515625" style="94" customWidth="1"/>
    <col min="3309" max="3309" width="10.85546875" style="94" customWidth="1"/>
    <col min="3310" max="3329" width="9.140625" style="94" hidden="1" customWidth="1"/>
    <col min="3330" max="3330" width="7.28515625" style="94" customWidth="1"/>
    <col min="3331" max="3332" width="9.140625" style="94" customWidth="1"/>
    <col min="3333" max="3333" width="12" style="94" customWidth="1"/>
    <col min="3334" max="3456" width="11.7109375" style="94" customWidth="1"/>
    <col min="3457" max="3457" width="1.7109375" style="94" customWidth="1"/>
    <col min="3458" max="3459" width="9.140625" style="94" hidden="1" customWidth="1"/>
    <col min="3460" max="3460" width="1.7109375" style="94" customWidth="1"/>
    <col min="3461" max="3558" width="9.140625" style="94" hidden="1"/>
    <col min="3559" max="3561" width="9.140625" style="94" customWidth="1"/>
    <col min="3562" max="3562" width="11.140625" style="94" customWidth="1"/>
    <col min="3563" max="3563" width="9.140625" style="94" customWidth="1"/>
    <col min="3564" max="3564" width="9.28515625" style="94" customWidth="1"/>
    <col min="3565" max="3565" width="10.85546875" style="94" customWidth="1"/>
    <col min="3566" max="3585" width="9.140625" style="94" hidden="1" customWidth="1"/>
    <col min="3586" max="3586" width="7.28515625" style="94" customWidth="1"/>
    <col min="3587" max="3588" width="9.140625" style="94" customWidth="1"/>
    <col min="3589" max="3589" width="12" style="94" customWidth="1"/>
    <col min="3590" max="3712" width="11.7109375" style="94" customWidth="1"/>
    <col min="3713" max="3713" width="1.7109375" style="94" customWidth="1"/>
    <col min="3714" max="3715" width="9.140625" style="94" hidden="1" customWidth="1"/>
    <col min="3716" max="3716" width="1.7109375" style="94" customWidth="1"/>
    <col min="3717" max="3814" width="9.140625" style="94" hidden="1"/>
    <col min="3815" max="3817" width="9.140625" style="94" customWidth="1"/>
    <col min="3818" max="3818" width="11.140625" style="94" customWidth="1"/>
    <col min="3819" max="3819" width="9.140625" style="94" customWidth="1"/>
    <col min="3820" max="3820" width="9.28515625" style="94" customWidth="1"/>
    <col min="3821" max="3821" width="10.85546875" style="94" customWidth="1"/>
    <col min="3822" max="3841" width="9.140625" style="94" hidden="1" customWidth="1"/>
    <col min="3842" max="3842" width="7.28515625" style="94" customWidth="1"/>
    <col min="3843" max="3844" width="9.140625" style="94" customWidth="1"/>
    <col min="3845" max="3845" width="12" style="94" customWidth="1"/>
    <col min="3846" max="3968" width="11.7109375" style="94" customWidth="1"/>
    <col min="3969" max="3969" width="1.7109375" style="94" customWidth="1"/>
    <col min="3970" max="3971" width="9.140625" style="94" hidden="1" customWidth="1"/>
    <col min="3972" max="3972" width="1.7109375" style="94" customWidth="1"/>
    <col min="3973" max="4070" width="9.140625" style="94" hidden="1"/>
    <col min="4071" max="4073" width="9.140625" style="94" customWidth="1"/>
    <col min="4074" max="4074" width="11.140625" style="94" customWidth="1"/>
    <col min="4075" max="4075" width="9.140625" style="94" customWidth="1"/>
    <col min="4076" max="4076" width="9.28515625" style="94" customWidth="1"/>
    <col min="4077" max="4077" width="10.85546875" style="94" customWidth="1"/>
    <col min="4078" max="4097" width="9.140625" style="94" hidden="1" customWidth="1"/>
    <col min="4098" max="4098" width="7.28515625" style="94" customWidth="1"/>
    <col min="4099" max="4100" width="9.140625" style="94" customWidth="1"/>
    <col min="4101" max="4101" width="12" style="94" customWidth="1"/>
    <col min="4102" max="4224" width="11.7109375" style="94" customWidth="1"/>
    <col min="4225" max="4225" width="1.7109375" style="94" customWidth="1"/>
    <col min="4226" max="4227" width="9.140625" style="94" hidden="1" customWidth="1"/>
    <col min="4228" max="4228" width="1.7109375" style="94" customWidth="1"/>
    <col min="4229" max="4326" width="9.140625" style="94" hidden="1"/>
    <col min="4327" max="4329" width="9.140625" style="94" customWidth="1"/>
    <col min="4330" max="4330" width="11.140625" style="94" customWidth="1"/>
    <col min="4331" max="4331" width="9.140625" style="94" customWidth="1"/>
    <col min="4332" max="4332" width="9.28515625" style="94" customWidth="1"/>
    <col min="4333" max="4333" width="10.85546875" style="94" customWidth="1"/>
    <col min="4334" max="4353" width="9.140625" style="94" hidden="1" customWidth="1"/>
    <col min="4354" max="4354" width="7.28515625" style="94" customWidth="1"/>
    <col min="4355" max="4356" width="9.140625" style="94" customWidth="1"/>
    <col min="4357" max="4357" width="12" style="94" customWidth="1"/>
    <col min="4358" max="4480" width="11.7109375" style="94" customWidth="1"/>
    <col min="4481" max="4481" width="1.7109375" style="94" customWidth="1"/>
    <col min="4482" max="4483" width="9.140625" style="94" hidden="1" customWidth="1"/>
    <col min="4484" max="4484" width="1.7109375" style="94" customWidth="1"/>
    <col min="4485" max="4582" width="9.140625" style="94" hidden="1"/>
    <col min="4583" max="4585" width="9.140625" style="94" customWidth="1"/>
    <col min="4586" max="4586" width="11.140625" style="94" customWidth="1"/>
    <col min="4587" max="4587" width="9.140625" style="94" customWidth="1"/>
    <col min="4588" max="4588" width="9.28515625" style="94" customWidth="1"/>
    <col min="4589" max="4589" width="10.85546875" style="94" customWidth="1"/>
    <col min="4590" max="4609" width="9.140625" style="94" hidden="1" customWidth="1"/>
    <col min="4610" max="4610" width="7.28515625" style="94" customWidth="1"/>
    <col min="4611" max="4612" width="9.140625" style="94" customWidth="1"/>
    <col min="4613" max="4613" width="12" style="94" customWidth="1"/>
    <col min="4614" max="4736" width="11.7109375" style="94" customWidth="1"/>
    <col min="4737" max="4737" width="1.7109375" style="94" customWidth="1"/>
    <col min="4738" max="4739" width="9.140625" style="94" hidden="1" customWidth="1"/>
    <col min="4740" max="4740" width="1.7109375" style="94" customWidth="1"/>
    <col min="4741" max="4838" width="9.140625" style="94" hidden="1"/>
    <col min="4839" max="4841" width="9.140625" style="94" customWidth="1"/>
    <col min="4842" max="4842" width="11.140625" style="94" customWidth="1"/>
    <col min="4843" max="4843" width="9.140625" style="94" customWidth="1"/>
    <col min="4844" max="4844" width="9.28515625" style="94" customWidth="1"/>
    <col min="4845" max="4845" width="10.85546875" style="94" customWidth="1"/>
    <col min="4846" max="4865" width="9.140625" style="94" hidden="1" customWidth="1"/>
    <col min="4866" max="4866" width="7.28515625" style="94" customWidth="1"/>
    <col min="4867" max="4868" width="9.140625" style="94" customWidth="1"/>
    <col min="4869" max="4869" width="12" style="94" customWidth="1"/>
    <col min="4870" max="4992" width="11.7109375" style="94" customWidth="1"/>
    <col min="4993" max="4993" width="1.7109375" style="94" customWidth="1"/>
    <col min="4994" max="4995" width="9.140625" style="94" hidden="1" customWidth="1"/>
    <col min="4996" max="4996" width="1.7109375" style="94" customWidth="1"/>
    <col min="4997" max="5094" width="9.140625" style="94" hidden="1"/>
    <col min="5095" max="5097" width="9.140625" style="94" customWidth="1"/>
    <col min="5098" max="5098" width="11.140625" style="94" customWidth="1"/>
    <col min="5099" max="5099" width="9.140625" style="94" customWidth="1"/>
    <col min="5100" max="5100" width="9.28515625" style="94" customWidth="1"/>
    <col min="5101" max="5101" width="10.85546875" style="94" customWidth="1"/>
    <col min="5102" max="5121" width="9.140625" style="94" hidden="1" customWidth="1"/>
    <col min="5122" max="5122" width="7.28515625" style="94" customWidth="1"/>
    <col min="5123" max="5124" width="9.140625" style="94" customWidth="1"/>
    <col min="5125" max="5125" width="12" style="94" customWidth="1"/>
    <col min="5126" max="5248" width="11.7109375" style="94" customWidth="1"/>
    <col min="5249" max="5249" width="1.7109375" style="94" customWidth="1"/>
    <col min="5250" max="5251" width="9.140625" style="94" hidden="1" customWidth="1"/>
    <col min="5252" max="5252" width="1.7109375" style="94" customWidth="1"/>
    <col min="5253" max="5350" width="9.140625" style="94" hidden="1"/>
    <col min="5351" max="5353" width="9.140625" style="94" customWidth="1"/>
    <col min="5354" max="5354" width="11.140625" style="94" customWidth="1"/>
    <col min="5355" max="5355" width="9.140625" style="94" customWidth="1"/>
    <col min="5356" max="5356" width="9.28515625" style="94" customWidth="1"/>
    <col min="5357" max="5357" width="10.85546875" style="94" customWidth="1"/>
    <col min="5358" max="5377" width="9.140625" style="94" hidden="1" customWidth="1"/>
    <col min="5378" max="5378" width="7.28515625" style="94" customWidth="1"/>
    <col min="5379" max="5380" width="9.140625" style="94" customWidth="1"/>
    <col min="5381" max="5381" width="12" style="94" customWidth="1"/>
    <col min="5382" max="5504" width="11.7109375" style="94" customWidth="1"/>
    <col min="5505" max="5505" width="1.7109375" style="94" customWidth="1"/>
    <col min="5506" max="5507" width="9.140625" style="94" hidden="1" customWidth="1"/>
    <col min="5508" max="5508" width="1.7109375" style="94" customWidth="1"/>
    <col min="5509" max="5606" width="9.140625" style="94" hidden="1"/>
    <col min="5607" max="5609" width="9.140625" style="94" customWidth="1"/>
    <col min="5610" max="5610" width="11.140625" style="94" customWidth="1"/>
    <col min="5611" max="5611" width="9.140625" style="94" customWidth="1"/>
    <col min="5612" max="5612" width="9.28515625" style="94" customWidth="1"/>
    <col min="5613" max="5613" width="10.85546875" style="94" customWidth="1"/>
    <col min="5614" max="5633" width="9.140625" style="94" hidden="1" customWidth="1"/>
    <col min="5634" max="5634" width="7.28515625" style="94" customWidth="1"/>
    <col min="5635" max="5636" width="9.140625" style="94" customWidth="1"/>
    <col min="5637" max="5637" width="12" style="94" customWidth="1"/>
    <col min="5638" max="5760" width="11.7109375" style="94" customWidth="1"/>
    <col min="5761" max="5761" width="1.7109375" style="94" customWidth="1"/>
    <col min="5762" max="5763" width="9.140625" style="94" hidden="1" customWidth="1"/>
    <col min="5764" max="5764" width="1.7109375" style="94" customWidth="1"/>
    <col min="5765" max="5862" width="9.140625" style="94" hidden="1"/>
    <col min="5863" max="5865" width="9.140625" style="94" customWidth="1"/>
    <col min="5866" max="5866" width="11.140625" style="94" customWidth="1"/>
    <col min="5867" max="5867" width="9.140625" style="94" customWidth="1"/>
    <col min="5868" max="5868" width="9.28515625" style="94" customWidth="1"/>
    <col min="5869" max="5869" width="10.85546875" style="94" customWidth="1"/>
    <col min="5870" max="5889" width="9.140625" style="94" hidden="1" customWidth="1"/>
    <col min="5890" max="5890" width="7.28515625" style="94" customWidth="1"/>
    <col min="5891" max="5892" width="9.140625" style="94" customWidth="1"/>
    <col min="5893" max="5893" width="12" style="94" customWidth="1"/>
    <col min="5894" max="6016" width="11.7109375" style="94" customWidth="1"/>
    <col min="6017" max="6017" width="1.7109375" style="94" customWidth="1"/>
    <col min="6018" max="6019" width="9.140625" style="94" hidden="1" customWidth="1"/>
    <col min="6020" max="6020" width="1.7109375" style="94" customWidth="1"/>
    <col min="6021" max="6118" width="9.140625" style="94" hidden="1"/>
    <col min="6119" max="6121" width="9.140625" style="94" customWidth="1"/>
    <col min="6122" max="6122" width="11.140625" style="94" customWidth="1"/>
    <col min="6123" max="6123" width="9.140625" style="94" customWidth="1"/>
    <col min="6124" max="6124" width="9.28515625" style="94" customWidth="1"/>
    <col min="6125" max="6125" width="10.85546875" style="94" customWidth="1"/>
    <col min="6126" max="6145" width="9.140625" style="94" hidden="1" customWidth="1"/>
    <col min="6146" max="6146" width="7.28515625" style="94" customWidth="1"/>
    <col min="6147" max="6148" width="9.140625" style="94" customWidth="1"/>
    <col min="6149" max="6149" width="12" style="94" customWidth="1"/>
    <col min="6150" max="6272" width="11.7109375" style="94" customWidth="1"/>
    <col min="6273" max="6273" width="1.7109375" style="94" customWidth="1"/>
    <col min="6274" max="6275" width="9.140625" style="94" hidden="1" customWidth="1"/>
    <col min="6276" max="6276" width="1.7109375" style="94" customWidth="1"/>
    <col min="6277" max="6374" width="9.140625" style="94" hidden="1"/>
    <col min="6375" max="6377" width="9.140625" style="94" customWidth="1"/>
    <col min="6378" max="6378" width="11.140625" style="94" customWidth="1"/>
    <col min="6379" max="6379" width="9.140625" style="94" customWidth="1"/>
    <col min="6380" max="6380" width="9.28515625" style="94" customWidth="1"/>
    <col min="6381" max="6381" width="10.85546875" style="94" customWidth="1"/>
    <col min="6382" max="6401" width="9.140625" style="94" hidden="1" customWidth="1"/>
    <col min="6402" max="6402" width="7.28515625" style="94" customWidth="1"/>
    <col min="6403" max="6404" width="9.140625" style="94" customWidth="1"/>
    <col min="6405" max="6405" width="12" style="94" customWidth="1"/>
    <col min="6406" max="6528" width="11.7109375" style="94" customWidth="1"/>
    <col min="6529" max="6529" width="1.7109375" style="94" customWidth="1"/>
    <col min="6530" max="6531" width="9.140625" style="94" hidden="1" customWidth="1"/>
    <col min="6532" max="6532" width="1.7109375" style="94" customWidth="1"/>
    <col min="6533" max="6630" width="9.140625" style="94" hidden="1"/>
    <col min="6631" max="6633" width="9.140625" style="94" customWidth="1"/>
    <col min="6634" max="6634" width="11.140625" style="94" customWidth="1"/>
    <col min="6635" max="6635" width="9.140625" style="94" customWidth="1"/>
    <col min="6636" max="6636" width="9.28515625" style="94" customWidth="1"/>
    <col min="6637" max="6637" width="10.85546875" style="94" customWidth="1"/>
    <col min="6638" max="6657" width="9.140625" style="94" hidden="1" customWidth="1"/>
    <col min="6658" max="6658" width="7.28515625" style="94" customWidth="1"/>
    <col min="6659" max="6660" width="9.140625" style="94" customWidth="1"/>
    <col min="6661" max="6661" width="12" style="94" customWidth="1"/>
    <col min="6662" max="6784" width="11.7109375" style="94" customWidth="1"/>
    <col min="6785" max="6785" width="1.7109375" style="94" customWidth="1"/>
    <col min="6786" max="6787" width="9.140625" style="94" hidden="1" customWidth="1"/>
    <col min="6788" max="6788" width="1.7109375" style="94" customWidth="1"/>
    <col min="6789" max="6886" width="9.140625" style="94" hidden="1"/>
    <col min="6887" max="6889" width="9.140625" style="94" customWidth="1"/>
    <col min="6890" max="6890" width="11.140625" style="94" customWidth="1"/>
    <col min="6891" max="6891" width="9.140625" style="94" customWidth="1"/>
    <col min="6892" max="6892" width="9.28515625" style="94" customWidth="1"/>
    <col min="6893" max="6893" width="10.85546875" style="94" customWidth="1"/>
    <col min="6894" max="6913" width="9.140625" style="94" hidden="1" customWidth="1"/>
    <col min="6914" max="6914" width="7.28515625" style="94" customWidth="1"/>
    <col min="6915" max="6916" width="9.140625" style="94" customWidth="1"/>
    <col min="6917" max="6917" width="12" style="94" customWidth="1"/>
    <col min="6918" max="7040" width="11.7109375" style="94" customWidth="1"/>
    <col min="7041" max="7041" width="1.7109375" style="94" customWidth="1"/>
    <col min="7042" max="7043" width="9.140625" style="94" hidden="1" customWidth="1"/>
    <col min="7044" max="7044" width="1.7109375" style="94" customWidth="1"/>
    <col min="7045" max="7142" width="9.140625" style="94" hidden="1"/>
    <col min="7143" max="7145" width="9.140625" style="94" customWidth="1"/>
    <col min="7146" max="7146" width="11.140625" style="94" customWidth="1"/>
    <col min="7147" max="7147" width="9.140625" style="94" customWidth="1"/>
    <col min="7148" max="7148" width="9.28515625" style="94" customWidth="1"/>
    <col min="7149" max="7149" width="10.85546875" style="94" customWidth="1"/>
    <col min="7150" max="7169" width="9.140625" style="94" hidden="1" customWidth="1"/>
    <col min="7170" max="7170" width="7.28515625" style="94" customWidth="1"/>
    <col min="7171" max="7172" width="9.140625" style="94" customWidth="1"/>
    <col min="7173" max="7173" width="12" style="94" customWidth="1"/>
    <col min="7174" max="7296" width="11.7109375" style="94" customWidth="1"/>
    <col min="7297" max="7297" width="1.7109375" style="94" customWidth="1"/>
    <col min="7298" max="7299" width="9.140625" style="94" hidden="1" customWidth="1"/>
    <col min="7300" max="7300" width="1.7109375" style="94" customWidth="1"/>
    <col min="7301" max="7398" width="9.140625" style="94" hidden="1"/>
    <col min="7399" max="7401" width="9.140625" style="94" customWidth="1"/>
    <col min="7402" max="7402" width="11.140625" style="94" customWidth="1"/>
    <col min="7403" max="7403" width="9.140625" style="94" customWidth="1"/>
    <col min="7404" max="7404" width="9.28515625" style="94" customWidth="1"/>
    <col min="7405" max="7405" width="10.85546875" style="94" customWidth="1"/>
    <col min="7406" max="7425" width="9.140625" style="94" hidden="1" customWidth="1"/>
    <col min="7426" max="7426" width="7.28515625" style="94" customWidth="1"/>
    <col min="7427" max="7428" width="9.140625" style="94" customWidth="1"/>
    <col min="7429" max="7429" width="12" style="94" customWidth="1"/>
    <col min="7430" max="7552" width="11.7109375" style="94" customWidth="1"/>
    <col min="7553" max="7553" width="1.7109375" style="94" customWidth="1"/>
    <col min="7554" max="7555" width="9.140625" style="94" hidden="1" customWidth="1"/>
    <col min="7556" max="7556" width="1.7109375" style="94" customWidth="1"/>
    <col min="7557" max="7654" width="9.140625" style="94" hidden="1"/>
    <col min="7655" max="7657" width="9.140625" style="94" customWidth="1"/>
    <col min="7658" max="7658" width="11.140625" style="94" customWidth="1"/>
    <col min="7659" max="7659" width="9.140625" style="94" customWidth="1"/>
    <col min="7660" max="7660" width="9.28515625" style="94" customWidth="1"/>
    <col min="7661" max="7661" width="10.85546875" style="94" customWidth="1"/>
    <col min="7662" max="7681" width="9.140625" style="94" hidden="1" customWidth="1"/>
    <col min="7682" max="7682" width="7.28515625" style="94" customWidth="1"/>
    <col min="7683" max="7684" width="9.140625" style="94" customWidth="1"/>
    <col min="7685" max="7685" width="12" style="94" customWidth="1"/>
    <col min="7686" max="7808" width="11.7109375" style="94" customWidth="1"/>
    <col min="7809" max="7809" width="1.7109375" style="94" customWidth="1"/>
    <col min="7810" max="7811" width="9.140625" style="94" hidden="1" customWidth="1"/>
    <col min="7812" max="7812" width="1.7109375" style="94" customWidth="1"/>
    <col min="7813" max="7910" width="9.140625" style="94" hidden="1"/>
    <col min="7911" max="7913" width="9.140625" style="94" customWidth="1"/>
    <col min="7914" max="7914" width="11.140625" style="94" customWidth="1"/>
    <col min="7915" max="7915" width="9.140625" style="94" customWidth="1"/>
    <col min="7916" max="7916" width="9.28515625" style="94" customWidth="1"/>
    <col min="7917" max="7917" width="10.85546875" style="94" customWidth="1"/>
    <col min="7918" max="7937" width="9.140625" style="94" hidden="1" customWidth="1"/>
    <col min="7938" max="7938" width="7.28515625" style="94" customWidth="1"/>
    <col min="7939" max="7940" width="9.140625" style="94" customWidth="1"/>
    <col min="7941" max="7941" width="12" style="94" customWidth="1"/>
    <col min="7942" max="8064" width="11.7109375" style="94" customWidth="1"/>
    <col min="8065" max="8065" width="1.7109375" style="94" customWidth="1"/>
    <col min="8066" max="8067" width="9.140625" style="94" hidden="1" customWidth="1"/>
    <col min="8068" max="8068" width="1.7109375" style="94" customWidth="1"/>
    <col min="8069" max="8166" width="9.140625" style="94" hidden="1"/>
    <col min="8167" max="8169" width="9.140625" style="94" customWidth="1"/>
    <col min="8170" max="8170" width="11.140625" style="94" customWidth="1"/>
    <col min="8171" max="8171" width="9.140625" style="94" customWidth="1"/>
    <col min="8172" max="8172" width="9.28515625" style="94" customWidth="1"/>
    <col min="8173" max="8173" width="10.85546875" style="94" customWidth="1"/>
    <col min="8174" max="8193" width="9.140625" style="94" hidden="1" customWidth="1"/>
    <col min="8194" max="8194" width="7.28515625" style="94" customWidth="1"/>
    <col min="8195" max="8196" width="9.140625" style="94" customWidth="1"/>
    <col min="8197" max="8197" width="12" style="94" customWidth="1"/>
    <col min="8198" max="8320" width="11.7109375" style="94" customWidth="1"/>
    <col min="8321" max="8321" width="1.7109375" style="94" customWidth="1"/>
    <col min="8322" max="8323" width="9.140625" style="94" hidden="1" customWidth="1"/>
    <col min="8324" max="8324" width="1.7109375" style="94" customWidth="1"/>
    <col min="8325" max="8422" width="9.140625" style="94" hidden="1"/>
    <col min="8423" max="8425" width="9.140625" style="94" customWidth="1"/>
    <col min="8426" max="8426" width="11.140625" style="94" customWidth="1"/>
    <col min="8427" max="8427" width="9.140625" style="94" customWidth="1"/>
    <col min="8428" max="8428" width="9.28515625" style="94" customWidth="1"/>
    <col min="8429" max="8429" width="10.85546875" style="94" customWidth="1"/>
    <col min="8430" max="8449" width="9.140625" style="94" hidden="1" customWidth="1"/>
    <col min="8450" max="8450" width="7.28515625" style="94" customWidth="1"/>
    <col min="8451" max="8452" width="9.140625" style="94" customWidth="1"/>
    <col min="8453" max="8453" width="12" style="94" customWidth="1"/>
    <col min="8454" max="8576" width="11.7109375" style="94" customWidth="1"/>
    <col min="8577" max="8577" width="1.7109375" style="94" customWidth="1"/>
    <col min="8578" max="8579" width="9.140625" style="94" hidden="1" customWidth="1"/>
    <col min="8580" max="8580" width="1.7109375" style="94" customWidth="1"/>
    <col min="8581" max="8678" width="9.140625" style="94" hidden="1"/>
    <col min="8679" max="8681" width="9.140625" style="94" customWidth="1"/>
    <col min="8682" max="8682" width="11.140625" style="94" customWidth="1"/>
    <col min="8683" max="8683" width="9.140625" style="94" customWidth="1"/>
    <col min="8684" max="8684" width="9.28515625" style="94" customWidth="1"/>
    <col min="8685" max="8685" width="10.85546875" style="94" customWidth="1"/>
    <col min="8686" max="8705" width="9.140625" style="94" hidden="1" customWidth="1"/>
    <col min="8706" max="8706" width="7.28515625" style="94" customWidth="1"/>
    <col min="8707" max="8708" width="9.140625" style="94" customWidth="1"/>
    <col min="8709" max="8709" width="12" style="94" customWidth="1"/>
    <col min="8710" max="8832" width="11.7109375" style="94" customWidth="1"/>
    <col min="8833" max="8833" width="1.7109375" style="94" customWidth="1"/>
    <col min="8834" max="8835" width="9.140625" style="94" hidden="1" customWidth="1"/>
    <col min="8836" max="8836" width="1.7109375" style="94" customWidth="1"/>
    <col min="8837" max="8934" width="9.140625" style="94" hidden="1"/>
    <col min="8935" max="8937" width="9.140625" style="94" customWidth="1"/>
    <col min="8938" max="8938" width="11.140625" style="94" customWidth="1"/>
    <col min="8939" max="8939" width="9.140625" style="94" customWidth="1"/>
    <col min="8940" max="8940" width="9.28515625" style="94" customWidth="1"/>
    <col min="8941" max="8941" width="10.85546875" style="94" customWidth="1"/>
    <col min="8942" max="8961" width="9.140625" style="94" hidden="1" customWidth="1"/>
    <col min="8962" max="8962" width="7.28515625" style="94" customWidth="1"/>
    <col min="8963" max="8964" width="9.140625" style="94" customWidth="1"/>
    <col min="8965" max="8965" width="12" style="94" customWidth="1"/>
    <col min="8966" max="9088" width="11.7109375" style="94" customWidth="1"/>
    <col min="9089" max="9089" width="1.7109375" style="94" customWidth="1"/>
    <col min="9090" max="9091" width="9.140625" style="94" hidden="1" customWidth="1"/>
    <col min="9092" max="9092" width="1.7109375" style="94" customWidth="1"/>
    <col min="9093" max="9190" width="9.140625" style="94" hidden="1"/>
    <col min="9191" max="9193" width="9.140625" style="94" customWidth="1"/>
    <col min="9194" max="9194" width="11.140625" style="94" customWidth="1"/>
    <col min="9195" max="9195" width="9.140625" style="94" customWidth="1"/>
    <col min="9196" max="9196" width="9.28515625" style="94" customWidth="1"/>
    <col min="9197" max="9197" width="10.85546875" style="94" customWidth="1"/>
    <col min="9198" max="9217" width="9.140625" style="94" hidden="1" customWidth="1"/>
    <col min="9218" max="9218" width="7.28515625" style="94" customWidth="1"/>
    <col min="9219" max="9220" width="9.140625" style="94" customWidth="1"/>
    <col min="9221" max="9221" width="12" style="94" customWidth="1"/>
    <col min="9222" max="9344" width="11.7109375" style="94" customWidth="1"/>
    <col min="9345" max="9345" width="1.7109375" style="94" customWidth="1"/>
    <col min="9346" max="9347" width="9.140625" style="94" hidden="1" customWidth="1"/>
    <col min="9348" max="9348" width="1.7109375" style="94" customWidth="1"/>
    <col min="9349" max="9446" width="9.140625" style="94" hidden="1"/>
    <col min="9447" max="9449" width="9.140625" style="94" customWidth="1"/>
    <col min="9450" max="9450" width="11.140625" style="94" customWidth="1"/>
    <col min="9451" max="9451" width="9.140625" style="94" customWidth="1"/>
    <col min="9452" max="9452" width="9.28515625" style="94" customWidth="1"/>
    <col min="9453" max="9453" width="10.85546875" style="94" customWidth="1"/>
    <col min="9454" max="9473" width="9.140625" style="94" hidden="1" customWidth="1"/>
    <col min="9474" max="9474" width="7.28515625" style="94" customWidth="1"/>
    <col min="9475" max="9476" width="9.140625" style="94" customWidth="1"/>
    <col min="9477" max="9477" width="12" style="94" customWidth="1"/>
    <col min="9478" max="9600" width="11.7109375" style="94" customWidth="1"/>
    <col min="9601" max="9601" width="1.7109375" style="94" customWidth="1"/>
    <col min="9602" max="9603" width="9.140625" style="94" hidden="1" customWidth="1"/>
    <col min="9604" max="9604" width="1.7109375" style="94" customWidth="1"/>
    <col min="9605" max="9702" width="9.140625" style="94" hidden="1"/>
    <col min="9703" max="9705" width="9.140625" style="94" customWidth="1"/>
    <col min="9706" max="9706" width="11.140625" style="94" customWidth="1"/>
    <col min="9707" max="9707" width="9.140625" style="94" customWidth="1"/>
    <col min="9708" max="9708" width="9.28515625" style="94" customWidth="1"/>
    <col min="9709" max="9709" width="10.85546875" style="94" customWidth="1"/>
    <col min="9710" max="9729" width="9.140625" style="94" hidden="1" customWidth="1"/>
    <col min="9730" max="9730" width="7.28515625" style="94" customWidth="1"/>
    <col min="9731" max="9732" width="9.140625" style="94" customWidth="1"/>
    <col min="9733" max="9733" width="12" style="94" customWidth="1"/>
    <col min="9734" max="9856" width="11.7109375" style="94" customWidth="1"/>
    <col min="9857" max="9857" width="1.7109375" style="94" customWidth="1"/>
    <col min="9858" max="9859" width="9.140625" style="94" hidden="1" customWidth="1"/>
    <col min="9860" max="9860" width="1.7109375" style="94" customWidth="1"/>
    <col min="9861" max="9958" width="9.140625" style="94" hidden="1"/>
    <col min="9959" max="9961" width="9.140625" style="94" customWidth="1"/>
    <col min="9962" max="9962" width="11.140625" style="94" customWidth="1"/>
    <col min="9963" max="9963" width="9.140625" style="94" customWidth="1"/>
    <col min="9964" max="9964" width="9.28515625" style="94" customWidth="1"/>
    <col min="9965" max="9965" width="10.85546875" style="94" customWidth="1"/>
    <col min="9966" max="9985" width="9.140625" style="94" hidden="1" customWidth="1"/>
    <col min="9986" max="9986" width="7.28515625" style="94" customWidth="1"/>
    <col min="9987" max="9988" width="9.140625" style="94" customWidth="1"/>
    <col min="9989" max="9989" width="12" style="94" customWidth="1"/>
    <col min="9990" max="10112" width="11.7109375" style="94" customWidth="1"/>
    <col min="10113" max="10113" width="1.7109375" style="94" customWidth="1"/>
    <col min="10114" max="10115" width="9.140625" style="94" hidden="1" customWidth="1"/>
    <col min="10116" max="10116" width="1.7109375" style="94" customWidth="1"/>
    <col min="10117" max="10214" width="9.140625" style="94" hidden="1"/>
    <col min="10215" max="10217" width="9.140625" style="94" customWidth="1"/>
    <col min="10218" max="10218" width="11.140625" style="94" customWidth="1"/>
    <col min="10219" max="10219" width="9.140625" style="94" customWidth="1"/>
    <col min="10220" max="10220" width="9.28515625" style="94" customWidth="1"/>
    <col min="10221" max="10221" width="10.85546875" style="94" customWidth="1"/>
    <col min="10222" max="10241" width="9.140625" style="94" hidden="1" customWidth="1"/>
    <col min="10242" max="10242" width="7.28515625" style="94" customWidth="1"/>
    <col min="10243" max="10244" width="9.140625" style="94" customWidth="1"/>
    <col min="10245" max="10245" width="12" style="94" customWidth="1"/>
    <col min="10246" max="10368" width="11.7109375" style="94" customWidth="1"/>
    <col min="10369" max="10369" width="1.7109375" style="94" customWidth="1"/>
    <col min="10370" max="10371" width="9.140625" style="94" hidden="1" customWidth="1"/>
    <col min="10372" max="10372" width="1.7109375" style="94" customWidth="1"/>
    <col min="10373" max="10470" width="9.140625" style="94" hidden="1"/>
    <col min="10471" max="10473" width="9.140625" style="94" customWidth="1"/>
    <col min="10474" max="10474" width="11.140625" style="94" customWidth="1"/>
    <col min="10475" max="10475" width="9.140625" style="94" customWidth="1"/>
    <col min="10476" max="10476" width="9.28515625" style="94" customWidth="1"/>
    <col min="10477" max="10477" width="10.85546875" style="94" customWidth="1"/>
    <col min="10478" max="10497" width="9.140625" style="94" hidden="1" customWidth="1"/>
    <col min="10498" max="10498" width="7.28515625" style="94" customWidth="1"/>
    <col min="10499" max="10500" width="9.140625" style="94" customWidth="1"/>
    <col min="10501" max="10501" width="12" style="94" customWidth="1"/>
    <col min="10502" max="10624" width="11.7109375" style="94" customWidth="1"/>
    <col min="10625" max="10625" width="1.7109375" style="94" customWidth="1"/>
    <col min="10626" max="10627" width="9.140625" style="94" hidden="1" customWidth="1"/>
    <col min="10628" max="10628" width="1.7109375" style="94" customWidth="1"/>
    <col min="10629" max="10726" width="9.140625" style="94" hidden="1"/>
    <col min="10727" max="10729" width="9.140625" style="94" customWidth="1"/>
    <col min="10730" max="10730" width="11.140625" style="94" customWidth="1"/>
    <col min="10731" max="10731" width="9.140625" style="94" customWidth="1"/>
    <col min="10732" max="10732" width="9.28515625" style="94" customWidth="1"/>
    <col min="10733" max="10733" width="10.85546875" style="94" customWidth="1"/>
    <col min="10734" max="10753" width="9.140625" style="94" hidden="1" customWidth="1"/>
    <col min="10754" max="10754" width="7.28515625" style="94" customWidth="1"/>
    <col min="10755" max="10756" width="9.140625" style="94" customWidth="1"/>
    <col min="10757" max="10757" width="12" style="94" customWidth="1"/>
    <col min="10758" max="10880" width="11.7109375" style="94" customWidth="1"/>
    <col min="10881" max="10881" width="1.7109375" style="94" customWidth="1"/>
    <col min="10882" max="10883" width="9.140625" style="94" hidden="1" customWidth="1"/>
    <col min="10884" max="10884" width="1.7109375" style="94" customWidth="1"/>
    <col min="10885" max="10982" width="9.140625" style="94" hidden="1"/>
    <col min="10983" max="10985" width="9.140625" style="94" customWidth="1"/>
    <col min="10986" max="10986" width="11.140625" style="94" customWidth="1"/>
    <col min="10987" max="10987" width="9.140625" style="94" customWidth="1"/>
    <col min="10988" max="10988" width="9.28515625" style="94" customWidth="1"/>
    <col min="10989" max="10989" width="10.85546875" style="94" customWidth="1"/>
    <col min="10990" max="11009" width="9.140625" style="94" hidden="1" customWidth="1"/>
    <col min="11010" max="11010" width="7.28515625" style="94" customWidth="1"/>
    <col min="11011" max="11012" width="9.140625" style="94" customWidth="1"/>
    <col min="11013" max="11013" width="12" style="94" customWidth="1"/>
    <col min="11014" max="11136" width="11.7109375" style="94" customWidth="1"/>
    <col min="11137" max="11137" width="1.7109375" style="94" customWidth="1"/>
    <col min="11138" max="11139" width="9.140625" style="94" hidden="1" customWidth="1"/>
    <col min="11140" max="11140" width="1.7109375" style="94" customWidth="1"/>
    <col min="11141" max="11238" width="9.140625" style="94" hidden="1"/>
    <col min="11239" max="11241" width="9.140625" style="94" customWidth="1"/>
    <col min="11242" max="11242" width="11.140625" style="94" customWidth="1"/>
    <col min="11243" max="11243" width="9.140625" style="94" customWidth="1"/>
    <col min="11244" max="11244" width="9.28515625" style="94" customWidth="1"/>
    <col min="11245" max="11245" width="10.85546875" style="94" customWidth="1"/>
    <col min="11246" max="11265" width="9.140625" style="94" hidden="1" customWidth="1"/>
    <col min="11266" max="11266" width="7.28515625" style="94" customWidth="1"/>
    <col min="11267" max="11268" width="9.140625" style="94" customWidth="1"/>
    <col min="11269" max="11269" width="12" style="94" customWidth="1"/>
    <col min="11270" max="11392" width="11.7109375" style="94" customWidth="1"/>
    <col min="11393" max="11393" width="1.7109375" style="94" customWidth="1"/>
    <col min="11394" max="11395" width="9.140625" style="94" hidden="1" customWidth="1"/>
    <col min="11396" max="11396" width="1.7109375" style="94" customWidth="1"/>
    <col min="11397" max="11494" width="9.140625" style="94" hidden="1"/>
    <col min="11495" max="11497" width="9.140625" style="94" customWidth="1"/>
    <col min="11498" max="11498" width="11.140625" style="94" customWidth="1"/>
    <col min="11499" max="11499" width="9.140625" style="94" customWidth="1"/>
    <col min="11500" max="11500" width="9.28515625" style="94" customWidth="1"/>
    <col min="11501" max="11501" width="10.85546875" style="94" customWidth="1"/>
    <col min="11502" max="11521" width="9.140625" style="94" hidden="1" customWidth="1"/>
    <col min="11522" max="11522" width="7.28515625" style="94" customWidth="1"/>
    <col min="11523" max="11524" width="9.140625" style="94" customWidth="1"/>
    <col min="11525" max="11525" width="12" style="94" customWidth="1"/>
    <col min="11526" max="11648" width="11.7109375" style="94" customWidth="1"/>
    <col min="11649" max="11649" width="1.7109375" style="94" customWidth="1"/>
    <col min="11650" max="11651" width="9.140625" style="94" hidden="1" customWidth="1"/>
    <col min="11652" max="11652" width="1.7109375" style="94" customWidth="1"/>
    <col min="11653" max="11750" width="9.140625" style="94" hidden="1"/>
    <col min="11751" max="11753" width="9.140625" style="94" customWidth="1"/>
    <col min="11754" max="11754" width="11.140625" style="94" customWidth="1"/>
    <col min="11755" max="11755" width="9.140625" style="94" customWidth="1"/>
    <col min="11756" max="11756" width="9.28515625" style="94" customWidth="1"/>
    <col min="11757" max="11757" width="10.85546875" style="94" customWidth="1"/>
    <col min="11758" max="11777" width="9.140625" style="94" hidden="1" customWidth="1"/>
    <col min="11778" max="11778" width="7.28515625" style="94" customWidth="1"/>
    <col min="11779" max="11780" width="9.140625" style="94" customWidth="1"/>
    <col min="11781" max="11781" width="12" style="94" customWidth="1"/>
    <col min="11782" max="11904" width="11.7109375" style="94" customWidth="1"/>
    <col min="11905" max="11905" width="1.7109375" style="94" customWidth="1"/>
    <col min="11906" max="11907" width="9.140625" style="94" hidden="1" customWidth="1"/>
    <col min="11908" max="11908" width="1.7109375" style="94" customWidth="1"/>
    <col min="11909" max="12006" width="9.140625" style="94" hidden="1"/>
    <col min="12007" max="12009" width="9.140625" style="94" customWidth="1"/>
    <col min="12010" max="12010" width="11.140625" style="94" customWidth="1"/>
    <col min="12011" max="12011" width="9.140625" style="94" customWidth="1"/>
    <col min="12012" max="12012" width="9.28515625" style="94" customWidth="1"/>
    <col min="12013" max="12013" width="10.85546875" style="94" customWidth="1"/>
    <col min="12014" max="12033" width="9.140625" style="94" hidden="1" customWidth="1"/>
    <col min="12034" max="12034" width="7.28515625" style="94" customWidth="1"/>
    <col min="12035" max="12036" width="9.140625" style="94" customWidth="1"/>
    <col min="12037" max="12037" width="12" style="94" customWidth="1"/>
    <col min="12038" max="12160" width="11.7109375" style="94" customWidth="1"/>
    <col min="12161" max="12161" width="1.7109375" style="94" customWidth="1"/>
    <col min="12162" max="12163" width="9.140625" style="94" hidden="1" customWidth="1"/>
    <col min="12164" max="12164" width="1.7109375" style="94" customWidth="1"/>
    <col min="12165" max="12262" width="9.140625" style="94" hidden="1"/>
    <col min="12263" max="12265" width="9.140625" style="94" customWidth="1"/>
    <col min="12266" max="12266" width="11.140625" style="94" customWidth="1"/>
    <col min="12267" max="12267" width="9.140625" style="94" customWidth="1"/>
    <col min="12268" max="12268" width="9.28515625" style="94" customWidth="1"/>
    <col min="12269" max="12269" width="10.85546875" style="94" customWidth="1"/>
    <col min="12270" max="12289" width="9.140625" style="94" hidden="1" customWidth="1"/>
    <col min="12290" max="12290" width="7.28515625" style="94" customWidth="1"/>
    <col min="12291" max="12292" width="9.140625" style="94" customWidth="1"/>
    <col min="12293" max="12293" width="12" style="94" customWidth="1"/>
    <col min="12294" max="12416" width="11.7109375" style="94" customWidth="1"/>
    <col min="12417" max="12417" width="1.7109375" style="94" customWidth="1"/>
    <col min="12418" max="12419" width="9.140625" style="94" hidden="1" customWidth="1"/>
    <col min="12420" max="12420" width="1.7109375" style="94" customWidth="1"/>
    <col min="12421" max="12518" width="9.140625" style="94" hidden="1"/>
    <col min="12519" max="12521" width="9.140625" style="94" customWidth="1"/>
    <col min="12522" max="12522" width="11.140625" style="94" customWidth="1"/>
    <col min="12523" max="12523" width="9.140625" style="94" customWidth="1"/>
    <col min="12524" max="12524" width="9.28515625" style="94" customWidth="1"/>
    <col min="12525" max="12525" width="10.85546875" style="94" customWidth="1"/>
    <col min="12526" max="12545" width="9.140625" style="94" hidden="1" customWidth="1"/>
    <col min="12546" max="12546" width="7.28515625" style="94" customWidth="1"/>
    <col min="12547" max="12548" width="9.140625" style="94" customWidth="1"/>
    <col min="12549" max="12549" width="12" style="94" customWidth="1"/>
    <col min="12550" max="12672" width="11.7109375" style="94" customWidth="1"/>
    <col min="12673" max="12673" width="1.7109375" style="94" customWidth="1"/>
    <col min="12674" max="12675" width="9.140625" style="94" hidden="1" customWidth="1"/>
    <col min="12676" max="12676" width="1.7109375" style="94" customWidth="1"/>
    <col min="12677" max="12774" width="9.140625" style="94" hidden="1"/>
    <col min="12775" max="12777" width="9.140625" style="94" customWidth="1"/>
    <col min="12778" max="12778" width="11.140625" style="94" customWidth="1"/>
    <col min="12779" max="12779" width="9.140625" style="94" customWidth="1"/>
    <col min="12780" max="12780" width="9.28515625" style="94" customWidth="1"/>
    <col min="12781" max="12781" width="10.85546875" style="94" customWidth="1"/>
    <col min="12782" max="12801" width="9.140625" style="94" hidden="1" customWidth="1"/>
    <col min="12802" max="12802" width="7.28515625" style="94" customWidth="1"/>
    <col min="12803" max="12804" width="9.140625" style="94" customWidth="1"/>
    <col min="12805" max="12805" width="12" style="94" customWidth="1"/>
    <col min="12806" max="12928" width="11.7109375" style="94" customWidth="1"/>
    <col min="12929" max="12929" width="1.7109375" style="94" customWidth="1"/>
    <col min="12930" max="12931" width="9.140625" style="94" hidden="1" customWidth="1"/>
    <col min="12932" max="12932" width="1.7109375" style="94" customWidth="1"/>
    <col min="12933" max="13030" width="9.140625" style="94" hidden="1"/>
    <col min="13031" max="13033" width="9.140625" style="94" customWidth="1"/>
    <col min="13034" max="13034" width="11.140625" style="94" customWidth="1"/>
    <col min="13035" max="13035" width="9.140625" style="94" customWidth="1"/>
    <col min="13036" max="13036" width="9.28515625" style="94" customWidth="1"/>
    <col min="13037" max="13037" width="10.85546875" style="94" customWidth="1"/>
    <col min="13038" max="13057" width="9.140625" style="94" hidden="1" customWidth="1"/>
    <col min="13058" max="13058" width="7.28515625" style="94" customWidth="1"/>
    <col min="13059" max="13060" width="9.140625" style="94" customWidth="1"/>
    <col min="13061" max="13061" width="12" style="94" customWidth="1"/>
    <col min="13062" max="13184" width="11.7109375" style="94" customWidth="1"/>
    <col min="13185" max="13185" width="1.7109375" style="94" customWidth="1"/>
    <col min="13186" max="13187" width="9.140625" style="94" hidden="1" customWidth="1"/>
    <col min="13188" max="13188" width="1.7109375" style="94" customWidth="1"/>
    <col min="13189" max="13286" width="9.140625" style="94" hidden="1"/>
    <col min="13287" max="13289" width="9.140625" style="94" customWidth="1"/>
    <col min="13290" max="13290" width="11.140625" style="94" customWidth="1"/>
    <col min="13291" max="13291" width="9.140625" style="94" customWidth="1"/>
    <col min="13292" max="13292" width="9.28515625" style="94" customWidth="1"/>
    <col min="13293" max="13293" width="10.85546875" style="94" customWidth="1"/>
    <col min="13294" max="13313" width="9.140625" style="94" hidden="1" customWidth="1"/>
    <col min="13314" max="13314" width="7.28515625" style="94" customWidth="1"/>
    <col min="13315" max="13316" width="9.140625" style="94" customWidth="1"/>
    <col min="13317" max="13317" width="12" style="94" customWidth="1"/>
    <col min="13318" max="13440" width="11.7109375" style="94" customWidth="1"/>
    <col min="13441" max="13441" width="1.7109375" style="94" customWidth="1"/>
    <col min="13442" max="13443" width="9.140625" style="94" hidden="1" customWidth="1"/>
    <col min="13444" max="13444" width="1.7109375" style="94" customWidth="1"/>
    <col min="13445" max="13542" width="9.140625" style="94" hidden="1"/>
    <col min="13543" max="13545" width="9.140625" style="94" customWidth="1"/>
    <col min="13546" max="13546" width="11.140625" style="94" customWidth="1"/>
    <col min="13547" max="13547" width="9.140625" style="94" customWidth="1"/>
    <col min="13548" max="13548" width="9.28515625" style="94" customWidth="1"/>
    <col min="13549" max="13549" width="10.85546875" style="94" customWidth="1"/>
    <col min="13550" max="13569" width="9.140625" style="94" hidden="1" customWidth="1"/>
    <col min="13570" max="13570" width="7.28515625" style="94" customWidth="1"/>
    <col min="13571" max="13572" width="9.140625" style="94" customWidth="1"/>
    <col min="13573" max="13573" width="12" style="94" customWidth="1"/>
    <col min="13574" max="13696" width="11.7109375" style="94" customWidth="1"/>
    <col min="13697" max="13697" width="1.7109375" style="94" customWidth="1"/>
    <col min="13698" max="13699" width="9.140625" style="94" hidden="1" customWidth="1"/>
    <col min="13700" max="13700" width="1.7109375" style="94" customWidth="1"/>
    <col min="13701" max="13798" width="9.140625" style="94" hidden="1"/>
    <col min="13799" max="13801" width="9.140625" style="94" customWidth="1"/>
    <col min="13802" max="13802" width="11.140625" style="94" customWidth="1"/>
    <col min="13803" max="13803" width="9.140625" style="94" customWidth="1"/>
    <col min="13804" max="13804" width="9.28515625" style="94" customWidth="1"/>
    <col min="13805" max="13805" width="10.85546875" style="94" customWidth="1"/>
    <col min="13806" max="13825" width="9.140625" style="94" hidden="1" customWidth="1"/>
    <col min="13826" max="13826" width="7.28515625" style="94" customWidth="1"/>
    <col min="13827" max="13828" width="9.140625" style="94" customWidth="1"/>
    <col min="13829" max="13829" width="12" style="94" customWidth="1"/>
    <col min="13830" max="13952" width="11.7109375" style="94" customWidth="1"/>
    <col min="13953" max="13953" width="1.7109375" style="94" customWidth="1"/>
    <col min="13954" max="13955" width="9.140625" style="94" hidden="1" customWidth="1"/>
    <col min="13956" max="13956" width="1.7109375" style="94" customWidth="1"/>
    <col min="13957" max="14054" width="9.140625" style="94" hidden="1"/>
    <col min="14055" max="14057" width="9.140625" style="94" customWidth="1"/>
    <col min="14058" max="14058" width="11.140625" style="94" customWidth="1"/>
    <col min="14059" max="14059" width="9.140625" style="94" customWidth="1"/>
    <col min="14060" max="14060" width="9.28515625" style="94" customWidth="1"/>
    <col min="14061" max="14061" width="10.85546875" style="94" customWidth="1"/>
    <col min="14062" max="14081" width="9.140625" style="94" hidden="1" customWidth="1"/>
    <col min="14082" max="14082" width="7.28515625" style="94" customWidth="1"/>
    <col min="14083" max="14084" width="9.140625" style="94" customWidth="1"/>
    <col min="14085" max="14085" width="12" style="94" customWidth="1"/>
    <col min="14086" max="14208" width="11.7109375" style="94" customWidth="1"/>
    <col min="14209" max="14209" width="1.7109375" style="94" customWidth="1"/>
    <col min="14210" max="14211" width="9.140625" style="94" hidden="1" customWidth="1"/>
    <col min="14212" max="14212" width="1.7109375" style="94" customWidth="1"/>
    <col min="14213" max="14310" width="9.140625" style="94" hidden="1"/>
    <col min="14311" max="14313" width="9.140625" style="94" customWidth="1"/>
    <col min="14314" max="14314" width="11.140625" style="94" customWidth="1"/>
    <col min="14315" max="14315" width="9.140625" style="94" customWidth="1"/>
    <col min="14316" max="14316" width="9.28515625" style="94" customWidth="1"/>
    <col min="14317" max="14317" width="10.85546875" style="94" customWidth="1"/>
    <col min="14318" max="14337" width="9.140625" style="94" hidden="1" customWidth="1"/>
    <col min="14338" max="14338" width="7.28515625" style="94" customWidth="1"/>
    <col min="14339" max="14340" width="9.140625" style="94" customWidth="1"/>
    <col min="14341" max="14341" width="12" style="94" customWidth="1"/>
    <col min="14342" max="14464" width="11.7109375" style="94" customWidth="1"/>
    <col min="14465" max="14465" width="1.7109375" style="94" customWidth="1"/>
    <col min="14466" max="14467" width="9.140625" style="94" hidden="1" customWidth="1"/>
    <col min="14468" max="14468" width="1.7109375" style="94" customWidth="1"/>
    <col min="14469" max="14566" width="9.140625" style="94" hidden="1"/>
    <col min="14567" max="14569" width="9.140625" style="94" customWidth="1"/>
    <col min="14570" max="14570" width="11.140625" style="94" customWidth="1"/>
    <col min="14571" max="14571" width="9.140625" style="94" customWidth="1"/>
    <col min="14572" max="14572" width="9.28515625" style="94" customWidth="1"/>
    <col min="14573" max="14573" width="10.85546875" style="94" customWidth="1"/>
    <col min="14574" max="14593" width="9.140625" style="94" hidden="1" customWidth="1"/>
    <col min="14594" max="14594" width="7.28515625" style="94" customWidth="1"/>
    <col min="14595" max="14596" width="9.140625" style="94" customWidth="1"/>
    <col min="14597" max="14597" width="12" style="94" customWidth="1"/>
    <col min="14598" max="14720" width="11.7109375" style="94" customWidth="1"/>
    <col min="14721" max="14721" width="1.7109375" style="94" customWidth="1"/>
    <col min="14722" max="14723" width="9.140625" style="94" hidden="1" customWidth="1"/>
    <col min="14724" max="14724" width="1.7109375" style="94" customWidth="1"/>
    <col min="14725" max="14822" width="9.140625" style="94" hidden="1"/>
    <col min="14823" max="14825" width="9.140625" style="94" customWidth="1"/>
    <col min="14826" max="14826" width="11.140625" style="94" customWidth="1"/>
    <col min="14827" max="14827" width="9.140625" style="94" customWidth="1"/>
    <col min="14828" max="14828" width="9.28515625" style="94" customWidth="1"/>
    <col min="14829" max="14829" width="10.85546875" style="94" customWidth="1"/>
    <col min="14830" max="14849" width="9.140625" style="94" hidden="1" customWidth="1"/>
    <col min="14850" max="14850" width="7.28515625" style="94" customWidth="1"/>
    <col min="14851" max="14852" width="9.140625" style="94" customWidth="1"/>
    <col min="14853" max="14853" width="12" style="94" customWidth="1"/>
    <col min="14854" max="14976" width="11.7109375" style="94" customWidth="1"/>
    <col min="14977" max="14977" width="1.7109375" style="94" customWidth="1"/>
    <col min="14978" max="14979" width="9.140625" style="94" hidden="1" customWidth="1"/>
    <col min="14980" max="14980" width="1.7109375" style="94" customWidth="1"/>
    <col min="14981" max="15078" width="9.140625" style="94" hidden="1"/>
    <col min="15079" max="15081" width="9.140625" style="94" customWidth="1"/>
    <col min="15082" max="15082" width="11.140625" style="94" customWidth="1"/>
    <col min="15083" max="15083" width="9.140625" style="94" customWidth="1"/>
    <col min="15084" max="15084" width="9.28515625" style="94" customWidth="1"/>
    <col min="15085" max="15085" width="10.85546875" style="94" customWidth="1"/>
    <col min="15086" max="15105" width="9.140625" style="94" hidden="1" customWidth="1"/>
    <col min="15106" max="15106" width="7.28515625" style="94" customWidth="1"/>
    <col min="15107" max="15108" width="9.140625" style="94" customWidth="1"/>
    <col min="15109" max="15109" width="12" style="94" customWidth="1"/>
    <col min="15110" max="15232" width="11.7109375" style="94" customWidth="1"/>
    <col min="15233" max="15233" width="1.7109375" style="94" customWidth="1"/>
    <col min="15234" max="15235" width="9.140625" style="94" hidden="1" customWidth="1"/>
    <col min="15236" max="15236" width="1.7109375" style="94" customWidth="1"/>
    <col min="15237" max="15334" width="9.140625" style="94" hidden="1"/>
    <col min="15335" max="15337" width="9.140625" style="94" customWidth="1"/>
    <col min="15338" max="15338" width="11.140625" style="94" customWidth="1"/>
    <col min="15339" max="15339" width="9.140625" style="94" customWidth="1"/>
    <col min="15340" max="15340" width="9.28515625" style="94" customWidth="1"/>
    <col min="15341" max="15341" width="10.85546875" style="94" customWidth="1"/>
    <col min="15342" max="15361" width="9.140625" style="94" hidden="1" customWidth="1"/>
    <col min="15362" max="15362" width="7.28515625" style="94" customWidth="1"/>
    <col min="15363" max="15364" width="9.140625" style="94" customWidth="1"/>
    <col min="15365" max="15365" width="12" style="94" customWidth="1"/>
    <col min="15366" max="15488" width="11.7109375" style="94" customWidth="1"/>
    <col min="15489" max="15489" width="1.7109375" style="94" customWidth="1"/>
    <col min="15490" max="15491" width="9.140625" style="94" hidden="1" customWidth="1"/>
    <col min="15492" max="15492" width="1.7109375" style="94" customWidth="1"/>
    <col min="15493" max="15590" width="9.140625" style="94" hidden="1"/>
    <col min="15591" max="15593" width="9.140625" style="94" customWidth="1"/>
    <col min="15594" max="15594" width="11.140625" style="94" customWidth="1"/>
    <col min="15595" max="15595" width="9.140625" style="94" customWidth="1"/>
    <col min="15596" max="15596" width="9.28515625" style="94" customWidth="1"/>
    <col min="15597" max="15597" width="10.85546875" style="94" customWidth="1"/>
    <col min="15598" max="15617" width="9.140625" style="94" hidden="1" customWidth="1"/>
    <col min="15618" max="15618" width="7.28515625" style="94" customWidth="1"/>
    <col min="15619" max="15620" width="9.140625" style="94" customWidth="1"/>
    <col min="15621" max="15621" width="12" style="94" customWidth="1"/>
    <col min="15622" max="15744" width="11.7109375" style="94" customWidth="1"/>
    <col min="15745" max="15745" width="1.7109375" style="94" customWidth="1"/>
    <col min="15746" max="15747" width="9.140625" style="94" hidden="1" customWidth="1"/>
    <col min="15748" max="15748" width="1.7109375" style="94" customWidth="1"/>
    <col min="15749" max="15846" width="9.140625" style="94" hidden="1"/>
    <col min="15847" max="15849" width="9.140625" style="94" customWidth="1"/>
    <col min="15850" max="15850" width="11.140625" style="94" customWidth="1"/>
    <col min="15851" max="15851" width="9.140625" style="94" customWidth="1"/>
    <col min="15852" max="15852" width="9.28515625" style="94" customWidth="1"/>
    <col min="15853" max="15853" width="10.85546875" style="94" customWidth="1"/>
    <col min="15854" max="15873" width="9.140625" style="94" hidden="1" customWidth="1"/>
    <col min="15874" max="15874" width="7.28515625" style="94" customWidth="1"/>
    <col min="15875" max="15876" width="9.140625" style="94" customWidth="1"/>
    <col min="15877" max="15877" width="12" style="94" customWidth="1"/>
    <col min="15878" max="16000" width="11.7109375" style="94" customWidth="1"/>
    <col min="16001" max="16001" width="1.7109375" style="94" customWidth="1"/>
    <col min="16002" max="16003" width="9.140625" style="94" hidden="1" customWidth="1"/>
    <col min="16004" max="16004" width="1.7109375" style="94" customWidth="1"/>
    <col min="16005" max="16102" width="9.140625" style="94" hidden="1"/>
    <col min="16103" max="16105" width="9.140625" style="94" customWidth="1"/>
    <col min="16106" max="16106" width="11.140625" style="94" customWidth="1"/>
    <col min="16107" max="16107" width="9.140625" style="94" customWidth="1"/>
    <col min="16108" max="16108" width="9.28515625" style="94" customWidth="1"/>
    <col min="16109" max="16109" width="10.85546875" style="94" customWidth="1"/>
    <col min="16110" max="16129" width="9.140625" style="94" hidden="1" customWidth="1"/>
    <col min="16130" max="16130" width="7.28515625" style="94" customWidth="1"/>
    <col min="16131" max="16132" width="9.140625" style="94" customWidth="1"/>
    <col min="16133" max="16133" width="12" style="94" customWidth="1"/>
    <col min="16134" max="16256" width="11.7109375" style="94" customWidth="1"/>
    <col min="16257" max="16257" width="1.7109375" style="94" customWidth="1"/>
    <col min="16258" max="16259" width="9.140625" style="94" hidden="1" customWidth="1"/>
    <col min="16260" max="16260" width="1.7109375" style="94" customWidth="1"/>
    <col min="16261" max="16384" width="9.140625" style="94" hidden="1"/>
  </cols>
  <sheetData>
    <row r="1" spans="1:132" s="179" customFormat="1">
      <c r="A1" s="83" t="s">
        <v>206</v>
      </c>
      <c r="B1" s="23"/>
      <c r="C1" s="83"/>
      <c r="D1" s="83"/>
      <c r="E1" s="178">
        <f>IF(OR(([2]Constants!D508+PLA7C)&gt;0,SUM(DY:EB)&gt;ErrTol),1,0)</f>
        <v>0</v>
      </c>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row>
    <row r="2" spans="1:132" ht="15.75">
      <c r="A2" s="25" t="s">
        <v>355</v>
      </c>
      <c r="B2" s="85"/>
      <c r="C2" s="180"/>
      <c r="D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88"/>
      <c r="EB2" s="88"/>
    </row>
    <row r="3" spans="1:132">
      <c r="A3" s="181"/>
      <c r="B3" s="180"/>
      <c r="C3" s="180"/>
      <c r="D3" s="180"/>
      <c r="F3" s="180"/>
      <c r="G3" s="180"/>
      <c r="H3" s="180"/>
      <c r="I3" s="180"/>
      <c r="J3" s="180"/>
      <c r="K3" s="180"/>
      <c r="L3" s="180"/>
      <c r="M3" s="180"/>
      <c r="N3" s="180"/>
      <c r="O3" s="180"/>
      <c r="P3" s="180"/>
      <c r="Q3" s="210">
        <v>41944</v>
      </c>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88"/>
      <c r="EB3" s="88"/>
    </row>
    <row r="4" spans="1:132">
      <c r="A4" s="180"/>
      <c r="B4" s="180"/>
      <c r="C4" s="180"/>
      <c r="D4" s="180"/>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c r="BM4" s="180"/>
      <c r="BN4" s="180"/>
      <c r="BO4" s="180"/>
      <c r="BP4" s="180"/>
      <c r="BQ4" s="180"/>
      <c r="BR4" s="180"/>
      <c r="BS4" s="180"/>
      <c r="BT4" s="180"/>
      <c r="BU4" s="180"/>
      <c r="BV4" s="180"/>
      <c r="BW4" s="180"/>
      <c r="BX4" s="180"/>
      <c r="BY4" s="180"/>
      <c r="BZ4" s="180"/>
      <c r="CA4" s="180"/>
      <c r="CB4" s="180"/>
      <c r="CC4" s="180"/>
      <c r="CD4" s="180"/>
      <c r="CE4" s="180"/>
      <c r="CF4" s="180"/>
      <c r="CG4" s="180"/>
      <c r="CH4" s="180"/>
      <c r="CI4" s="180"/>
      <c r="CJ4" s="180"/>
      <c r="CK4" s="180"/>
      <c r="CL4" s="180"/>
      <c r="CM4" s="180"/>
      <c r="CN4" s="180"/>
      <c r="CO4" s="180"/>
      <c r="CP4" s="180"/>
      <c r="CQ4" s="180"/>
      <c r="CR4" s="180"/>
      <c r="CS4" s="180"/>
      <c r="CT4" s="180"/>
      <c r="CU4" s="180"/>
      <c r="CV4" s="180"/>
      <c r="CW4" s="180"/>
      <c r="CX4" s="180"/>
      <c r="CY4" s="180"/>
      <c r="CZ4" s="180"/>
      <c r="DA4" s="180"/>
      <c r="DB4" s="180"/>
      <c r="DC4" s="180"/>
      <c r="DD4" s="180"/>
      <c r="DE4" s="180"/>
      <c r="DF4" s="180"/>
      <c r="DG4" s="180"/>
      <c r="DH4" s="180"/>
      <c r="DI4" s="180"/>
      <c r="DJ4" s="180"/>
      <c r="DK4" s="180"/>
      <c r="DL4" s="180"/>
      <c r="DM4" s="180"/>
      <c r="DN4" s="180"/>
      <c r="DO4" s="180"/>
      <c r="DP4" s="180"/>
      <c r="DQ4" s="180"/>
      <c r="DR4" s="180"/>
      <c r="DS4" s="180"/>
      <c r="DT4" s="180"/>
      <c r="DU4" s="180"/>
      <c r="DV4" s="180"/>
      <c r="DW4" s="180"/>
      <c r="DX4" s="180"/>
      <c r="DY4" s="88"/>
      <c r="EB4" s="88"/>
    </row>
    <row r="5" spans="1:132" s="179" customFormat="1" collapsed="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row>
    <row r="6" spans="1:132" s="189" customFormat="1" hidden="1" outlineLevel="1">
      <c r="A6" s="180" t="s">
        <v>388</v>
      </c>
      <c r="B6" s="180"/>
      <c r="C6" s="180"/>
      <c r="D6" s="187">
        <f>PreContractPeriodDurationIn</f>
        <v>3</v>
      </c>
      <c r="E6" s="188"/>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88"/>
      <c r="EB6" s="88"/>
    </row>
    <row r="7" spans="1:132" s="189" customFormat="1" hidden="1" outlineLevel="1">
      <c r="A7" s="180" t="s">
        <v>389</v>
      </c>
      <c r="B7" s="180"/>
      <c r="C7" s="180"/>
      <c r="D7" s="180"/>
      <c r="E7" s="180"/>
      <c r="F7" s="190" t="s">
        <v>142</v>
      </c>
      <c r="G7" s="190" t="s">
        <v>143</v>
      </c>
      <c r="H7" s="190" t="s">
        <v>144</v>
      </c>
      <c r="I7" s="190" t="s">
        <v>145</v>
      </c>
      <c r="J7" s="190" t="s">
        <v>146</v>
      </c>
      <c r="K7" s="190" t="s">
        <v>147</v>
      </c>
      <c r="L7" s="190" t="s">
        <v>148</v>
      </c>
      <c r="M7" s="190" t="s">
        <v>149</v>
      </c>
      <c r="N7" s="190" t="s">
        <v>150</v>
      </c>
      <c r="O7" s="190" t="s">
        <v>151</v>
      </c>
      <c r="P7" s="190" t="s">
        <v>152</v>
      </c>
      <c r="Q7" s="190" t="s">
        <v>153</v>
      </c>
      <c r="R7" s="191" t="s">
        <v>390</v>
      </c>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92"/>
      <c r="CU7" s="192"/>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80"/>
      <c r="DY7" s="88"/>
      <c r="EB7" s="88"/>
    </row>
    <row r="8" spans="1:132">
      <c r="A8" s="185"/>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2"/>
      <c r="EB8" s="182"/>
    </row>
    <row r="9" spans="1:132" s="179" customFormat="1" ht="15">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184"/>
      <c r="EA9" s="183"/>
      <c r="EB9" s="184"/>
    </row>
    <row r="10" spans="1:132" outlineLevel="1">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6"/>
      <c r="EB10" s="186"/>
    </row>
    <row r="11" spans="1:132" outlineLevel="1">
      <c r="A11" s="91" t="s">
        <v>155</v>
      </c>
      <c r="C11" s="180"/>
      <c r="D11" s="180"/>
      <c r="E11" s="180"/>
      <c r="F11" s="196">
        <f>Q3</f>
        <v>41944</v>
      </c>
      <c r="G11" s="197">
        <f t="shared" ref="G11:BR11" si="0">F12+1</f>
        <v>41974</v>
      </c>
      <c r="H11" s="198">
        <f t="shared" si="0"/>
        <v>42005</v>
      </c>
      <c r="I11" s="198">
        <f t="shared" si="0"/>
        <v>42036</v>
      </c>
      <c r="J11" s="198">
        <f t="shared" si="0"/>
        <v>42064</v>
      </c>
      <c r="K11" s="198">
        <f t="shared" si="0"/>
        <v>42095</v>
      </c>
      <c r="L11" s="198">
        <f t="shared" si="0"/>
        <v>42125</v>
      </c>
      <c r="M11" s="198">
        <f t="shared" si="0"/>
        <v>42156</v>
      </c>
      <c r="N11" s="198">
        <f t="shared" si="0"/>
        <v>42186</v>
      </c>
      <c r="O11" s="198">
        <f t="shared" si="0"/>
        <v>42217</v>
      </c>
      <c r="P11" s="198">
        <f t="shared" si="0"/>
        <v>42248</v>
      </c>
      <c r="Q11" s="198">
        <f t="shared" si="0"/>
        <v>42278</v>
      </c>
      <c r="R11" s="198">
        <f t="shared" si="0"/>
        <v>42309</v>
      </c>
      <c r="S11" s="198">
        <f t="shared" si="0"/>
        <v>42339</v>
      </c>
      <c r="T11" s="198">
        <f t="shared" si="0"/>
        <v>42370</v>
      </c>
      <c r="U11" s="198">
        <f t="shared" si="0"/>
        <v>42401</v>
      </c>
      <c r="V11" s="198">
        <f t="shared" si="0"/>
        <v>42430</v>
      </c>
      <c r="W11" s="198">
        <f t="shared" si="0"/>
        <v>42461</v>
      </c>
      <c r="X11" s="198">
        <f t="shared" si="0"/>
        <v>42491</v>
      </c>
      <c r="Y11" s="198">
        <f t="shared" si="0"/>
        <v>42522</v>
      </c>
      <c r="Z11" s="198">
        <f t="shared" si="0"/>
        <v>42552</v>
      </c>
      <c r="AA11" s="198">
        <f t="shared" si="0"/>
        <v>42583</v>
      </c>
      <c r="AB11" s="198">
        <f t="shared" si="0"/>
        <v>42614</v>
      </c>
      <c r="AC11" s="198">
        <f t="shared" si="0"/>
        <v>42644</v>
      </c>
      <c r="AD11" s="198">
        <f t="shared" si="0"/>
        <v>42675</v>
      </c>
      <c r="AE11" s="198">
        <f t="shared" si="0"/>
        <v>42705</v>
      </c>
      <c r="AF11" s="198">
        <f t="shared" si="0"/>
        <v>42736</v>
      </c>
      <c r="AG11" s="198">
        <f t="shared" si="0"/>
        <v>42767</v>
      </c>
      <c r="AH11" s="198">
        <f t="shared" si="0"/>
        <v>42795</v>
      </c>
      <c r="AI11" s="198">
        <f t="shared" si="0"/>
        <v>42826</v>
      </c>
      <c r="AJ11" s="198">
        <f t="shared" si="0"/>
        <v>42856</v>
      </c>
      <c r="AK11" s="198">
        <f t="shared" si="0"/>
        <v>42887</v>
      </c>
      <c r="AL11" s="198">
        <f t="shared" si="0"/>
        <v>42917</v>
      </c>
      <c r="AM11" s="198">
        <f t="shared" si="0"/>
        <v>42948</v>
      </c>
      <c r="AN11" s="198">
        <f t="shared" si="0"/>
        <v>42979</v>
      </c>
      <c r="AO11" s="198">
        <f t="shared" si="0"/>
        <v>43009</v>
      </c>
      <c r="AP11" s="198">
        <f t="shared" si="0"/>
        <v>43040</v>
      </c>
      <c r="AQ11" s="198">
        <f t="shared" si="0"/>
        <v>43070</v>
      </c>
      <c r="AR11" s="198">
        <f t="shared" si="0"/>
        <v>43101</v>
      </c>
      <c r="AS11" s="198">
        <f t="shared" si="0"/>
        <v>43132</v>
      </c>
      <c r="AT11" s="198">
        <f t="shared" si="0"/>
        <v>43160</v>
      </c>
      <c r="AU11" s="198">
        <f t="shared" si="0"/>
        <v>43191</v>
      </c>
      <c r="AV11" s="198">
        <f t="shared" si="0"/>
        <v>43221</v>
      </c>
      <c r="AW11" s="198">
        <f t="shared" si="0"/>
        <v>43252</v>
      </c>
      <c r="AX11" s="198">
        <f t="shared" si="0"/>
        <v>43282</v>
      </c>
      <c r="AY11" s="198">
        <f t="shared" si="0"/>
        <v>43313</v>
      </c>
      <c r="AZ11" s="198">
        <f t="shared" si="0"/>
        <v>43344</v>
      </c>
      <c r="BA11" s="198">
        <f t="shared" si="0"/>
        <v>43374</v>
      </c>
      <c r="BB11" s="198">
        <f t="shared" si="0"/>
        <v>43405</v>
      </c>
      <c r="BC11" s="198">
        <f t="shared" si="0"/>
        <v>43435</v>
      </c>
      <c r="BD11" s="198">
        <f t="shared" si="0"/>
        <v>43466</v>
      </c>
      <c r="BE11" s="198">
        <f t="shared" si="0"/>
        <v>43497</v>
      </c>
      <c r="BF11" s="198">
        <f t="shared" si="0"/>
        <v>43525</v>
      </c>
      <c r="BG11" s="198">
        <f t="shared" si="0"/>
        <v>43556</v>
      </c>
      <c r="BH11" s="198">
        <f t="shared" si="0"/>
        <v>43586</v>
      </c>
      <c r="BI11" s="198">
        <f t="shared" si="0"/>
        <v>43617</v>
      </c>
      <c r="BJ11" s="198">
        <f t="shared" si="0"/>
        <v>43647</v>
      </c>
      <c r="BK11" s="198">
        <f t="shared" si="0"/>
        <v>43678</v>
      </c>
      <c r="BL11" s="198">
        <f t="shared" si="0"/>
        <v>43709</v>
      </c>
      <c r="BM11" s="198">
        <f t="shared" si="0"/>
        <v>43739</v>
      </c>
      <c r="BN11" s="198">
        <f t="shared" si="0"/>
        <v>43770</v>
      </c>
      <c r="BO11" s="198">
        <f t="shared" si="0"/>
        <v>43800</v>
      </c>
      <c r="BP11" s="198">
        <f t="shared" si="0"/>
        <v>43831</v>
      </c>
      <c r="BQ11" s="198">
        <f t="shared" si="0"/>
        <v>43862</v>
      </c>
      <c r="BR11" s="198">
        <f t="shared" si="0"/>
        <v>43891</v>
      </c>
      <c r="BS11" s="198">
        <f t="shared" ref="BS11:DX11" si="1">BR12+1</f>
        <v>43922</v>
      </c>
      <c r="BT11" s="198">
        <f t="shared" si="1"/>
        <v>43952</v>
      </c>
      <c r="BU11" s="198">
        <f t="shared" si="1"/>
        <v>43983</v>
      </c>
      <c r="BV11" s="198">
        <f t="shared" si="1"/>
        <v>44013</v>
      </c>
      <c r="BW11" s="198">
        <f t="shared" si="1"/>
        <v>44044</v>
      </c>
      <c r="BX11" s="198">
        <f t="shared" si="1"/>
        <v>44075</v>
      </c>
      <c r="BY11" s="198">
        <f t="shared" si="1"/>
        <v>44105</v>
      </c>
      <c r="BZ11" s="198">
        <f t="shared" si="1"/>
        <v>44136</v>
      </c>
      <c r="CA11" s="198">
        <f t="shared" si="1"/>
        <v>44166</v>
      </c>
      <c r="CB11" s="198">
        <f t="shared" si="1"/>
        <v>44197</v>
      </c>
      <c r="CC11" s="198">
        <f t="shared" si="1"/>
        <v>44228</v>
      </c>
      <c r="CD11" s="198">
        <f t="shared" si="1"/>
        <v>44256</v>
      </c>
      <c r="CE11" s="198">
        <f t="shared" si="1"/>
        <v>44287</v>
      </c>
      <c r="CF11" s="198">
        <f t="shared" si="1"/>
        <v>44317</v>
      </c>
      <c r="CG11" s="198">
        <f t="shared" si="1"/>
        <v>44348</v>
      </c>
      <c r="CH11" s="198">
        <f t="shared" si="1"/>
        <v>44378</v>
      </c>
      <c r="CI11" s="198">
        <f t="shared" si="1"/>
        <v>44409</v>
      </c>
      <c r="CJ11" s="198">
        <f t="shared" si="1"/>
        <v>44440</v>
      </c>
      <c r="CK11" s="198">
        <f t="shared" si="1"/>
        <v>44470</v>
      </c>
      <c r="CL11" s="198">
        <f t="shared" si="1"/>
        <v>44501</v>
      </c>
      <c r="CM11" s="198">
        <f t="shared" si="1"/>
        <v>44531</v>
      </c>
      <c r="CN11" s="198">
        <f t="shared" si="1"/>
        <v>44562</v>
      </c>
      <c r="CO11" s="198">
        <f t="shared" si="1"/>
        <v>44593</v>
      </c>
      <c r="CP11" s="198">
        <f t="shared" si="1"/>
        <v>44621</v>
      </c>
      <c r="CQ11" s="198">
        <f t="shared" si="1"/>
        <v>44652</v>
      </c>
      <c r="CR11" s="198">
        <f t="shared" si="1"/>
        <v>44682</v>
      </c>
      <c r="CS11" s="198">
        <f t="shared" si="1"/>
        <v>44713</v>
      </c>
      <c r="CT11" s="198">
        <f t="shared" si="1"/>
        <v>44743</v>
      </c>
      <c r="CU11" s="198">
        <f t="shared" si="1"/>
        <v>44774</v>
      </c>
      <c r="CV11" s="198">
        <f t="shared" si="1"/>
        <v>44805</v>
      </c>
      <c r="CW11" s="198">
        <f t="shared" si="1"/>
        <v>44835</v>
      </c>
      <c r="CX11" s="198">
        <f t="shared" si="1"/>
        <v>44866</v>
      </c>
      <c r="CY11" s="198">
        <f t="shared" si="1"/>
        <v>44896</v>
      </c>
      <c r="CZ11" s="198">
        <f t="shared" si="1"/>
        <v>44927</v>
      </c>
      <c r="DA11" s="198">
        <f t="shared" si="1"/>
        <v>44958</v>
      </c>
      <c r="DB11" s="198">
        <f t="shared" si="1"/>
        <v>44986</v>
      </c>
      <c r="DC11" s="198">
        <f t="shared" si="1"/>
        <v>45017</v>
      </c>
      <c r="DD11" s="198">
        <f t="shared" si="1"/>
        <v>45047</v>
      </c>
      <c r="DE11" s="198">
        <f t="shared" si="1"/>
        <v>45078</v>
      </c>
      <c r="DF11" s="198">
        <f t="shared" si="1"/>
        <v>45108</v>
      </c>
      <c r="DG11" s="198">
        <f t="shared" si="1"/>
        <v>45139</v>
      </c>
      <c r="DH11" s="198">
        <f t="shared" si="1"/>
        <v>45170</v>
      </c>
      <c r="DI11" s="198">
        <f t="shared" si="1"/>
        <v>45200</v>
      </c>
      <c r="DJ11" s="198">
        <f t="shared" si="1"/>
        <v>45231</v>
      </c>
      <c r="DK11" s="198">
        <f t="shared" si="1"/>
        <v>45261</v>
      </c>
      <c r="DL11" s="198">
        <f t="shared" si="1"/>
        <v>45292</v>
      </c>
      <c r="DM11" s="198">
        <f t="shared" si="1"/>
        <v>45323</v>
      </c>
      <c r="DN11" s="198">
        <f t="shared" si="1"/>
        <v>45352</v>
      </c>
      <c r="DO11" s="198">
        <f t="shared" si="1"/>
        <v>45383</v>
      </c>
      <c r="DP11" s="198">
        <f t="shared" si="1"/>
        <v>45413</v>
      </c>
      <c r="DQ11" s="198">
        <f t="shared" si="1"/>
        <v>45444</v>
      </c>
      <c r="DR11" s="198">
        <f t="shared" si="1"/>
        <v>45474</v>
      </c>
      <c r="DS11" s="198">
        <f t="shared" si="1"/>
        <v>45505</v>
      </c>
      <c r="DT11" s="198">
        <f t="shared" si="1"/>
        <v>45536</v>
      </c>
      <c r="DU11" s="198">
        <f t="shared" si="1"/>
        <v>45566</v>
      </c>
      <c r="DV11" s="198">
        <f t="shared" si="1"/>
        <v>45597</v>
      </c>
      <c r="DW11" s="198">
        <f t="shared" si="1"/>
        <v>45627</v>
      </c>
      <c r="DX11" s="198">
        <f t="shared" si="1"/>
        <v>45658</v>
      </c>
      <c r="DY11" s="88"/>
      <c r="DZ11" s="193" t="s">
        <v>391</v>
      </c>
      <c r="EB11" s="88"/>
    </row>
    <row r="12" spans="1:132" outlineLevel="1">
      <c r="A12" s="91" t="s">
        <v>156</v>
      </c>
      <c r="C12" s="180"/>
      <c r="D12" s="180"/>
      <c r="E12" s="180"/>
      <c r="F12" s="199">
        <f t="shared" ref="F12:BQ12" si="2">DATE(YEAR(F11),MONTH(F11)+1,DAY(F11)-1)</f>
        <v>41973</v>
      </c>
      <c r="G12" s="200">
        <f t="shared" si="2"/>
        <v>42004</v>
      </c>
      <c r="H12" s="200">
        <f t="shared" si="2"/>
        <v>42035</v>
      </c>
      <c r="I12" s="200">
        <f t="shared" si="2"/>
        <v>42063</v>
      </c>
      <c r="J12" s="200">
        <f t="shared" si="2"/>
        <v>42094</v>
      </c>
      <c r="K12" s="200">
        <f t="shared" si="2"/>
        <v>42124</v>
      </c>
      <c r="L12" s="200">
        <f t="shared" si="2"/>
        <v>42155</v>
      </c>
      <c r="M12" s="200">
        <f t="shared" si="2"/>
        <v>42185</v>
      </c>
      <c r="N12" s="200">
        <f t="shared" si="2"/>
        <v>42216</v>
      </c>
      <c r="O12" s="200">
        <f t="shared" si="2"/>
        <v>42247</v>
      </c>
      <c r="P12" s="200">
        <f t="shared" si="2"/>
        <v>42277</v>
      </c>
      <c r="Q12" s="200">
        <f t="shared" si="2"/>
        <v>42308</v>
      </c>
      <c r="R12" s="200">
        <f t="shared" si="2"/>
        <v>42338</v>
      </c>
      <c r="S12" s="200">
        <f t="shared" si="2"/>
        <v>42369</v>
      </c>
      <c r="T12" s="200">
        <f t="shared" si="2"/>
        <v>42400</v>
      </c>
      <c r="U12" s="200">
        <f t="shared" si="2"/>
        <v>42429</v>
      </c>
      <c r="V12" s="200">
        <f t="shared" si="2"/>
        <v>42460</v>
      </c>
      <c r="W12" s="200">
        <f t="shared" si="2"/>
        <v>42490</v>
      </c>
      <c r="X12" s="200">
        <f t="shared" si="2"/>
        <v>42521</v>
      </c>
      <c r="Y12" s="200">
        <f t="shared" si="2"/>
        <v>42551</v>
      </c>
      <c r="Z12" s="200">
        <f t="shared" si="2"/>
        <v>42582</v>
      </c>
      <c r="AA12" s="200">
        <f t="shared" si="2"/>
        <v>42613</v>
      </c>
      <c r="AB12" s="200">
        <f t="shared" si="2"/>
        <v>42643</v>
      </c>
      <c r="AC12" s="200">
        <f t="shared" si="2"/>
        <v>42674</v>
      </c>
      <c r="AD12" s="200">
        <f t="shared" si="2"/>
        <v>42704</v>
      </c>
      <c r="AE12" s="200">
        <f t="shared" si="2"/>
        <v>42735</v>
      </c>
      <c r="AF12" s="200">
        <f t="shared" si="2"/>
        <v>42766</v>
      </c>
      <c r="AG12" s="200">
        <f t="shared" si="2"/>
        <v>42794</v>
      </c>
      <c r="AH12" s="200">
        <f t="shared" si="2"/>
        <v>42825</v>
      </c>
      <c r="AI12" s="200">
        <f t="shared" si="2"/>
        <v>42855</v>
      </c>
      <c r="AJ12" s="200">
        <f t="shared" si="2"/>
        <v>42886</v>
      </c>
      <c r="AK12" s="200">
        <f t="shared" si="2"/>
        <v>42916</v>
      </c>
      <c r="AL12" s="200">
        <f t="shared" si="2"/>
        <v>42947</v>
      </c>
      <c r="AM12" s="200">
        <f t="shared" si="2"/>
        <v>42978</v>
      </c>
      <c r="AN12" s="200">
        <f t="shared" si="2"/>
        <v>43008</v>
      </c>
      <c r="AO12" s="200">
        <f t="shared" si="2"/>
        <v>43039</v>
      </c>
      <c r="AP12" s="200">
        <f t="shared" si="2"/>
        <v>43069</v>
      </c>
      <c r="AQ12" s="200">
        <f t="shared" si="2"/>
        <v>43100</v>
      </c>
      <c r="AR12" s="200">
        <f t="shared" si="2"/>
        <v>43131</v>
      </c>
      <c r="AS12" s="200">
        <f t="shared" si="2"/>
        <v>43159</v>
      </c>
      <c r="AT12" s="200">
        <f t="shared" si="2"/>
        <v>43190</v>
      </c>
      <c r="AU12" s="200">
        <f t="shared" si="2"/>
        <v>43220</v>
      </c>
      <c r="AV12" s="200">
        <f t="shared" si="2"/>
        <v>43251</v>
      </c>
      <c r="AW12" s="200">
        <f t="shared" si="2"/>
        <v>43281</v>
      </c>
      <c r="AX12" s="200">
        <f t="shared" si="2"/>
        <v>43312</v>
      </c>
      <c r="AY12" s="200">
        <f t="shared" si="2"/>
        <v>43343</v>
      </c>
      <c r="AZ12" s="200">
        <f t="shared" si="2"/>
        <v>43373</v>
      </c>
      <c r="BA12" s="200">
        <f t="shared" si="2"/>
        <v>43404</v>
      </c>
      <c r="BB12" s="200">
        <f t="shared" si="2"/>
        <v>43434</v>
      </c>
      <c r="BC12" s="200">
        <f t="shared" si="2"/>
        <v>43465</v>
      </c>
      <c r="BD12" s="200">
        <f t="shared" si="2"/>
        <v>43496</v>
      </c>
      <c r="BE12" s="200">
        <f t="shared" si="2"/>
        <v>43524</v>
      </c>
      <c r="BF12" s="200">
        <f t="shared" si="2"/>
        <v>43555</v>
      </c>
      <c r="BG12" s="200">
        <f t="shared" si="2"/>
        <v>43585</v>
      </c>
      <c r="BH12" s="200">
        <f t="shared" si="2"/>
        <v>43616</v>
      </c>
      <c r="BI12" s="200">
        <f t="shared" si="2"/>
        <v>43646</v>
      </c>
      <c r="BJ12" s="200">
        <f t="shared" si="2"/>
        <v>43677</v>
      </c>
      <c r="BK12" s="200">
        <f t="shared" si="2"/>
        <v>43708</v>
      </c>
      <c r="BL12" s="200">
        <f t="shared" si="2"/>
        <v>43738</v>
      </c>
      <c r="BM12" s="200">
        <f t="shared" si="2"/>
        <v>43769</v>
      </c>
      <c r="BN12" s="200">
        <f t="shared" si="2"/>
        <v>43799</v>
      </c>
      <c r="BO12" s="200">
        <f t="shared" si="2"/>
        <v>43830</v>
      </c>
      <c r="BP12" s="200">
        <f t="shared" si="2"/>
        <v>43861</v>
      </c>
      <c r="BQ12" s="200">
        <f t="shared" si="2"/>
        <v>43890</v>
      </c>
      <c r="BR12" s="200">
        <f t="shared" ref="BR12:DX12" si="3">DATE(YEAR(BR11),MONTH(BR11)+1,DAY(BR11)-1)</f>
        <v>43921</v>
      </c>
      <c r="BS12" s="200">
        <f t="shared" si="3"/>
        <v>43951</v>
      </c>
      <c r="BT12" s="200">
        <f t="shared" si="3"/>
        <v>43982</v>
      </c>
      <c r="BU12" s="200">
        <f t="shared" si="3"/>
        <v>44012</v>
      </c>
      <c r="BV12" s="200">
        <f t="shared" si="3"/>
        <v>44043</v>
      </c>
      <c r="BW12" s="200">
        <f t="shared" si="3"/>
        <v>44074</v>
      </c>
      <c r="BX12" s="200">
        <f t="shared" si="3"/>
        <v>44104</v>
      </c>
      <c r="BY12" s="200">
        <f t="shared" si="3"/>
        <v>44135</v>
      </c>
      <c r="BZ12" s="200">
        <f t="shared" si="3"/>
        <v>44165</v>
      </c>
      <c r="CA12" s="200">
        <f t="shared" si="3"/>
        <v>44196</v>
      </c>
      <c r="CB12" s="200">
        <f t="shared" si="3"/>
        <v>44227</v>
      </c>
      <c r="CC12" s="200">
        <f t="shared" si="3"/>
        <v>44255</v>
      </c>
      <c r="CD12" s="200">
        <f t="shared" si="3"/>
        <v>44286</v>
      </c>
      <c r="CE12" s="200">
        <f t="shared" si="3"/>
        <v>44316</v>
      </c>
      <c r="CF12" s="200">
        <f t="shared" si="3"/>
        <v>44347</v>
      </c>
      <c r="CG12" s="200">
        <f t="shared" si="3"/>
        <v>44377</v>
      </c>
      <c r="CH12" s="200">
        <f t="shared" si="3"/>
        <v>44408</v>
      </c>
      <c r="CI12" s="200">
        <f t="shared" si="3"/>
        <v>44439</v>
      </c>
      <c r="CJ12" s="200">
        <f t="shared" si="3"/>
        <v>44469</v>
      </c>
      <c r="CK12" s="200">
        <f t="shared" si="3"/>
        <v>44500</v>
      </c>
      <c r="CL12" s="200">
        <f t="shared" si="3"/>
        <v>44530</v>
      </c>
      <c r="CM12" s="200">
        <f t="shared" si="3"/>
        <v>44561</v>
      </c>
      <c r="CN12" s="200">
        <f t="shared" si="3"/>
        <v>44592</v>
      </c>
      <c r="CO12" s="200">
        <f t="shared" si="3"/>
        <v>44620</v>
      </c>
      <c r="CP12" s="200">
        <f t="shared" si="3"/>
        <v>44651</v>
      </c>
      <c r="CQ12" s="200">
        <f t="shared" si="3"/>
        <v>44681</v>
      </c>
      <c r="CR12" s="200">
        <f t="shared" si="3"/>
        <v>44712</v>
      </c>
      <c r="CS12" s="200">
        <f t="shared" si="3"/>
        <v>44742</v>
      </c>
      <c r="CT12" s="200">
        <f t="shared" si="3"/>
        <v>44773</v>
      </c>
      <c r="CU12" s="200">
        <f t="shared" si="3"/>
        <v>44804</v>
      </c>
      <c r="CV12" s="200">
        <f t="shared" si="3"/>
        <v>44834</v>
      </c>
      <c r="CW12" s="200">
        <f t="shared" si="3"/>
        <v>44865</v>
      </c>
      <c r="CX12" s="200">
        <f t="shared" si="3"/>
        <v>44895</v>
      </c>
      <c r="CY12" s="200">
        <f t="shared" si="3"/>
        <v>44926</v>
      </c>
      <c r="CZ12" s="200">
        <f t="shared" si="3"/>
        <v>44957</v>
      </c>
      <c r="DA12" s="200">
        <f t="shared" si="3"/>
        <v>44985</v>
      </c>
      <c r="DB12" s="200">
        <f t="shared" si="3"/>
        <v>45016</v>
      </c>
      <c r="DC12" s="200">
        <f t="shared" si="3"/>
        <v>45046</v>
      </c>
      <c r="DD12" s="200">
        <f t="shared" si="3"/>
        <v>45077</v>
      </c>
      <c r="DE12" s="200">
        <f t="shared" si="3"/>
        <v>45107</v>
      </c>
      <c r="DF12" s="200">
        <f t="shared" si="3"/>
        <v>45138</v>
      </c>
      <c r="DG12" s="200">
        <f t="shared" si="3"/>
        <v>45169</v>
      </c>
      <c r="DH12" s="200">
        <f t="shared" si="3"/>
        <v>45199</v>
      </c>
      <c r="DI12" s="200">
        <f t="shared" si="3"/>
        <v>45230</v>
      </c>
      <c r="DJ12" s="200">
        <f t="shared" si="3"/>
        <v>45260</v>
      </c>
      <c r="DK12" s="200">
        <f t="shared" si="3"/>
        <v>45291</v>
      </c>
      <c r="DL12" s="200">
        <f t="shared" si="3"/>
        <v>45322</v>
      </c>
      <c r="DM12" s="200">
        <f t="shared" si="3"/>
        <v>45351</v>
      </c>
      <c r="DN12" s="200">
        <f t="shared" si="3"/>
        <v>45382</v>
      </c>
      <c r="DO12" s="200">
        <f t="shared" si="3"/>
        <v>45412</v>
      </c>
      <c r="DP12" s="200">
        <f t="shared" si="3"/>
        <v>45443</v>
      </c>
      <c r="DQ12" s="200">
        <f t="shared" si="3"/>
        <v>45473</v>
      </c>
      <c r="DR12" s="200">
        <f t="shared" si="3"/>
        <v>45504</v>
      </c>
      <c r="DS12" s="200">
        <f t="shared" si="3"/>
        <v>45535</v>
      </c>
      <c r="DT12" s="200">
        <f t="shared" si="3"/>
        <v>45565</v>
      </c>
      <c r="DU12" s="200">
        <f t="shared" si="3"/>
        <v>45596</v>
      </c>
      <c r="DV12" s="200">
        <f t="shared" si="3"/>
        <v>45626</v>
      </c>
      <c r="DW12" s="200">
        <f t="shared" si="3"/>
        <v>45657</v>
      </c>
      <c r="DX12" s="200">
        <f t="shared" si="3"/>
        <v>45688</v>
      </c>
      <c r="DY12" s="88"/>
      <c r="DZ12" s="193" t="s">
        <v>392</v>
      </c>
      <c r="EB12" s="88"/>
    </row>
    <row r="13" spans="1:132" outlineLevel="1">
      <c r="A13" s="91" t="s">
        <v>157</v>
      </c>
      <c r="C13" s="180"/>
      <c r="D13" s="180"/>
      <c r="E13" s="180"/>
      <c r="F13" s="201">
        <v>1</v>
      </c>
      <c r="G13" s="202">
        <f t="shared" ref="G13:BR13" si="4">F13+1</f>
        <v>2</v>
      </c>
      <c r="H13" s="203">
        <f t="shared" si="4"/>
        <v>3</v>
      </c>
      <c r="I13" s="203">
        <f t="shared" si="4"/>
        <v>4</v>
      </c>
      <c r="J13" s="203">
        <f t="shared" si="4"/>
        <v>5</v>
      </c>
      <c r="K13" s="203">
        <f t="shared" si="4"/>
        <v>6</v>
      </c>
      <c r="L13" s="203">
        <f t="shared" si="4"/>
        <v>7</v>
      </c>
      <c r="M13" s="203">
        <f t="shared" si="4"/>
        <v>8</v>
      </c>
      <c r="N13" s="203">
        <f t="shared" si="4"/>
        <v>9</v>
      </c>
      <c r="O13" s="203">
        <f t="shared" si="4"/>
        <v>10</v>
      </c>
      <c r="P13" s="203">
        <f t="shared" si="4"/>
        <v>11</v>
      </c>
      <c r="Q13" s="203">
        <f t="shared" si="4"/>
        <v>12</v>
      </c>
      <c r="R13" s="203">
        <f t="shared" si="4"/>
        <v>13</v>
      </c>
      <c r="S13" s="203">
        <f t="shared" si="4"/>
        <v>14</v>
      </c>
      <c r="T13" s="203">
        <f t="shared" si="4"/>
        <v>15</v>
      </c>
      <c r="U13" s="203">
        <f t="shared" si="4"/>
        <v>16</v>
      </c>
      <c r="V13" s="203">
        <f t="shared" si="4"/>
        <v>17</v>
      </c>
      <c r="W13" s="203">
        <f t="shared" si="4"/>
        <v>18</v>
      </c>
      <c r="X13" s="203">
        <f t="shared" si="4"/>
        <v>19</v>
      </c>
      <c r="Y13" s="203">
        <f t="shared" si="4"/>
        <v>20</v>
      </c>
      <c r="Z13" s="203">
        <f t="shared" si="4"/>
        <v>21</v>
      </c>
      <c r="AA13" s="203">
        <f t="shared" si="4"/>
        <v>22</v>
      </c>
      <c r="AB13" s="203">
        <f t="shared" si="4"/>
        <v>23</v>
      </c>
      <c r="AC13" s="203">
        <f t="shared" si="4"/>
        <v>24</v>
      </c>
      <c r="AD13" s="203">
        <f t="shared" si="4"/>
        <v>25</v>
      </c>
      <c r="AE13" s="203">
        <f t="shared" si="4"/>
        <v>26</v>
      </c>
      <c r="AF13" s="203">
        <f t="shared" si="4"/>
        <v>27</v>
      </c>
      <c r="AG13" s="203">
        <f t="shared" si="4"/>
        <v>28</v>
      </c>
      <c r="AH13" s="203">
        <f t="shared" si="4"/>
        <v>29</v>
      </c>
      <c r="AI13" s="203">
        <f t="shared" si="4"/>
        <v>30</v>
      </c>
      <c r="AJ13" s="203">
        <f t="shared" si="4"/>
        <v>31</v>
      </c>
      <c r="AK13" s="203">
        <f t="shared" si="4"/>
        <v>32</v>
      </c>
      <c r="AL13" s="203">
        <f t="shared" si="4"/>
        <v>33</v>
      </c>
      <c r="AM13" s="203">
        <f t="shared" si="4"/>
        <v>34</v>
      </c>
      <c r="AN13" s="203">
        <f t="shared" si="4"/>
        <v>35</v>
      </c>
      <c r="AO13" s="203">
        <f t="shared" si="4"/>
        <v>36</v>
      </c>
      <c r="AP13" s="203">
        <f t="shared" si="4"/>
        <v>37</v>
      </c>
      <c r="AQ13" s="203">
        <f t="shared" si="4"/>
        <v>38</v>
      </c>
      <c r="AR13" s="203">
        <f t="shared" si="4"/>
        <v>39</v>
      </c>
      <c r="AS13" s="203">
        <f t="shared" si="4"/>
        <v>40</v>
      </c>
      <c r="AT13" s="203">
        <f t="shared" si="4"/>
        <v>41</v>
      </c>
      <c r="AU13" s="203">
        <f t="shared" si="4"/>
        <v>42</v>
      </c>
      <c r="AV13" s="203">
        <f t="shared" si="4"/>
        <v>43</v>
      </c>
      <c r="AW13" s="203">
        <f t="shared" si="4"/>
        <v>44</v>
      </c>
      <c r="AX13" s="203">
        <f t="shared" si="4"/>
        <v>45</v>
      </c>
      <c r="AY13" s="203">
        <f t="shared" si="4"/>
        <v>46</v>
      </c>
      <c r="AZ13" s="203">
        <f t="shared" si="4"/>
        <v>47</v>
      </c>
      <c r="BA13" s="203">
        <f t="shared" si="4"/>
        <v>48</v>
      </c>
      <c r="BB13" s="203">
        <f t="shared" si="4"/>
        <v>49</v>
      </c>
      <c r="BC13" s="203">
        <f t="shared" si="4"/>
        <v>50</v>
      </c>
      <c r="BD13" s="203">
        <f t="shared" si="4"/>
        <v>51</v>
      </c>
      <c r="BE13" s="203">
        <f t="shared" si="4"/>
        <v>52</v>
      </c>
      <c r="BF13" s="203">
        <f t="shared" si="4"/>
        <v>53</v>
      </c>
      <c r="BG13" s="203">
        <f t="shared" si="4"/>
        <v>54</v>
      </c>
      <c r="BH13" s="203">
        <f t="shared" si="4"/>
        <v>55</v>
      </c>
      <c r="BI13" s="203">
        <f t="shared" si="4"/>
        <v>56</v>
      </c>
      <c r="BJ13" s="203">
        <f t="shared" si="4"/>
        <v>57</v>
      </c>
      <c r="BK13" s="203">
        <f t="shared" si="4"/>
        <v>58</v>
      </c>
      <c r="BL13" s="203">
        <f t="shared" si="4"/>
        <v>59</v>
      </c>
      <c r="BM13" s="203">
        <f t="shared" si="4"/>
        <v>60</v>
      </c>
      <c r="BN13" s="203">
        <f t="shared" si="4"/>
        <v>61</v>
      </c>
      <c r="BO13" s="203">
        <f t="shared" si="4"/>
        <v>62</v>
      </c>
      <c r="BP13" s="203">
        <f t="shared" si="4"/>
        <v>63</v>
      </c>
      <c r="BQ13" s="203">
        <f t="shared" si="4"/>
        <v>64</v>
      </c>
      <c r="BR13" s="203">
        <f t="shared" si="4"/>
        <v>65</v>
      </c>
      <c r="BS13" s="203">
        <f t="shared" ref="BS13:DX13" si="5">BR13+1</f>
        <v>66</v>
      </c>
      <c r="BT13" s="203">
        <f t="shared" si="5"/>
        <v>67</v>
      </c>
      <c r="BU13" s="203">
        <f t="shared" si="5"/>
        <v>68</v>
      </c>
      <c r="BV13" s="203">
        <f t="shared" si="5"/>
        <v>69</v>
      </c>
      <c r="BW13" s="203">
        <f t="shared" si="5"/>
        <v>70</v>
      </c>
      <c r="BX13" s="203">
        <f t="shared" si="5"/>
        <v>71</v>
      </c>
      <c r="BY13" s="203">
        <f t="shared" si="5"/>
        <v>72</v>
      </c>
      <c r="BZ13" s="203">
        <f t="shared" si="5"/>
        <v>73</v>
      </c>
      <c r="CA13" s="203">
        <f t="shared" si="5"/>
        <v>74</v>
      </c>
      <c r="CB13" s="203">
        <f t="shared" si="5"/>
        <v>75</v>
      </c>
      <c r="CC13" s="203">
        <f t="shared" si="5"/>
        <v>76</v>
      </c>
      <c r="CD13" s="203">
        <f t="shared" si="5"/>
        <v>77</v>
      </c>
      <c r="CE13" s="203">
        <f t="shared" si="5"/>
        <v>78</v>
      </c>
      <c r="CF13" s="203">
        <f t="shared" si="5"/>
        <v>79</v>
      </c>
      <c r="CG13" s="203">
        <f t="shared" si="5"/>
        <v>80</v>
      </c>
      <c r="CH13" s="203">
        <f t="shared" si="5"/>
        <v>81</v>
      </c>
      <c r="CI13" s="203">
        <f t="shared" si="5"/>
        <v>82</v>
      </c>
      <c r="CJ13" s="203">
        <f t="shared" si="5"/>
        <v>83</v>
      </c>
      <c r="CK13" s="203">
        <f t="shared" si="5"/>
        <v>84</v>
      </c>
      <c r="CL13" s="203">
        <f t="shared" si="5"/>
        <v>85</v>
      </c>
      <c r="CM13" s="203">
        <f t="shared" si="5"/>
        <v>86</v>
      </c>
      <c r="CN13" s="203">
        <f t="shared" si="5"/>
        <v>87</v>
      </c>
      <c r="CO13" s="203">
        <f t="shared" si="5"/>
        <v>88</v>
      </c>
      <c r="CP13" s="203">
        <f t="shared" si="5"/>
        <v>89</v>
      </c>
      <c r="CQ13" s="203">
        <f t="shared" si="5"/>
        <v>90</v>
      </c>
      <c r="CR13" s="203">
        <f t="shared" si="5"/>
        <v>91</v>
      </c>
      <c r="CS13" s="203">
        <f t="shared" si="5"/>
        <v>92</v>
      </c>
      <c r="CT13" s="203">
        <f t="shared" si="5"/>
        <v>93</v>
      </c>
      <c r="CU13" s="203">
        <f t="shared" si="5"/>
        <v>94</v>
      </c>
      <c r="CV13" s="203">
        <f t="shared" si="5"/>
        <v>95</v>
      </c>
      <c r="CW13" s="203">
        <f t="shared" si="5"/>
        <v>96</v>
      </c>
      <c r="CX13" s="203">
        <f t="shared" si="5"/>
        <v>97</v>
      </c>
      <c r="CY13" s="203">
        <f t="shared" si="5"/>
        <v>98</v>
      </c>
      <c r="CZ13" s="203">
        <f t="shared" si="5"/>
        <v>99</v>
      </c>
      <c r="DA13" s="203">
        <f t="shared" si="5"/>
        <v>100</v>
      </c>
      <c r="DB13" s="203">
        <f t="shared" si="5"/>
        <v>101</v>
      </c>
      <c r="DC13" s="203">
        <f t="shared" si="5"/>
        <v>102</v>
      </c>
      <c r="DD13" s="203">
        <f t="shared" si="5"/>
        <v>103</v>
      </c>
      <c r="DE13" s="203">
        <f t="shared" si="5"/>
        <v>104</v>
      </c>
      <c r="DF13" s="203">
        <f t="shared" si="5"/>
        <v>105</v>
      </c>
      <c r="DG13" s="203">
        <f t="shared" si="5"/>
        <v>106</v>
      </c>
      <c r="DH13" s="203">
        <f t="shared" si="5"/>
        <v>107</v>
      </c>
      <c r="DI13" s="203">
        <f t="shared" si="5"/>
        <v>108</v>
      </c>
      <c r="DJ13" s="203">
        <f t="shared" si="5"/>
        <v>109</v>
      </c>
      <c r="DK13" s="203">
        <f t="shared" si="5"/>
        <v>110</v>
      </c>
      <c r="DL13" s="203">
        <f t="shared" si="5"/>
        <v>111</v>
      </c>
      <c r="DM13" s="203">
        <f t="shared" si="5"/>
        <v>112</v>
      </c>
      <c r="DN13" s="203">
        <f t="shared" si="5"/>
        <v>113</v>
      </c>
      <c r="DO13" s="203">
        <f t="shared" si="5"/>
        <v>114</v>
      </c>
      <c r="DP13" s="203">
        <f t="shared" si="5"/>
        <v>115</v>
      </c>
      <c r="DQ13" s="203">
        <f t="shared" si="5"/>
        <v>116</v>
      </c>
      <c r="DR13" s="203">
        <f t="shared" si="5"/>
        <v>117</v>
      </c>
      <c r="DS13" s="203">
        <f t="shared" si="5"/>
        <v>118</v>
      </c>
      <c r="DT13" s="203">
        <f t="shared" si="5"/>
        <v>119</v>
      </c>
      <c r="DU13" s="203">
        <f t="shared" si="5"/>
        <v>120</v>
      </c>
      <c r="DV13" s="203">
        <f t="shared" si="5"/>
        <v>121</v>
      </c>
      <c r="DW13" s="203">
        <f t="shared" si="5"/>
        <v>122</v>
      </c>
      <c r="DX13" s="203">
        <f t="shared" si="5"/>
        <v>123</v>
      </c>
      <c r="DY13" s="88"/>
      <c r="DZ13" s="188" t="s">
        <v>393</v>
      </c>
      <c r="EB13" s="88"/>
    </row>
    <row r="14" spans="1:132" outlineLevel="1">
      <c r="A14" s="91" t="s">
        <v>158</v>
      </c>
      <c r="C14" s="180"/>
      <c r="D14" s="180"/>
      <c r="E14" s="180"/>
      <c r="F14" s="202">
        <f t="shared" ref="F14:AK14" si="6">IF(PeriodNoMth&lt;=PreContractPeriodDuration,-1-PreContractPeriodDuration+F13,PeriodNoMth-PreContractPeriodDuration)</f>
        <v>-3</v>
      </c>
      <c r="G14" s="203">
        <f t="shared" si="6"/>
        <v>-2</v>
      </c>
      <c r="H14" s="203">
        <f t="shared" si="6"/>
        <v>-1</v>
      </c>
      <c r="I14" s="203">
        <f t="shared" si="6"/>
        <v>1</v>
      </c>
      <c r="J14" s="203">
        <f t="shared" si="6"/>
        <v>2</v>
      </c>
      <c r="K14" s="203">
        <f t="shared" si="6"/>
        <v>3</v>
      </c>
      <c r="L14" s="203">
        <f t="shared" si="6"/>
        <v>4</v>
      </c>
      <c r="M14" s="203">
        <f t="shared" si="6"/>
        <v>5</v>
      </c>
      <c r="N14" s="203">
        <f t="shared" si="6"/>
        <v>6</v>
      </c>
      <c r="O14" s="203">
        <f t="shared" si="6"/>
        <v>7</v>
      </c>
      <c r="P14" s="203">
        <f t="shared" si="6"/>
        <v>8</v>
      </c>
      <c r="Q14" s="203">
        <f t="shared" si="6"/>
        <v>9</v>
      </c>
      <c r="R14" s="203">
        <f t="shared" si="6"/>
        <v>10</v>
      </c>
      <c r="S14" s="203">
        <f t="shared" si="6"/>
        <v>11</v>
      </c>
      <c r="T14" s="203">
        <f t="shared" si="6"/>
        <v>12</v>
      </c>
      <c r="U14" s="203">
        <f t="shared" si="6"/>
        <v>13</v>
      </c>
      <c r="V14" s="203">
        <f t="shared" si="6"/>
        <v>14</v>
      </c>
      <c r="W14" s="203">
        <f t="shared" si="6"/>
        <v>15</v>
      </c>
      <c r="X14" s="203">
        <f t="shared" si="6"/>
        <v>16</v>
      </c>
      <c r="Y14" s="203">
        <f t="shared" si="6"/>
        <v>17</v>
      </c>
      <c r="Z14" s="203">
        <f t="shared" si="6"/>
        <v>18</v>
      </c>
      <c r="AA14" s="203">
        <f t="shared" si="6"/>
        <v>19</v>
      </c>
      <c r="AB14" s="203">
        <f t="shared" si="6"/>
        <v>20</v>
      </c>
      <c r="AC14" s="203">
        <f t="shared" si="6"/>
        <v>21</v>
      </c>
      <c r="AD14" s="203">
        <f t="shared" si="6"/>
        <v>22</v>
      </c>
      <c r="AE14" s="203">
        <f t="shared" si="6"/>
        <v>23</v>
      </c>
      <c r="AF14" s="203">
        <f t="shared" si="6"/>
        <v>24</v>
      </c>
      <c r="AG14" s="203">
        <f t="shared" si="6"/>
        <v>25</v>
      </c>
      <c r="AH14" s="203">
        <f t="shared" si="6"/>
        <v>26</v>
      </c>
      <c r="AI14" s="203">
        <f t="shared" si="6"/>
        <v>27</v>
      </c>
      <c r="AJ14" s="203">
        <f t="shared" si="6"/>
        <v>28</v>
      </c>
      <c r="AK14" s="203">
        <f t="shared" si="6"/>
        <v>29</v>
      </c>
      <c r="AL14" s="203">
        <f t="shared" ref="AL14:BQ14" si="7">IF(PeriodNoMth&lt;=PreContractPeriodDuration,-1-PreContractPeriodDuration+AL13,PeriodNoMth-PreContractPeriodDuration)</f>
        <v>30</v>
      </c>
      <c r="AM14" s="203">
        <f t="shared" si="7"/>
        <v>31</v>
      </c>
      <c r="AN14" s="203">
        <f t="shared" si="7"/>
        <v>32</v>
      </c>
      <c r="AO14" s="203">
        <f t="shared" si="7"/>
        <v>33</v>
      </c>
      <c r="AP14" s="203">
        <f t="shared" si="7"/>
        <v>34</v>
      </c>
      <c r="AQ14" s="203">
        <f t="shared" si="7"/>
        <v>35</v>
      </c>
      <c r="AR14" s="203">
        <f t="shared" si="7"/>
        <v>36</v>
      </c>
      <c r="AS14" s="203">
        <f t="shared" si="7"/>
        <v>37</v>
      </c>
      <c r="AT14" s="203">
        <f t="shared" si="7"/>
        <v>38</v>
      </c>
      <c r="AU14" s="203">
        <f t="shared" si="7"/>
        <v>39</v>
      </c>
      <c r="AV14" s="203">
        <f t="shared" si="7"/>
        <v>40</v>
      </c>
      <c r="AW14" s="203">
        <f t="shared" si="7"/>
        <v>41</v>
      </c>
      <c r="AX14" s="203">
        <f t="shared" si="7"/>
        <v>42</v>
      </c>
      <c r="AY14" s="203">
        <f t="shared" si="7"/>
        <v>43</v>
      </c>
      <c r="AZ14" s="203">
        <f t="shared" si="7"/>
        <v>44</v>
      </c>
      <c r="BA14" s="203">
        <f t="shared" si="7"/>
        <v>45</v>
      </c>
      <c r="BB14" s="203">
        <f t="shared" si="7"/>
        <v>46</v>
      </c>
      <c r="BC14" s="203">
        <f t="shared" si="7"/>
        <v>47</v>
      </c>
      <c r="BD14" s="203">
        <f t="shared" si="7"/>
        <v>48</v>
      </c>
      <c r="BE14" s="203">
        <f t="shared" si="7"/>
        <v>49</v>
      </c>
      <c r="BF14" s="203">
        <f t="shared" si="7"/>
        <v>50</v>
      </c>
      <c r="BG14" s="203">
        <f t="shared" si="7"/>
        <v>51</v>
      </c>
      <c r="BH14" s="203">
        <f t="shared" si="7"/>
        <v>52</v>
      </c>
      <c r="BI14" s="203">
        <f t="shared" si="7"/>
        <v>53</v>
      </c>
      <c r="BJ14" s="203">
        <f t="shared" si="7"/>
        <v>54</v>
      </c>
      <c r="BK14" s="203">
        <f t="shared" si="7"/>
        <v>55</v>
      </c>
      <c r="BL14" s="203">
        <f t="shared" si="7"/>
        <v>56</v>
      </c>
      <c r="BM14" s="203">
        <f t="shared" si="7"/>
        <v>57</v>
      </c>
      <c r="BN14" s="203">
        <f t="shared" si="7"/>
        <v>58</v>
      </c>
      <c r="BO14" s="203">
        <f t="shared" si="7"/>
        <v>59</v>
      </c>
      <c r="BP14" s="203">
        <f t="shared" si="7"/>
        <v>60</v>
      </c>
      <c r="BQ14" s="203">
        <f t="shared" si="7"/>
        <v>61</v>
      </c>
      <c r="BR14" s="203">
        <f t="shared" ref="BR14:CW14" si="8">IF(PeriodNoMth&lt;=PreContractPeriodDuration,-1-PreContractPeriodDuration+BR13,PeriodNoMth-PreContractPeriodDuration)</f>
        <v>62</v>
      </c>
      <c r="BS14" s="203">
        <f t="shared" si="8"/>
        <v>63</v>
      </c>
      <c r="BT14" s="203">
        <f t="shared" si="8"/>
        <v>64</v>
      </c>
      <c r="BU14" s="203">
        <f t="shared" si="8"/>
        <v>65</v>
      </c>
      <c r="BV14" s="203">
        <f t="shared" si="8"/>
        <v>66</v>
      </c>
      <c r="BW14" s="203">
        <f t="shared" si="8"/>
        <v>67</v>
      </c>
      <c r="BX14" s="203">
        <f t="shared" si="8"/>
        <v>68</v>
      </c>
      <c r="BY14" s="203">
        <f t="shared" si="8"/>
        <v>69</v>
      </c>
      <c r="BZ14" s="203">
        <f t="shared" si="8"/>
        <v>70</v>
      </c>
      <c r="CA14" s="203">
        <f t="shared" si="8"/>
        <v>71</v>
      </c>
      <c r="CB14" s="203">
        <f t="shared" si="8"/>
        <v>72</v>
      </c>
      <c r="CC14" s="203">
        <f t="shared" si="8"/>
        <v>73</v>
      </c>
      <c r="CD14" s="203">
        <f t="shared" si="8"/>
        <v>74</v>
      </c>
      <c r="CE14" s="203">
        <f t="shared" si="8"/>
        <v>75</v>
      </c>
      <c r="CF14" s="203">
        <f t="shared" si="8"/>
        <v>76</v>
      </c>
      <c r="CG14" s="203">
        <f t="shared" si="8"/>
        <v>77</v>
      </c>
      <c r="CH14" s="203">
        <f t="shared" si="8"/>
        <v>78</v>
      </c>
      <c r="CI14" s="203">
        <f t="shared" si="8"/>
        <v>79</v>
      </c>
      <c r="CJ14" s="203">
        <f t="shared" si="8"/>
        <v>80</v>
      </c>
      <c r="CK14" s="203">
        <f t="shared" si="8"/>
        <v>81</v>
      </c>
      <c r="CL14" s="203">
        <f t="shared" si="8"/>
        <v>82</v>
      </c>
      <c r="CM14" s="203">
        <f t="shared" si="8"/>
        <v>83</v>
      </c>
      <c r="CN14" s="203">
        <f t="shared" si="8"/>
        <v>84</v>
      </c>
      <c r="CO14" s="203">
        <f t="shared" si="8"/>
        <v>85</v>
      </c>
      <c r="CP14" s="203">
        <f t="shared" si="8"/>
        <v>86</v>
      </c>
      <c r="CQ14" s="203">
        <f t="shared" si="8"/>
        <v>87</v>
      </c>
      <c r="CR14" s="203">
        <f t="shared" si="8"/>
        <v>88</v>
      </c>
      <c r="CS14" s="203">
        <f t="shared" si="8"/>
        <v>89</v>
      </c>
      <c r="CT14" s="203">
        <f t="shared" si="8"/>
        <v>90</v>
      </c>
      <c r="CU14" s="203">
        <f t="shared" si="8"/>
        <v>91</v>
      </c>
      <c r="CV14" s="203">
        <f t="shared" si="8"/>
        <v>92</v>
      </c>
      <c r="CW14" s="203">
        <f t="shared" si="8"/>
        <v>93</v>
      </c>
      <c r="CX14" s="203">
        <f t="shared" ref="CX14:DX14" si="9">IF(PeriodNoMth&lt;=PreContractPeriodDuration,-1-PreContractPeriodDuration+CX13,PeriodNoMth-PreContractPeriodDuration)</f>
        <v>94</v>
      </c>
      <c r="CY14" s="203">
        <f t="shared" si="9"/>
        <v>95</v>
      </c>
      <c r="CZ14" s="203">
        <f t="shared" si="9"/>
        <v>96</v>
      </c>
      <c r="DA14" s="203">
        <f t="shared" si="9"/>
        <v>97</v>
      </c>
      <c r="DB14" s="203">
        <f t="shared" si="9"/>
        <v>98</v>
      </c>
      <c r="DC14" s="203">
        <f t="shared" si="9"/>
        <v>99</v>
      </c>
      <c r="DD14" s="203">
        <f t="shared" si="9"/>
        <v>100</v>
      </c>
      <c r="DE14" s="203">
        <f t="shared" si="9"/>
        <v>101</v>
      </c>
      <c r="DF14" s="203">
        <f t="shared" si="9"/>
        <v>102</v>
      </c>
      <c r="DG14" s="203">
        <f t="shared" si="9"/>
        <v>103</v>
      </c>
      <c r="DH14" s="203">
        <f t="shared" si="9"/>
        <v>104</v>
      </c>
      <c r="DI14" s="203">
        <f t="shared" si="9"/>
        <v>105</v>
      </c>
      <c r="DJ14" s="203">
        <f t="shared" si="9"/>
        <v>106</v>
      </c>
      <c r="DK14" s="203">
        <f t="shared" si="9"/>
        <v>107</v>
      </c>
      <c r="DL14" s="203">
        <f t="shared" si="9"/>
        <v>108</v>
      </c>
      <c r="DM14" s="203">
        <f t="shared" si="9"/>
        <v>109</v>
      </c>
      <c r="DN14" s="203">
        <f t="shared" si="9"/>
        <v>110</v>
      </c>
      <c r="DO14" s="203">
        <f t="shared" si="9"/>
        <v>111</v>
      </c>
      <c r="DP14" s="203">
        <f t="shared" si="9"/>
        <v>112</v>
      </c>
      <c r="DQ14" s="203">
        <f t="shared" si="9"/>
        <v>113</v>
      </c>
      <c r="DR14" s="203">
        <f t="shared" si="9"/>
        <v>114</v>
      </c>
      <c r="DS14" s="203">
        <f t="shared" si="9"/>
        <v>115</v>
      </c>
      <c r="DT14" s="203">
        <f t="shared" si="9"/>
        <v>116</v>
      </c>
      <c r="DU14" s="203">
        <f t="shared" si="9"/>
        <v>117</v>
      </c>
      <c r="DV14" s="203">
        <f t="shared" si="9"/>
        <v>118</v>
      </c>
      <c r="DW14" s="203">
        <f t="shared" si="9"/>
        <v>119</v>
      </c>
      <c r="DX14" s="203">
        <f t="shared" si="9"/>
        <v>120</v>
      </c>
      <c r="DY14" s="88"/>
      <c r="DZ14" s="188" t="s">
        <v>394</v>
      </c>
      <c r="EB14" s="88"/>
    </row>
    <row r="15" spans="1:132" outlineLevel="1">
      <c r="A15" s="91" t="s">
        <v>159</v>
      </c>
      <c r="C15" s="180"/>
      <c r="D15" s="180"/>
      <c r="E15" s="180"/>
      <c r="F15" s="202">
        <f t="shared" ref="F15:AK15" si="10">IF(PeriodNoMth&lt;=PreContractPeriodDuration,0,INT((PeriodCounter-1)/MinY)+1)</f>
        <v>0</v>
      </c>
      <c r="G15" s="203">
        <f t="shared" si="10"/>
        <v>0</v>
      </c>
      <c r="H15" s="203">
        <f t="shared" si="10"/>
        <v>0</v>
      </c>
      <c r="I15" s="203">
        <f t="shared" si="10"/>
        <v>1</v>
      </c>
      <c r="J15" s="203">
        <f t="shared" si="10"/>
        <v>1</v>
      </c>
      <c r="K15" s="203">
        <f t="shared" si="10"/>
        <v>1</v>
      </c>
      <c r="L15" s="203">
        <f t="shared" si="10"/>
        <v>1</v>
      </c>
      <c r="M15" s="203">
        <f t="shared" si="10"/>
        <v>1</v>
      </c>
      <c r="N15" s="203">
        <f t="shared" si="10"/>
        <v>1</v>
      </c>
      <c r="O15" s="203">
        <f t="shared" si="10"/>
        <v>1</v>
      </c>
      <c r="P15" s="203">
        <f t="shared" si="10"/>
        <v>1</v>
      </c>
      <c r="Q15" s="203">
        <f t="shared" si="10"/>
        <v>1</v>
      </c>
      <c r="R15" s="203">
        <f t="shared" si="10"/>
        <v>1</v>
      </c>
      <c r="S15" s="203">
        <f t="shared" si="10"/>
        <v>1</v>
      </c>
      <c r="T15" s="203">
        <f t="shared" si="10"/>
        <v>1</v>
      </c>
      <c r="U15" s="203">
        <f t="shared" si="10"/>
        <v>2</v>
      </c>
      <c r="V15" s="203">
        <f t="shared" si="10"/>
        <v>2</v>
      </c>
      <c r="W15" s="203">
        <f t="shared" si="10"/>
        <v>2</v>
      </c>
      <c r="X15" s="203">
        <f t="shared" si="10"/>
        <v>2</v>
      </c>
      <c r="Y15" s="203">
        <f t="shared" si="10"/>
        <v>2</v>
      </c>
      <c r="Z15" s="203">
        <f t="shared" si="10"/>
        <v>2</v>
      </c>
      <c r="AA15" s="203">
        <f t="shared" si="10"/>
        <v>2</v>
      </c>
      <c r="AB15" s="203">
        <f t="shared" si="10"/>
        <v>2</v>
      </c>
      <c r="AC15" s="203">
        <f t="shared" si="10"/>
        <v>2</v>
      </c>
      <c r="AD15" s="203">
        <f t="shared" si="10"/>
        <v>2</v>
      </c>
      <c r="AE15" s="203">
        <f t="shared" si="10"/>
        <v>2</v>
      </c>
      <c r="AF15" s="203">
        <f t="shared" si="10"/>
        <v>2</v>
      </c>
      <c r="AG15" s="203">
        <f t="shared" si="10"/>
        <v>3</v>
      </c>
      <c r="AH15" s="203">
        <f t="shared" si="10"/>
        <v>3</v>
      </c>
      <c r="AI15" s="203">
        <f t="shared" si="10"/>
        <v>3</v>
      </c>
      <c r="AJ15" s="203">
        <f t="shared" si="10"/>
        <v>3</v>
      </c>
      <c r="AK15" s="203">
        <f t="shared" si="10"/>
        <v>3</v>
      </c>
      <c r="AL15" s="203">
        <f t="shared" ref="AL15:BQ15" si="11">IF(PeriodNoMth&lt;=PreContractPeriodDuration,0,INT((PeriodCounter-1)/MinY)+1)</f>
        <v>3</v>
      </c>
      <c r="AM15" s="203">
        <f t="shared" si="11"/>
        <v>3</v>
      </c>
      <c r="AN15" s="203">
        <f t="shared" si="11"/>
        <v>3</v>
      </c>
      <c r="AO15" s="203">
        <f t="shared" si="11"/>
        <v>3</v>
      </c>
      <c r="AP15" s="203">
        <f t="shared" si="11"/>
        <v>3</v>
      </c>
      <c r="AQ15" s="203">
        <f t="shared" si="11"/>
        <v>3</v>
      </c>
      <c r="AR15" s="203">
        <f t="shared" si="11"/>
        <v>3</v>
      </c>
      <c r="AS15" s="203">
        <f t="shared" si="11"/>
        <v>4</v>
      </c>
      <c r="AT15" s="203">
        <f t="shared" si="11"/>
        <v>4</v>
      </c>
      <c r="AU15" s="203">
        <f t="shared" si="11"/>
        <v>4</v>
      </c>
      <c r="AV15" s="203">
        <f t="shared" si="11"/>
        <v>4</v>
      </c>
      <c r="AW15" s="203">
        <f t="shared" si="11"/>
        <v>4</v>
      </c>
      <c r="AX15" s="203">
        <f t="shared" si="11"/>
        <v>4</v>
      </c>
      <c r="AY15" s="203">
        <f t="shared" si="11"/>
        <v>4</v>
      </c>
      <c r="AZ15" s="203">
        <f t="shared" si="11"/>
        <v>4</v>
      </c>
      <c r="BA15" s="203">
        <f t="shared" si="11"/>
        <v>4</v>
      </c>
      <c r="BB15" s="203">
        <f t="shared" si="11"/>
        <v>4</v>
      </c>
      <c r="BC15" s="203">
        <f t="shared" si="11"/>
        <v>4</v>
      </c>
      <c r="BD15" s="203">
        <f t="shared" si="11"/>
        <v>4</v>
      </c>
      <c r="BE15" s="203">
        <f t="shared" si="11"/>
        <v>5</v>
      </c>
      <c r="BF15" s="203">
        <f t="shared" si="11"/>
        <v>5</v>
      </c>
      <c r="BG15" s="203">
        <f t="shared" si="11"/>
        <v>5</v>
      </c>
      <c r="BH15" s="203">
        <f t="shared" si="11"/>
        <v>5</v>
      </c>
      <c r="BI15" s="203">
        <f t="shared" si="11"/>
        <v>5</v>
      </c>
      <c r="BJ15" s="203">
        <f t="shared" si="11"/>
        <v>5</v>
      </c>
      <c r="BK15" s="203">
        <f t="shared" si="11"/>
        <v>5</v>
      </c>
      <c r="BL15" s="203">
        <f t="shared" si="11"/>
        <v>5</v>
      </c>
      <c r="BM15" s="203">
        <f t="shared" si="11"/>
        <v>5</v>
      </c>
      <c r="BN15" s="203">
        <f t="shared" si="11"/>
        <v>5</v>
      </c>
      <c r="BO15" s="203">
        <f t="shared" si="11"/>
        <v>5</v>
      </c>
      <c r="BP15" s="203">
        <f t="shared" si="11"/>
        <v>5</v>
      </c>
      <c r="BQ15" s="203">
        <f t="shared" si="11"/>
        <v>6</v>
      </c>
      <c r="BR15" s="203">
        <f t="shared" ref="BR15:CW15" si="12">IF(PeriodNoMth&lt;=PreContractPeriodDuration,0,INT((PeriodCounter-1)/MinY)+1)</f>
        <v>6</v>
      </c>
      <c r="BS15" s="203">
        <f t="shared" si="12"/>
        <v>6</v>
      </c>
      <c r="BT15" s="203">
        <f t="shared" si="12"/>
        <v>6</v>
      </c>
      <c r="BU15" s="203">
        <f t="shared" si="12"/>
        <v>6</v>
      </c>
      <c r="BV15" s="203">
        <f t="shared" si="12"/>
        <v>6</v>
      </c>
      <c r="BW15" s="203">
        <f t="shared" si="12"/>
        <v>6</v>
      </c>
      <c r="BX15" s="203">
        <f t="shared" si="12"/>
        <v>6</v>
      </c>
      <c r="BY15" s="203">
        <f t="shared" si="12"/>
        <v>6</v>
      </c>
      <c r="BZ15" s="203">
        <f t="shared" si="12"/>
        <v>6</v>
      </c>
      <c r="CA15" s="203">
        <f t="shared" si="12"/>
        <v>6</v>
      </c>
      <c r="CB15" s="203">
        <f t="shared" si="12"/>
        <v>6</v>
      </c>
      <c r="CC15" s="203">
        <f t="shared" si="12"/>
        <v>7</v>
      </c>
      <c r="CD15" s="203">
        <f t="shared" si="12"/>
        <v>7</v>
      </c>
      <c r="CE15" s="203">
        <f t="shared" si="12"/>
        <v>7</v>
      </c>
      <c r="CF15" s="203">
        <f t="shared" si="12"/>
        <v>7</v>
      </c>
      <c r="CG15" s="203">
        <f t="shared" si="12"/>
        <v>7</v>
      </c>
      <c r="CH15" s="203">
        <f t="shared" si="12"/>
        <v>7</v>
      </c>
      <c r="CI15" s="203">
        <f t="shared" si="12"/>
        <v>7</v>
      </c>
      <c r="CJ15" s="203">
        <f t="shared" si="12"/>
        <v>7</v>
      </c>
      <c r="CK15" s="203">
        <f t="shared" si="12"/>
        <v>7</v>
      </c>
      <c r="CL15" s="203">
        <f t="shared" si="12"/>
        <v>7</v>
      </c>
      <c r="CM15" s="203">
        <f t="shared" si="12"/>
        <v>7</v>
      </c>
      <c r="CN15" s="203">
        <f t="shared" si="12"/>
        <v>7</v>
      </c>
      <c r="CO15" s="203">
        <f t="shared" si="12"/>
        <v>8</v>
      </c>
      <c r="CP15" s="203">
        <f t="shared" si="12"/>
        <v>8</v>
      </c>
      <c r="CQ15" s="203">
        <f t="shared" si="12"/>
        <v>8</v>
      </c>
      <c r="CR15" s="203">
        <f t="shared" si="12"/>
        <v>8</v>
      </c>
      <c r="CS15" s="203">
        <f t="shared" si="12"/>
        <v>8</v>
      </c>
      <c r="CT15" s="203">
        <f t="shared" si="12"/>
        <v>8</v>
      </c>
      <c r="CU15" s="203">
        <f t="shared" si="12"/>
        <v>8</v>
      </c>
      <c r="CV15" s="203">
        <f t="shared" si="12"/>
        <v>8</v>
      </c>
      <c r="CW15" s="203">
        <f t="shared" si="12"/>
        <v>8</v>
      </c>
      <c r="CX15" s="203">
        <f t="shared" ref="CX15:DX15" si="13">IF(PeriodNoMth&lt;=PreContractPeriodDuration,0,INT((PeriodCounter-1)/MinY)+1)</f>
        <v>8</v>
      </c>
      <c r="CY15" s="203">
        <f t="shared" si="13"/>
        <v>8</v>
      </c>
      <c r="CZ15" s="203">
        <f t="shared" si="13"/>
        <v>8</v>
      </c>
      <c r="DA15" s="203">
        <f t="shared" si="13"/>
        <v>9</v>
      </c>
      <c r="DB15" s="203">
        <f t="shared" si="13"/>
        <v>9</v>
      </c>
      <c r="DC15" s="203">
        <f t="shared" si="13"/>
        <v>9</v>
      </c>
      <c r="DD15" s="203">
        <f t="shared" si="13"/>
        <v>9</v>
      </c>
      <c r="DE15" s="203">
        <f t="shared" si="13"/>
        <v>9</v>
      </c>
      <c r="DF15" s="203">
        <f t="shared" si="13"/>
        <v>9</v>
      </c>
      <c r="DG15" s="203">
        <f t="shared" si="13"/>
        <v>9</v>
      </c>
      <c r="DH15" s="203">
        <f t="shared" si="13"/>
        <v>9</v>
      </c>
      <c r="DI15" s="203">
        <f t="shared" si="13"/>
        <v>9</v>
      </c>
      <c r="DJ15" s="203">
        <f t="shared" si="13"/>
        <v>9</v>
      </c>
      <c r="DK15" s="203">
        <f t="shared" si="13"/>
        <v>9</v>
      </c>
      <c r="DL15" s="203">
        <f t="shared" si="13"/>
        <v>9</v>
      </c>
      <c r="DM15" s="203">
        <f t="shared" si="13"/>
        <v>10</v>
      </c>
      <c r="DN15" s="203">
        <f t="shared" si="13"/>
        <v>10</v>
      </c>
      <c r="DO15" s="203">
        <f t="shared" si="13"/>
        <v>10</v>
      </c>
      <c r="DP15" s="203">
        <f t="shared" si="13"/>
        <v>10</v>
      </c>
      <c r="DQ15" s="203">
        <f t="shared" si="13"/>
        <v>10</v>
      </c>
      <c r="DR15" s="203">
        <f t="shared" si="13"/>
        <v>10</v>
      </c>
      <c r="DS15" s="203">
        <f t="shared" si="13"/>
        <v>10</v>
      </c>
      <c r="DT15" s="203">
        <f t="shared" si="13"/>
        <v>10</v>
      </c>
      <c r="DU15" s="203">
        <f t="shared" si="13"/>
        <v>10</v>
      </c>
      <c r="DV15" s="203">
        <f t="shared" si="13"/>
        <v>10</v>
      </c>
      <c r="DW15" s="203">
        <f t="shared" si="13"/>
        <v>10</v>
      </c>
      <c r="DX15" s="203">
        <f t="shared" si="13"/>
        <v>10</v>
      </c>
      <c r="DY15" s="88"/>
      <c r="DZ15" s="188" t="s">
        <v>395</v>
      </c>
      <c r="EB15" s="88"/>
    </row>
    <row r="16" spans="1:132" outlineLevel="1">
      <c r="A16" s="91" t="s">
        <v>160</v>
      </c>
      <c r="C16" s="185"/>
      <c r="D16" s="185"/>
      <c r="E16" s="194"/>
      <c r="F16" s="202">
        <f t="shared" ref="F16:AK16" si="14">IF(MOD(F14,MinY)=0,MinY,MOD(F14,MinY))</f>
        <v>9</v>
      </c>
      <c r="G16" s="204">
        <f t="shared" si="14"/>
        <v>10</v>
      </c>
      <c r="H16" s="204">
        <f t="shared" si="14"/>
        <v>11</v>
      </c>
      <c r="I16" s="204">
        <f t="shared" si="14"/>
        <v>1</v>
      </c>
      <c r="J16" s="203">
        <f t="shared" si="14"/>
        <v>2</v>
      </c>
      <c r="K16" s="203">
        <f t="shared" si="14"/>
        <v>3</v>
      </c>
      <c r="L16" s="203">
        <f t="shared" si="14"/>
        <v>4</v>
      </c>
      <c r="M16" s="203">
        <f t="shared" si="14"/>
        <v>5</v>
      </c>
      <c r="N16" s="203">
        <f t="shared" si="14"/>
        <v>6</v>
      </c>
      <c r="O16" s="203">
        <f t="shared" si="14"/>
        <v>7</v>
      </c>
      <c r="P16" s="203">
        <f t="shared" si="14"/>
        <v>8</v>
      </c>
      <c r="Q16" s="203">
        <f t="shared" si="14"/>
        <v>9</v>
      </c>
      <c r="R16" s="203">
        <f t="shared" si="14"/>
        <v>10</v>
      </c>
      <c r="S16" s="203">
        <f t="shared" si="14"/>
        <v>11</v>
      </c>
      <c r="T16" s="203">
        <f t="shared" si="14"/>
        <v>12</v>
      </c>
      <c r="U16" s="203">
        <f t="shared" si="14"/>
        <v>1</v>
      </c>
      <c r="V16" s="203">
        <f t="shared" si="14"/>
        <v>2</v>
      </c>
      <c r="W16" s="203">
        <f t="shared" si="14"/>
        <v>3</v>
      </c>
      <c r="X16" s="203">
        <f t="shared" si="14"/>
        <v>4</v>
      </c>
      <c r="Y16" s="203">
        <f t="shared" si="14"/>
        <v>5</v>
      </c>
      <c r="Z16" s="203">
        <f t="shared" si="14"/>
        <v>6</v>
      </c>
      <c r="AA16" s="203">
        <f t="shared" si="14"/>
        <v>7</v>
      </c>
      <c r="AB16" s="203">
        <f t="shared" si="14"/>
        <v>8</v>
      </c>
      <c r="AC16" s="203">
        <f t="shared" si="14"/>
        <v>9</v>
      </c>
      <c r="AD16" s="203">
        <f t="shared" si="14"/>
        <v>10</v>
      </c>
      <c r="AE16" s="203">
        <f t="shared" si="14"/>
        <v>11</v>
      </c>
      <c r="AF16" s="203">
        <f t="shared" si="14"/>
        <v>12</v>
      </c>
      <c r="AG16" s="203">
        <f t="shared" si="14"/>
        <v>1</v>
      </c>
      <c r="AH16" s="203">
        <f t="shared" si="14"/>
        <v>2</v>
      </c>
      <c r="AI16" s="203">
        <f t="shared" si="14"/>
        <v>3</v>
      </c>
      <c r="AJ16" s="203">
        <f t="shared" si="14"/>
        <v>4</v>
      </c>
      <c r="AK16" s="203">
        <f t="shared" si="14"/>
        <v>5</v>
      </c>
      <c r="AL16" s="203">
        <f t="shared" ref="AL16:BQ16" si="15">IF(MOD(AL14,MinY)=0,MinY,MOD(AL14,MinY))</f>
        <v>6</v>
      </c>
      <c r="AM16" s="203">
        <f t="shared" si="15"/>
        <v>7</v>
      </c>
      <c r="AN16" s="203">
        <f t="shared" si="15"/>
        <v>8</v>
      </c>
      <c r="AO16" s="203">
        <f t="shared" si="15"/>
        <v>9</v>
      </c>
      <c r="AP16" s="203">
        <f t="shared" si="15"/>
        <v>10</v>
      </c>
      <c r="AQ16" s="203">
        <f t="shared" si="15"/>
        <v>11</v>
      </c>
      <c r="AR16" s="203">
        <f t="shared" si="15"/>
        <v>12</v>
      </c>
      <c r="AS16" s="203">
        <f t="shared" si="15"/>
        <v>1</v>
      </c>
      <c r="AT16" s="203">
        <f t="shared" si="15"/>
        <v>2</v>
      </c>
      <c r="AU16" s="203">
        <f t="shared" si="15"/>
        <v>3</v>
      </c>
      <c r="AV16" s="203">
        <f t="shared" si="15"/>
        <v>4</v>
      </c>
      <c r="AW16" s="203">
        <f t="shared" si="15"/>
        <v>5</v>
      </c>
      <c r="AX16" s="203">
        <f t="shared" si="15"/>
        <v>6</v>
      </c>
      <c r="AY16" s="203">
        <f t="shared" si="15"/>
        <v>7</v>
      </c>
      <c r="AZ16" s="203">
        <f t="shared" si="15"/>
        <v>8</v>
      </c>
      <c r="BA16" s="203">
        <f t="shared" si="15"/>
        <v>9</v>
      </c>
      <c r="BB16" s="203">
        <f t="shared" si="15"/>
        <v>10</v>
      </c>
      <c r="BC16" s="203">
        <f t="shared" si="15"/>
        <v>11</v>
      </c>
      <c r="BD16" s="203">
        <f t="shared" si="15"/>
        <v>12</v>
      </c>
      <c r="BE16" s="203">
        <f t="shared" si="15"/>
        <v>1</v>
      </c>
      <c r="BF16" s="203">
        <f t="shared" si="15"/>
        <v>2</v>
      </c>
      <c r="BG16" s="203">
        <f t="shared" si="15"/>
        <v>3</v>
      </c>
      <c r="BH16" s="203">
        <f t="shared" si="15"/>
        <v>4</v>
      </c>
      <c r="BI16" s="203">
        <f t="shared" si="15"/>
        <v>5</v>
      </c>
      <c r="BJ16" s="203">
        <f t="shared" si="15"/>
        <v>6</v>
      </c>
      <c r="BK16" s="203">
        <f t="shared" si="15"/>
        <v>7</v>
      </c>
      <c r="BL16" s="203">
        <f t="shared" si="15"/>
        <v>8</v>
      </c>
      <c r="BM16" s="203">
        <f t="shared" si="15"/>
        <v>9</v>
      </c>
      <c r="BN16" s="203">
        <f t="shared" si="15"/>
        <v>10</v>
      </c>
      <c r="BO16" s="203">
        <f t="shared" si="15"/>
        <v>11</v>
      </c>
      <c r="BP16" s="203">
        <f t="shared" si="15"/>
        <v>12</v>
      </c>
      <c r="BQ16" s="203">
        <f t="shared" si="15"/>
        <v>1</v>
      </c>
      <c r="BR16" s="203">
        <f t="shared" ref="BR16:CW16" si="16">IF(MOD(BR14,MinY)=0,MinY,MOD(BR14,MinY))</f>
        <v>2</v>
      </c>
      <c r="BS16" s="203">
        <f t="shared" si="16"/>
        <v>3</v>
      </c>
      <c r="BT16" s="203">
        <f t="shared" si="16"/>
        <v>4</v>
      </c>
      <c r="BU16" s="203">
        <f t="shared" si="16"/>
        <v>5</v>
      </c>
      <c r="BV16" s="203">
        <f t="shared" si="16"/>
        <v>6</v>
      </c>
      <c r="BW16" s="203">
        <f t="shared" si="16"/>
        <v>7</v>
      </c>
      <c r="BX16" s="203">
        <f t="shared" si="16"/>
        <v>8</v>
      </c>
      <c r="BY16" s="203">
        <f t="shared" si="16"/>
        <v>9</v>
      </c>
      <c r="BZ16" s="203">
        <f t="shared" si="16"/>
        <v>10</v>
      </c>
      <c r="CA16" s="203">
        <f t="shared" si="16"/>
        <v>11</v>
      </c>
      <c r="CB16" s="203">
        <f t="shared" si="16"/>
        <v>12</v>
      </c>
      <c r="CC16" s="203">
        <f t="shared" si="16"/>
        <v>1</v>
      </c>
      <c r="CD16" s="203">
        <f t="shared" si="16"/>
        <v>2</v>
      </c>
      <c r="CE16" s="203">
        <f t="shared" si="16"/>
        <v>3</v>
      </c>
      <c r="CF16" s="203">
        <f t="shared" si="16"/>
        <v>4</v>
      </c>
      <c r="CG16" s="203">
        <f t="shared" si="16"/>
        <v>5</v>
      </c>
      <c r="CH16" s="203">
        <f t="shared" si="16"/>
        <v>6</v>
      </c>
      <c r="CI16" s="203">
        <f t="shared" si="16"/>
        <v>7</v>
      </c>
      <c r="CJ16" s="203">
        <f t="shared" si="16"/>
        <v>8</v>
      </c>
      <c r="CK16" s="203">
        <f t="shared" si="16"/>
        <v>9</v>
      </c>
      <c r="CL16" s="203">
        <f t="shared" si="16"/>
        <v>10</v>
      </c>
      <c r="CM16" s="203">
        <f t="shared" si="16"/>
        <v>11</v>
      </c>
      <c r="CN16" s="203">
        <f t="shared" si="16"/>
        <v>12</v>
      </c>
      <c r="CO16" s="203">
        <f t="shared" si="16"/>
        <v>1</v>
      </c>
      <c r="CP16" s="203">
        <f t="shared" si="16"/>
        <v>2</v>
      </c>
      <c r="CQ16" s="203">
        <f t="shared" si="16"/>
        <v>3</v>
      </c>
      <c r="CR16" s="203">
        <f t="shared" si="16"/>
        <v>4</v>
      </c>
      <c r="CS16" s="203">
        <f t="shared" si="16"/>
        <v>5</v>
      </c>
      <c r="CT16" s="203">
        <f t="shared" si="16"/>
        <v>6</v>
      </c>
      <c r="CU16" s="203">
        <f t="shared" si="16"/>
        <v>7</v>
      </c>
      <c r="CV16" s="203">
        <f t="shared" si="16"/>
        <v>8</v>
      </c>
      <c r="CW16" s="203">
        <f t="shared" si="16"/>
        <v>9</v>
      </c>
      <c r="CX16" s="203">
        <f t="shared" ref="CX16:DX16" si="17">IF(MOD(CX14,MinY)=0,MinY,MOD(CX14,MinY))</f>
        <v>10</v>
      </c>
      <c r="CY16" s="203">
        <f t="shared" si="17"/>
        <v>11</v>
      </c>
      <c r="CZ16" s="203">
        <f t="shared" si="17"/>
        <v>12</v>
      </c>
      <c r="DA16" s="203">
        <f t="shared" si="17"/>
        <v>1</v>
      </c>
      <c r="DB16" s="203">
        <f t="shared" si="17"/>
        <v>2</v>
      </c>
      <c r="DC16" s="203">
        <f t="shared" si="17"/>
        <v>3</v>
      </c>
      <c r="DD16" s="203">
        <f t="shared" si="17"/>
        <v>4</v>
      </c>
      <c r="DE16" s="203">
        <f t="shared" si="17"/>
        <v>5</v>
      </c>
      <c r="DF16" s="203">
        <f t="shared" si="17"/>
        <v>6</v>
      </c>
      <c r="DG16" s="203">
        <f t="shared" si="17"/>
        <v>7</v>
      </c>
      <c r="DH16" s="203">
        <f t="shared" si="17"/>
        <v>8</v>
      </c>
      <c r="DI16" s="203">
        <f t="shared" si="17"/>
        <v>9</v>
      </c>
      <c r="DJ16" s="203">
        <f t="shared" si="17"/>
        <v>10</v>
      </c>
      <c r="DK16" s="203">
        <f t="shared" si="17"/>
        <v>11</v>
      </c>
      <c r="DL16" s="203">
        <f t="shared" si="17"/>
        <v>12</v>
      </c>
      <c r="DM16" s="203">
        <f t="shared" si="17"/>
        <v>1</v>
      </c>
      <c r="DN16" s="203">
        <f t="shared" si="17"/>
        <v>2</v>
      </c>
      <c r="DO16" s="203">
        <f t="shared" si="17"/>
        <v>3</v>
      </c>
      <c r="DP16" s="203">
        <f t="shared" si="17"/>
        <v>4</v>
      </c>
      <c r="DQ16" s="203">
        <f t="shared" si="17"/>
        <v>5</v>
      </c>
      <c r="DR16" s="203">
        <f t="shared" si="17"/>
        <v>6</v>
      </c>
      <c r="DS16" s="203">
        <f t="shared" si="17"/>
        <v>7</v>
      </c>
      <c r="DT16" s="203">
        <f t="shared" si="17"/>
        <v>8</v>
      </c>
      <c r="DU16" s="203">
        <f t="shared" si="17"/>
        <v>9</v>
      </c>
      <c r="DV16" s="203">
        <f t="shared" si="17"/>
        <v>10</v>
      </c>
      <c r="DW16" s="203">
        <f t="shared" si="17"/>
        <v>11</v>
      </c>
      <c r="DX16" s="203">
        <f t="shared" si="17"/>
        <v>12</v>
      </c>
      <c r="DY16" s="88"/>
      <c r="DZ16" s="188" t="s">
        <v>396</v>
      </c>
      <c r="EB16" s="88"/>
    </row>
    <row r="17" spans="1:132" outlineLevel="1">
      <c r="A17" s="91" t="s">
        <v>161</v>
      </c>
      <c r="C17" s="185"/>
      <c r="D17" s="185"/>
      <c r="E17" s="185"/>
      <c r="F17" s="202">
        <f>MONTH(F11)</f>
        <v>11</v>
      </c>
      <c r="G17" s="204">
        <f>MONTH(G11)</f>
        <v>12</v>
      </c>
      <c r="H17" s="204">
        <f t="shared" ref="H17:BS17" si="18">MONTH(H11)</f>
        <v>1</v>
      </c>
      <c r="I17" s="204">
        <f t="shared" si="18"/>
        <v>2</v>
      </c>
      <c r="J17" s="203">
        <f t="shared" si="18"/>
        <v>3</v>
      </c>
      <c r="K17" s="203">
        <f t="shared" si="18"/>
        <v>4</v>
      </c>
      <c r="L17" s="203">
        <f t="shared" si="18"/>
        <v>5</v>
      </c>
      <c r="M17" s="203">
        <f t="shared" si="18"/>
        <v>6</v>
      </c>
      <c r="N17" s="203">
        <f t="shared" si="18"/>
        <v>7</v>
      </c>
      <c r="O17" s="203">
        <f t="shared" si="18"/>
        <v>8</v>
      </c>
      <c r="P17" s="203">
        <f t="shared" si="18"/>
        <v>9</v>
      </c>
      <c r="Q17" s="203">
        <f t="shared" si="18"/>
        <v>10</v>
      </c>
      <c r="R17" s="203">
        <f t="shared" si="18"/>
        <v>11</v>
      </c>
      <c r="S17" s="203">
        <f t="shared" si="18"/>
        <v>12</v>
      </c>
      <c r="T17" s="203">
        <f t="shared" si="18"/>
        <v>1</v>
      </c>
      <c r="U17" s="203">
        <f t="shared" si="18"/>
        <v>2</v>
      </c>
      <c r="V17" s="203">
        <f t="shared" si="18"/>
        <v>3</v>
      </c>
      <c r="W17" s="203">
        <f t="shared" si="18"/>
        <v>4</v>
      </c>
      <c r="X17" s="203">
        <f t="shared" si="18"/>
        <v>5</v>
      </c>
      <c r="Y17" s="203">
        <f t="shared" si="18"/>
        <v>6</v>
      </c>
      <c r="Z17" s="203">
        <f t="shared" si="18"/>
        <v>7</v>
      </c>
      <c r="AA17" s="203">
        <f t="shared" si="18"/>
        <v>8</v>
      </c>
      <c r="AB17" s="203">
        <f t="shared" si="18"/>
        <v>9</v>
      </c>
      <c r="AC17" s="203">
        <f t="shared" si="18"/>
        <v>10</v>
      </c>
      <c r="AD17" s="203">
        <f t="shared" si="18"/>
        <v>11</v>
      </c>
      <c r="AE17" s="203">
        <f t="shared" si="18"/>
        <v>12</v>
      </c>
      <c r="AF17" s="203">
        <f t="shared" si="18"/>
        <v>1</v>
      </c>
      <c r="AG17" s="203">
        <f t="shared" si="18"/>
        <v>2</v>
      </c>
      <c r="AH17" s="203">
        <f t="shared" si="18"/>
        <v>3</v>
      </c>
      <c r="AI17" s="203">
        <f t="shared" si="18"/>
        <v>4</v>
      </c>
      <c r="AJ17" s="203">
        <f t="shared" si="18"/>
        <v>5</v>
      </c>
      <c r="AK17" s="203">
        <f t="shared" si="18"/>
        <v>6</v>
      </c>
      <c r="AL17" s="203">
        <f t="shared" si="18"/>
        <v>7</v>
      </c>
      <c r="AM17" s="203">
        <f t="shared" si="18"/>
        <v>8</v>
      </c>
      <c r="AN17" s="203">
        <f t="shared" si="18"/>
        <v>9</v>
      </c>
      <c r="AO17" s="203">
        <f t="shared" si="18"/>
        <v>10</v>
      </c>
      <c r="AP17" s="203">
        <f t="shared" si="18"/>
        <v>11</v>
      </c>
      <c r="AQ17" s="203">
        <f t="shared" si="18"/>
        <v>12</v>
      </c>
      <c r="AR17" s="203">
        <f t="shared" si="18"/>
        <v>1</v>
      </c>
      <c r="AS17" s="203">
        <f t="shared" si="18"/>
        <v>2</v>
      </c>
      <c r="AT17" s="203">
        <f t="shared" si="18"/>
        <v>3</v>
      </c>
      <c r="AU17" s="203">
        <f t="shared" si="18"/>
        <v>4</v>
      </c>
      <c r="AV17" s="203">
        <f t="shared" si="18"/>
        <v>5</v>
      </c>
      <c r="AW17" s="203">
        <f t="shared" si="18"/>
        <v>6</v>
      </c>
      <c r="AX17" s="203">
        <f t="shared" si="18"/>
        <v>7</v>
      </c>
      <c r="AY17" s="203">
        <f t="shared" si="18"/>
        <v>8</v>
      </c>
      <c r="AZ17" s="203">
        <f t="shared" si="18"/>
        <v>9</v>
      </c>
      <c r="BA17" s="203">
        <f t="shared" si="18"/>
        <v>10</v>
      </c>
      <c r="BB17" s="203">
        <f t="shared" si="18"/>
        <v>11</v>
      </c>
      <c r="BC17" s="203">
        <f t="shared" si="18"/>
        <v>12</v>
      </c>
      <c r="BD17" s="203">
        <f t="shared" si="18"/>
        <v>1</v>
      </c>
      <c r="BE17" s="203">
        <f t="shared" si="18"/>
        <v>2</v>
      </c>
      <c r="BF17" s="203">
        <f t="shared" si="18"/>
        <v>3</v>
      </c>
      <c r="BG17" s="203">
        <f t="shared" si="18"/>
        <v>4</v>
      </c>
      <c r="BH17" s="203">
        <f t="shared" si="18"/>
        <v>5</v>
      </c>
      <c r="BI17" s="203">
        <f t="shared" si="18"/>
        <v>6</v>
      </c>
      <c r="BJ17" s="203">
        <f t="shared" si="18"/>
        <v>7</v>
      </c>
      <c r="BK17" s="203">
        <f t="shared" si="18"/>
        <v>8</v>
      </c>
      <c r="BL17" s="203">
        <f t="shared" si="18"/>
        <v>9</v>
      </c>
      <c r="BM17" s="203">
        <f t="shared" si="18"/>
        <v>10</v>
      </c>
      <c r="BN17" s="203">
        <f t="shared" si="18"/>
        <v>11</v>
      </c>
      <c r="BO17" s="203">
        <f t="shared" si="18"/>
        <v>12</v>
      </c>
      <c r="BP17" s="203">
        <f t="shared" si="18"/>
        <v>1</v>
      </c>
      <c r="BQ17" s="203">
        <f t="shared" si="18"/>
        <v>2</v>
      </c>
      <c r="BR17" s="203">
        <f t="shared" si="18"/>
        <v>3</v>
      </c>
      <c r="BS17" s="203">
        <f t="shared" si="18"/>
        <v>4</v>
      </c>
      <c r="BT17" s="203">
        <f t="shared" ref="BT17:DX17" si="19">MONTH(BT11)</f>
        <v>5</v>
      </c>
      <c r="BU17" s="203">
        <f t="shared" si="19"/>
        <v>6</v>
      </c>
      <c r="BV17" s="203">
        <f t="shared" si="19"/>
        <v>7</v>
      </c>
      <c r="BW17" s="203">
        <f t="shared" si="19"/>
        <v>8</v>
      </c>
      <c r="BX17" s="203">
        <f t="shared" si="19"/>
        <v>9</v>
      </c>
      <c r="BY17" s="203">
        <f t="shared" si="19"/>
        <v>10</v>
      </c>
      <c r="BZ17" s="203">
        <f t="shared" si="19"/>
        <v>11</v>
      </c>
      <c r="CA17" s="203">
        <f t="shared" si="19"/>
        <v>12</v>
      </c>
      <c r="CB17" s="203">
        <f t="shared" si="19"/>
        <v>1</v>
      </c>
      <c r="CC17" s="203">
        <f t="shared" si="19"/>
        <v>2</v>
      </c>
      <c r="CD17" s="203">
        <f t="shared" si="19"/>
        <v>3</v>
      </c>
      <c r="CE17" s="203">
        <f t="shared" si="19"/>
        <v>4</v>
      </c>
      <c r="CF17" s="203">
        <f t="shared" si="19"/>
        <v>5</v>
      </c>
      <c r="CG17" s="203">
        <f t="shared" si="19"/>
        <v>6</v>
      </c>
      <c r="CH17" s="203">
        <f t="shared" si="19"/>
        <v>7</v>
      </c>
      <c r="CI17" s="203">
        <f t="shared" si="19"/>
        <v>8</v>
      </c>
      <c r="CJ17" s="203">
        <f t="shared" si="19"/>
        <v>9</v>
      </c>
      <c r="CK17" s="203">
        <f t="shared" si="19"/>
        <v>10</v>
      </c>
      <c r="CL17" s="203">
        <f t="shared" si="19"/>
        <v>11</v>
      </c>
      <c r="CM17" s="203">
        <f t="shared" si="19"/>
        <v>12</v>
      </c>
      <c r="CN17" s="203">
        <f t="shared" si="19"/>
        <v>1</v>
      </c>
      <c r="CO17" s="203">
        <f t="shared" si="19"/>
        <v>2</v>
      </c>
      <c r="CP17" s="203">
        <f t="shared" si="19"/>
        <v>3</v>
      </c>
      <c r="CQ17" s="203">
        <f t="shared" si="19"/>
        <v>4</v>
      </c>
      <c r="CR17" s="203">
        <f t="shared" si="19"/>
        <v>5</v>
      </c>
      <c r="CS17" s="203">
        <f t="shared" si="19"/>
        <v>6</v>
      </c>
      <c r="CT17" s="203">
        <f t="shared" si="19"/>
        <v>7</v>
      </c>
      <c r="CU17" s="203">
        <f t="shared" si="19"/>
        <v>8</v>
      </c>
      <c r="CV17" s="203">
        <f t="shared" si="19"/>
        <v>9</v>
      </c>
      <c r="CW17" s="203">
        <f t="shared" si="19"/>
        <v>10</v>
      </c>
      <c r="CX17" s="203">
        <f t="shared" si="19"/>
        <v>11</v>
      </c>
      <c r="CY17" s="203">
        <f t="shared" si="19"/>
        <v>12</v>
      </c>
      <c r="CZ17" s="203">
        <f t="shared" si="19"/>
        <v>1</v>
      </c>
      <c r="DA17" s="203">
        <f t="shared" si="19"/>
        <v>2</v>
      </c>
      <c r="DB17" s="203">
        <f t="shared" si="19"/>
        <v>3</v>
      </c>
      <c r="DC17" s="203">
        <f t="shared" si="19"/>
        <v>4</v>
      </c>
      <c r="DD17" s="203">
        <f t="shared" si="19"/>
        <v>5</v>
      </c>
      <c r="DE17" s="203">
        <f t="shared" si="19"/>
        <v>6</v>
      </c>
      <c r="DF17" s="203">
        <f t="shared" si="19"/>
        <v>7</v>
      </c>
      <c r="DG17" s="203">
        <f t="shared" si="19"/>
        <v>8</v>
      </c>
      <c r="DH17" s="203">
        <f t="shared" si="19"/>
        <v>9</v>
      </c>
      <c r="DI17" s="203">
        <f t="shared" si="19"/>
        <v>10</v>
      </c>
      <c r="DJ17" s="203">
        <f t="shared" si="19"/>
        <v>11</v>
      </c>
      <c r="DK17" s="203">
        <f t="shared" si="19"/>
        <v>12</v>
      </c>
      <c r="DL17" s="203">
        <f t="shared" si="19"/>
        <v>1</v>
      </c>
      <c r="DM17" s="203">
        <f t="shared" si="19"/>
        <v>2</v>
      </c>
      <c r="DN17" s="203">
        <f t="shared" si="19"/>
        <v>3</v>
      </c>
      <c r="DO17" s="203">
        <f t="shared" si="19"/>
        <v>4</v>
      </c>
      <c r="DP17" s="203">
        <f t="shared" si="19"/>
        <v>5</v>
      </c>
      <c r="DQ17" s="203">
        <f t="shared" si="19"/>
        <v>6</v>
      </c>
      <c r="DR17" s="203">
        <f t="shared" si="19"/>
        <v>7</v>
      </c>
      <c r="DS17" s="203">
        <f t="shared" si="19"/>
        <v>8</v>
      </c>
      <c r="DT17" s="203">
        <f t="shared" si="19"/>
        <v>9</v>
      </c>
      <c r="DU17" s="203">
        <f t="shared" si="19"/>
        <v>10</v>
      </c>
      <c r="DV17" s="203">
        <f t="shared" si="19"/>
        <v>11</v>
      </c>
      <c r="DW17" s="203">
        <f t="shared" si="19"/>
        <v>12</v>
      </c>
      <c r="DX17" s="203">
        <f t="shared" si="19"/>
        <v>1</v>
      </c>
      <c r="DY17" s="88"/>
      <c r="DZ17" s="188" t="s">
        <v>397</v>
      </c>
      <c r="EB17" s="88"/>
    </row>
    <row r="18" spans="1:132" outlineLevel="1">
      <c r="A18" s="91" t="s">
        <v>162</v>
      </c>
      <c r="C18" s="185"/>
      <c r="D18" s="185"/>
      <c r="E18" s="185"/>
      <c r="F18" s="202" t="str">
        <f t="shared" ref="F18:AK18" si="20">INDEX(MonthListIn,MONTH(F11))</f>
        <v>November</v>
      </c>
      <c r="G18" s="205" t="str">
        <f t="shared" si="20"/>
        <v>December</v>
      </c>
      <c r="H18" s="205" t="str">
        <f t="shared" si="20"/>
        <v>January</v>
      </c>
      <c r="I18" s="205" t="str">
        <f t="shared" si="20"/>
        <v>February</v>
      </c>
      <c r="J18" s="205" t="str">
        <f t="shared" si="20"/>
        <v>March</v>
      </c>
      <c r="K18" s="205" t="str">
        <f t="shared" si="20"/>
        <v>April</v>
      </c>
      <c r="L18" s="205" t="str">
        <f t="shared" si="20"/>
        <v>May</v>
      </c>
      <c r="M18" s="205" t="str">
        <f t="shared" si="20"/>
        <v>June</v>
      </c>
      <c r="N18" s="205" t="str">
        <f t="shared" si="20"/>
        <v>July</v>
      </c>
      <c r="O18" s="205" t="str">
        <f t="shared" si="20"/>
        <v>August</v>
      </c>
      <c r="P18" s="205" t="str">
        <f t="shared" si="20"/>
        <v>September</v>
      </c>
      <c r="Q18" s="205" t="str">
        <f t="shared" si="20"/>
        <v>October</v>
      </c>
      <c r="R18" s="205" t="str">
        <f t="shared" si="20"/>
        <v>November</v>
      </c>
      <c r="S18" s="205" t="str">
        <f t="shared" si="20"/>
        <v>December</v>
      </c>
      <c r="T18" s="205" t="str">
        <f t="shared" si="20"/>
        <v>January</v>
      </c>
      <c r="U18" s="205" t="str">
        <f t="shared" si="20"/>
        <v>February</v>
      </c>
      <c r="V18" s="205" t="str">
        <f t="shared" si="20"/>
        <v>March</v>
      </c>
      <c r="W18" s="205" t="str">
        <f t="shared" si="20"/>
        <v>April</v>
      </c>
      <c r="X18" s="205" t="str">
        <f t="shared" si="20"/>
        <v>May</v>
      </c>
      <c r="Y18" s="205" t="str">
        <f t="shared" si="20"/>
        <v>June</v>
      </c>
      <c r="Z18" s="205" t="str">
        <f t="shared" si="20"/>
        <v>July</v>
      </c>
      <c r="AA18" s="205" t="str">
        <f t="shared" si="20"/>
        <v>August</v>
      </c>
      <c r="AB18" s="205" t="str">
        <f t="shared" si="20"/>
        <v>September</v>
      </c>
      <c r="AC18" s="205" t="str">
        <f t="shared" si="20"/>
        <v>October</v>
      </c>
      <c r="AD18" s="205" t="str">
        <f t="shared" si="20"/>
        <v>November</v>
      </c>
      <c r="AE18" s="205" t="str">
        <f t="shared" si="20"/>
        <v>December</v>
      </c>
      <c r="AF18" s="205" t="str">
        <f t="shared" si="20"/>
        <v>January</v>
      </c>
      <c r="AG18" s="205" t="str">
        <f t="shared" si="20"/>
        <v>February</v>
      </c>
      <c r="AH18" s="205" t="str">
        <f t="shared" si="20"/>
        <v>March</v>
      </c>
      <c r="AI18" s="205" t="str">
        <f t="shared" si="20"/>
        <v>April</v>
      </c>
      <c r="AJ18" s="205" t="str">
        <f t="shared" si="20"/>
        <v>May</v>
      </c>
      <c r="AK18" s="205" t="str">
        <f t="shared" si="20"/>
        <v>June</v>
      </c>
      <c r="AL18" s="205" t="str">
        <f t="shared" ref="AL18:BQ18" si="21">INDEX(MonthListIn,MONTH(AL11))</f>
        <v>July</v>
      </c>
      <c r="AM18" s="205" t="str">
        <f t="shared" si="21"/>
        <v>August</v>
      </c>
      <c r="AN18" s="205" t="str">
        <f t="shared" si="21"/>
        <v>September</v>
      </c>
      <c r="AO18" s="205" t="str">
        <f t="shared" si="21"/>
        <v>October</v>
      </c>
      <c r="AP18" s="205" t="str">
        <f t="shared" si="21"/>
        <v>November</v>
      </c>
      <c r="AQ18" s="205" t="str">
        <f t="shared" si="21"/>
        <v>December</v>
      </c>
      <c r="AR18" s="205" t="str">
        <f t="shared" si="21"/>
        <v>January</v>
      </c>
      <c r="AS18" s="205" t="str">
        <f t="shared" si="21"/>
        <v>February</v>
      </c>
      <c r="AT18" s="205" t="str">
        <f t="shared" si="21"/>
        <v>March</v>
      </c>
      <c r="AU18" s="205" t="str">
        <f t="shared" si="21"/>
        <v>April</v>
      </c>
      <c r="AV18" s="205" t="str">
        <f t="shared" si="21"/>
        <v>May</v>
      </c>
      <c r="AW18" s="205" t="str">
        <f t="shared" si="21"/>
        <v>June</v>
      </c>
      <c r="AX18" s="205" t="str">
        <f t="shared" si="21"/>
        <v>July</v>
      </c>
      <c r="AY18" s="205" t="str">
        <f t="shared" si="21"/>
        <v>August</v>
      </c>
      <c r="AZ18" s="205" t="str">
        <f t="shared" si="21"/>
        <v>September</v>
      </c>
      <c r="BA18" s="205" t="str">
        <f t="shared" si="21"/>
        <v>October</v>
      </c>
      <c r="BB18" s="205" t="str">
        <f t="shared" si="21"/>
        <v>November</v>
      </c>
      <c r="BC18" s="205" t="str">
        <f t="shared" si="21"/>
        <v>December</v>
      </c>
      <c r="BD18" s="205" t="str">
        <f t="shared" si="21"/>
        <v>January</v>
      </c>
      <c r="BE18" s="205" t="str">
        <f t="shared" si="21"/>
        <v>February</v>
      </c>
      <c r="BF18" s="205" t="str">
        <f t="shared" si="21"/>
        <v>March</v>
      </c>
      <c r="BG18" s="205" t="str">
        <f t="shared" si="21"/>
        <v>April</v>
      </c>
      <c r="BH18" s="205" t="str">
        <f t="shared" si="21"/>
        <v>May</v>
      </c>
      <c r="BI18" s="205" t="str">
        <f t="shared" si="21"/>
        <v>June</v>
      </c>
      <c r="BJ18" s="205" t="str">
        <f t="shared" si="21"/>
        <v>July</v>
      </c>
      <c r="BK18" s="205" t="str">
        <f t="shared" si="21"/>
        <v>August</v>
      </c>
      <c r="BL18" s="205" t="str">
        <f t="shared" si="21"/>
        <v>September</v>
      </c>
      <c r="BM18" s="205" t="str">
        <f t="shared" si="21"/>
        <v>October</v>
      </c>
      <c r="BN18" s="205" t="str">
        <f t="shared" si="21"/>
        <v>November</v>
      </c>
      <c r="BO18" s="205" t="str">
        <f t="shared" si="21"/>
        <v>December</v>
      </c>
      <c r="BP18" s="205" t="str">
        <f t="shared" si="21"/>
        <v>January</v>
      </c>
      <c r="BQ18" s="205" t="str">
        <f t="shared" si="21"/>
        <v>February</v>
      </c>
      <c r="BR18" s="205" t="str">
        <f t="shared" ref="BR18:CW18" si="22">INDEX(MonthListIn,MONTH(BR11))</f>
        <v>March</v>
      </c>
      <c r="BS18" s="205" t="str">
        <f t="shared" si="22"/>
        <v>April</v>
      </c>
      <c r="BT18" s="205" t="str">
        <f t="shared" si="22"/>
        <v>May</v>
      </c>
      <c r="BU18" s="205" t="str">
        <f t="shared" si="22"/>
        <v>June</v>
      </c>
      <c r="BV18" s="205" t="str">
        <f t="shared" si="22"/>
        <v>July</v>
      </c>
      <c r="BW18" s="205" t="str">
        <f t="shared" si="22"/>
        <v>August</v>
      </c>
      <c r="BX18" s="205" t="str">
        <f t="shared" si="22"/>
        <v>September</v>
      </c>
      <c r="BY18" s="205" t="str">
        <f t="shared" si="22"/>
        <v>October</v>
      </c>
      <c r="BZ18" s="205" t="str">
        <f t="shared" si="22"/>
        <v>November</v>
      </c>
      <c r="CA18" s="205" t="str">
        <f t="shared" si="22"/>
        <v>December</v>
      </c>
      <c r="CB18" s="205" t="str">
        <f t="shared" si="22"/>
        <v>January</v>
      </c>
      <c r="CC18" s="205" t="str">
        <f t="shared" si="22"/>
        <v>February</v>
      </c>
      <c r="CD18" s="205" t="str">
        <f t="shared" si="22"/>
        <v>March</v>
      </c>
      <c r="CE18" s="205" t="str">
        <f t="shared" si="22"/>
        <v>April</v>
      </c>
      <c r="CF18" s="205" t="str">
        <f t="shared" si="22"/>
        <v>May</v>
      </c>
      <c r="CG18" s="205" t="str">
        <f t="shared" si="22"/>
        <v>June</v>
      </c>
      <c r="CH18" s="205" t="str">
        <f t="shared" si="22"/>
        <v>July</v>
      </c>
      <c r="CI18" s="205" t="str">
        <f t="shared" si="22"/>
        <v>August</v>
      </c>
      <c r="CJ18" s="205" t="str">
        <f t="shared" si="22"/>
        <v>September</v>
      </c>
      <c r="CK18" s="205" t="str">
        <f t="shared" si="22"/>
        <v>October</v>
      </c>
      <c r="CL18" s="205" t="str">
        <f t="shared" si="22"/>
        <v>November</v>
      </c>
      <c r="CM18" s="205" t="str">
        <f t="shared" si="22"/>
        <v>December</v>
      </c>
      <c r="CN18" s="205" t="str">
        <f t="shared" si="22"/>
        <v>January</v>
      </c>
      <c r="CO18" s="205" t="str">
        <f t="shared" si="22"/>
        <v>February</v>
      </c>
      <c r="CP18" s="205" t="str">
        <f t="shared" si="22"/>
        <v>March</v>
      </c>
      <c r="CQ18" s="205" t="str">
        <f t="shared" si="22"/>
        <v>April</v>
      </c>
      <c r="CR18" s="205" t="str">
        <f t="shared" si="22"/>
        <v>May</v>
      </c>
      <c r="CS18" s="205" t="str">
        <f t="shared" si="22"/>
        <v>June</v>
      </c>
      <c r="CT18" s="205" t="str">
        <f t="shared" si="22"/>
        <v>July</v>
      </c>
      <c r="CU18" s="205" t="str">
        <f t="shared" si="22"/>
        <v>August</v>
      </c>
      <c r="CV18" s="205" t="str">
        <f t="shared" si="22"/>
        <v>September</v>
      </c>
      <c r="CW18" s="205" t="str">
        <f t="shared" si="22"/>
        <v>October</v>
      </c>
      <c r="CX18" s="205" t="str">
        <f t="shared" ref="CX18:DX18" si="23">INDEX(MonthListIn,MONTH(CX11))</f>
        <v>November</v>
      </c>
      <c r="CY18" s="205" t="str">
        <f t="shared" si="23"/>
        <v>December</v>
      </c>
      <c r="CZ18" s="205" t="str">
        <f t="shared" si="23"/>
        <v>January</v>
      </c>
      <c r="DA18" s="205" t="str">
        <f t="shared" si="23"/>
        <v>February</v>
      </c>
      <c r="DB18" s="205" t="str">
        <f t="shared" si="23"/>
        <v>March</v>
      </c>
      <c r="DC18" s="205" t="str">
        <f t="shared" si="23"/>
        <v>April</v>
      </c>
      <c r="DD18" s="205" t="str">
        <f t="shared" si="23"/>
        <v>May</v>
      </c>
      <c r="DE18" s="205" t="str">
        <f t="shared" si="23"/>
        <v>June</v>
      </c>
      <c r="DF18" s="205" t="str">
        <f t="shared" si="23"/>
        <v>July</v>
      </c>
      <c r="DG18" s="205" t="str">
        <f t="shared" si="23"/>
        <v>August</v>
      </c>
      <c r="DH18" s="205" t="str">
        <f t="shared" si="23"/>
        <v>September</v>
      </c>
      <c r="DI18" s="205" t="str">
        <f t="shared" si="23"/>
        <v>October</v>
      </c>
      <c r="DJ18" s="205" t="str">
        <f t="shared" si="23"/>
        <v>November</v>
      </c>
      <c r="DK18" s="205" t="str">
        <f t="shared" si="23"/>
        <v>December</v>
      </c>
      <c r="DL18" s="205" t="str">
        <f t="shared" si="23"/>
        <v>January</v>
      </c>
      <c r="DM18" s="205" t="str">
        <f t="shared" si="23"/>
        <v>February</v>
      </c>
      <c r="DN18" s="205" t="str">
        <f t="shared" si="23"/>
        <v>March</v>
      </c>
      <c r="DO18" s="205" t="str">
        <f t="shared" si="23"/>
        <v>April</v>
      </c>
      <c r="DP18" s="205" t="str">
        <f t="shared" si="23"/>
        <v>May</v>
      </c>
      <c r="DQ18" s="205" t="str">
        <f t="shared" si="23"/>
        <v>June</v>
      </c>
      <c r="DR18" s="205" t="str">
        <f t="shared" si="23"/>
        <v>July</v>
      </c>
      <c r="DS18" s="205" t="str">
        <f t="shared" si="23"/>
        <v>August</v>
      </c>
      <c r="DT18" s="205" t="str">
        <f t="shared" si="23"/>
        <v>September</v>
      </c>
      <c r="DU18" s="205" t="str">
        <f t="shared" si="23"/>
        <v>October</v>
      </c>
      <c r="DV18" s="205" t="str">
        <f t="shared" si="23"/>
        <v>November</v>
      </c>
      <c r="DW18" s="205" t="str">
        <f t="shared" si="23"/>
        <v>December</v>
      </c>
      <c r="DX18" s="205" t="str">
        <f t="shared" si="23"/>
        <v>January</v>
      </c>
      <c r="DY18" s="88"/>
      <c r="DZ18" s="188" t="s">
        <v>398</v>
      </c>
      <c r="EB18" s="88"/>
    </row>
    <row r="19" spans="1:132" outlineLevel="1">
      <c r="A19" s="91" t="s">
        <v>355</v>
      </c>
      <c r="C19" s="185"/>
      <c r="D19" s="185"/>
      <c r="E19" s="185"/>
      <c r="F19" s="206" t="str">
        <f t="shared" ref="F19:BQ19" si="24">IF(F15=0,"M"&amp;F14,"Y"&amp;F15&amp;"M"&amp;F16)</f>
        <v>M-3</v>
      </c>
      <c r="G19" s="207" t="str">
        <f t="shared" si="24"/>
        <v>M-2</v>
      </c>
      <c r="H19" s="207" t="str">
        <f t="shared" si="24"/>
        <v>M-1</v>
      </c>
      <c r="I19" s="207" t="str">
        <f t="shared" si="24"/>
        <v>Y1M1</v>
      </c>
      <c r="J19" s="207" t="str">
        <f t="shared" si="24"/>
        <v>Y1M2</v>
      </c>
      <c r="K19" s="207" t="str">
        <f t="shared" si="24"/>
        <v>Y1M3</v>
      </c>
      <c r="L19" s="207" t="str">
        <f t="shared" si="24"/>
        <v>Y1M4</v>
      </c>
      <c r="M19" s="207" t="str">
        <f t="shared" si="24"/>
        <v>Y1M5</v>
      </c>
      <c r="N19" s="207" t="str">
        <f t="shared" si="24"/>
        <v>Y1M6</v>
      </c>
      <c r="O19" s="207" t="str">
        <f t="shared" si="24"/>
        <v>Y1M7</v>
      </c>
      <c r="P19" s="207" t="str">
        <f t="shared" si="24"/>
        <v>Y1M8</v>
      </c>
      <c r="Q19" s="207" t="str">
        <f t="shared" si="24"/>
        <v>Y1M9</v>
      </c>
      <c r="R19" s="207" t="str">
        <f t="shared" si="24"/>
        <v>Y1M10</v>
      </c>
      <c r="S19" s="207" t="str">
        <f t="shared" si="24"/>
        <v>Y1M11</v>
      </c>
      <c r="T19" s="207" t="str">
        <f t="shared" si="24"/>
        <v>Y1M12</v>
      </c>
      <c r="U19" s="207" t="str">
        <f t="shared" si="24"/>
        <v>Y2M1</v>
      </c>
      <c r="V19" s="207" t="str">
        <f t="shared" si="24"/>
        <v>Y2M2</v>
      </c>
      <c r="W19" s="207" t="str">
        <f t="shared" si="24"/>
        <v>Y2M3</v>
      </c>
      <c r="X19" s="207" t="str">
        <f t="shared" si="24"/>
        <v>Y2M4</v>
      </c>
      <c r="Y19" s="207" t="str">
        <f t="shared" si="24"/>
        <v>Y2M5</v>
      </c>
      <c r="Z19" s="207" t="str">
        <f t="shared" si="24"/>
        <v>Y2M6</v>
      </c>
      <c r="AA19" s="207" t="str">
        <f t="shared" si="24"/>
        <v>Y2M7</v>
      </c>
      <c r="AB19" s="207" t="str">
        <f t="shared" si="24"/>
        <v>Y2M8</v>
      </c>
      <c r="AC19" s="207" t="str">
        <f t="shared" si="24"/>
        <v>Y2M9</v>
      </c>
      <c r="AD19" s="207" t="str">
        <f t="shared" si="24"/>
        <v>Y2M10</v>
      </c>
      <c r="AE19" s="207" t="str">
        <f t="shared" si="24"/>
        <v>Y2M11</v>
      </c>
      <c r="AF19" s="207" t="str">
        <f t="shared" si="24"/>
        <v>Y2M12</v>
      </c>
      <c r="AG19" s="207" t="str">
        <f t="shared" si="24"/>
        <v>Y3M1</v>
      </c>
      <c r="AH19" s="207" t="str">
        <f t="shared" si="24"/>
        <v>Y3M2</v>
      </c>
      <c r="AI19" s="207" t="str">
        <f t="shared" si="24"/>
        <v>Y3M3</v>
      </c>
      <c r="AJ19" s="207" t="str">
        <f t="shared" si="24"/>
        <v>Y3M4</v>
      </c>
      <c r="AK19" s="207" t="str">
        <f t="shared" si="24"/>
        <v>Y3M5</v>
      </c>
      <c r="AL19" s="207" t="str">
        <f t="shared" si="24"/>
        <v>Y3M6</v>
      </c>
      <c r="AM19" s="207" t="str">
        <f t="shared" si="24"/>
        <v>Y3M7</v>
      </c>
      <c r="AN19" s="207" t="str">
        <f t="shared" si="24"/>
        <v>Y3M8</v>
      </c>
      <c r="AO19" s="207" t="str">
        <f t="shared" si="24"/>
        <v>Y3M9</v>
      </c>
      <c r="AP19" s="207" t="str">
        <f t="shared" si="24"/>
        <v>Y3M10</v>
      </c>
      <c r="AQ19" s="207" t="str">
        <f t="shared" si="24"/>
        <v>Y3M11</v>
      </c>
      <c r="AR19" s="207" t="str">
        <f t="shared" si="24"/>
        <v>Y3M12</v>
      </c>
      <c r="AS19" s="207" t="str">
        <f t="shared" si="24"/>
        <v>Y4M1</v>
      </c>
      <c r="AT19" s="207" t="str">
        <f t="shared" si="24"/>
        <v>Y4M2</v>
      </c>
      <c r="AU19" s="207" t="str">
        <f t="shared" si="24"/>
        <v>Y4M3</v>
      </c>
      <c r="AV19" s="207" t="str">
        <f t="shared" si="24"/>
        <v>Y4M4</v>
      </c>
      <c r="AW19" s="207" t="str">
        <f t="shared" si="24"/>
        <v>Y4M5</v>
      </c>
      <c r="AX19" s="207" t="str">
        <f t="shared" si="24"/>
        <v>Y4M6</v>
      </c>
      <c r="AY19" s="207" t="str">
        <f t="shared" si="24"/>
        <v>Y4M7</v>
      </c>
      <c r="AZ19" s="207" t="str">
        <f t="shared" si="24"/>
        <v>Y4M8</v>
      </c>
      <c r="BA19" s="207" t="str">
        <f t="shared" si="24"/>
        <v>Y4M9</v>
      </c>
      <c r="BB19" s="207" t="str">
        <f t="shared" si="24"/>
        <v>Y4M10</v>
      </c>
      <c r="BC19" s="207" t="str">
        <f t="shared" si="24"/>
        <v>Y4M11</v>
      </c>
      <c r="BD19" s="207" t="str">
        <f t="shared" si="24"/>
        <v>Y4M12</v>
      </c>
      <c r="BE19" s="207" t="str">
        <f t="shared" si="24"/>
        <v>Y5M1</v>
      </c>
      <c r="BF19" s="207" t="str">
        <f t="shared" si="24"/>
        <v>Y5M2</v>
      </c>
      <c r="BG19" s="207" t="str">
        <f t="shared" si="24"/>
        <v>Y5M3</v>
      </c>
      <c r="BH19" s="207" t="str">
        <f t="shared" si="24"/>
        <v>Y5M4</v>
      </c>
      <c r="BI19" s="207" t="str">
        <f t="shared" si="24"/>
        <v>Y5M5</v>
      </c>
      <c r="BJ19" s="207" t="str">
        <f t="shared" si="24"/>
        <v>Y5M6</v>
      </c>
      <c r="BK19" s="207" t="str">
        <f t="shared" si="24"/>
        <v>Y5M7</v>
      </c>
      <c r="BL19" s="207" t="str">
        <f t="shared" si="24"/>
        <v>Y5M8</v>
      </c>
      <c r="BM19" s="207" t="str">
        <f t="shared" si="24"/>
        <v>Y5M9</v>
      </c>
      <c r="BN19" s="207" t="str">
        <f t="shared" si="24"/>
        <v>Y5M10</v>
      </c>
      <c r="BO19" s="207" t="str">
        <f t="shared" si="24"/>
        <v>Y5M11</v>
      </c>
      <c r="BP19" s="207" t="str">
        <f t="shared" si="24"/>
        <v>Y5M12</v>
      </c>
      <c r="BQ19" s="207" t="str">
        <f t="shared" si="24"/>
        <v>Y6M1</v>
      </c>
      <c r="BR19" s="207" t="str">
        <f t="shared" ref="BR19:DX19" si="25">IF(BR15=0,"M"&amp;BR14,"Y"&amp;BR15&amp;"M"&amp;BR16)</f>
        <v>Y6M2</v>
      </c>
      <c r="BS19" s="207" t="str">
        <f t="shared" si="25"/>
        <v>Y6M3</v>
      </c>
      <c r="BT19" s="207" t="str">
        <f t="shared" si="25"/>
        <v>Y6M4</v>
      </c>
      <c r="BU19" s="207" t="str">
        <f t="shared" si="25"/>
        <v>Y6M5</v>
      </c>
      <c r="BV19" s="207" t="str">
        <f t="shared" si="25"/>
        <v>Y6M6</v>
      </c>
      <c r="BW19" s="207" t="str">
        <f t="shared" si="25"/>
        <v>Y6M7</v>
      </c>
      <c r="BX19" s="207" t="str">
        <f t="shared" si="25"/>
        <v>Y6M8</v>
      </c>
      <c r="BY19" s="207" t="str">
        <f t="shared" si="25"/>
        <v>Y6M9</v>
      </c>
      <c r="BZ19" s="207" t="str">
        <f t="shared" si="25"/>
        <v>Y6M10</v>
      </c>
      <c r="CA19" s="207" t="str">
        <f t="shared" si="25"/>
        <v>Y6M11</v>
      </c>
      <c r="CB19" s="207" t="str">
        <f t="shared" si="25"/>
        <v>Y6M12</v>
      </c>
      <c r="CC19" s="207" t="str">
        <f t="shared" si="25"/>
        <v>Y7M1</v>
      </c>
      <c r="CD19" s="207" t="str">
        <f t="shared" si="25"/>
        <v>Y7M2</v>
      </c>
      <c r="CE19" s="207" t="str">
        <f t="shared" si="25"/>
        <v>Y7M3</v>
      </c>
      <c r="CF19" s="207" t="str">
        <f t="shared" si="25"/>
        <v>Y7M4</v>
      </c>
      <c r="CG19" s="207" t="str">
        <f t="shared" si="25"/>
        <v>Y7M5</v>
      </c>
      <c r="CH19" s="207" t="str">
        <f t="shared" si="25"/>
        <v>Y7M6</v>
      </c>
      <c r="CI19" s="207" t="str">
        <f t="shared" si="25"/>
        <v>Y7M7</v>
      </c>
      <c r="CJ19" s="207" t="str">
        <f t="shared" si="25"/>
        <v>Y7M8</v>
      </c>
      <c r="CK19" s="207" t="str">
        <f t="shared" si="25"/>
        <v>Y7M9</v>
      </c>
      <c r="CL19" s="207" t="str">
        <f t="shared" si="25"/>
        <v>Y7M10</v>
      </c>
      <c r="CM19" s="207" t="str">
        <f t="shared" si="25"/>
        <v>Y7M11</v>
      </c>
      <c r="CN19" s="207" t="str">
        <f t="shared" si="25"/>
        <v>Y7M12</v>
      </c>
      <c r="CO19" s="207" t="str">
        <f t="shared" si="25"/>
        <v>Y8M1</v>
      </c>
      <c r="CP19" s="207" t="str">
        <f t="shared" si="25"/>
        <v>Y8M2</v>
      </c>
      <c r="CQ19" s="207" t="str">
        <f t="shared" si="25"/>
        <v>Y8M3</v>
      </c>
      <c r="CR19" s="207" t="str">
        <f t="shared" si="25"/>
        <v>Y8M4</v>
      </c>
      <c r="CS19" s="207" t="str">
        <f t="shared" si="25"/>
        <v>Y8M5</v>
      </c>
      <c r="CT19" s="207" t="str">
        <f t="shared" si="25"/>
        <v>Y8M6</v>
      </c>
      <c r="CU19" s="207" t="str">
        <f t="shared" si="25"/>
        <v>Y8M7</v>
      </c>
      <c r="CV19" s="207" t="str">
        <f t="shared" si="25"/>
        <v>Y8M8</v>
      </c>
      <c r="CW19" s="207" t="str">
        <f t="shared" si="25"/>
        <v>Y8M9</v>
      </c>
      <c r="CX19" s="207" t="str">
        <f t="shared" si="25"/>
        <v>Y8M10</v>
      </c>
      <c r="CY19" s="207" t="str">
        <f t="shared" si="25"/>
        <v>Y8M11</v>
      </c>
      <c r="CZ19" s="207" t="str">
        <f t="shared" si="25"/>
        <v>Y8M12</v>
      </c>
      <c r="DA19" s="207" t="str">
        <f t="shared" si="25"/>
        <v>Y9M1</v>
      </c>
      <c r="DB19" s="207" t="str">
        <f t="shared" si="25"/>
        <v>Y9M2</v>
      </c>
      <c r="DC19" s="207" t="str">
        <f t="shared" si="25"/>
        <v>Y9M3</v>
      </c>
      <c r="DD19" s="207" t="str">
        <f t="shared" si="25"/>
        <v>Y9M4</v>
      </c>
      <c r="DE19" s="207" t="str">
        <f t="shared" si="25"/>
        <v>Y9M5</v>
      </c>
      <c r="DF19" s="207" t="str">
        <f t="shared" si="25"/>
        <v>Y9M6</v>
      </c>
      <c r="DG19" s="207" t="str">
        <f t="shared" si="25"/>
        <v>Y9M7</v>
      </c>
      <c r="DH19" s="207" t="str">
        <f t="shared" si="25"/>
        <v>Y9M8</v>
      </c>
      <c r="DI19" s="207" t="str">
        <f t="shared" si="25"/>
        <v>Y9M9</v>
      </c>
      <c r="DJ19" s="207" t="str">
        <f t="shared" si="25"/>
        <v>Y9M10</v>
      </c>
      <c r="DK19" s="207" t="str">
        <f t="shared" si="25"/>
        <v>Y9M11</v>
      </c>
      <c r="DL19" s="207" t="str">
        <f t="shared" si="25"/>
        <v>Y9M12</v>
      </c>
      <c r="DM19" s="207" t="str">
        <f t="shared" si="25"/>
        <v>Y10M1</v>
      </c>
      <c r="DN19" s="207" t="str">
        <f t="shared" si="25"/>
        <v>Y10M2</v>
      </c>
      <c r="DO19" s="207" t="str">
        <f t="shared" si="25"/>
        <v>Y10M3</v>
      </c>
      <c r="DP19" s="207" t="str">
        <f t="shared" si="25"/>
        <v>Y10M4</v>
      </c>
      <c r="DQ19" s="207" t="str">
        <f t="shared" si="25"/>
        <v>Y10M5</v>
      </c>
      <c r="DR19" s="207" t="str">
        <f t="shared" si="25"/>
        <v>Y10M6</v>
      </c>
      <c r="DS19" s="207" t="str">
        <f t="shared" si="25"/>
        <v>Y10M7</v>
      </c>
      <c r="DT19" s="207" t="str">
        <f t="shared" si="25"/>
        <v>Y10M8</v>
      </c>
      <c r="DU19" s="207" t="str">
        <f t="shared" si="25"/>
        <v>Y10M9</v>
      </c>
      <c r="DV19" s="207" t="str">
        <f t="shared" si="25"/>
        <v>Y10M10</v>
      </c>
      <c r="DW19" s="207" t="str">
        <f t="shared" si="25"/>
        <v>Y10M11</v>
      </c>
      <c r="DX19" s="207" t="str">
        <f t="shared" si="25"/>
        <v>Y10M12</v>
      </c>
      <c r="DY19" s="88"/>
      <c r="DZ19" s="188" t="s">
        <v>399</v>
      </c>
      <c r="EB19" s="88"/>
    </row>
    <row r="20" spans="1:132" outlineLevel="1">
      <c r="A20" s="91" t="s">
        <v>163</v>
      </c>
      <c r="C20" s="185"/>
      <c r="D20" s="185"/>
      <c r="E20" s="185"/>
      <c r="F20" s="206" t="str">
        <f t="shared" ref="F20:BQ20" si="26">IF(F14&lt;0,"Pre","Q"&amp;INT((F14-1)/3)+1)</f>
        <v>Pre</v>
      </c>
      <c r="G20" s="207" t="str">
        <f t="shared" si="26"/>
        <v>Pre</v>
      </c>
      <c r="H20" s="207" t="str">
        <f t="shared" si="26"/>
        <v>Pre</v>
      </c>
      <c r="I20" s="207" t="str">
        <f t="shared" si="26"/>
        <v>Q1</v>
      </c>
      <c r="J20" s="207" t="str">
        <f t="shared" si="26"/>
        <v>Q1</v>
      </c>
      <c r="K20" s="207" t="str">
        <f t="shared" si="26"/>
        <v>Q1</v>
      </c>
      <c r="L20" s="207" t="str">
        <f t="shared" si="26"/>
        <v>Q2</v>
      </c>
      <c r="M20" s="207" t="str">
        <f t="shared" si="26"/>
        <v>Q2</v>
      </c>
      <c r="N20" s="207" t="str">
        <f t="shared" si="26"/>
        <v>Q2</v>
      </c>
      <c r="O20" s="207" t="str">
        <f t="shared" si="26"/>
        <v>Q3</v>
      </c>
      <c r="P20" s="207" t="str">
        <f t="shared" si="26"/>
        <v>Q3</v>
      </c>
      <c r="Q20" s="207" t="str">
        <f t="shared" si="26"/>
        <v>Q3</v>
      </c>
      <c r="R20" s="207" t="str">
        <f t="shared" si="26"/>
        <v>Q4</v>
      </c>
      <c r="S20" s="207" t="str">
        <f t="shared" si="26"/>
        <v>Q4</v>
      </c>
      <c r="T20" s="207" t="str">
        <f t="shared" si="26"/>
        <v>Q4</v>
      </c>
      <c r="U20" s="207" t="str">
        <f t="shared" si="26"/>
        <v>Q5</v>
      </c>
      <c r="V20" s="207" t="str">
        <f t="shared" si="26"/>
        <v>Q5</v>
      </c>
      <c r="W20" s="207" t="str">
        <f t="shared" si="26"/>
        <v>Q5</v>
      </c>
      <c r="X20" s="207" t="str">
        <f t="shared" si="26"/>
        <v>Q6</v>
      </c>
      <c r="Y20" s="207" t="str">
        <f t="shared" si="26"/>
        <v>Q6</v>
      </c>
      <c r="Z20" s="207" t="str">
        <f t="shared" si="26"/>
        <v>Q6</v>
      </c>
      <c r="AA20" s="207" t="str">
        <f t="shared" si="26"/>
        <v>Q7</v>
      </c>
      <c r="AB20" s="207" t="str">
        <f t="shared" si="26"/>
        <v>Q7</v>
      </c>
      <c r="AC20" s="207" t="str">
        <f t="shared" si="26"/>
        <v>Q7</v>
      </c>
      <c r="AD20" s="207" t="str">
        <f t="shared" si="26"/>
        <v>Q8</v>
      </c>
      <c r="AE20" s="207" t="str">
        <f t="shared" si="26"/>
        <v>Q8</v>
      </c>
      <c r="AF20" s="207" t="str">
        <f t="shared" si="26"/>
        <v>Q8</v>
      </c>
      <c r="AG20" s="207" t="str">
        <f t="shared" si="26"/>
        <v>Q9</v>
      </c>
      <c r="AH20" s="207" t="str">
        <f t="shared" si="26"/>
        <v>Q9</v>
      </c>
      <c r="AI20" s="207" t="str">
        <f t="shared" si="26"/>
        <v>Q9</v>
      </c>
      <c r="AJ20" s="207" t="str">
        <f t="shared" si="26"/>
        <v>Q10</v>
      </c>
      <c r="AK20" s="207" t="str">
        <f t="shared" si="26"/>
        <v>Q10</v>
      </c>
      <c r="AL20" s="207" t="str">
        <f t="shared" si="26"/>
        <v>Q10</v>
      </c>
      <c r="AM20" s="207" t="str">
        <f t="shared" si="26"/>
        <v>Q11</v>
      </c>
      <c r="AN20" s="207" t="str">
        <f t="shared" si="26"/>
        <v>Q11</v>
      </c>
      <c r="AO20" s="207" t="str">
        <f t="shared" si="26"/>
        <v>Q11</v>
      </c>
      <c r="AP20" s="207" t="str">
        <f t="shared" si="26"/>
        <v>Q12</v>
      </c>
      <c r="AQ20" s="207" t="str">
        <f t="shared" si="26"/>
        <v>Q12</v>
      </c>
      <c r="AR20" s="207" t="str">
        <f t="shared" si="26"/>
        <v>Q12</v>
      </c>
      <c r="AS20" s="207" t="str">
        <f t="shared" si="26"/>
        <v>Q13</v>
      </c>
      <c r="AT20" s="207" t="str">
        <f t="shared" si="26"/>
        <v>Q13</v>
      </c>
      <c r="AU20" s="207" t="str">
        <f t="shared" si="26"/>
        <v>Q13</v>
      </c>
      <c r="AV20" s="207" t="str">
        <f t="shared" si="26"/>
        <v>Q14</v>
      </c>
      <c r="AW20" s="207" t="str">
        <f t="shared" si="26"/>
        <v>Q14</v>
      </c>
      <c r="AX20" s="207" t="str">
        <f t="shared" si="26"/>
        <v>Q14</v>
      </c>
      <c r="AY20" s="207" t="str">
        <f t="shared" si="26"/>
        <v>Q15</v>
      </c>
      <c r="AZ20" s="207" t="str">
        <f t="shared" si="26"/>
        <v>Q15</v>
      </c>
      <c r="BA20" s="207" t="str">
        <f t="shared" si="26"/>
        <v>Q15</v>
      </c>
      <c r="BB20" s="207" t="str">
        <f t="shared" si="26"/>
        <v>Q16</v>
      </c>
      <c r="BC20" s="207" t="str">
        <f t="shared" si="26"/>
        <v>Q16</v>
      </c>
      <c r="BD20" s="207" t="str">
        <f t="shared" si="26"/>
        <v>Q16</v>
      </c>
      <c r="BE20" s="207" t="str">
        <f t="shared" si="26"/>
        <v>Q17</v>
      </c>
      <c r="BF20" s="207" t="str">
        <f t="shared" si="26"/>
        <v>Q17</v>
      </c>
      <c r="BG20" s="207" t="str">
        <f t="shared" si="26"/>
        <v>Q17</v>
      </c>
      <c r="BH20" s="207" t="str">
        <f t="shared" si="26"/>
        <v>Q18</v>
      </c>
      <c r="BI20" s="207" t="str">
        <f t="shared" si="26"/>
        <v>Q18</v>
      </c>
      <c r="BJ20" s="207" t="str">
        <f t="shared" si="26"/>
        <v>Q18</v>
      </c>
      <c r="BK20" s="207" t="str">
        <f t="shared" si="26"/>
        <v>Q19</v>
      </c>
      <c r="BL20" s="207" t="str">
        <f t="shared" si="26"/>
        <v>Q19</v>
      </c>
      <c r="BM20" s="207" t="str">
        <f t="shared" si="26"/>
        <v>Q19</v>
      </c>
      <c r="BN20" s="207" t="str">
        <f t="shared" si="26"/>
        <v>Q20</v>
      </c>
      <c r="BO20" s="207" t="str">
        <f t="shared" si="26"/>
        <v>Q20</v>
      </c>
      <c r="BP20" s="207" t="str">
        <f t="shared" si="26"/>
        <v>Q20</v>
      </c>
      <c r="BQ20" s="207" t="str">
        <f t="shared" si="26"/>
        <v>Q21</v>
      </c>
      <c r="BR20" s="207" t="str">
        <f t="shared" ref="BR20:DX20" si="27">IF(BR14&lt;0,"Pre","Q"&amp;INT((BR14-1)/3)+1)</f>
        <v>Q21</v>
      </c>
      <c r="BS20" s="207" t="str">
        <f t="shared" si="27"/>
        <v>Q21</v>
      </c>
      <c r="BT20" s="207" t="str">
        <f t="shared" si="27"/>
        <v>Q22</v>
      </c>
      <c r="BU20" s="207" t="str">
        <f t="shared" si="27"/>
        <v>Q22</v>
      </c>
      <c r="BV20" s="207" t="str">
        <f t="shared" si="27"/>
        <v>Q22</v>
      </c>
      <c r="BW20" s="207" t="str">
        <f t="shared" si="27"/>
        <v>Q23</v>
      </c>
      <c r="BX20" s="207" t="str">
        <f t="shared" si="27"/>
        <v>Q23</v>
      </c>
      <c r="BY20" s="207" t="str">
        <f t="shared" si="27"/>
        <v>Q23</v>
      </c>
      <c r="BZ20" s="207" t="str">
        <f t="shared" si="27"/>
        <v>Q24</v>
      </c>
      <c r="CA20" s="207" t="str">
        <f t="shared" si="27"/>
        <v>Q24</v>
      </c>
      <c r="CB20" s="207" t="str">
        <f t="shared" si="27"/>
        <v>Q24</v>
      </c>
      <c r="CC20" s="207" t="str">
        <f t="shared" si="27"/>
        <v>Q25</v>
      </c>
      <c r="CD20" s="207" t="str">
        <f t="shared" si="27"/>
        <v>Q25</v>
      </c>
      <c r="CE20" s="207" t="str">
        <f t="shared" si="27"/>
        <v>Q25</v>
      </c>
      <c r="CF20" s="207" t="str">
        <f t="shared" si="27"/>
        <v>Q26</v>
      </c>
      <c r="CG20" s="207" t="str">
        <f t="shared" si="27"/>
        <v>Q26</v>
      </c>
      <c r="CH20" s="207" t="str">
        <f t="shared" si="27"/>
        <v>Q26</v>
      </c>
      <c r="CI20" s="207" t="str">
        <f t="shared" si="27"/>
        <v>Q27</v>
      </c>
      <c r="CJ20" s="207" t="str">
        <f t="shared" si="27"/>
        <v>Q27</v>
      </c>
      <c r="CK20" s="207" t="str">
        <f t="shared" si="27"/>
        <v>Q27</v>
      </c>
      <c r="CL20" s="207" t="str">
        <f t="shared" si="27"/>
        <v>Q28</v>
      </c>
      <c r="CM20" s="207" t="str">
        <f t="shared" si="27"/>
        <v>Q28</v>
      </c>
      <c r="CN20" s="207" t="str">
        <f t="shared" si="27"/>
        <v>Q28</v>
      </c>
      <c r="CO20" s="207" t="str">
        <f t="shared" si="27"/>
        <v>Q29</v>
      </c>
      <c r="CP20" s="207" t="str">
        <f t="shared" si="27"/>
        <v>Q29</v>
      </c>
      <c r="CQ20" s="207" t="str">
        <f t="shared" si="27"/>
        <v>Q29</v>
      </c>
      <c r="CR20" s="207" t="str">
        <f t="shared" si="27"/>
        <v>Q30</v>
      </c>
      <c r="CS20" s="207" t="str">
        <f t="shared" si="27"/>
        <v>Q30</v>
      </c>
      <c r="CT20" s="207" t="str">
        <f t="shared" si="27"/>
        <v>Q30</v>
      </c>
      <c r="CU20" s="207" t="str">
        <f t="shared" si="27"/>
        <v>Q31</v>
      </c>
      <c r="CV20" s="207" t="str">
        <f t="shared" si="27"/>
        <v>Q31</v>
      </c>
      <c r="CW20" s="207" t="str">
        <f t="shared" si="27"/>
        <v>Q31</v>
      </c>
      <c r="CX20" s="207" t="str">
        <f t="shared" si="27"/>
        <v>Q32</v>
      </c>
      <c r="CY20" s="207" t="str">
        <f t="shared" si="27"/>
        <v>Q32</v>
      </c>
      <c r="CZ20" s="207" t="str">
        <f t="shared" si="27"/>
        <v>Q32</v>
      </c>
      <c r="DA20" s="207" t="str">
        <f t="shared" si="27"/>
        <v>Q33</v>
      </c>
      <c r="DB20" s="207" t="str">
        <f t="shared" si="27"/>
        <v>Q33</v>
      </c>
      <c r="DC20" s="207" t="str">
        <f t="shared" si="27"/>
        <v>Q33</v>
      </c>
      <c r="DD20" s="207" t="str">
        <f t="shared" si="27"/>
        <v>Q34</v>
      </c>
      <c r="DE20" s="207" t="str">
        <f t="shared" si="27"/>
        <v>Q34</v>
      </c>
      <c r="DF20" s="207" t="str">
        <f t="shared" si="27"/>
        <v>Q34</v>
      </c>
      <c r="DG20" s="207" t="str">
        <f t="shared" si="27"/>
        <v>Q35</v>
      </c>
      <c r="DH20" s="207" t="str">
        <f t="shared" si="27"/>
        <v>Q35</v>
      </c>
      <c r="DI20" s="207" t="str">
        <f t="shared" si="27"/>
        <v>Q35</v>
      </c>
      <c r="DJ20" s="207" t="str">
        <f t="shared" si="27"/>
        <v>Q36</v>
      </c>
      <c r="DK20" s="207" t="str">
        <f t="shared" si="27"/>
        <v>Q36</v>
      </c>
      <c r="DL20" s="207" t="str">
        <f t="shared" si="27"/>
        <v>Q36</v>
      </c>
      <c r="DM20" s="207" t="str">
        <f t="shared" si="27"/>
        <v>Q37</v>
      </c>
      <c r="DN20" s="207" t="str">
        <f t="shared" si="27"/>
        <v>Q37</v>
      </c>
      <c r="DO20" s="207" t="str">
        <f t="shared" si="27"/>
        <v>Q37</v>
      </c>
      <c r="DP20" s="207" t="str">
        <f t="shared" si="27"/>
        <v>Q38</v>
      </c>
      <c r="DQ20" s="207" t="str">
        <f t="shared" si="27"/>
        <v>Q38</v>
      </c>
      <c r="DR20" s="207" t="str">
        <f t="shared" si="27"/>
        <v>Q38</v>
      </c>
      <c r="DS20" s="207" t="str">
        <f t="shared" si="27"/>
        <v>Q39</v>
      </c>
      <c r="DT20" s="207" t="str">
        <f t="shared" si="27"/>
        <v>Q39</v>
      </c>
      <c r="DU20" s="207" t="str">
        <f t="shared" si="27"/>
        <v>Q39</v>
      </c>
      <c r="DV20" s="207" t="str">
        <f t="shared" si="27"/>
        <v>Q40</v>
      </c>
      <c r="DW20" s="207" t="str">
        <f t="shared" si="27"/>
        <v>Q40</v>
      </c>
      <c r="DX20" s="207" t="str">
        <f t="shared" si="27"/>
        <v>Q40</v>
      </c>
      <c r="DY20" s="88"/>
      <c r="DZ20" s="188" t="s">
        <v>400</v>
      </c>
      <c r="EB20" s="88"/>
    </row>
    <row r="21" spans="1:132" outlineLevel="1">
      <c r="A21" s="91" t="s">
        <v>164</v>
      </c>
      <c r="C21" s="185"/>
      <c r="D21" s="185"/>
      <c r="E21" s="185"/>
      <c r="F21" s="202">
        <f t="shared" ref="F21:AK21" si="28">IF(AND(PreContractStartDateIn&lt;=DateToMth,DateToMth&lt;=ContractEndDateIn),1,0)</f>
        <v>0</v>
      </c>
      <c r="G21" s="203">
        <f t="shared" si="28"/>
        <v>0</v>
      </c>
      <c r="H21" s="203">
        <f t="shared" si="28"/>
        <v>0</v>
      </c>
      <c r="I21" s="203">
        <f t="shared" si="28"/>
        <v>0</v>
      </c>
      <c r="J21" s="203">
        <f t="shared" si="28"/>
        <v>0</v>
      </c>
      <c r="K21" s="203">
        <f t="shared" si="28"/>
        <v>0</v>
      </c>
      <c r="L21" s="203">
        <f t="shared" si="28"/>
        <v>0</v>
      </c>
      <c r="M21" s="203">
        <f t="shared" si="28"/>
        <v>0</v>
      </c>
      <c r="N21" s="203">
        <f t="shared" si="28"/>
        <v>0</v>
      </c>
      <c r="O21" s="203">
        <f t="shared" si="28"/>
        <v>0</v>
      </c>
      <c r="P21" s="203">
        <f t="shared" si="28"/>
        <v>0</v>
      </c>
      <c r="Q21" s="203">
        <f t="shared" si="28"/>
        <v>0</v>
      </c>
      <c r="R21" s="203">
        <f t="shared" si="28"/>
        <v>0</v>
      </c>
      <c r="S21" s="203">
        <f t="shared" si="28"/>
        <v>0</v>
      </c>
      <c r="T21" s="203">
        <f t="shared" si="28"/>
        <v>0</v>
      </c>
      <c r="U21" s="203">
        <f t="shared" si="28"/>
        <v>0</v>
      </c>
      <c r="V21" s="203">
        <f t="shared" si="28"/>
        <v>0</v>
      </c>
      <c r="W21" s="203">
        <f t="shared" si="28"/>
        <v>0</v>
      </c>
      <c r="X21" s="203">
        <f t="shared" si="28"/>
        <v>0</v>
      </c>
      <c r="Y21" s="203">
        <f t="shared" si="28"/>
        <v>0</v>
      </c>
      <c r="Z21" s="203">
        <f t="shared" si="28"/>
        <v>0</v>
      </c>
      <c r="AA21" s="203">
        <f t="shared" si="28"/>
        <v>0</v>
      </c>
      <c r="AB21" s="203">
        <f t="shared" si="28"/>
        <v>0</v>
      </c>
      <c r="AC21" s="203">
        <f t="shared" si="28"/>
        <v>0</v>
      </c>
      <c r="AD21" s="203">
        <f t="shared" si="28"/>
        <v>0</v>
      </c>
      <c r="AE21" s="203">
        <f t="shared" si="28"/>
        <v>0</v>
      </c>
      <c r="AF21" s="203">
        <f t="shared" si="28"/>
        <v>0</v>
      </c>
      <c r="AG21" s="203">
        <f t="shared" si="28"/>
        <v>0</v>
      </c>
      <c r="AH21" s="203">
        <f t="shared" si="28"/>
        <v>0</v>
      </c>
      <c r="AI21" s="203">
        <f t="shared" si="28"/>
        <v>0</v>
      </c>
      <c r="AJ21" s="203">
        <f t="shared" si="28"/>
        <v>0</v>
      </c>
      <c r="AK21" s="203">
        <f t="shared" si="28"/>
        <v>0</v>
      </c>
      <c r="AL21" s="203">
        <f t="shared" ref="AL21:BQ21" si="29">IF(AND(PreContractStartDateIn&lt;=DateToMth,DateToMth&lt;=ContractEndDateIn),1,0)</f>
        <v>0</v>
      </c>
      <c r="AM21" s="203">
        <f t="shared" si="29"/>
        <v>0</v>
      </c>
      <c r="AN21" s="203">
        <f t="shared" si="29"/>
        <v>0</v>
      </c>
      <c r="AO21" s="203">
        <f t="shared" si="29"/>
        <v>0</v>
      </c>
      <c r="AP21" s="203">
        <f t="shared" si="29"/>
        <v>0</v>
      </c>
      <c r="AQ21" s="203">
        <f t="shared" si="29"/>
        <v>0</v>
      </c>
      <c r="AR21" s="203">
        <f t="shared" si="29"/>
        <v>0</v>
      </c>
      <c r="AS21" s="203">
        <f t="shared" si="29"/>
        <v>0</v>
      </c>
      <c r="AT21" s="203">
        <f t="shared" si="29"/>
        <v>0</v>
      </c>
      <c r="AU21" s="203">
        <f t="shared" si="29"/>
        <v>0</v>
      </c>
      <c r="AV21" s="203">
        <f t="shared" si="29"/>
        <v>0</v>
      </c>
      <c r="AW21" s="203">
        <f t="shared" si="29"/>
        <v>0</v>
      </c>
      <c r="AX21" s="203">
        <f t="shared" si="29"/>
        <v>0</v>
      </c>
      <c r="AY21" s="203">
        <f t="shared" si="29"/>
        <v>0</v>
      </c>
      <c r="AZ21" s="203">
        <f t="shared" si="29"/>
        <v>0</v>
      </c>
      <c r="BA21" s="203">
        <f t="shared" si="29"/>
        <v>0</v>
      </c>
      <c r="BB21" s="203">
        <f t="shared" si="29"/>
        <v>0</v>
      </c>
      <c r="BC21" s="203">
        <f t="shared" si="29"/>
        <v>0</v>
      </c>
      <c r="BD21" s="203">
        <f t="shared" si="29"/>
        <v>0</v>
      </c>
      <c r="BE21" s="203">
        <f t="shared" si="29"/>
        <v>0</v>
      </c>
      <c r="BF21" s="203">
        <f t="shared" si="29"/>
        <v>0</v>
      </c>
      <c r="BG21" s="203">
        <f t="shared" si="29"/>
        <v>0</v>
      </c>
      <c r="BH21" s="203">
        <f t="shared" si="29"/>
        <v>0</v>
      </c>
      <c r="BI21" s="203">
        <f t="shared" si="29"/>
        <v>0</v>
      </c>
      <c r="BJ21" s="203">
        <f t="shared" si="29"/>
        <v>0</v>
      </c>
      <c r="BK21" s="203">
        <f t="shared" si="29"/>
        <v>0</v>
      </c>
      <c r="BL21" s="203">
        <f t="shared" si="29"/>
        <v>0</v>
      </c>
      <c r="BM21" s="203">
        <f t="shared" si="29"/>
        <v>0</v>
      </c>
      <c r="BN21" s="203">
        <f t="shared" si="29"/>
        <v>0</v>
      </c>
      <c r="BO21" s="203">
        <f t="shared" si="29"/>
        <v>0</v>
      </c>
      <c r="BP21" s="203">
        <f t="shared" si="29"/>
        <v>0</v>
      </c>
      <c r="BQ21" s="203">
        <f t="shared" si="29"/>
        <v>0</v>
      </c>
      <c r="BR21" s="203">
        <f t="shared" ref="BR21:CW21" si="30">IF(AND(PreContractStartDateIn&lt;=DateToMth,DateToMth&lt;=ContractEndDateIn),1,0)</f>
        <v>0</v>
      </c>
      <c r="BS21" s="203">
        <f t="shared" si="30"/>
        <v>0</v>
      </c>
      <c r="BT21" s="203">
        <f t="shared" si="30"/>
        <v>0</v>
      </c>
      <c r="BU21" s="203">
        <f t="shared" si="30"/>
        <v>0</v>
      </c>
      <c r="BV21" s="203">
        <f t="shared" si="30"/>
        <v>0</v>
      </c>
      <c r="BW21" s="203">
        <f t="shared" si="30"/>
        <v>0</v>
      </c>
      <c r="BX21" s="203">
        <f t="shared" si="30"/>
        <v>0</v>
      </c>
      <c r="BY21" s="203">
        <f t="shared" si="30"/>
        <v>0</v>
      </c>
      <c r="BZ21" s="203">
        <f t="shared" si="30"/>
        <v>0</v>
      </c>
      <c r="CA21" s="203">
        <f t="shared" si="30"/>
        <v>0</v>
      </c>
      <c r="CB21" s="203">
        <f t="shared" si="30"/>
        <v>0</v>
      </c>
      <c r="CC21" s="203">
        <f t="shared" si="30"/>
        <v>0</v>
      </c>
      <c r="CD21" s="203">
        <f t="shared" si="30"/>
        <v>0</v>
      </c>
      <c r="CE21" s="203">
        <f t="shared" si="30"/>
        <v>0</v>
      </c>
      <c r="CF21" s="203">
        <f t="shared" si="30"/>
        <v>0</v>
      </c>
      <c r="CG21" s="203">
        <f t="shared" si="30"/>
        <v>0</v>
      </c>
      <c r="CH21" s="203">
        <f t="shared" si="30"/>
        <v>0</v>
      </c>
      <c r="CI21" s="203">
        <f t="shared" si="30"/>
        <v>0</v>
      </c>
      <c r="CJ21" s="203">
        <f t="shared" si="30"/>
        <v>0</v>
      </c>
      <c r="CK21" s="203">
        <f t="shared" si="30"/>
        <v>0</v>
      </c>
      <c r="CL21" s="203">
        <f t="shared" si="30"/>
        <v>0</v>
      </c>
      <c r="CM21" s="203">
        <f t="shared" si="30"/>
        <v>0</v>
      </c>
      <c r="CN21" s="203">
        <f t="shared" si="30"/>
        <v>0</v>
      </c>
      <c r="CO21" s="203">
        <f t="shared" si="30"/>
        <v>0</v>
      </c>
      <c r="CP21" s="203">
        <f t="shared" si="30"/>
        <v>0</v>
      </c>
      <c r="CQ21" s="203">
        <f t="shared" si="30"/>
        <v>0</v>
      </c>
      <c r="CR21" s="203">
        <f t="shared" si="30"/>
        <v>0</v>
      </c>
      <c r="CS21" s="203">
        <f t="shared" si="30"/>
        <v>0</v>
      </c>
      <c r="CT21" s="203">
        <f t="shared" si="30"/>
        <v>0</v>
      </c>
      <c r="CU21" s="203">
        <f t="shared" si="30"/>
        <v>0</v>
      </c>
      <c r="CV21" s="203">
        <f t="shared" si="30"/>
        <v>0</v>
      </c>
      <c r="CW21" s="203">
        <f t="shared" si="30"/>
        <v>0</v>
      </c>
      <c r="CX21" s="203">
        <f t="shared" ref="CX21:DX21" si="31">IF(AND(PreContractStartDateIn&lt;=DateToMth,DateToMth&lt;=ContractEndDateIn),1,0)</f>
        <v>0</v>
      </c>
      <c r="CY21" s="203">
        <f t="shared" si="31"/>
        <v>0</v>
      </c>
      <c r="CZ21" s="203">
        <f t="shared" si="31"/>
        <v>0</v>
      </c>
      <c r="DA21" s="203">
        <f t="shared" si="31"/>
        <v>0</v>
      </c>
      <c r="DB21" s="203">
        <f t="shared" si="31"/>
        <v>0</v>
      </c>
      <c r="DC21" s="203">
        <f t="shared" si="31"/>
        <v>0</v>
      </c>
      <c r="DD21" s="203">
        <f t="shared" si="31"/>
        <v>0</v>
      </c>
      <c r="DE21" s="203">
        <f t="shared" si="31"/>
        <v>0</v>
      </c>
      <c r="DF21" s="203">
        <f t="shared" si="31"/>
        <v>0</v>
      </c>
      <c r="DG21" s="203">
        <f t="shared" si="31"/>
        <v>0</v>
      </c>
      <c r="DH21" s="203">
        <f t="shared" si="31"/>
        <v>0</v>
      </c>
      <c r="DI21" s="203">
        <f t="shared" si="31"/>
        <v>0</v>
      </c>
      <c r="DJ21" s="203">
        <f t="shared" si="31"/>
        <v>0</v>
      </c>
      <c r="DK21" s="203">
        <f t="shared" si="31"/>
        <v>0</v>
      </c>
      <c r="DL21" s="203">
        <f t="shared" si="31"/>
        <v>0</v>
      </c>
      <c r="DM21" s="203">
        <f t="shared" si="31"/>
        <v>0</v>
      </c>
      <c r="DN21" s="203">
        <f t="shared" si="31"/>
        <v>0</v>
      </c>
      <c r="DO21" s="203">
        <f t="shared" si="31"/>
        <v>0</v>
      </c>
      <c r="DP21" s="203">
        <f t="shared" si="31"/>
        <v>0</v>
      </c>
      <c r="DQ21" s="203">
        <f t="shared" si="31"/>
        <v>0</v>
      </c>
      <c r="DR21" s="203">
        <f t="shared" si="31"/>
        <v>0</v>
      </c>
      <c r="DS21" s="203">
        <f t="shared" si="31"/>
        <v>0</v>
      </c>
      <c r="DT21" s="203">
        <f t="shared" si="31"/>
        <v>0</v>
      </c>
      <c r="DU21" s="203">
        <f t="shared" si="31"/>
        <v>0</v>
      </c>
      <c r="DV21" s="203">
        <f t="shared" si="31"/>
        <v>0</v>
      </c>
      <c r="DW21" s="203">
        <f t="shared" si="31"/>
        <v>0</v>
      </c>
      <c r="DX21" s="203">
        <f t="shared" si="31"/>
        <v>0</v>
      </c>
      <c r="DY21" s="88"/>
      <c r="DZ21" s="188" t="s">
        <v>401</v>
      </c>
      <c r="EB21" s="88"/>
    </row>
    <row r="22" spans="1:132" outlineLevel="1">
      <c r="A22" s="91" t="s">
        <v>165</v>
      </c>
      <c r="C22" s="185"/>
      <c r="D22" s="185"/>
      <c r="E22" s="185"/>
      <c r="F22" s="202">
        <f>SUM(ActivePeriodFlag)</f>
        <v>0</v>
      </c>
      <c r="G22" s="203">
        <f>IF(F22&gt;0,F22-1,0)</f>
        <v>0</v>
      </c>
      <c r="H22" s="203">
        <f t="shared" ref="H22:BS22" si="32">IF(G22&gt;0,G22-1,0)</f>
        <v>0</v>
      </c>
      <c r="I22" s="203">
        <f t="shared" si="32"/>
        <v>0</v>
      </c>
      <c r="J22" s="203">
        <f t="shared" si="32"/>
        <v>0</v>
      </c>
      <c r="K22" s="203">
        <f t="shared" si="32"/>
        <v>0</v>
      </c>
      <c r="L22" s="203">
        <f t="shared" si="32"/>
        <v>0</v>
      </c>
      <c r="M22" s="203">
        <f t="shared" si="32"/>
        <v>0</v>
      </c>
      <c r="N22" s="203">
        <f t="shared" si="32"/>
        <v>0</v>
      </c>
      <c r="O22" s="203">
        <f t="shared" si="32"/>
        <v>0</v>
      </c>
      <c r="P22" s="203">
        <f t="shared" si="32"/>
        <v>0</v>
      </c>
      <c r="Q22" s="203">
        <f t="shared" si="32"/>
        <v>0</v>
      </c>
      <c r="R22" s="203">
        <f t="shared" si="32"/>
        <v>0</v>
      </c>
      <c r="S22" s="203">
        <f t="shared" si="32"/>
        <v>0</v>
      </c>
      <c r="T22" s="203">
        <f t="shared" si="32"/>
        <v>0</v>
      </c>
      <c r="U22" s="203">
        <f t="shared" si="32"/>
        <v>0</v>
      </c>
      <c r="V22" s="203">
        <f t="shared" si="32"/>
        <v>0</v>
      </c>
      <c r="W22" s="203">
        <f t="shared" si="32"/>
        <v>0</v>
      </c>
      <c r="X22" s="203">
        <f t="shared" si="32"/>
        <v>0</v>
      </c>
      <c r="Y22" s="203">
        <f t="shared" si="32"/>
        <v>0</v>
      </c>
      <c r="Z22" s="203">
        <f t="shared" si="32"/>
        <v>0</v>
      </c>
      <c r="AA22" s="203">
        <f t="shared" si="32"/>
        <v>0</v>
      </c>
      <c r="AB22" s="203">
        <f t="shared" si="32"/>
        <v>0</v>
      </c>
      <c r="AC22" s="203">
        <f t="shared" si="32"/>
        <v>0</v>
      </c>
      <c r="AD22" s="203">
        <f t="shared" si="32"/>
        <v>0</v>
      </c>
      <c r="AE22" s="203">
        <f t="shared" si="32"/>
        <v>0</v>
      </c>
      <c r="AF22" s="203">
        <f t="shared" si="32"/>
        <v>0</v>
      </c>
      <c r="AG22" s="203">
        <f t="shared" si="32"/>
        <v>0</v>
      </c>
      <c r="AH22" s="203">
        <f t="shared" si="32"/>
        <v>0</v>
      </c>
      <c r="AI22" s="203">
        <f t="shared" si="32"/>
        <v>0</v>
      </c>
      <c r="AJ22" s="203">
        <f t="shared" si="32"/>
        <v>0</v>
      </c>
      <c r="AK22" s="203">
        <f t="shared" si="32"/>
        <v>0</v>
      </c>
      <c r="AL22" s="203">
        <f t="shared" si="32"/>
        <v>0</v>
      </c>
      <c r="AM22" s="203">
        <f t="shared" si="32"/>
        <v>0</v>
      </c>
      <c r="AN22" s="203">
        <f t="shared" si="32"/>
        <v>0</v>
      </c>
      <c r="AO22" s="203">
        <f t="shared" si="32"/>
        <v>0</v>
      </c>
      <c r="AP22" s="203">
        <f t="shared" si="32"/>
        <v>0</v>
      </c>
      <c r="AQ22" s="203">
        <f t="shared" si="32"/>
        <v>0</v>
      </c>
      <c r="AR22" s="203">
        <f t="shared" si="32"/>
        <v>0</v>
      </c>
      <c r="AS22" s="203">
        <f t="shared" si="32"/>
        <v>0</v>
      </c>
      <c r="AT22" s="203">
        <f t="shared" si="32"/>
        <v>0</v>
      </c>
      <c r="AU22" s="203">
        <f t="shared" si="32"/>
        <v>0</v>
      </c>
      <c r="AV22" s="203">
        <f t="shared" si="32"/>
        <v>0</v>
      </c>
      <c r="AW22" s="203">
        <f t="shared" si="32"/>
        <v>0</v>
      </c>
      <c r="AX22" s="203">
        <f t="shared" si="32"/>
        <v>0</v>
      </c>
      <c r="AY22" s="203">
        <f t="shared" si="32"/>
        <v>0</v>
      </c>
      <c r="AZ22" s="203">
        <f t="shared" si="32"/>
        <v>0</v>
      </c>
      <c r="BA22" s="203">
        <f t="shared" si="32"/>
        <v>0</v>
      </c>
      <c r="BB22" s="203">
        <f t="shared" si="32"/>
        <v>0</v>
      </c>
      <c r="BC22" s="203">
        <f t="shared" si="32"/>
        <v>0</v>
      </c>
      <c r="BD22" s="203">
        <f t="shared" si="32"/>
        <v>0</v>
      </c>
      <c r="BE22" s="203">
        <f t="shared" si="32"/>
        <v>0</v>
      </c>
      <c r="BF22" s="203">
        <f t="shared" si="32"/>
        <v>0</v>
      </c>
      <c r="BG22" s="203">
        <f t="shared" si="32"/>
        <v>0</v>
      </c>
      <c r="BH22" s="203">
        <f t="shared" si="32"/>
        <v>0</v>
      </c>
      <c r="BI22" s="203">
        <f t="shared" si="32"/>
        <v>0</v>
      </c>
      <c r="BJ22" s="203">
        <f t="shared" si="32"/>
        <v>0</v>
      </c>
      <c r="BK22" s="203">
        <f t="shared" si="32"/>
        <v>0</v>
      </c>
      <c r="BL22" s="203">
        <f t="shared" si="32"/>
        <v>0</v>
      </c>
      <c r="BM22" s="203">
        <f t="shared" si="32"/>
        <v>0</v>
      </c>
      <c r="BN22" s="203">
        <f t="shared" si="32"/>
        <v>0</v>
      </c>
      <c r="BO22" s="203">
        <f t="shared" si="32"/>
        <v>0</v>
      </c>
      <c r="BP22" s="203">
        <f t="shared" si="32"/>
        <v>0</v>
      </c>
      <c r="BQ22" s="203">
        <f t="shared" si="32"/>
        <v>0</v>
      </c>
      <c r="BR22" s="203">
        <f t="shared" si="32"/>
        <v>0</v>
      </c>
      <c r="BS22" s="203">
        <f t="shared" si="32"/>
        <v>0</v>
      </c>
      <c r="BT22" s="203">
        <f t="shared" ref="BT22:DX22" si="33">IF(BS22&gt;0,BS22-1,0)</f>
        <v>0</v>
      </c>
      <c r="BU22" s="203">
        <f t="shared" si="33"/>
        <v>0</v>
      </c>
      <c r="BV22" s="203">
        <f t="shared" si="33"/>
        <v>0</v>
      </c>
      <c r="BW22" s="203">
        <f t="shared" si="33"/>
        <v>0</v>
      </c>
      <c r="BX22" s="203">
        <f t="shared" si="33"/>
        <v>0</v>
      </c>
      <c r="BY22" s="203">
        <f t="shared" si="33"/>
        <v>0</v>
      </c>
      <c r="BZ22" s="203">
        <f t="shared" si="33"/>
        <v>0</v>
      </c>
      <c r="CA22" s="203">
        <f t="shared" si="33"/>
        <v>0</v>
      </c>
      <c r="CB22" s="203">
        <f t="shared" si="33"/>
        <v>0</v>
      </c>
      <c r="CC22" s="203">
        <f t="shared" si="33"/>
        <v>0</v>
      </c>
      <c r="CD22" s="203">
        <f t="shared" si="33"/>
        <v>0</v>
      </c>
      <c r="CE22" s="203">
        <f t="shared" si="33"/>
        <v>0</v>
      </c>
      <c r="CF22" s="203">
        <f t="shared" si="33"/>
        <v>0</v>
      </c>
      <c r="CG22" s="203">
        <f t="shared" si="33"/>
        <v>0</v>
      </c>
      <c r="CH22" s="203">
        <f t="shared" si="33"/>
        <v>0</v>
      </c>
      <c r="CI22" s="203">
        <f t="shared" si="33"/>
        <v>0</v>
      </c>
      <c r="CJ22" s="203">
        <f t="shared" si="33"/>
        <v>0</v>
      </c>
      <c r="CK22" s="203">
        <f t="shared" si="33"/>
        <v>0</v>
      </c>
      <c r="CL22" s="203">
        <f t="shared" si="33"/>
        <v>0</v>
      </c>
      <c r="CM22" s="203">
        <f t="shared" si="33"/>
        <v>0</v>
      </c>
      <c r="CN22" s="203">
        <f t="shared" si="33"/>
        <v>0</v>
      </c>
      <c r="CO22" s="203">
        <f t="shared" si="33"/>
        <v>0</v>
      </c>
      <c r="CP22" s="203">
        <f t="shared" si="33"/>
        <v>0</v>
      </c>
      <c r="CQ22" s="203">
        <f t="shared" si="33"/>
        <v>0</v>
      </c>
      <c r="CR22" s="203">
        <f t="shared" si="33"/>
        <v>0</v>
      </c>
      <c r="CS22" s="203">
        <f t="shared" si="33"/>
        <v>0</v>
      </c>
      <c r="CT22" s="203">
        <f t="shared" si="33"/>
        <v>0</v>
      </c>
      <c r="CU22" s="203">
        <f t="shared" si="33"/>
        <v>0</v>
      </c>
      <c r="CV22" s="203">
        <f t="shared" si="33"/>
        <v>0</v>
      </c>
      <c r="CW22" s="203">
        <f t="shared" si="33"/>
        <v>0</v>
      </c>
      <c r="CX22" s="203">
        <f t="shared" si="33"/>
        <v>0</v>
      </c>
      <c r="CY22" s="203">
        <f t="shared" si="33"/>
        <v>0</v>
      </c>
      <c r="CZ22" s="203">
        <f t="shared" si="33"/>
        <v>0</v>
      </c>
      <c r="DA22" s="203">
        <f t="shared" si="33"/>
        <v>0</v>
      </c>
      <c r="DB22" s="203">
        <f t="shared" si="33"/>
        <v>0</v>
      </c>
      <c r="DC22" s="203">
        <f t="shared" si="33"/>
        <v>0</v>
      </c>
      <c r="DD22" s="203">
        <f t="shared" si="33"/>
        <v>0</v>
      </c>
      <c r="DE22" s="203">
        <f t="shared" si="33"/>
        <v>0</v>
      </c>
      <c r="DF22" s="203">
        <f t="shared" si="33"/>
        <v>0</v>
      </c>
      <c r="DG22" s="203">
        <f t="shared" si="33"/>
        <v>0</v>
      </c>
      <c r="DH22" s="203">
        <f t="shared" si="33"/>
        <v>0</v>
      </c>
      <c r="DI22" s="203">
        <f t="shared" si="33"/>
        <v>0</v>
      </c>
      <c r="DJ22" s="203">
        <f t="shared" si="33"/>
        <v>0</v>
      </c>
      <c r="DK22" s="203">
        <f t="shared" si="33"/>
        <v>0</v>
      </c>
      <c r="DL22" s="203">
        <f t="shared" si="33"/>
        <v>0</v>
      </c>
      <c r="DM22" s="203">
        <f t="shared" si="33"/>
        <v>0</v>
      </c>
      <c r="DN22" s="203">
        <f t="shared" si="33"/>
        <v>0</v>
      </c>
      <c r="DO22" s="203">
        <f t="shared" si="33"/>
        <v>0</v>
      </c>
      <c r="DP22" s="203">
        <f t="shared" si="33"/>
        <v>0</v>
      </c>
      <c r="DQ22" s="203">
        <f t="shared" si="33"/>
        <v>0</v>
      </c>
      <c r="DR22" s="203">
        <f t="shared" si="33"/>
        <v>0</v>
      </c>
      <c r="DS22" s="203">
        <f t="shared" si="33"/>
        <v>0</v>
      </c>
      <c r="DT22" s="203">
        <f t="shared" si="33"/>
        <v>0</v>
      </c>
      <c r="DU22" s="203">
        <f t="shared" si="33"/>
        <v>0</v>
      </c>
      <c r="DV22" s="203">
        <f t="shared" si="33"/>
        <v>0</v>
      </c>
      <c r="DW22" s="203">
        <f t="shared" si="33"/>
        <v>0</v>
      </c>
      <c r="DX22" s="203">
        <f t="shared" si="33"/>
        <v>0</v>
      </c>
      <c r="DY22" s="88"/>
      <c r="DZ22" s="188" t="s">
        <v>402</v>
      </c>
      <c r="EB22" s="88"/>
    </row>
    <row r="23" spans="1:132" outlineLevel="1">
      <c r="A23" s="91" t="s">
        <v>166</v>
      </c>
      <c r="C23" s="185"/>
      <c r="D23" s="185"/>
      <c r="E23" s="195"/>
      <c r="F23" s="202" t="str">
        <f>YEAR(CompanyYearStartDateIn)&amp;"/"&amp;RIGHT(YEAR(CompanyYearStartDateIn)+1,1)</f>
        <v>2008/9</v>
      </c>
      <c r="G23" s="203" t="str">
        <f t="shared" ref="G23:U23" si="34">IF(MONTH(G11)=4,YEAR(G11)&amp;"/"&amp;RIGHT(YEAR(G11)+1,IF(YEAR(G11)&gt;2008,2,1)),F23)</f>
        <v>2008/9</v>
      </c>
      <c r="H23" s="203" t="str">
        <f t="shared" si="34"/>
        <v>2008/9</v>
      </c>
      <c r="I23" s="203" t="str">
        <f t="shared" si="34"/>
        <v>2008/9</v>
      </c>
      <c r="J23" s="203" t="str">
        <f t="shared" si="34"/>
        <v>2008/9</v>
      </c>
      <c r="K23" s="203" t="str">
        <f t="shared" si="34"/>
        <v>2015/16</v>
      </c>
      <c r="L23" s="203" t="str">
        <f t="shared" si="34"/>
        <v>2015/16</v>
      </c>
      <c r="M23" s="203" t="str">
        <f t="shared" si="34"/>
        <v>2015/16</v>
      </c>
      <c r="N23" s="203" t="str">
        <f t="shared" si="34"/>
        <v>2015/16</v>
      </c>
      <c r="O23" s="203" t="str">
        <f t="shared" si="34"/>
        <v>2015/16</v>
      </c>
      <c r="P23" s="203" t="str">
        <f t="shared" si="34"/>
        <v>2015/16</v>
      </c>
      <c r="Q23" s="203" t="str">
        <f t="shared" si="34"/>
        <v>2015/16</v>
      </c>
      <c r="R23" s="203" t="str">
        <f t="shared" si="34"/>
        <v>2015/16</v>
      </c>
      <c r="S23" s="203" t="str">
        <f t="shared" si="34"/>
        <v>2015/16</v>
      </c>
      <c r="T23" s="203" t="str">
        <f t="shared" si="34"/>
        <v>2015/16</v>
      </c>
      <c r="U23" s="203" t="str">
        <f t="shared" si="34"/>
        <v>2015/16</v>
      </c>
      <c r="V23" s="203" t="str">
        <f>IF(MONTH(V11)=4,YEAR(V11)&amp;"/"&amp;RIGHT(YEAR(V11)+1,IF(YEAR(V11)&gt;2008,2,1)),U23)</f>
        <v>2015/16</v>
      </c>
      <c r="W23" s="203" t="str">
        <f t="shared" ref="W23:CH23" si="35">IF(MONTH(W11)=4,YEAR(W11)&amp;"/"&amp;RIGHT(YEAR(W11)+1,IF(YEAR(W11)&gt;2009,2,1)),V23)</f>
        <v>2016/17</v>
      </c>
      <c r="X23" s="203" t="str">
        <f t="shared" si="35"/>
        <v>2016/17</v>
      </c>
      <c r="Y23" s="203" t="str">
        <f t="shared" si="35"/>
        <v>2016/17</v>
      </c>
      <c r="Z23" s="203" t="str">
        <f t="shared" si="35"/>
        <v>2016/17</v>
      </c>
      <c r="AA23" s="203" t="str">
        <f t="shared" si="35"/>
        <v>2016/17</v>
      </c>
      <c r="AB23" s="203" t="str">
        <f t="shared" si="35"/>
        <v>2016/17</v>
      </c>
      <c r="AC23" s="203" t="str">
        <f t="shared" si="35"/>
        <v>2016/17</v>
      </c>
      <c r="AD23" s="203" t="str">
        <f t="shared" si="35"/>
        <v>2016/17</v>
      </c>
      <c r="AE23" s="203" t="str">
        <f t="shared" si="35"/>
        <v>2016/17</v>
      </c>
      <c r="AF23" s="203" t="str">
        <f t="shared" si="35"/>
        <v>2016/17</v>
      </c>
      <c r="AG23" s="203" t="str">
        <f t="shared" si="35"/>
        <v>2016/17</v>
      </c>
      <c r="AH23" s="203" t="str">
        <f t="shared" si="35"/>
        <v>2016/17</v>
      </c>
      <c r="AI23" s="203" t="str">
        <f t="shared" si="35"/>
        <v>2017/18</v>
      </c>
      <c r="AJ23" s="203" t="str">
        <f t="shared" si="35"/>
        <v>2017/18</v>
      </c>
      <c r="AK23" s="203" t="str">
        <f t="shared" si="35"/>
        <v>2017/18</v>
      </c>
      <c r="AL23" s="203" t="str">
        <f t="shared" si="35"/>
        <v>2017/18</v>
      </c>
      <c r="AM23" s="203" t="str">
        <f t="shared" si="35"/>
        <v>2017/18</v>
      </c>
      <c r="AN23" s="203" t="str">
        <f t="shared" si="35"/>
        <v>2017/18</v>
      </c>
      <c r="AO23" s="203" t="str">
        <f t="shared" si="35"/>
        <v>2017/18</v>
      </c>
      <c r="AP23" s="203" t="str">
        <f t="shared" si="35"/>
        <v>2017/18</v>
      </c>
      <c r="AQ23" s="203" t="str">
        <f t="shared" si="35"/>
        <v>2017/18</v>
      </c>
      <c r="AR23" s="203" t="str">
        <f t="shared" si="35"/>
        <v>2017/18</v>
      </c>
      <c r="AS23" s="203" t="str">
        <f t="shared" si="35"/>
        <v>2017/18</v>
      </c>
      <c r="AT23" s="203" t="str">
        <f t="shared" si="35"/>
        <v>2017/18</v>
      </c>
      <c r="AU23" s="203" t="str">
        <f t="shared" si="35"/>
        <v>2018/19</v>
      </c>
      <c r="AV23" s="203" t="str">
        <f t="shared" si="35"/>
        <v>2018/19</v>
      </c>
      <c r="AW23" s="203" t="str">
        <f t="shared" si="35"/>
        <v>2018/19</v>
      </c>
      <c r="AX23" s="203" t="str">
        <f t="shared" si="35"/>
        <v>2018/19</v>
      </c>
      <c r="AY23" s="203" t="str">
        <f t="shared" si="35"/>
        <v>2018/19</v>
      </c>
      <c r="AZ23" s="203" t="str">
        <f t="shared" si="35"/>
        <v>2018/19</v>
      </c>
      <c r="BA23" s="203" t="str">
        <f t="shared" si="35"/>
        <v>2018/19</v>
      </c>
      <c r="BB23" s="203" t="str">
        <f t="shared" si="35"/>
        <v>2018/19</v>
      </c>
      <c r="BC23" s="203" t="str">
        <f t="shared" si="35"/>
        <v>2018/19</v>
      </c>
      <c r="BD23" s="203" t="str">
        <f t="shared" si="35"/>
        <v>2018/19</v>
      </c>
      <c r="BE23" s="203" t="str">
        <f t="shared" si="35"/>
        <v>2018/19</v>
      </c>
      <c r="BF23" s="203" t="str">
        <f t="shared" si="35"/>
        <v>2018/19</v>
      </c>
      <c r="BG23" s="203" t="str">
        <f t="shared" si="35"/>
        <v>2019/20</v>
      </c>
      <c r="BH23" s="203" t="str">
        <f t="shared" si="35"/>
        <v>2019/20</v>
      </c>
      <c r="BI23" s="203" t="str">
        <f t="shared" si="35"/>
        <v>2019/20</v>
      </c>
      <c r="BJ23" s="203" t="str">
        <f t="shared" si="35"/>
        <v>2019/20</v>
      </c>
      <c r="BK23" s="203" t="str">
        <f t="shared" si="35"/>
        <v>2019/20</v>
      </c>
      <c r="BL23" s="203" t="str">
        <f t="shared" si="35"/>
        <v>2019/20</v>
      </c>
      <c r="BM23" s="203" t="str">
        <f t="shared" si="35"/>
        <v>2019/20</v>
      </c>
      <c r="BN23" s="203" t="str">
        <f t="shared" si="35"/>
        <v>2019/20</v>
      </c>
      <c r="BO23" s="203" t="str">
        <f t="shared" si="35"/>
        <v>2019/20</v>
      </c>
      <c r="BP23" s="203" t="str">
        <f t="shared" si="35"/>
        <v>2019/20</v>
      </c>
      <c r="BQ23" s="203" t="str">
        <f t="shared" si="35"/>
        <v>2019/20</v>
      </c>
      <c r="BR23" s="203" t="str">
        <f t="shared" si="35"/>
        <v>2019/20</v>
      </c>
      <c r="BS23" s="203" t="str">
        <f t="shared" si="35"/>
        <v>2020/21</v>
      </c>
      <c r="BT23" s="203" t="str">
        <f t="shared" si="35"/>
        <v>2020/21</v>
      </c>
      <c r="BU23" s="203" t="str">
        <f t="shared" si="35"/>
        <v>2020/21</v>
      </c>
      <c r="BV23" s="203" t="str">
        <f t="shared" si="35"/>
        <v>2020/21</v>
      </c>
      <c r="BW23" s="203" t="str">
        <f t="shared" si="35"/>
        <v>2020/21</v>
      </c>
      <c r="BX23" s="203" t="str">
        <f t="shared" si="35"/>
        <v>2020/21</v>
      </c>
      <c r="BY23" s="203" t="str">
        <f t="shared" si="35"/>
        <v>2020/21</v>
      </c>
      <c r="BZ23" s="203" t="str">
        <f t="shared" si="35"/>
        <v>2020/21</v>
      </c>
      <c r="CA23" s="203" t="str">
        <f t="shared" si="35"/>
        <v>2020/21</v>
      </c>
      <c r="CB23" s="203" t="str">
        <f t="shared" si="35"/>
        <v>2020/21</v>
      </c>
      <c r="CC23" s="203" t="str">
        <f t="shared" si="35"/>
        <v>2020/21</v>
      </c>
      <c r="CD23" s="203" t="str">
        <f t="shared" si="35"/>
        <v>2020/21</v>
      </c>
      <c r="CE23" s="203" t="str">
        <f t="shared" si="35"/>
        <v>2021/22</v>
      </c>
      <c r="CF23" s="203" t="str">
        <f t="shared" si="35"/>
        <v>2021/22</v>
      </c>
      <c r="CG23" s="203" t="str">
        <f t="shared" si="35"/>
        <v>2021/22</v>
      </c>
      <c r="CH23" s="203" t="str">
        <f t="shared" si="35"/>
        <v>2021/22</v>
      </c>
      <c r="CI23" s="203" t="str">
        <f t="shared" ref="CI23:DX23" si="36">IF(MONTH(CI11)=4,YEAR(CI11)&amp;"/"&amp;RIGHT(YEAR(CI11)+1,IF(YEAR(CI11)&gt;2009,2,1)),CH23)</f>
        <v>2021/22</v>
      </c>
      <c r="CJ23" s="203" t="str">
        <f t="shared" si="36"/>
        <v>2021/22</v>
      </c>
      <c r="CK23" s="203" t="str">
        <f t="shared" si="36"/>
        <v>2021/22</v>
      </c>
      <c r="CL23" s="203" t="str">
        <f t="shared" si="36"/>
        <v>2021/22</v>
      </c>
      <c r="CM23" s="203" t="str">
        <f t="shared" si="36"/>
        <v>2021/22</v>
      </c>
      <c r="CN23" s="203" t="str">
        <f t="shared" si="36"/>
        <v>2021/22</v>
      </c>
      <c r="CO23" s="203" t="str">
        <f t="shared" si="36"/>
        <v>2021/22</v>
      </c>
      <c r="CP23" s="203" t="str">
        <f t="shared" si="36"/>
        <v>2021/22</v>
      </c>
      <c r="CQ23" s="203" t="str">
        <f t="shared" si="36"/>
        <v>2022/23</v>
      </c>
      <c r="CR23" s="203" t="str">
        <f t="shared" si="36"/>
        <v>2022/23</v>
      </c>
      <c r="CS23" s="203" t="str">
        <f t="shared" si="36"/>
        <v>2022/23</v>
      </c>
      <c r="CT23" s="203" t="str">
        <f t="shared" si="36"/>
        <v>2022/23</v>
      </c>
      <c r="CU23" s="203" t="str">
        <f t="shared" si="36"/>
        <v>2022/23</v>
      </c>
      <c r="CV23" s="203" t="str">
        <f t="shared" si="36"/>
        <v>2022/23</v>
      </c>
      <c r="CW23" s="203" t="str">
        <f t="shared" si="36"/>
        <v>2022/23</v>
      </c>
      <c r="CX23" s="203" t="str">
        <f t="shared" si="36"/>
        <v>2022/23</v>
      </c>
      <c r="CY23" s="203" t="str">
        <f t="shared" si="36"/>
        <v>2022/23</v>
      </c>
      <c r="CZ23" s="203" t="str">
        <f t="shared" si="36"/>
        <v>2022/23</v>
      </c>
      <c r="DA23" s="203" t="str">
        <f t="shared" si="36"/>
        <v>2022/23</v>
      </c>
      <c r="DB23" s="203" t="str">
        <f t="shared" si="36"/>
        <v>2022/23</v>
      </c>
      <c r="DC23" s="203" t="str">
        <f t="shared" si="36"/>
        <v>2023/24</v>
      </c>
      <c r="DD23" s="203" t="str">
        <f t="shared" si="36"/>
        <v>2023/24</v>
      </c>
      <c r="DE23" s="203" t="str">
        <f t="shared" si="36"/>
        <v>2023/24</v>
      </c>
      <c r="DF23" s="203" t="str">
        <f t="shared" si="36"/>
        <v>2023/24</v>
      </c>
      <c r="DG23" s="203" t="str">
        <f t="shared" si="36"/>
        <v>2023/24</v>
      </c>
      <c r="DH23" s="203" t="str">
        <f t="shared" si="36"/>
        <v>2023/24</v>
      </c>
      <c r="DI23" s="203" t="str">
        <f t="shared" si="36"/>
        <v>2023/24</v>
      </c>
      <c r="DJ23" s="203" t="str">
        <f t="shared" si="36"/>
        <v>2023/24</v>
      </c>
      <c r="DK23" s="203" t="str">
        <f t="shared" si="36"/>
        <v>2023/24</v>
      </c>
      <c r="DL23" s="203" t="str">
        <f t="shared" si="36"/>
        <v>2023/24</v>
      </c>
      <c r="DM23" s="203" t="str">
        <f t="shared" si="36"/>
        <v>2023/24</v>
      </c>
      <c r="DN23" s="203" t="str">
        <f t="shared" si="36"/>
        <v>2023/24</v>
      </c>
      <c r="DO23" s="203" t="str">
        <f t="shared" si="36"/>
        <v>2024/25</v>
      </c>
      <c r="DP23" s="203" t="str">
        <f t="shared" si="36"/>
        <v>2024/25</v>
      </c>
      <c r="DQ23" s="203" t="str">
        <f t="shared" si="36"/>
        <v>2024/25</v>
      </c>
      <c r="DR23" s="203" t="str">
        <f t="shared" si="36"/>
        <v>2024/25</v>
      </c>
      <c r="DS23" s="203" t="str">
        <f t="shared" si="36"/>
        <v>2024/25</v>
      </c>
      <c r="DT23" s="203" t="str">
        <f t="shared" si="36"/>
        <v>2024/25</v>
      </c>
      <c r="DU23" s="203" t="str">
        <f t="shared" si="36"/>
        <v>2024/25</v>
      </c>
      <c r="DV23" s="203" t="str">
        <f t="shared" si="36"/>
        <v>2024/25</v>
      </c>
      <c r="DW23" s="203" t="str">
        <f t="shared" si="36"/>
        <v>2024/25</v>
      </c>
      <c r="DX23" s="203" t="str">
        <f t="shared" si="36"/>
        <v>2024/25</v>
      </c>
      <c r="DY23" s="88"/>
      <c r="DZ23" s="188" t="s">
        <v>403</v>
      </c>
      <c r="EB23" s="88"/>
    </row>
    <row r="24" spans="1:132" outlineLevel="1">
      <c r="A24" s="91" t="s">
        <v>167</v>
      </c>
      <c r="C24" s="185"/>
      <c r="D24" s="185"/>
      <c r="E24" s="185"/>
      <c r="F24" s="202">
        <f>MONTH(F11)-3</f>
        <v>8</v>
      </c>
      <c r="G24" s="203">
        <f>IF(F24=12,1,F24+1)</f>
        <v>9</v>
      </c>
      <c r="H24" s="203">
        <f>IF(G24=12,1,G24+1)</f>
        <v>10</v>
      </c>
      <c r="I24" s="203">
        <f>IF(H24=12,1,H24+1)</f>
        <v>11</v>
      </c>
      <c r="J24" s="203">
        <f>IF(I24=12,1,I24+1)</f>
        <v>12</v>
      </c>
      <c r="K24" s="203">
        <f t="shared" ref="K24:BV24" si="37">IF(J24=12,1,J24+1)</f>
        <v>1</v>
      </c>
      <c r="L24" s="203">
        <f t="shared" si="37"/>
        <v>2</v>
      </c>
      <c r="M24" s="203">
        <f t="shared" si="37"/>
        <v>3</v>
      </c>
      <c r="N24" s="203">
        <f t="shared" si="37"/>
        <v>4</v>
      </c>
      <c r="O24" s="203">
        <f t="shared" si="37"/>
        <v>5</v>
      </c>
      <c r="P24" s="203">
        <f t="shared" si="37"/>
        <v>6</v>
      </c>
      <c r="Q24" s="203">
        <f t="shared" si="37"/>
        <v>7</v>
      </c>
      <c r="R24" s="203">
        <f t="shared" si="37"/>
        <v>8</v>
      </c>
      <c r="S24" s="203">
        <f t="shared" si="37"/>
        <v>9</v>
      </c>
      <c r="T24" s="203">
        <f t="shared" si="37"/>
        <v>10</v>
      </c>
      <c r="U24" s="203">
        <f t="shared" si="37"/>
        <v>11</v>
      </c>
      <c r="V24" s="203">
        <f t="shared" si="37"/>
        <v>12</v>
      </c>
      <c r="W24" s="203">
        <f t="shared" si="37"/>
        <v>1</v>
      </c>
      <c r="X24" s="203">
        <f t="shared" si="37"/>
        <v>2</v>
      </c>
      <c r="Y24" s="203">
        <f t="shared" si="37"/>
        <v>3</v>
      </c>
      <c r="Z24" s="203">
        <f t="shared" si="37"/>
        <v>4</v>
      </c>
      <c r="AA24" s="203">
        <f t="shared" si="37"/>
        <v>5</v>
      </c>
      <c r="AB24" s="203">
        <f t="shared" si="37"/>
        <v>6</v>
      </c>
      <c r="AC24" s="203">
        <f t="shared" si="37"/>
        <v>7</v>
      </c>
      <c r="AD24" s="203">
        <f t="shared" si="37"/>
        <v>8</v>
      </c>
      <c r="AE24" s="203">
        <f t="shared" si="37"/>
        <v>9</v>
      </c>
      <c r="AF24" s="203">
        <f t="shared" si="37"/>
        <v>10</v>
      </c>
      <c r="AG24" s="203">
        <f t="shared" si="37"/>
        <v>11</v>
      </c>
      <c r="AH24" s="203">
        <f t="shared" si="37"/>
        <v>12</v>
      </c>
      <c r="AI24" s="203">
        <f t="shared" si="37"/>
        <v>1</v>
      </c>
      <c r="AJ24" s="203">
        <f t="shared" si="37"/>
        <v>2</v>
      </c>
      <c r="AK24" s="203">
        <f t="shared" si="37"/>
        <v>3</v>
      </c>
      <c r="AL24" s="203">
        <f t="shared" si="37"/>
        <v>4</v>
      </c>
      <c r="AM24" s="203">
        <f t="shared" si="37"/>
        <v>5</v>
      </c>
      <c r="AN24" s="203">
        <f t="shared" si="37"/>
        <v>6</v>
      </c>
      <c r="AO24" s="203">
        <f t="shared" si="37"/>
        <v>7</v>
      </c>
      <c r="AP24" s="203">
        <f t="shared" si="37"/>
        <v>8</v>
      </c>
      <c r="AQ24" s="203">
        <f t="shared" si="37"/>
        <v>9</v>
      </c>
      <c r="AR24" s="203">
        <f t="shared" si="37"/>
        <v>10</v>
      </c>
      <c r="AS24" s="203">
        <f t="shared" si="37"/>
        <v>11</v>
      </c>
      <c r="AT24" s="203">
        <f t="shared" si="37"/>
        <v>12</v>
      </c>
      <c r="AU24" s="203">
        <f t="shared" si="37"/>
        <v>1</v>
      </c>
      <c r="AV24" s="203">
        <f t="shared" si="37"/>
        <v>2</v>
      </c>
      <c r="AW24" s="203">
        <f t="shared" si="37"/>
        <v>3</v>
      </c>
      <c r="AX24" s="203">
        <f t="shared" si="37"/>
        <v>4</v>
      </c>
      <c r="AY24" s="203">
        <f t="shared" si="37"/>
        <v>5</v>
      </c>
      <c r="AZ24" s="203">
        <f t="shared" si="37"/>
        <v>6</v>
      </c>
      <c r="BA24" s="203">
        <f t="shared" si="37"/>
        <v>7</v>
      </c>
      <c r="BB24" s="203">
        <f t="shared" si="37"/>
        <v>8</v>
      </c>
      <c r="BC24" s="203">
        <f t="shared" si="37"/>
        <v>9</v>
      </c>
      <c r="BD24" s="203">
        <f t="shared" si="37"/>
        <v>10</v>
      </c>
      <c r="BE24" s="203">
        <f t="shared" si="37"/>
        <v>11</v>
      </c>
      <c r="BF24" s="203">
        <f t="shared" si="37"/>
        <v>12</v>
      </c>
      <c r="BG24" s="203">
        <f t="shared" si="37"/>
        <v>1</v>
      </c>
      <c r="BH24" s="203">
        <f t="shared" si="37"/>
        <v>2</v>
      </c>
      <c r="BI24" s="203">
        <f t="shared" si="37"/>
        <v>3</v>
      </c>
      <c r="BJ24" s="203">
        <f t="shared" si="37"/>
        <v>4</v>
      </c>
      <c r="BK24" s="203">
        <f t="shared" si="37"/>
        <v>5</v>
      </c>
      <c r="BL24" s="203">
        <f t="shared" si="37"/>
        <v>6</v>
      </c>
      <c r="BM24" s="203">
        <f t="shared" si="37"/>
        <v>7</v>
      </c>
      <c r="BN24" s="203">
        <f t="shared" si="37"/>
        <v>8</v>
      </c>
      <c r="BO24" s="203">
        <f t="shared" si="37"/>
        <v>9</v>
      </c>
      <c r="BP24" s="203">
        <f t="shared" si="37"/>
        <v>10</v>
      </c>
      <c r="BQ24" s="203">
        <f t="shared" si="37"/>
        <v>11</v>
      </c>
      <c r="BR24" s="203">
        <f t="shared" si="37"/>
        <v>12</v>
      </c>
      <c r="BS24" s="203">
        <f t="shared" si="37"/>
        <v>1</v>
      </c>
      <c r="BT24" s="203">
        <f t="shared" si="37"/>
        <v>2</v>
      </c>
      <c r="BU24" s="203">
        <f t="shared" si="37"/>
        <v>3</v>
      </c>
      <c r="BV24" s="203">
        <f t="shared" si="37"/>
        <v>4</v>
      </c>
      <c r="BW24" s="203">
        <f t="shared" ref="BW24:DX24" si="38">IF(BV24=12,1,BV24+1)</f>
        <v>5</v>
      </c>
      <c r="BX24" s="203">
        <f t="shared" si="38"/>
        <v>6</v>
      </c>
      <c r="BY24" s="203">
        <f t="shared" si="38"/>
        <v>7</v>
      </c>
      <c r="BZ24" s="203">
        <f t="shared" si="38"/>
        <v>8</v>
      </c>
      <c r="CA24" s="203">
        <f t="shared" si="38"/>
        <v>9</v>
      </c>
      <c r="CB24" s="203">
        <f t="shared" si="38"/>
        <v>10</v>
      </c>
      <c r="CC24" s="203">
        <f t="shared" si="38"/>
        <v>11</v>
      </c>
      <c r="CD24" s="203">
        <f t="shared" si="38"/>
        <v>12</v>
      </c>
      <c r="CE24" s="203">
        <f t="shared" si="38"/>
        <v>1</v>
      </c>
      <c r="CF24" s="203">
        <f t="shared" si="38"/>
        <v>2</v>
      </c>
      <c r="CG24" s="203">
        <f t="shared" si="38"/>
        <v>3</v>
      </c>
      <c r="CH24" s="203">
        <f t="shared" si="38"/>
        <v>4</v>
      </c>
      <c r="CI24" s="203">
        <f t="shared" si="38"/>
        <v>5</v>
      </c>
      <c r="CJ24" s="203">
        <f t="shared" si="38"/>
        <v>6</v>
      </c>
      <c r="CK24" s="203">
        <f t="shared" si="38"/>
        <v>7</v>
      </c>
      <c r="CL24" s="203">
        <f t="shared" si="38"/>
        <v>8</v>
      </c>
      <c r="CM24" s="203">
        <f t="shared" si="38"/>
        <v>9</v>
      </c>
      <c r="CN24" s="203">
        <f t="shared" si="38"/>
        <v>10</v>
      </c>
      <c r="CO24" s="203">
        <f t="shared" si="38"/>
        <v>11</v>
      </c>
      <c r="CP24" s="203">
        <f t="shared" si="38"/>
        <v>12</v>
      </c>
      <c r="CQ24" s="203">
        <f t="shared" si="38"/>
        <v>1</v>
      </c>
      <c r="CR24" s="203">
        <f t="shared" si="38"/>
        <v>2</v>
      </c>
      <c r="CS24" s="203">
        <f t="shared" si="38"/>
        <v>3</v>
      </c>
      <c r="CT24" s="203">
        <f t="shared" si="38"/>
        <v>4</v>
      </c>
      <c r="CU24" s="203">
        <f t="shared" si="38"/>
        <v>5</v>
      </c>
      <c r="CV24" s="203">
        <f t="shared" si="38"/>
        <v>6</v>
      </c>
      <c r="CW24" s="203">
        <f t="shared" si="38"/>
        <v>7</v>
      </c>
      <c r="CX24" s="203">
        <f t="shared" si="38"/>
        <v>8</v>
      </c>
      <c r="CY24" s="203">
        <f t="shared" si="38"/>
        <v>9</v>
      </c>
      <c r="CZ24" s="203">
        <f t="shared" si="38"/>
        <v>10</v>
      </c>
      <c r="DA24" s="203">
        <f t="shared" si="38"/>
        <v>11</v>
      </c>
      <c r="DB24" s="203">
        <f t="shared" si="38"/>
        <v>12</v>
      </c>
      <c r="DC24" s="203">
        <f t="shared" si="38"/>
        <v>1</v>
      </c>
      <c r="DD24" s="203">
        <f t="shared" si="38"/>
        <v>2</v>
      </c>
      <c r="DE24" s="203">
        <f t="shared" si="38"/>
        <v>3</v>
      </c>
      <c r="DF24" s="203">
        <f t="shared" si="38"/>
        <v>4</v>
      </c>
      <c r="DG24" s="203">
        <f t="shared" si="38"/>
        <v>5</v>
      </c>
      <c r="DH24" s="203">
        <f t="shared" si="38"/>
        <v>6</v>
      </c>
      <c r="DI24" s="203">
        <f t="shared" si="38"/>
        <v>7</v>
      </c>
      <c r="DJ24" s="203">
        <f t="shared" si="38"/>
        <v>8</v>
      </c>
      <c r="DK24" s="203">
        <f t="shared" si="38"/>
        <v>9</v>
      </c>
      <c r="DL24" s="203">
        <f t="shared" si="38"/>
        <v>10</v>
      </c>
      <c r="DM24" s="203">
        <f t="shared" si="38"/>
        <v>11</v>
      </c>
      <c r="DN24" s="203">
        <f t="shared" si="38"/>
        <v>12</v>
      </c>
      <c r="DO24" s="203">
        <f t="shared" si="38"/>
        <v>1</v>
      </c>
      <c r="DP24" s="203">
        <f t="shared" si="38"/>
        <v>2</v>
      </c>
      <c r="DQ24" s="203">
        <f t="shared" si="38"/>
        <v>3</v>
      </c>
      <c r="DR24" s="203">
        <f t="shared" si="38"/>
        <v>4</v>
      </c>
      <c r="DS24" s="203">
        <f t="shared" si="38"/>
        <v>5</v>
      </c>
      <c r="DT24" s="203">
        <f t="shared" si="38"/>
        <v>6</v>
      </c>
      <c r="DU24" s="203">
        <f t="shared" si="38"/>
        <v>7</v>
      </c>
      <c r="DV24" s="203">
        <f t="shared" si="38"/>
        <v>8</v>
      </c>
      <c r="DW24" s="203">
        <f t="shared" si="38"/>
        <v>9</v>
      </c>
      <c r="DX24" s="203">
        <f t="shared" si="38"/>
        <v>10</v>
      </c>
      <c r="DY24" s="88"/>
      <c r="DZ24" s="188" t="s">
        <v>404</v>
      </c>
      <c r="EB24" s="88"/>
    </row>
    <row r="25" spans="1:132">
      <c r="A25" s="185"/>
      <c r="B25" s="185"/>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5"/>
      <c r="CU25" s="185"/>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2"/>
      <c r="EB25" s="182"/>
    </row>
    <row r="26" spans="1:132" s="179" customFormat="1">
      <c r="A26" s="208" t="s">
        <v>405</v>
      </c>
      <c r="B26" s="209"/>
      <c r="C26" s="209"/>
      <c r="D26" s="209"/>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09"/>
      <c r="BC26" s="209"/>
      <c r="BD26" s="209"/>
      <c r="BE26" s="209"/>
      <c r="BF26" s="209"/>
      <c r="BG26" s="209"/>
      <c r="BH26" s="209"/>
      <c r="BI26" s="209"/>
      <c r="BJ26" s="209"/>
      <c r="BK26" s="209"/>
      <c r="BL26" s="209"/>
      <c r="BM26" s="209"/>
      <c r="BN26" s="209"/>
      <c r="BO26" s="209"/>
      <c r="BP26" s="209"/>
      <c r="BQ26" s="209"/>
      <c r="BR26" s="209"/>
      <c r="BS26" s="209"/>
      <c r="BT26" s="209"/>
      <c r="BU26" s="209"/>
      <c r="BV26" s="209"/>
      <c r="BW26" s="209"/>
      <c r="BX26" s="209"/>
      <c r="BY26" s="209"/>
      <c r="BZ26" s="209"/>
      <c r="CA26" s="209"/>
      <c r="CB26" s="209"/>
      <c r="CC26" s="209"/>
      <c r="CD26" s="209"/>
      <c r="CE26" s="209"/>
      <c r="CF26" s="209"/>
      <c r="CG26" s="209"/>
      <c r="CH26" s="209"/>
      <c r="CI26" s="209"/>
      <c r="CJ26" s="209"/>
      <c r="CK26" s="209"/>
      <c r="CL26" s="209"/>
      <c r="CM26" s="209"/>
      <c r="CN26" s="209"/>
      <c r="CO26" s="209"/>
      <c r="CP26" s="209"/>
      <c r="CQ26" s="209"/>
      <c r="CR26" s="209"/>
      <c r="CS26" s="209"/>
      <c r="CT26" s="209"/>
      <c r="CU26" s="209"/>
      <c r="CV26" s="209"/>
      <c r="CW26" s="209"/>
      <c r="CX26" s="209"/>
      <c r="CY26" s="209"/>
      <c r="CZ26" s="209"/>
      <c r="DA26" s="209"/>
      <c r="DB26" s="209"/>
      <c r="DC26" s="209"/>
      <c r="DD26" s="209"/>
      <c r="DE26" s="209"/>
      <c r="DF26" s="209"/>
      <c r="DG26" s="209"/>
      <c r="DH26" s="209"/>
      <c r="DI26" s="209"/>
      <c r="DJ26" s="209"/>
      <c r="DK26" s="209"/>
      <c r="DL26" s="209"/>
      <c r="DM26" s="209"/>
      <c r="DN26" s="209"/>
      <c r="DO26" s="209"/>
      <c r="DP26" s="209"/>
      <c r="DQ26" s="209"/>
      <c r="DR26" s="209"/>
      <c r="DS26" s="209"/>
      <c r="DT26" s="209"/>
      <c r="DU26" s="209"/>
      <c r="DV26" s="209"/>
      <c r="DW26" s="209"/>
      <c r="DX26" s="209"/>
      <c r="DY26" s="209"/>
      <c r="DZ26" s="209"/>
      <c r="EA26" s="209"/>
      <c r="EB26" s="209"/>
    </row>
    <row r="27" spans="1:132" outlineLevel="1">
      <c r="A27" s="185"/>
      <c r="B27" s="185"/>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K27" s="185"/>
      <c r="BL27" s="185"/>
      <c r="BM27" s="185"/>
      <c r="BN27" s="185"/>
      <c r="BO27" s="185"/>
      <c r="BP27" s="185"/>
      <c r="BQ27" s="185"/>
      <c r="BR27" s="185"/>
      <c r="BS27" s="185"/>
      <c r="BT27" s="185"/>
      <c r="BU27" s="185"/>
      <c r="BV27" s="185"/>
      <c r="BW27" s="185"/>
      <c r="BX27" s="185"/>
      <c r="BY27" s="185"/>
      <c r="BZ27" s="185"/>
      <c r="CA27" s="185"/>
      <c r="CB27" s="185"/>
      <c r="CC27" s="185"/>
      <c r="CD27" s="185"/>
      <c r="CE27" s="185"/>
      <c r="CF27" s="185"/>
      <c r="CG27" s="185"/>
      <c r="CH27" s="185"/>
      <c r="CI27" s="185"/>
      <c r="CJ27" s="185"/>
      <c r="CK27" s="185"/>
      <c r="CL27" s="185"/>
      <c r="CM27" s="185"/>
      <c r="CN27" s="185"/>
      <c r="CO27" s="185"/>
      <c r="CP27" s="185"/>
      <c r="CQ27" s="185"/>
      <c r="CR27" s="185"/>
      <c r="CS27" s="185"/>
      <c r="CT27" s="185"/>
      <c r="CU27" s="185"/>
      <c r="CV27" s="185"/>
      <c r="CW27" s="185"/>
      <c r="CX27" s="185"/>
      <c r="CY27" s="185"/>
      <c r="CZ27" s="185"/>
      <c r="DA27" s="185"/>
      <c r="DB27" s="185"/>
      <c r="DC27" s="185"/>
      <c r="DD27" s="185"/>
      <c r="DE27" s="185"/>
      <c r="DF27" s="185"/>
      <c r="DG27" s="185"/>
      <c r="DH27" s="185"/>
      <c r="DI27" s="185"/>
      <c r="DJ27" s="185"/>
      <c r="DK27" s="185"/>
      <c r="DL27" s="185"/>
      <c r="DM27" s="185"/>
      <c r="DN27" s="185"/>
      <c r="DO27" s="185"/>
      <c r="DP27" s="185"/>
      <c r="DQ27" s="185"/>
      <c r="DR27" s="185"/>
      <c r="DS27" s="185"/>
      <c r="DT27" s="185"/>
      <c r="DU27" s="185"/>
      <c r="DV27" s="185"/>
      <c r="DW27" s="185"/>
      <c r="DX27" s="185"/>
      <c r="DY27" s="186"/>
      <c r="EB27" s="186"/>
    </row>
    <row r="28" spans="1:132" hidden="1"/>
    <row r="29" spans="1:132" hidden="1"/>
    <row r="30" spans="1:132" hidden="1"/>
    <row r="31" spans="1:132" hidden="1"/>
    <row r="32" spans="1:1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spans="1:1" hidden="1"/>
    <row r="162" spans="1:1" hidden="1"/>
    <row r="163" spans="1:1" hidden="1">
      <c r="A163" s="24"/>
    </row>
    <row r="164" spans="1:1" hidden="1">
      <c r="A164" s="24"/>
    </row>
    <row r="165" spans="1:1" ht="12.75" hidden="1" customHeight="1"/>
    <row r="166" spans="1:1" ht="12.75" hidden="1" customHeight="1"/>
    <row r="167" spans="1:1" ht="12.75" hidden="1" customHeight="1"/>
    <row r="168" spans="1:1" ht="12.75" hidden="1" customHeight="1"/>
    <row r="169" spans="1:1" ht="12.75" hidden="1" customHeight="1"/>
    <row r="170" spans="1:1" ht="12.75" hidden="1" customHeight="1"/>
    <row r="171" spans="1:1" ht="12.75" hidden="1" customHeight="1"/>
    <row r="172" spans="1:1" ht="12.75" hidden="1" customHeight="1"/>
    <row r="173" spans="1:1" ht="12.75" hidden="1" customHeight="1"/>
    <row r="174" spans="1:1" ht="12.75" hidden="1" customHeight="1"/>
    <row r="175" spans="1:1" ht="12.75" hidden="1" customHeight="1"/>
    <row r="176" spans="1:1" ht="12.75" hidden="1" customHeight="1"/>
    <row r="177" ht="12.75" hidden="1" customHeight="1"/>
    <row r="178" ht="12.75" hidden="1" customHeight="1"/>
    <row r="179" ht="12.75" hidden="1" customHeight="1"/>
    <row r="180" ht="12.75" hidden="1" customHeight="1"/>
    <row r="181" ht="12.75" hidden="1" customHeight="1"/>
    <row r="182" ht="12.75" hidden="1" customHeight="1"/>
    <row r="183" ht="12.75" hidden="1" customHeight="1"/>
    <row r="184" ht="12.75" hidden="1" customHeight="1"/>
    <row r="185" ht="12.75" hidden="1" customHeight="1"/>
    <row r="186" ht="12.75" hidden="1" customHeight="1"/>
    <row r="187" ht="12.75" hidden="1" customHeight="1"/>
    <row r="188" ht="12.75" hidden="1" customHeight="1"/>
    <row r="189" ht="12.75" hidden="1" customHeight="1"/>
    <row r="190" ht="12.75" hidden="1" customHeight="1"/>
    <row r="191" ht="12.75" hidden="1" customHeight="1"/>
    <row r="192" ht="12.75" hidden="1" customHeight="1"/>
    <row r="193" ht="12.75" hidden="1" customHeight="1"/>
    <row r="194" ht="12.75" hidden="1" customHeight="1"/>
    <row r="195" ht="12.75" hidden="1" customHeight="1"/>
    <row r="196" ht="12.75" hidden="1" customHeight="1"/>
    <row r="197" ht="12.75" hidden="1" customHeight="1"/>
    <row r="198" ht="12.75" hidden="1" customHeight="1"/>
    <row r="199" ht="12.75" hidden="1" customHeight="1"/>
    <row r="200" ht="12.75" hidden="1" customHeight="1"/>
    <row r="201" ht="12.75" hidden="1" customHeight="1"/>
    <row r="202" ht="12.75" hidden="1" customHeight="1"/>
    <row r="203" ht="12.75" customHeight="1"/>
    <row r="204" ht="12.75" customHeight="1"/>
    <row r="205" ht="12.75" customHeight="1"/>
    <row r="206" ht="12.75" customHeight="1"/>
    <row r="207" ht="12.75" customHeight="1"/>
  </sheetData>
  <sheetProtection autoFilter="0"/>
  <conditionalFormatting sqref="F11:DX11">
    <cfRule type="cellIs" dxfId="163" priority="15" stopIfTrue="1" operator="between">
      <formula>PreContractStartDateIn</formula>
      <formula>ContractEndDateIn</formula>
    </cfRule>
  </conditionalFormatting>
  <conditionalFormatting sqref="E1">
    <cfRule type="cellIs" dxfId="162" priority="19" stopIfTrue="1" operator="greaterThan">
      <formula>0</formula>
    </cfRule>
    <cfRule type="cellIs" dxfId="161" priority="20" stopIfTrue="1" operator="lessThan">
      <formula>0</formula>
    </cfRule>
  </conditionalFormatting>
  <conditionalFormatting sqref="F1:EB1 B5:EB5 B9:DY9">
    <cfRule type="expression" dxfId="160" priority="1" stopIfTrue="1">
      <formula>ErrorsPresent&gt;0</formula>
    </cfRule>
    <cfRule type="expression" dxfId="159" priority="2" stopIfTrue="1">
      <formula>ErrorsPresent&lt;0</formula>
    </cfRule>
  </conditionalFormatting>
  <conditionalFormatting sqref="A1:B1">
    <cfRule type="expression" dxfId="158" priority="13" stopIfTrue="1">
      <formula>ErrorsPresent&gt;0</formula>
    </cfRule>
    <cfRule type="expression" dxfId="157" priority="14" stopIfTrue="1">
      <formula>ErrorsPresent&lt;0</formula>
    </cfRule>
  </conditionalFormatting>
  <conditionalFormatting sqref="A9">
    <cfRule type="expression" dxfId="156" priority="11" stopIfTrue="1">
      <formula>ErrorsPresent&gt;0</formula>
    </cfRule>
    <cfRule type="expression" dxfId="155" priority="12" stopIfTrue="1">
      <formula>ErrorsPresent&lt;0</formula>
    </cfRule>
  </conditionalFormatting>
  <conditionalFormatting sqref="C1:D1">
    <cfRule type="expression" dxfId="154" priority="7" stopIfTrue="1">
      <formula>ErrorsPresent&gt;0</formula>
    </cfRule>
    <cfRule type="expression" dxfId="153" priority="8" stopIfTrue="1">
      <formula>ErrorsPresent&lt;0</formula>
    </cfRule>
  </conditionalFormatting>
  <conditionalFormatting sqref="A5">
    <cfRule type="expression" dxfId="152" priority="3" stopIfTrue="1">
      <formula>ErrorsPresent&gt;0</formula>
    </cfRule>
    <cfRule type="expression" dxfId="151" priority="4" stopIfTrue="1">
      <formula>ErrorsPresent&lt;0</formula>
    </cfRule>
  </conditionalFormatting>
  <conditionalFormatting sqref="F12:DX24">
    <cfRule type="expression" dxfId="150" priority="38" stopIfTrue="1">
      <formula>#REF!&lt;&gt;""</formula>
    </cfRule>
  </conditionalFormatting>
  <hyperlinks>
    <hyperlink ref="E1" location="PLA5A" tooltip="Hyperlink to &quot;Error Checks&quot; sheet" display="PLA5A"/>
  </hyperlinks>
  <pageMargins left="0.4" right="0.4" top="1" bottom="1" header="0.5" footer="0.5"/>
  <pageSetup scale="53" orientation="landscape" r:id="rId1"/>
  <headerFooter alignWithMargins="0">
    <oddHeader>&amp;LFUJITSU SERVICES&amp;RCOMMERCIAL IN CONFIDENCE</oddHeader>
    <oddFooter>&amp;L&amp;"Arial,Italic"&amp;F&amp;C&amp;"Arial,Italic"Printed on &amp;D at &amp;T&amp;R&amp;"Arial,Italic"Page &amp;P of &amp;N</oddFooter>
  </headerFooter>
  <colBreaks count="1" manualBreakCount="1">
    <brk id="17" min="4" max="139"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outlinePr summaryBelow="0" summaryRight="0"/>
    <pageSetUpPr autoPageBreaks="0"/>
  </sheetPr>
  <dimension ref="A1:XAJ207"/>
  <sheetViews>
    <sheetView showGridLines="0" zoomScale="90" zoomScaleNormal="90" workbookViewId="0">
      <selection activeCell="F15" sqref="F15"/>
    </sheetView>
  </sheetViews>
  <sheetFormatPr defaultColWidth="0" defaultRowHeight="12.75" customHeight="1" zeroHeight="1" outlineLevelRow="1" outlineLevelCol="1"/>
  <cols>
    <col min="1" max="3" width="9.140625" style="94" customWidth="1"/>
    <col min="4" max="4" width="11.140625" style="94" customWidth="1"/>
    <col min="5" max="5" width="9.28515625" style="94" customWidth="1"/>
    <col min="6" max="128" width="11.7109375" style="94" customWidth="1"/>
    <col min="129" max="129" width="1.7109375" style="94" customWidth="1" collapsed="1"/>
    <col min="130" max="131" width="0" style="94" hidden="1" customWidth="1" outlineLevel="1"/>
    <col min="132" max="132" width="1.7109375" style="94" customWidth="1"/>
    <col min="133" max="158" width="0" style="94" hidden="1"/>
    <col min="159" max="230" width="9.140625" style="94" hidden="1"/>
    <col min="231" max="233" width="9.140625" style="94" customWidth="1"/>
    <col min="234" max="234" width="11.140625" style="94" customWidth="1"/>
    <col min="235" max="235" width="9.140625" style="94" customWidth="1"/>
    <col min="236" max="236" width="9.28515625" style="94" customWidth="1"/>
    <col min="237" max="237" width="10.85546875" style="94" customWidth="1"/>
    <col min="238" max="257" width="9.140625" style="94" hidden="1" customWidth="1"/>
    <col min="258" max="258" width="7.28515625" style="94" customWidth="1"/>
    <col min="259" max="260" width="9.140625" style="94" customWidth="1"/>
    <col min="261" max="261" width="12" style="94" customWidth="1"/>
    <col min="262" max="384" width="11.7109375" style="94" customWidth="1"/>
    <col min="385" max="385" width="1.7109375" style="94" customWidth="1"/>
    <col min="386" max="387" width="9.140625" style="94" hidden="1" customWidth="1"/>
    <col min="388" max="388" width="1.7109375" style="94" customWidth="1"/>
    <col min="389" max="486" width="9.140625" style="94" hidden="1"/>
    <col min="487" max="489" width="9.140625" style="94" customWidth="1"/>
    <col min="490" max="490" width="11.140625" style="94" customWidth="1"/>
    <col min="491" max="491" width="9.140625" style="94" customWidth="1"/>
    <col min="492" max="492" width="9.28515625" style="94" customWidth="1"/>
    <col min="493" max="493" width="10.85546875" style="94" customWidth="1"/>
    <col min="494" max="513" width="9.140625" style="94" hidden="1" customWidth="1"/>
    <col min="514" max="514" width="7.28515625" style="94" customWidth="1"/>
    <col min="515" max="516" width="9.140625" style="94" customWidth="1"/>
    <col min="517" max="517" width="12" style="94" customWidth="1"/>
    <col min="518" max="640" width="11.7109375" style="94" customWidth="1"/>
    <col min="641" max="641" width="1.7109375" style="94" customWidth="1"/>
    <col min="642" max="643" width="9.140625" style="94" hidden="1" customWidth="1"/>
    <col min="644" max="644" width="1.7109375" style="94" customWidth="1"/>
    <col min="645" max="742" width="9.140625" style="94" hidden="1"/>
    <col min="743" max="745" width="9.140625" style="94" customWidth="1"/>
    <col min="746" max="746" width="11.140625" style="94" customWidth="1"/>
    <col min="747" max="747" width="9.140625" style="94" customWidth="1"/>
    <col min="748" max="748" width="9.28515625" style="94" customWidth="1"/>
    <col min="749" max="749" width="10.85546875" style="94" customWidth="1"/>
    <col min="750" max="769" width="9.140625" style="94" hidden="1" customWidth="1"/>
    <col min="770" max="770" width="7.28515625" style="94" customWidth="1"/>
    <col min="771" max="772" width="9.140625" style="94" customWidth="1"/>
    <col min="773" max="773" width="12" style="94" customWidth="1"/>
    <col min="774" max="896" width="11.7109375" style="94" customWidth="1"/>
    <col min="897" max="897" width="1.7109375" style="94" customWidth="1"/>
    <col min="898" max="899" width="9.140625" style="94" hidden="1" customWidth="1"/>
    <col min="900" max="900" width="1.7109375" style="94" customWidth="1"/>
    <col min="901" max="998" width="9.140625" style="94" hidden="1"/>
    <col min="999" max="1001" width="9.140625" style="94" customWidth="1"/>
    <col min="1002" max="1002" width="11.140625" style="94" customWidth="1"/>
    <col min="1003" max="1003" width="9.140625" style="94" customWidth="1"/>
    <col min="1004" max="1004" width="9.28515625" style="94" customWidth="1"/>
    <col min="1005" max="1005" width="10.85546875" style="94" customWidth="1"/>
    <col min="1006" max="1025" width="9.140625" style="94" hidden="1" customWidth="1"/>
    <col min="1026" max="1026" width="7.28515625" style="94" customWidth="1"/>
    <col min="1027" max="1028" width="9.140625" style="94" customWidth="1"/>
    <col min="1029" max="1029" width="12" style="94" customWidth="1"/>
    <col min="1030" max="1152" width="11.7109375" style="94" customWidth="1"/>
    <col min="1153" max="1153" width="1.7109375" style="94" customWidth="1"/>
    <col min="1154" max="1155" width="9.140625" style="94" hidden="1" customWidth="1"/>
    <col min="1156" max="1156" width="1.7109375" style="94" customWidth="1"/>
    <col min="1157" max="1254" width="9.140625" style="94" hidden="1"/>
    <col min="1255" max="1257" width="9.140625" style="94" customWidth="1"/>
    <col min="1258" max="1258" width="11.140625" style="94" customWidth="1"/>
    <col min="1259" max="1259" width="9.140625" style="94" customWidth="1"/>
    <col min="1260" max="1260" width="9.28515625" style="94" customWidth="1"/>
    <col min="1261" max="1261" width="10.85546875" style="94" customWidth="1"/>
    <col min="1262" max="1281" width="9.140625" style="94" hidden="1" customWidth="1"/>
    <col min="1282" max="1282" width="7.28515625" style="94" customWidth="1"/>
    <col min="1283" max="1284" width="9.140625" style="94" customWidth="1"/>
    <col min="1285" max="1285" width="12" style="94" customWidth="1"/>
    <col min="1286" max="1408" width="11.7109375" style="94" customWidth="1"/>
    <col min="1409" max="1409" width="1.7109375" style="94" customWidth="1"/>
    <col min="1410" max="1411" width="9.140625" style="94" hidden="1" customWidth="1"/>
    <col min="1412" max="1412" width="1.7109375" style="94" customWidth="1"/>
    <col min="1413" max="1510" width="9.140625" style="94" hidden="1"/>
    <col min="1511" max="1513" width="9.140625" style="94" customWidth="1"/>
    <col min="1514" max="1514" width="11.140625" style="94" customWidth="1"/>
    <col min="1515" max="1515" width="9.140625" style="94" customWidth="1"/>
    <col min="1516" max="1516" width="9.28515625" style="94" customWidth="1"/>
    <col min="1517" max="1517" width="10.85546875" style="94" customWidth="1"/>
    <col min="1518" max="1537" width="9.140625" style="94" hidden="1" customWidth="1"/>
    <col min="1538" max="1538" width="7.28515625" style="94" customWidth="1"/>
    <col min="1539" max="1540" width="9.140625" style="94" customWidth="1"/>
    <col min="1541" max="1541" width="12" style="94" customWidth="1"/>
    <col min="1542" max="1664" width="11.7109375" style="94" customWidth="1"/>
    <col min="1665" max="1665" width="1.7109375" style="94" customWidth="1"/>
    <col min="1666" max="1667" width="9.140625" style="94" hidden="1" customWidth="1"/>
    <col min="1668" max="1668" width="1.7109375" style="94" customWidth="1"/>
    <col min="1669" max="1766" width="9.140625" style="94" hidden="1"/>
    <col min="1767" max="1769" width="9.140625" style="94" customWidth="1"/>
    <col min="1770" max="1770" width="11.140625" style="94" customWidth="1"/>
    <col min="1771" max="1771" width="9.140625" style="94" customWidth="1"/>
    <col min="1772" max="1772" width="9.28515625" style="94" customWidth="1"/>
    <col min="1773" max="1773" width="10.85546875" style="94" customWidth="1"/>
    <col min="1774" max="1793" width="9.140625" style="94" hidden="1" customWidth="1"/>
    <col min="1794" max="1794" width="7.28515625" style="94" customWidth="1"/>
    <col min="1795" max="1796" width="9.140625" style="94" customWidth="1"/>
    <col min="1797" max="1797" width="12" style="94" customWidth="1"/>
    <col min="1798" max="1920" width="11.7109375" style="94" customWidth="1"/>
    <col min="1921" max="1921" width="1.7109375" style="94" customWidth="1"/>
    <col min="1922" max="1923" width="9.140625" style="94" hidden="1" customWidth="1"/>
    <col min="1924" max="1924" width="1.7109375" style="94" customWidth="1"/>
    <col min="1925" max="2022" width="9.140625" style="94" hidden="1"/>
    <col min="2023" max="2025" width="9.140625" style="94" customWidth="1"/>
    <col min="2026" max="2026" width="11.140625" style="94" customWidth="1"/>
    <col min="2027" max="2027" width="9.140625" style="94" customWidth="1"/>
    <col min="2028" max="2028" width="9.28515625" style="94" customWidth="1"/>
    <col min="2029" max="2029" width="10.85546875" style="94" customWidth="1"/>
    <col min="2030" max="2049" width="9.140625" style="94" hidden="1" customWidth="1"/>
    <col min="2050" max="2050" width="7.28515625" style="94" customWidth="1"/>
    <col min="2051" max="2052" width="9.140625" style="94" customWidth="1"/>
    <col min="2053" max="2053" width="12" style="94" customWidth="1"/>
    <col min="2054" max="2176" width="11.7109375" style="94" customWidth="1"/>
    <col min="2177" max="2177" width="1.7109375" style="94" customWidth="1"/>
    <col min="2178" max="2179" width="9.140625" style="94" hidden="1" customWidth="1"/>
    <col min="2180" max="2180" width="1.7109375" style="94" customWidth="1"/>
    <col min="2181" max="2278" width="9.140625" style="94" hidden="1"/>
    <col min="2279" max="2281" width="9.140625" style="94" customWidth="1"/>
    <col min="2282" max="2282" width="11.140625" style="94" customWidth="1"/>
    <col min="2283" max="2283" width="9.140625" style="94" customWidth="1"/>
    <col min="2284" max="2284" width="9.28515625" style="94" customWidth="1"/>
    <col min="2285" max="2285" width="10.85546875" style="94" customWidth="1"/>
    <col min="2286" max="2305" width="9.140625" style="94" hidden="1" customWidth="1"/>
    <col min="2306" max="2306" width="7.28515625" style="94" customWidth="1"/>
    <col min="2307" max="2308" width="9.140625" style="94" customWidth="1"/>
    <col min="2309" max="2309" width="12" style="94" customWidth="1"/>
    <col min="2310" max="2432" width="11.7109375" style="94" customWidth="1"/>
    <col min="2433" max="2433" width="1.7109375" style="94" customWidth="1"/>
    <col min="2434" max="2435" width="9.140625" style="94" hidden="1" customWidth="1"/>
    <col min="2436" max="2436" width="1.7109375" style="94" customWidth="1"/>
    <col min="2437" max="2534" width="9.140625" style="94" hidden="1"/>
    <col min="2535" max="2537" width="9.140625" style="94" customWidth="1"/>
    <col min="2538" max="2538" width="11.140625" style="94" customWidth="1"/>
    <col min="2539" max="2539" width="9.140625" style="94" customWidth="1"/>
    <col min="2540" max="2540" width="9.28515625" style="94" customWidth="1"/>
    <col min="2541" max="2541" width="10.85546875" style="94" customWidth="1"/>
    <col min="2542" max="2561" width="9.140625" style="94" hidden="1" customWidth="1"/>
    <col min="2562" max="2562" width="7.28515625" style="94" customWidth="1"/>
    <col min="2563" max="2564" width="9.140625" style="94" customWidth="1"/>
    <col min="2565" max="2565" width="12" style="94" customWidth="1"/>
    <col min="2566" max="2688" width="11.7109375" style="94" customWidth="1"/>
    <col min="2689" max="2689" width="1.7109375" style="94" customWidth="1"/>
    <col min="2690" max="2691" width="9.140625" style="94" hidden="1" customWidth="1"/>
    <col min="2692" max="2692" width="1.7109375" style="94" customWidth="1"/>
    <col min="2693" max="2790" width="9.140625" style="94" hidden="1"/>
    <col min="2791" max="2793" width="9.140625" style="94" customWidth="1"/>
    <col min="2794" max="2794" width="11.140625" style="94" customWidth="1"/>
    <col min="2795" max="2795" width="9.140625" style="94" customWidth="1"/>
    <col min="2796" max="2796" width="9.28515625" style="94" customWidth="1"/>
    <col min="2797" max="2797" width="10.85546875" style="94" customWidth="1"/>
    <col min="2798" max="2817" width="9.140625" style="94" hidden="1" customWidth="1"/>
    <col min="2818" max="2818" width="7.28515625" style="94" customWidth="1"/>
    <col min="2819" max="2820" width="9.140625" style="94" customWidth="1"/>
    <col min="2821" max="2821" width="12" style="94" customWidth="1"/>
    <col min="2822" max="2944" width="11.7109375" style="94" customWidth="1"/>
    <col min="2945" max="2945" width="1.7109375" style="94" customWidth="1"/>
    <col min="2946" max="2947" width="9.140625" style="94" hidden="1" customWidth="1"/>
    <col min="2948" max="2948" width="1.7109375" style="94" customWidth="1"/>
    <col min="2949" max="3046" width="9.140625" style="94" hidden="1"/>
    <col min="3047" max="3049" width="9.140625" style="94" customWidth="1"/>
    <col min="3050" max="3050" width="11.140625" style="94" customWidth="1"/>
    <col min="3051" max="3051" width="9.140625" style="94" customWidth="1"/>
    <col min="3052" max="3052" width="9.28515625" style="94" customWidth="1"/>
    <col min="3053" max="3053" width="10.85546875" style="94" customWidth="1"/>
    <col min="3054" max="3073" width="9.140625" style="94" hidden="1" customWidth="1"/>
    <col min="3074" max="3074" width="7.28515625" style="94" customWidth="1"/>
    <col min="3075" max="3076" width="9.140625" style="94" customWidth="1"/>
    <col min="3077" max="3077" width="12" style="94" customWidth="1"/>
    <col min="3078" max="3200" width="11.7109375" style="94" customWidth="1"/>
    <col min="3201" max="3201" width="1.7109375" style="94" customWidth="1"/>
    <col min="3202" max="3203" width="9.140625" style="94" hidden="1" customWidth="1"/>
    <col min="3204" max="3204" width="1.7109375" style="94" customWidth="1"/>
    <col min="3205" max="3302" width="9.140625" style="94" hidden="1"/>
    <col min="3303" max="3305" width="9.140625" style="94" customWidth="1"/>
    <col min="3306" max="3306" width="11.140625" style="94" customWidth="1"/>
    <col min="3307" max="3307" width="9.140625" style="94" customWidth="1"/>
    <col min="3308" max="3308" width="9.28515625" style="94" customWidth="1"/>
    <col min="3309" max="3309" width="10.85546875" style="94" customWidth="1"/>
    <col min="3310" max="3329" width="9.140625" style="94" hidden="1" customWidth="1"/>
    <col min="3330" max="3330" width="7.28515625" style="94" customWidth="1"/>
    <col min="3331" max="3332" width="9.140625" style="94" customWidth="1"/>
    <col min="3333" max="3333" width="12" style="94" customWidth="1"/>
    <col min="3334" max="3456" width="11.7109375" style="94" customWidth="1"/>
    <col min="3457" max="3457" width="1.7109375" style="94" customWidth="1"/>
    <col min="3458" max="3459" width="9.140625" style="94" hidden="1" customWidth="1"/>
    <col min="3460" max="3460" width="1.7109375" style="94" customWidth="1"/>
    <col min="3461" max="3558" width="9.140625" style="94" hidden="1"/>
    <col min="3559" max="3561" width="9.140625" style="94" customWidth="1"/>
    <col min="3562" max="3562" width="11.140625" style="94" customWidth="1"/>
    <col min="3563" max="3563" width="9.140625" style="94" customWidth="1"/>
    <col min="3564" max="3564" width="9.28515625" style="94" customWidth="1"/>
    <col min="3565" max="3565" width="10.85546875" style="94" customWidth="1"/>
    <col min="3566" max="3585" width="9.140625" style="94" hidden="1" customWidth="1"/>
    <col min="3586" max="3586" width="7.28515625" style="94" customWidth="1"/>
    <col min="3587" max="3588" width="9.140625" style="94" customWidth="1"/>
    <col min="3589" max="3589" width="12" style="94" customWidth="1"/>
    <col min="3590" max="3712" width="11.7109375" style="94" customWidth="1"/>
    <col min="3713" max="3713" width="1.7109375" style="94" customWidth="1"/>
    <col min="3714" max="3715" width="9.140625" style="94" hidden="1" customWidth="1"/>
    <col min="3716" max="3716" width="1.7109375" style="94" customWidth="1"/>
    <col min="3717" max="3814" width="9.140625" style="94" hidden="1"/>
    <col min="3815" max="3817" width="9.140625" style="94" customWidth="1"/>
    <col min="3818" max="3818" width="11.140625" style="94" customWidth="1"/>
    <col min="3819" max="3819" width="9.140625" style="94" customWidth="1"/>
    <col min="3820" max="3820" width="9.28515625" style="94" customWidth="1"/>
    <col min="3821" max="3821" width="10.85546875" style="94" customWidth="1"/>
    <col min="3822" max="3841" width="9.140625" style="94" hidden="1" customWidth="1"/>
    <col min="3842" max="3842" width="7.28515625" style="94" customWidth="1"/>
    <col min="3843" max="3844" width="9.140625" style="94" customWidth="1"/>
    <col min="3845" max="3845" width="12" style="94" customWidth="1"/>
    <col min="3846" max="3968" width="11.7109375" style="94" customWidth="1"/>
    <col min="3969" max="3969" width="1.7109375" style="94" customWidth="1"/>
    <col min="3970" max="3971" width="9.140625" style="94" hidden="1" customWidth="1"/>
    <col min="3972" max="3972" width="1.7109375" style="94" customWidth="1"/>
    <col min="3973" max="4070" width="9.140625" style="94" hidden="1"/>
    <col min="4071" max="4073" width="9.140625" style="94" customWidth="1"/>
    <col min="4074" max="4074" width="11.140625" style="94" customWidth="1"/>
    <col min="4075" max="4075" width="9.140625" style="94" customWidth="1"/>
    <col min="4076" max="4076" width="9.28515625" style="94" customWidth="1"/>
    <col min="4077" max="4077" width="10.85546875" style="94" customWidth="1"/>
    <col min="4078" max="4097" width="9.140625" style="94" hidden="1" customWidth="1"/>
    <col min="4098" max="4098" width="7.28515625" style="94" customWidth="1"/>
    <col min="4099" max="4100" width="9.140625" style="94" customWidth="1"/>
    <col min="4101" max="4101" width="12" style="94" customWidth="1"/>
    <col min="4102" max="4224" width="11.7109375" style="94" customWidth="1"/>
    <col min="4225" max="4225" width="1.7109375" style="94" customWidth="1"/>
    <col min="4226" max="4227" width="9.140625" style="94" hidden="1" customWidth="1"/>
    <col min="4228" max="4228" width="1.7109375" style="94" customWidth="1"/>
    <col min="4229" max="4326" width="9.140625" style="94" hidden="1"/>
    <col min="4327" max="4329" width="9.140625" style="94" customWidth="1"/>
    <col min="4330" max="4330" width="11.140625" style="94" customWidth="1"/>
    <col min="4331" max="4331" width="9.140625" style="94" customWidth="1"/>
    <col min="4332" max="4332" width="9.28515625" style="94" customWidth="1"/>
    <col min="4333" max="4333" width="10.85546875" style="94" customWidth="1"/>
    <col min="4334" max="4353" width="9.140625" style="94" hidden="1" customWidth="1"/>
    <col min="4354" max="4354" width="7.28515625" style="94" customWidth="1"/>
    <col min="4355" max="4356" width="9.140625" style="94" customWidth="1"/>
    <col min="4357" max="4357" width="12" style="94" customWidth="1"/>
    <col min="4358" max="4480" width="11.7109375" style="94" customWidth="1"/>
    <col min="4481" max="4481" width="1.7109375" style="94" customWidth="1"/>
    <col min="4482" max="4483" width="9.140625" style="94" hidden="1" customWidth="1"/>
    <col min="4484" max="4484" width="1.7109375" style="94" customWidth="1"/>
    <col min="4485" max="4582" width="9.140625" style="94" hidden="1"/>
    <col min="4583" max="4585" width="9.140625" style="94" customWidth="1"/>
    <col min="4586" max="4586" width="11.140625" style="94" customWidth="1"/>
    <col min="4587" max="4587" width="9.140625" style="94" customWidth="1"/>
    <col min="4588" max="4588" width="9.28515625" style="94" customWidth="1"/>
    <col min="4589" max="4589" width="10.85546875" style="94" customWidth="1"/>
    <col min="4590" max="4609" width="9.140625" style="94" hidden="1" customWidth="1"/>
    <col min="4610" max="4610" width="7.28515625" style="94" customWidth="1"/>
    <col min="4611" max="4612" width="9.140625" style="94" customWidth="1"/>
    <col min="4613" max="4613" width="12" style="94" customWidth="1"/>
    <col min="4614" max="4736" width="11.7109375" style="94" customWidth="1"/>
    <col min="4737" max="4737" width="1.7109375" style="94" customWidth="1"/>
    <col min="4738" max="4739" width="9.140625" style="94" hidden="1" customWidth="1"/>
    <col min="4740" max="4740" width="1.7109375" style="94" customWidth="1"/>
    <col min="4741" max="4838" width="9.140625" style="94" hidden="1"/>
    <col min="4839" max="4841" width="9.140625" style="94" customWidth="1"/>
    <col min="4842" max="4842" width="11.140625" style="94" customWidth="1"/>
    <col min="4843" max="4843" width="9.140625" style="94" customWidth="1"/>
    <col min="4844" max="4844" width="9.28515625" style="94" customWidth="1"/>
    <col min="4845" max="4845" width="10.85546875" style="94" customWidth="1"/>
    <col min="4846" max="4865" width="9.140625" style="94" hidden="1" customWidth="1"/>
    <col min="4866" max="4866" width="7.28515625" style="94" customWidth="1"/>
    <col min="4867" max="4868" width="9.140625" style="94" customWidth="1"/>
    <col min="4869" max="4869" width="12" style="94" customWidth="1"/>
    <col min="4870" max="4992" width="11.7109375" style="94" customWidth="1"/>
    <col min="4993" max="4993" width="1.7109375" style="94" customWidth="1"/>
    <col min="4994" max="4995" width="9.140625" style="94" hidden="1" customWidth="1"/>
    <col min="4996" max="4996" width="1.7109375" style="94" customWidth="1"/>
    <col min="4997" max="5094" width="9.140625" style="94" hidden="1"/>
    <col min="5095" max="5097" width="9.140625" style="94" customWidth="1"/>
    <col min="5098" max="5098" width="11.140625" style="94" customWidth="1"/>
    <col min="5099" max="5099" width="9.140625" style="94" customWidth="1"/>
    <col min="5100" max="5100" width="9.28515625" style="94" customWidth="1"/>
    <col min="5101" max="5101" width="10.85546875" style="94" customWidth="1"/>
    <col min="5102" max="5121" width="9.140625" style="94" hidden="1" customWidth="1"/>
    <col min="5122" max="5122" width="7.28515625" style="94" customWidth="1"/>
    <col min="5123" max="5124" width="9.140625" style="94" customWidth="1"/>
    <col min="5125" max="5125" width="12" style="94" customWidth="1"/>
    <col min="5126" max="5248" width="11.7109375" style="94" customWidth="1"/>
    <col min="5249" max="5249" width="1.7109375" style="94" customWidth="1"/>
    <col min="5250" max="5251" width="9.140625" style="94" hidden="1" customWidth="1"/>
    <col min="5252" max="5252" width="1.7109375" style="94" customWidth="1"/>
    <col min="5253" max="5350" width="9.140625" style="94" hidden="1"/>
    <col min="5351" max="5353" width="9.140625" style="94" customWidth="1"/>
    <col min="5354" max="5354" width="11.140625" style="94" customWidth="1"/>
    <col min="5355" max="5355" width="9.140625" style="94" customWidth="1"/>
    <col min="5356" max="5356" width="9.28515625" style="94" customWidth="1"/>
    <col min="5357" max="5357" width="10.85546875" style="94" customWidth="1"/>
    <col min="5358" max="5377" width="9.140625" style="94" hidden="1" customWidth="1"/>
    <col min="5378" max="5378" width="7.28515625" style="94" customWidth="1"/>
    <col min="5379" max="5380" width="9.140625" style="94" customWidth="1"/>
    <col min="5381" max="5381" width="12" style="94" customWidth="1"/>
    <col min="5382" max="5504" width="11.7109375" style="94" customWidth="1"/>
    <col min="5505" max="5505" width="1.7109375" style="94" customWidth="1"/>
    <col min="5506" max="5507" width="9.140625" style="94" hidden="1" customWidth="1"/>
    <col min="5508" max="5508" width="1.7109375" style="94" customWidth="1"/>
    <col min="5509" max="5606" width="9.140625" style="94" hidden="1"/>
    <col min="5607" max="5609" width="9.140625" style="94" customWidth="1"/>
    <col min="5610" max="5610" width="11.140625" style="94" customWidth="1"/>
    <col min="5611" max="5611" width="9.140625" style="94" customWidth="1"/>
    <col min="5612" max="5612" width="9.28515625" style="94" customWidth="1"/>
    <col min="5613" max="5613" width="10.85546875" style="94" customWidth="1"/>
    <col min="5614" max="5633" width="9.140625" style="94" hidden="1" customWidth="1"/>
    <col min="5634" max="5634" width="7.28515625" style="94" customWidth="1"/>
    <col min="5635" max="5636" width="9.140625" style="94" customWidth="1"/>
    <col min="5637" max="5637" width="12" style="94" customWidth="1"/>
    <col min="5638" max="5760" width="11.7109375" style="94" customWidth="1"/>
    <col min="5761" max="5761" width="1.7109375" style="94" customWidth="1"/>
    <col min="5762" max="5763" width="9.140625" style="94" hidden="1" customWidth="1"/>
    <col min="5764" max="5764" width="1.7109375" style="94" customWidth="1"/>
    <col min="5765" max="5862" width="9.140625" style="94" hidden="1"/>
    <col min="5863" max="5865" width="9.140625" style="94" customWidth="1"/>
    <col min="5866" max="5866" width="11.140625" style="94" customWidth="1"/>
    <col min="5867" max="5867" width="9.140625" style="94" customWidth="1"/>
    <col min="5868" max="5868" width="9.28515625" style="94" customWidth="1"/>
    <col min="5869" max="5869" width="10.85546875" style="94" customWidth="1"/>
    <col min="5870" max="5889" width="9.140625" style="94" hidden="1" customWidth="1"/>
    <col min="5890" max="5890" width="7.28515625" style="94" customWidth="1"/>
    <col min="5891" max="5892" width="9.140625" style="94" customWidth="1"/>
    <col min="5893" max="5893" width="12" style="94" customWidth="1"/>
    <col min="5894" max="6016" width="11.7109375" style="94" customWidth="1"/>
    <col min="6017" max="6017" width="1.7109375" style="94" customWidth="1"/>
    <col min="6018" max="6019" width="9.140625" style="94" hidden="1" customWidth="1"/>
    <col min="6020" max="6020" width="1.7109375" style="94" customWidth="1"/>
    <col min="6021" max="6118" width="9.140625" style="94" hidden="1"/>
    <col min="6119" max="6121" width="9.140625" style="94" customWidth="1"/>
    <col min="6122" max="6122" width="11.140625" style="94" customWidth="1"/>
    <col min="6123" max="6123" width="9.140625" style="94" customWidth="1"/>
    <col min="6124" max="6124" width="9.28515625" style="94" customWidth="1"/>
    <col min="6125" max="6125" width="10.85546875" style="94" customWidth="1"/>
    <col min="6126" max="6145" width="9.140625" style="94" hidden="1" customWidth="1"/>
    <col min="6146" max="6146" width="7.28515625" style="94" customWidth="1"/>
    <col min="6147" max="6148" width="9.140625" style="94" customWidth="1"/>
    <col min="6149" max="6149" width="12" style="94" customWidth="1"/>
    <col min="6150" max="6272" width="11.7109375" style="94" customWidth="1"/>
    <col min="6273" max="6273" width="1.7109375" style="94" customWidth="1"/>
    <col min="6274" max="6275" width="9.140625" style="94" hidden="1" customWidth="1"/>
    <col min="6276" max="6276" width="1.7109375" style="94" customWidth="1"/>
    <col min="6277" max="6374" width="9.140625" style="94" hidden="1"/>
    <col min="6375" max="6377" width="9.140625" style="94" customWidth="1"/>
    <col min="6378" max="6378" width="11.140625" style="94" customWidth="1"/>
    <col min="6379" max="6379" width="9.140625" style="94" customWidth="1"/>
    <col min="6380" max="6380" width="9.28515625" style="94" customWidth="1"/>
    <col min="6381" max="6381" width="10.85546875" style="94" customWidth="1"/>
    <col min="6382" max="6401" width="9.140625" style="94" hidden="1" customWidth="1"/>
    <col min="6402" max="6402" width="7.28515625" style="94" customWidth="1"/>
    <col min="6403" max="6404" width="9.140625" style="94" customWidth="1"/>
    <col min="6405" max="6405" width="12" style="94" customWidth="1"/>
    <col min="6406" max="6528" width="11.7109375" style="94" customWidth="1"/>
    <col min="6529" max="6529" width="1.7109375" style="94" customWidth="1"/>
    <col min="6530" max="6531" width="9.140625" style="94" hidden="1" customWidth="1"/>
    <col min="6532" max="6532" width="1.7109375" style="94" customWidth="1"/>
    <col min="6533" max="6630" width="9.140625" style="94" hidden="1"/>
    <col min="6631" max="6633" width="9.140625" style="94" customWidth="1"/>
    <col min="6634" max="6634" width="11.140625" style="94" customWidth="1"/>
    <col min="6635" max="6635" width="9.140625" style="94" customWidth="1"/>
    <col min="6636" max="6636" width="9.28515625" style="94" customWidth="1"/>
    <col min="6637" max="6637" width="10.85546875" style="94" customWidth="1"/>
    <col min="6638" max="6657" width="9.140625" style="94" hidden="1" customWidth="1"/>
    <col min="6658" max="6658" width="7.28515625" style="94" customWidth="1"/>
    <col min="6659" max="6660" width="9.140625" style="94" customWidth="1"/>
    <col min="6661" max="6661" width="12" style="94" customWidth="1"/>
    <col min="6662" max="6784" width="11.7109375" style="94" customWidth="1"/>
    <col min="6785" max="6785" width="1.7109375" style="94" customWidth="1"/>
    <col min="6786" max="6787" width="9.140625" style="94" hidden="1" customWidth="1"/>
    <col min="6788" max="6788" width="1.7109375" style="94" customWidth="1"/>
    <col min="6789" max="6886" width="9.140625" style="94" hidden="1"/>
    <col min="6887" max="6889" width="9.140625" style="94" customWidth="1"/>
    <col min="6890" max="6890" width="11.140625" style="94" customWidth="1"/>
    <col min="6891" max="6891" width="9.140625" style="94" customWidth="1"/>
    <col min="6892" max="6892" width="9.28515625" style="94" customWidth="1"/>
    <col min="6893" max="6893" width="10.85546875" style="94" customWidth="1"/>
    <col min="6894" max="6913" width="9.140625" style="94" hidden="1" customWidth="1"/>
    <col min="6914" max="6914" width="7.28515625" style="94" customWidth="1"/>
    <col min="6915" max="6916" width="9.140625" style="94" customWidth="1"/>
    <col min="6917" max="6917" width="12" style="94" customWidth="1"/>
    <col min="6918" max="7040" width="11.7109375" style="94" customWidth="1"/>
    <col min="7041" max="7041" width="1.7109375" style="94" customWidth="1"/>
    <col min="7042" max="7043" width="9.140625" style="94" hidden="1" customWidth="1"/>
    <col min="7044" max="7044" width="1.7109375" style="94" customWidth="1"/>
    <col min="7045" max="7142" width="9.140625" style="94" hidden="1"/>
    <col min="7143" max="7145" width="9.140625" style="94" customWidth="1"/>
    <col min="7146" max="7146" width="11.140625" style="94" customWidth="1"/>
    <col min="7147" max="7147" width="9.140625" style="94" customWidth="1"/>
    <col min="7148" max="7148" width="9.28515625" style="94" customWidth="1"/>
    <col min="7149" max="7149" width="10.85546875" style="94" customWidth="1"/>
    <col min="7150" max="7169" width="9.140625" style="94" hidden="1" customWidth="1"/>
    <col min="7170" max="7170" width="7.28515625" style="94" customWidth="1"/>
    <col min="7171" max="7172" width="9.140625" style="94" customWidth="1"/>
    <col min="7173" max="7173" width="12" style="94" customWidth="1"/>
    <col min="7174" max="7296" width="11.7109375" style="94" customWidth="1"/>
    <col min="7297" max="7297" width="1.7109375" style="94" customWidth="1"/>
    <col min="7298" max="7299" width="9.140625" style="94" hidden="1" customWidth="1"/>
    <col min="7300" max="7300" width="1.7109375" style="94" customWidth="1"/>
    <col min="7301" max="7398" width="9.140625" style="94" hidden="1"/>
    <col min="7399" max="7401" width="9.140625" style="94" customWidth="1"/>
    <col min="7402" max="7402" width="11.140625" style="94" customWidth="1"/>
    <col min="7403" max="7403" width="9.140625" style="94" customWidth="1"/>
    <col min="7404" max="7404" width="9.28515625" style="94" customWidth="1"/>
    <col min="7405" max="7405" width="10.85546875" style="94" customWidth="1"/>
    <col min="7406" max="7425" width="9.140625" style="94" hidden="1" customWidth="1"/>
    <col min="7426" max="7426" width="7.28515625" style="94" customWidth="1"/>
    <col min="7427" max="7428" width="9.140625" style="94" customWidth="1"/>
    <col min="7429" max="7429" width="12" style="94" customWidth="1"/>
    <col min="7430" max="7552" width="11.7109375" style="94" customWidth="1"/>
    <col min="7553" max="7553" width="1.7109375" style="94" customWidth="1"/>
    <col min="7554" max="7555" width="9.140625" style="94" hidden="1" customWidth="1"/>
    <col min="7556" max="7556" width="1.7109375" style="94" customWidth="1"/>
    <col min="7557" max="7654" width="9.140625" style="94" hidden="1"/>
    <col min="7655" max="7657" width="9.140625" style="94" customWidth="1"/>
    <col min="7658" max="7658" width="11.140625" style="94" customWidth="1"/>
    <col min="7659" max="7659" width="9.140625" style="94" customWidth="1"/>
    <col min="7660" max="7660" width="9.28515625" style="94" customWidth="1"/>
    <col min="7661" max="7661" width="10.85546875" style="94" customWidth="1"/>
    <col min="7662" max="7681" width="9.140625" style="94" hidden="1" customWidth="1"/>
    <col min="7682" max="7682" width="7.28515625" style="94" customWidth="1"/>
    <col min="7683" max="7684" width="9.140625" style="94" customWidth="1"/>
    <col min="7685" max="7685" width="12" style="94" customWidth="1"/>
    <col min="7686" max="7808" width="11.7109375" style="94" customWidth="1"/>
    <col min="7809" max="7809" width="1.7109375" style="94" customWidth="1"/>
    <col min="7810" max="7811" width="9.140625" style="94" hidden="1" customWidth="1"/>
    <col min="7812" max="7812" width="1.7109375" style="94" customWidth="1"/>
    <col min="7813" max="7910" width="9.140625" style="94" hidden="1"/>
    <col min="7911" max="7913" width="9.140625" style="94" customWidth="1"/>
    <col min="7914" max="7914" width="11.140625" style="94" customWidth="1"/>
    <col min="7915" max="7915" width="9.140625" style="94" customWidth="1"/>
    <col min="7916" max="7916" width="9.28515625" style="94" customWidth="1"/>
    <col min="7917" max="7917" width="10.85546875" style="94" customWidth="1"/>
    <col min="7918" max="7937" width="9.140625" style="94" hidden="1" customWidth="1"/>
    <col min="7938" max="7938" width="7.28515625" style="94" customWidth="1"/>
    <col min="7939" max="7940" width="9.140625" style="94" customWidth="1"/>
    <col min="7941" max="7941" width="12" style="94" customWidth="1"/>
    <col min="7942" max="8064" width="11.7109375" style="94" customWidth="1"/>
    <col min="8065" max="8065" width="1.7109375" style="94" customWidth="1"/>
    <col min="8066" max="8067" width="9.140625" style="94" hidden="1" customWidth="1"/>
    <col min="8068" max="8068" width="1.7109375" style="94" customWidth="1"/>
    <col min="8069" max="8166" width="9.140625" style="94" hidden="1"/>
    <col min="8167" max="8169" width="9.140625" style="94" customWidth="1"/>
    <col min="8170" max="8170" width="11.140625" style="94" customWidth="1"/>
    <col min="8171" max="8171" width="9.140625" style="94" customWidth="1"/>
    <col min="8172" max="8172" width="9.28515625" style="94" customWidth="1"/>
    <col min="8173" max="8173" width="10.85546875" style="94" customWidth="1"/>
    <col min="8174" max="8193" width="9.140625" style="94" hidden="1" customWidth="1"/>
    <col min="8194" max="8194" width="7.28515625" style="94" customWidth="1"/>
    <col min="8195" max="8196" width="9.140625" style="94" customWidth="1"/>
    <col min="8197" max="8197" width="12" style="94" customWidth="1"/>
    <col min="8198" max="8320" width="11.7109375" style="94" customWidth="1"/>
    <col min="8321" max="8321" width="1.7109375" style="94" customWidth="1"/>
    <col min="8322" max="8323" width="9.140625" style="94" hidden="1" customWidth="1"/>
    <col min="8324" max="8324" width="1.7109375" style="94" customWidth="1"/>
    <col min="8325" max="8422" width="9.140625" style="94" hidden="1"/>
    <col min="8423" max="8425" width="9.140625" style="94" customWidth="1"/>
    <col min="8426" max="8426" width="11.140625" style="94" customWidth="1"/>
    <col min="8427" max="8427" width="9.140625" style="94" customWidth="1"/>
    <col min="8428" max="8428" width="9.28515625" style="94" customWidth="1"/>
    <col min="8429" max="8429" width="10.85546875" style="94" customWidth="1"/>
    <col min="8430" max="8449" width="9.140625" style="94" hidden="1" customWidth="1"/>
    <col min="8450" max="8450" width="7.28515625" style="94" customWidth="1"/>
    <col min="8451" max="8452" width="9.140625" style="94" customWidth="1"/>
    <col min="8453" max="8453" width="12" style="94" customWidth="1"/>
    <col min="8454" max="8576" width="11.7109375" style="94" customWidth="1"/>
    <col min="8577" max="8577" width="1.7109375" style="94" customWidth="1"/>
    <col min="8578" max="8579" width="9.140625" style="94" hidden="1" customWidth="1"/>
    <col min="8580" max="8580" width="1.7109375" style="94" customWidth="1"/>
    <col min="8581" max="8678" width="9.140625" style="94" hidden="1"/>
    <col min="8679" max="8681" width="9.140625" style="94" customWidth="1"/>
    <col min="8682" max="8682" width="11.140625" style="94" customWidth="1"/>
    <col min="8683" max="8683" width="9.140625" style="94" customWidth="1"/>
    <col min="8684" max="8684" width="9.28515625" style="94" customWidth="1"/>
    <col min="8685" max="8685" width="10.85546875" style="94" customWidth="1"/>
    <col min="8686" max="8705" width="9.140625" style="94" hidden="1" customWidth="1"/>
    <col min="8706" max="8706" width="7.28515625" style="94" customWidth="1"/>
    <col min="8707" max="8708" width="9.140625" style="94" customWidth="1"/>
    <col min="8709" max="8709" width="12" style="94" customWidth="1"/>
    <col min="8710" max="8832" width="11.7109375" style="94" customWidth="1"/>
    <col min="8833" max="8833" width="1.7109375" style="94" customWidth="1"/>
    <col min="8834" max="8835" width="9.140625" style="94" hidden="1" customWidth="1"/>
    <col min="8836" max="8836" width="1.7109375" style="94" customWidth="1"/>
    <col min="8837" max="8934" width="9.140625" style="94" hidden="1"/>
    <col min="8935" max="8937" width="9.140625" style="94" customWidth="1"/>
    <col min="8938" max="8938" width="11.140625" style="94" customWidth="1"/>
    <col min="8939" max="8939" width="9.140625" style="94" customWidth="1"/>
    <col min="8940" max="8940" width="9.28515625" style="94" customWidth="1"/>
    <col min="8941" max="8941" width="10.85546875" style="94" customWidth="1"/>
    <col min="8942" max="8961" width="9.140625" style="94" hidden="1" customWidth="1"/>
    <col min="8962" max="8962" width="7.28515625" style="94" customWidth="1"/>
    <col min="8963" max="8964" width="9.140625" style="94" customWidth="1"/>
    <col min="8965" max="8965" width="12" style="94" customWidth="1"/>
    <col min="8966" max="9088" width="11.7109375" style="94" customWidth="1"/>
    <col min="9089" max="9089" width="1.7109375" style="94" customWidth="1"/>
    <col min="9090" max="9091" width="9.140625" style="94" hidden="1" customWidth="1"/>
    <col min="9092" max="9092" width="1.7109375" style="94" customWidth="1"/>
    <col min="9093" max="9190" width="9.140625" style="94" hidden="1"/>
    <col min="9191" max="9193" width="9.140625" style="94" customWidth="1"/>
    <col min="9194" max="9194" width="11.140625" style="94" customWidth="1"/>
    <col min="9195" max="9195" width="9.140625" style="94" customWidth="1"/>
    <col min="9196" max="9196" width="9.28515625" style="94" customWidth="1"/>
    <col min="9197" max="9197" width="10.85546875" style="94" customWidth="1"/>
    <col min="9198" max="9217" width="9.140625" style="94" hidden="1" customWidth="1"/>
    <col min="9218" max="9218" width="7.28515625" style="94" customWidth="1"/>
    <col min="9219" max="9220" width="9.140625" style="94" customWidth="1"/>
    <col min="9221" max="9221" width="12" style="94" customWidth="1"/>
    <col min="9222" max="9344" width="11.7109375" style="94" customWidth="1"/>
    <col min="9345" max="9345" width="1.7109375" style="94" customWidth="1"/>
    <col min="9346" max="9347" width="9.140625" style="94" hidden="1" customWidth="1"/>
    <col min="9348" max="9348" width="1.7109375" style="94" customWidth="1"/>
    <col min="9349" max="9446" width="9.140625" style="94" hidden="1"/>
    <col min="9447" max="9449" width="9.140625" style="94" customWidth="1"/>
    <col min="9450" max="9450" width="11.140625" style="94" customWidth="1"/>
    <col min="9451" max="9451" width="9.140625" style="94" customWidth="1"/>
    <col min="9452" max="9452" width="9.28515625" style="94" customWidth="1"/>
    <col min="9453" max="9453" width="10.85546875" style="94" customWidth="1"/>
    <col min="9454" max="9473" width="9.140625" style="94" hidden="1" customWidth="1"/>
    <col min="9474" max="9474" width="7.28515625" style="94" customWidth="1"/>
    <col min="9475" max="9476" width="9.140625" style="94" customWidth="1"/>
    <col min="9477" max="9477" width="12" style="94" customWidth="1"/>
    <col min="9478" max="9600" width="11.7109375" style="94" customWidth="1"/>
    <col min="9601" max="9601" width="1.7109375" style="94" customWidth="1"/>
    <col min="9602" max="9603" width="9.140625" style="94" hidden="1" customWidth="1"/>
    <col min="9604" max="9604" width="1.7109375" style="94" customWidth="1"/>
    <col min="9605" max="9702" width="9.140625" style="94" hidden="1"/>
    <col min="9703" max="9705" width="9.140625" style="94" customWidth="1"/>
    <col min="9706" max="9706" width="11.140625" style="94" customWidth="1"/>
    <col min="9707" max="9707" width="9.140625" style="94" customWidth="1"/>
    <col min="9708" max="9708" width="9.28515625" style="94" customWidth="1"/>
    <col min="9709" max="9709" width="10.85546875" style="94" customWidth="1"/>
    <col min="9710" max="9729" width="9.140625" style="94" hidden="1" customWidth="1"/>
    <col min="9730" max="9730" width="7.28515625" style="94" customWidth="1"/>
    <col min="9731" max="9732" width="9.140625" style="94" customWidth="1"/>
    <col min="9733" max="9733" width="12" style="94" customWidth="1"/>
    <col min="9734" max="9856" width="11.7109375" style="94" customWidth="1"/>
    <col min="9857" max="9857" width="1.7109375" style="94" customWidth="1"/>
    <col min="9858" max="9859" width="9.140625" style="94" hidden="1" customWidth="1"/>
    <col min="9860" max="9860" width="1.7109375" style="94" customWidth="1"/>
    <col min="9861" max="9958" width="9.140625" style="94" hidden="1"/>
    <col min="9959" max="9961" width="9.140625" style="94" customWidth="1"/>
    <col min="9962" max="9962" width="11.140625" style="94" customWidth="1"/>
    <col min="9963" max="9963" width="9.140625" style="94" customWidth="1"/>
    <col min="9964" max="9964" width="9.28515625" style="94" customWidth="1"/>
    <col min="9965" max="9965" width="10.85546875" style="94" customWidth="1"/>
    <col min="9966" max="9985" width="9.140625" style="94" hidden="1" customWidth="1"/>
    <col min="9986" max="9986" width="7.28515625" style="94" customWidth="1"/>
    <col min="9987" max="9988" width="9.140625" style="94" customWidth="1"/>
    <col min="9989" max="9989" width="12" style="94" customWidth="1"/>
    <col min="9990" max="10112" width="11.7109375" style="94" customWidth="1"/>
    <col min="10113" max="10113" width="1.7109375" style="94" customWidth="1"/>
    <col min="10114" max="10115" width="9.140625" style="94" hidden="1" customWidth="1"/>
    <col min="10116" max="10116" width="1.7109375" style="94" customWidth="1"/>
    <col min="10117" max="10214" width="9.140625" style="94" hidden="1"/>
    <col min="10215" max="10217" width="9.140625" style="94" customWidth="1"/>
    <col min="10218" max="10218" width="11.140625" style="94" customWidth="1"/>
    <col min="10219" max="10219" width="9.140625" style="94" customWidth="1"/>
    <col min="10220" max="10220" width="9.28515625" style="94" customWidth="1"/>
    <col min="10221" max="10221" width="10.85546875" style="94" customWidth="1"/>
    <col min="10222" max="10241" width="9.140625" style="94" hidden="1" customWidth="1"/>
    <col min="10242" max="10242" width="7.28515625" style="94" customWidth="1"/>
    <col min="10243" max="10244" width="9.140625" style="94" customWidth="1"/>
    <col min="10245" max="10245" width="12" style="94" customWidth="1"/>
    <col min="10246" max="10368" width="11.7109375" style="94" customWidth="1"/>
    <col min="10369" max="10369" width="1.7109375" style="94" customWidth="1"/>
    <col min="10370" max="10371" width="9.140625" style="94" hidden="1" customWidth="1"/>
    <col min="10372" max="10372" width="1.7109375" style="94" customWidth="1"/>
    <col min="10373" max="10470" width="9.140625" style="94" hidden="1"/>
    <col min="10471" max="10473" width="9.140625" style="94" customWidth="1"/>
    <col min="10474" max="10474" width="11.140625" style="94" customWidth="1"/>
    <col min="10475" max="10475" width="9.140625" style="94" customWidth="1"/>
    <col min="10476" max="10476" width="9.28515625" style="94" customWidth="1"/>
    <col min="10477" max="10477" width="10.85546875" style="94" customWidth="1"/>
    <col min="10478" max="10497" width="9.140625" style="94" hidden="1" customWidth="1"/>
    <col min="10498" max="10498" width="7.28515625" style="94" customWidth="1"/>
    <col min="10499" max="10500" width="9.140625" style="94" customWidth="1"/>
    <col min="10501" max="10501" width="12" style="94" customWidth="1"/>
    <col min="10502" max="10624" width="11.7109375" style="94" customWidth="1"/>
    <col min="10625" max="10625" width="1.7109375" style="94" customWidth="1"/>
    <col min="10626" max="10627" width="9.140625" style="94" hidden="1" customWidth="1"/>
    <col min="10628" max="10628" width="1.7109375" style="94" customWidth="1"/>
    <col min="10629" max="10726" width="9.140625" style="94" hidden="1"/>
    <col min="10727" max="10729" width="9.140625" style="94" customWidth="1"/>
    <col min="10730" max="10730" width="11.140625" style="94" customWidth="1"/>
    <col min="10731" max="10731" width="9.140625" style="94" customWidth="1"/>
    <col min="10732" max="10732" width="9.28515625" style="94" customWidth="1"/>
    <col min="10733" max="10733" width="10.85546875" style="94" customWidth="1"/>
    <col min="10734" max="10753" width="9.140625" style="94" hidden="1" customWidth="1"/>
    <col min="10754" max="10754" width="7.28515625" style="94" customWidth="1"/>
    <col min="10755" max="10756" width="9.140625" style="94" customWidth="1"/>
    <col min="10757" max="10757" width="12" style="94" customWidth="1"/>
    <col min="10758" max="10880" width="11.7109375" style="94" customWidth="1"/>
    <col min="10881" max="10881" width="1.7109375" style="94" customWidth="1"/>
    <col min="10882" max="10883" width="9.140625" style="94" hidden="1" customWidth="1"/>
    <col min="10884" max="10884" width="1.7109375" style="94" customWidth="1"/>
    <col min="10885" max="10982" width="9.140625" style="94" hidden="1"/>
    <col min="10983" max="10985" width="9.140625" style="94" customWidth="1"/>
    <col min="10986" max="10986" width="11.140625" style="94" customWidth="1"/>
    <col min="10987" max="10987" width="9.140625" style="94" customWidth="1"/>
    <col min="10988" max="10988" width="9.28515625" style="94" customWidth="1"/>
    <col min="10989" max="10989" width="10.85546875" style="94" customWidth="1"/>
    <col min="10990" max="11009" width="9.140625" style="94" hidden="1" customWidth="1"/>
    <col min="11010" max="11010" width="7.28515625" style="94" customWidth="1"/>
    <col min="11011" max="11012" width="9.140625" style="94" customWidth="1"/>
    <col min="11013" max="11013" width="12" style="94" customWidth="1"/>
    <col min="11014" max="11136" width="11.7109375" style="94" customWidth="1"/>
    <col min="11137" max="11137" width="1.7109375" style="94" customWidth="1"/>
    <col min="11138" max="11139" width="9.140625" style="94" hidden="1" customWidth="1"/>
    <col min="11140" max="11140" width="1.7109375" style="94" customWidth="1"/>
    <col min="11141" max="11238" width="9.140625" style="94" hidden="1"/>
    <col min="11239" max="11241" width="9.140625" style="94" customWidth="1"/>
    <col min="11242" max="11242" width="11.140625" style="94" customWidth="1"/>
    <col min="11243" max="11243" width="9.140625" style="94" customWidth="1"/>
    <col min="11244" max="11244" width="9.28515625" style="94" customWidth="1"/>
    <col min="11245" max="11245" width="10.85546875" style="94" customWidth="1"/>
    <col min="11246" max="11265" width="9.140625" style="94" hidden="1" customWidth="1"/>
    <col min="11266" max="11266" width="7.28515625" style="94" customWidth="1"/>
    <col min="11267" max="11268" width="9.140625" style="94" customWidth="1"/>
    <col min="11269" max="11269" width="12" style="94" customWidth="1"/>
    <col min="11270" max="11392" width="11.7109375" style="94" customWidth="1"/>
    <col min="11393" max="11393" width="1.7109375" style="94" customWidth="1"/>
    <col min="11394" max="11395" width="9.140625" style="94" hidden="1" customWidth="1"/>
    <col min="11396" max="11396" width="1.7109375" style="94" customWidth="1"/>
    <col min="11397" max="11494" width="9.140625" style="94" hidden="1"/>
    <col min="11495" max="11497" width="9.140625" style="94" customWidth="1"/>
    <col min="11498" max="11498" width="11.140625" style="94" customWidth="1"/>
    <col min="11499" max="11499" width="9.140625" style="94" customWidth="1"/>
    <col min="11500" max="11500" width="9.28515625" style="94" customWidth="1"/>
    <col min="11501" max="11501" width="10.85546875" style="94" customWidth="1"/>
    <col min="11502" max="11521" width="9.140625" style="94" hidden="1" customWidth="1"/>
    <col min="11522" max="11522" width="7.28515625" style="94" customWidth="1"/>
    <col min="11523" max="11524" width="9.140625" style="94" customWidth="1"/>
    <col min="11525" max="11525" width="12" style="94" customWidth="1"/>
    <col min="11526" max="11648" width="11.7109375" style="94" customWidth="1"/>
    <col min="11649" max="11649" width="1.7109375" style="94" customWidth="1"/>
    <col min="11650" max="11651" width="9.140625" style="94" hidden="1" customWidth="1"/>
    <col min="11652" max="11652" width="1.7109375" style="94" customWidth="1"/>
    <col min="11653" max="11750" width="9.140625" style="94" hidden="1"/>
    <col min="11751" max="11753" width="9.140625" style="94" customWidth="1"/>
    <col min="11754" max="11754" width="11.140625" style="94" customWidth="1"/>
    <col min="11755" max="11755" width="9.140625" style="94" customWidth="1"/>
    <col min="11756" max="11756" width="9.28515625" style="94" customWidth="1"/>
    <col min="11757" max="11757" width="10.85546875" style="94" customWidth="1"/>
    <col min="11758" max="11777" width="9.140625" style="94" hidden="1" customWidth="1"/>
    <col min="11778" max="11778" width="7.28515625" style="94" customWidth="1"/>
    <col min="11779" max="11780" width="9.140625" style="94" customWidth="1"/>
    <col min="11781" max="11781" width="12" style="94" customWidth="1"/>
    <col min="11782" max="11904" width="11.7109375" style="94" customWidth="1"/>
    <col min="11905" max="11905" width="1.7109375" style="94" customWidth="1"/>
    <col min="11906" max="11907" width="9.140625" style="94" hidden="1" customWidth="1"/>
    <col min="11908" max="11908" width="1.7109375" style="94" customWidth="1"/>
    <col min="11909" max="12006" width="9.140625" style="94" hidden="1"/>
    <col min="12007" max="12009" width="9.140625" style="94" customWidth="1"/>
    <col min="12010" max="12010" width="11.140625" style="94" customWidth="1"/>
    <col min="12011" max="12011" width="9.140625" style="94" customWidth="1"/>
    <col min="12012" max="12012" width="9.28515625" style="94" customWidth="1"/>
    <col min="12013" max="12013" width="10.85546875" style="94" customWidth="1"/>
    <col min="12014" max="12033" width="9.140625" style="94" hidden="1" customWidth="1"/>
    <col min="12034" max="12034" width="7.28515625" style="94" customWidth="1"/>
    <col min="12035" max="12036" width="9.140625" style="94" customWidth="1"/>
    <col min="12037" max="12037" width="12" style="94" customWidth="1"/>
    <col min="12038" max="12160" width="11.7109375" style="94" customWidth="1"/>
    <col min="12161" max="12161" width="1.7109375" style="94" customWidth="1"/>
    <col min="12162" max="12163" width="9.140625" style="94" hidden="1" customWidth="1"/>
    <col min="12164" max="12164" width="1.7109375" style="94" customWidth="1"/>
    <col min="12165" max="12262" width="9.140625" style="94" hidden="1"/>
    <col min="12263" max="12265" width="9.140625" style="94" customWidth="1"/>
    <col min="12266" max="12266" width="11.140625" style="94" customWidth="1"/>
    <col min="12267" max="12267" width="9.140625" style="94" customWidth="1"/>
    <col min="12268" max="12268" width="9.28515625" style="94" customWidth="1"/>
    <col min="12269" max="12269" width="10.85546875" style="94" customWidth="1"/>
    <col min="12270" max="12289" width="9.140625" style="94" hidden="1" customWidth="1"/>
    <col min="12290" max="12290" width="7.28515625" style="94" customWidth="1"/>
    <col min="12291" max="12292" width="9.140625" style="94" customWidth="1"/>
    <col min="12293" max="12293" width="12" style="94" customWidth="1"/>
    <col min="12294" max="12416" width="11.7109375" style="94" customWidth="1"/>
    <col min="12417" max="12417" width="1.7109375" style="94" customWidth="1"/>
    <col min="12418" max="12419" width="9.140625" style="94" hidden="1" customWidth="1"/>
    <col min="12420" max="12420" width="1.7109375" style="94" customWidth="1"/>
    <col min="12421" max="12518" width="9.140625" style="94" hidden="1"/>
    <col min="12519" max="12521" width="9.140625" style="94" customWidth="1"/>
    <col min="12522" max="12522" width="11.140625" style="94" customWidth="1"/>
    <col min="12523" max="12523" width="9.140625" style="94" customWidth="1"/>
    <col min="12524" max="12524" width="9.28515625" style="94" customWidth="1"/>
    <col min="12525" max="12525" width="10.85546875" style="94" customWidth="1"/>
    <col min="12526" max="12545" width="9.140625" style="94" hidden="1" customWidth="1"/>
    <col min="12546" max="12546" width="7.28515625" style="94" customWidth="1"/>
    <col min="12547" max="12548" width="9.140625" style="94" customWidth="1"/>
    <col min="12549" max="12549" width="12" style="94" customWidth="1"/>
    <col min="12550" max="12672" width="11.7109375" style="94" customWidth="1"/>
    <col min="12673" max="12673" width="1.7109375" style="94" customWidth="1"/>
    <col min="12674" max="12675" width="9.140625" style="94" hidden="1" customWidth="1"/>
    <col min="12676" max="12676" width="1.7109375" style="94" customWidth="1"/>
    <col min="12677" max="12774" width="9.140625" style="94" hidden="1"/>
    <col min="12775" max="12777" width="9.140625" style="94" customWidth="1"/>
    <col min="12778" max="12778" width="11.140625" style="94" customWidth="1"/>
    <col min="12779" max="12779" width="9.140625" style="94" customWidth="1"/>
    <col min="12780" max="12780" width="9.28515625" style="94" customWidth="1"/>
    <col min="12781" max="12781" width="10.85546875" style="94" customWidth="1"/>
    <col min="12782" max="12801" width="9.140625" style="94" hidden="1" customWidth="1"/>
    <col min="12802" max="12802" width="7.28515625" style="94" customWidth="1"/>
    <col min="12803" max="12804" width="9.140625" style="94" customWidth="1"/>
    <col min="12805" max="12805" width="12" style="94" customWidth="1"/>
    <col min="12806" max="12928" width="11.7109375" style="94" customWidth="1"/>
    <col min="12929" max="12929" width="1.7109375" style="94" customWidth="1"/>
    <col min="12930" max="12931" width="9.140625" style="94" hidden="1" customWidth="1"/>
    <col min="12932" max="12932" width="1.7109375" style="94" customWidth="1"/>
    <col min="12933" max="13030" width="9.140625" style="94" hidden="1"/>
    <col min="13031" max="13033" width="9.140625" style="94" customWidth="1"/>
    <col min="13034" max="13034" width="11.140625" style="94" customWidth="1"/>
    <col min="13035" max="13035" width="9.140625" style="94" customWidth="1"/>
    <col min="13036" max="13036" width="9.28515625" style="94" customWidth="1"/>
    <col min="13037" max="13037" width="10.85546875" style="94" customWidth="1"/>
    <col min="13038" max="13057" width="9.140625" style="94" hidden="1" customWidth="1"/>
    <col min="13058" max="13058" width="7.28515625" style="94" customWidth="1"/>
    <col min="13059" max="13060" width="9.140625" style="94" customWidth="1"/>
    <col min="13061" max="13061" width="12" style="94" customWidth="1"/>
    <col min="13062" max="13184" width="11.7109375" style="94" customWidth="1"/>
    <col min="13185" max="13185" width="1.7109375" style="94" customWidth="1"/>
    <col min="13186" max="13187" width="9.140625" style="94" hidden="1" customWidth="1"/>
    <col min="13188" max="13188" width="1.7109375" style="94" customWidth="1"/>
    <col min="13189" max="13286" width="9.140625" style="94" hidden="1"/>
    <col min="13287" max="13289" width="9.140625" style="94" customWidth="1"/>
    <col min="13290" max="13290" width="11.140625" style="94" customWidth="1"/>
    <col min="13291" max="13291" width="9.140625" style="94" customWidth="1"/>
    <col min="13292" max="13292" width="9.28515625" style="94" customWidth="1"/>
    <col min="13293" max="13293" width="10.85546875" style="94" customWidth="1"/>
    <col min="13294" max="13313" width="9.140625" style="94" hidden="1" customWidth="1"/>
    <col min="13314" max="13314" width="7.28515625" style="94" customWidth="1"/>
    <col min="13315" max="13316" width="9.140625" style="94" customWidth="1"/>
    <col min="13317" max="13317" width="12" style="94" customWidth="1"/>
    <col min="13318" max="13440" width="11.7109375" style="94" customWidth="1"/>
    <col min="13441" max="13441" width="1.7109375" style="94" customWidth="1"/>
    <col min="13442" max="13443" width="9.140625" style="94" hidden="1" customWidth="1"/>
    <col min="13444" max="13444" width="1.7109375" style="94" customWidth="1"/>
    <col min="13445" max="13542" width="9.140625" style="94" hidden="1"/>
    <col min="13543" max="13545" width="9.140625" style="94" customWidth="1"/>
    <col min="13546" max="13546" width="11.140625" style="94" customWidth="1"/>
    <col min="13547" max="13547" width="9.140625" style="94" customWidth="1"/>
    <col min="13548" max="13548" width="9.28515625" style="94" customWidth="1"/>
    <col min="13549" max="13549" width="10.85546875" style="94" customWidth="1"/>
    <col min="13550" max="13569" width="9.140625" style="94" hidden="1" customWidth="1"/>
    <col min="13570" max="13570" width="7.28515625" style="94" customWidth="1"/>
    <col min="13571" max="13572" width="9.140625" style="94" customWidth="1"/>
    <col min="13573" max="13573" width="12" style="94" customWidth="1"/>
    <col min="13574" max="13696" width="11.7109375" style="94" customWidth="1"/>
    <col min="13697" max="13697" width="1.7109375" style="94" customWidth="1"/>
    <col min="13698" max="13699" width="9.140625" style="94" hidden="1" customWidth="1"/>
    <col min="13700" max="13700" width="1.7109375" style="94" customWidth="1"/>
    <col min="13701" max="13798" width="9.140625" style="94" hidden="1"/>
    <col min="13799" max="13801" width="9.140625" style="94" customWidth="1"/>
    <col min="13802" max="13802" width="11.140625" style="94" customWidth="1"/>
    <col min="13803" max="13803" width="9.140625" style="94" customWidth="1"/>
    <col min="13804" max="13804" width="9.28515625" style="94" customWidth="1"/>
    <col min="13805" max="13805" width="10.85546875" style="94" customWidth="1"/>
    <col min="13806" max="13825" width="9.140625" style="94" hidden="1" customWidth="1"/>
    <col min="13826" max="13826" width="7.28515625" style="94" customWidth="1"/>
    <col min="13827" max="13828" width="9.140625" style="94" customWidth="1"/>
    <col min="13829" max="13829" width="12" style="94" customWidth="1"/>
    <col min="13830" max="13952" width="11.7109375" style="94" customWidth="1"/>
    <col min="13953" max="13953" width="1.7109375" style="94" customWidth="1"/>
    <col min="13954" max="13955" width="9.140625" style="94" hidden="1" customWidth="1"/>
    <col min="13956" max="13956" width="1.7109375" style="94" customWidth="1"/>
    <col min="13957" max="14054" width="9.140625" style="94" hidden="1"/>
    <col min="14055" max="14057" width="9.140625" style="94" customWidth="1"/>
    <col min="14058" max="14058" width="11.140625" style="94" customWidth="1"/>
    <col min="14059" max="14059" width="9.140625" style="94" customWidth="1"/>
    <col min="14060" max="14060" width="9.28515625" style="94" customWidth="1"/>
    <col min="14061" max="14061" width="10.85546875" style="94" customWidth="1"/>
    <col min="14062" max="14081" width="9.140625" style="94" hidden="1" customWidth="1"/>
    <col min="14082" max="14082" width="7.28515625" style="94" customWidth="1"/>
    <col min="14083" max="14084" width="9.140625" style="94" customWidth="1"/>
    <col min="14085" max="14085" width="12" style="94" customWidth="1"/>
    <col min="14086" max="14208" width="11.7109375" style="94" customWidth="1"/>
    <col min="14209" max="14209" width="1.7109375" style="94" customWidth="1"/>
    <col min="14210" max="14211" width="9.140625" style="94" hidden="1" customWidth="1"/>
    <col min="14212" max="14212" width="1.7109375" style="94" customWidth="1"/>
    <col min="14213" max="14310" width="9.140625" style="94" hidden="1"/>
    <col min="14311" max="14313" width="9.140625" style="94" customWidth="1"/>
    <col min="14314" max="14314" width="11.140625" style="94" customWidth="1"/>
    <col min="14315" max="14315" width="9.140625" style="94" customWidth="1"/>
    <col min="14316" max="14316" width="9.28515625" style="94" customWidth="1"/>
    <col min="14317" max="14317" width="10.85546875" style="94" customWidth="1"/>
    <col min="14318" max="14337" width="9.140625" style="94" hidden="1" customWidth="1"/>
    <col min="14338" max="14338" width="7.28515625" style="94" customWidth="1"/>
    <col min="14339" max="14340" width="9.140625" style="94" customWidth="1"/>
    <col min="14341" max="14341" width="12" style="94" customWidth="1"/>
    <col min="14342" max="14464" width="11.7109375" style="94" customWidth="1"/>
    <col min="14465" max="14465" width="1.7109375" style="94" customWidth="1"/>
    <col min="14466" max="14467" width="9.140625" style="94" hidden="1" customWidth="1"/>
    <col min="14468" max="14468" width="1.7109375" style="94" customWidth="1"/>
    <col min="14469" max="14566" width="9.140625" style="94" hidden="1"/>
    <col min="14567" max="14569" width="9.140625" style="94" customWidth="1"/>
    <col min="14570" max="14570" width="11.140625" style="94" customWidth="1"/>
    <col min="14571" max="14571" width="9.140625" style="94" customWidth="1"/>
    <col min="14572" max="14572" width="9.28515625" style="94" customWidth="1"/>
    <col min="14573" max="14573" width="10.85546875" style="94" customWidth="1"/>
    <col min="14574" max="14593" width="9.140625" style="94" hidden="1" customWidth="1"/>
    <col min="14594" max="14594" width="7.28515625" style="94" customWidth="1"/>
    <col min="14595" max="14596" width="9.140625" style="94" customWidth="1"/>
    <col min="14597" max="14597" width="12" style="94" customWidth="1"/>
    <col min="14598" max="14720" width="11.7109375" style="94" customWidth="1"/>
    <col min="14721" max="14721" width="1.7109375" style="94" customWidth="1"/>
    <col min="14722" max="14723" width="9.140625" style="94" hidden="1" customWidth="1"/>
    <col min="14724" max="14724" width="1.7109375" style="94" customWidth="1"/>
    <col min="14725" max="14822" width="9.140625" style="94" hidden="1"/>
    <col min="14823" max="14825" width="9.140625" style="94" customWidth="1"/>
    <col min="14826" max="14826" width="11.140625" style="94" customWidth="1"/>
    <col min="14827" max="14827" width="9.140625" style="94" customWidth="1"/>
    <col min="14828" max="14828" width="9.28515625" style="94" customWidth="1"/>
    <col min="14829" max="14829" width="10.85546875" style="94" customWidth="1"/>
    <col min="14830" max="14849" width="9.140625" style="94" hidden="1" customWidth="1"/>
    <col min="14850" max="14850" width="7.28515625" style="94" customWidth="1"/>
    <col min="14851" max="14852" width="9.140625" style="94" customWidth="1"/>
    <col min="14853" max="14853" width="12" style="94" customWidth="1"/>
    <col min="14854" max="14976" width="11.7109375" style="94" customWidth="1"/>
    <col min="14977" max="14977" width="1.7109375" style="94" customWidth="1"/>
    <col min="14978" max="14979" width="9.140625" style="94" hidden="1" customWidth="1"/>
    <col min="14980" max="14980" width="1.7109375" style="94" customWidth="1"/>
    <col min="14981" max="15078" width="9.140625" style="94" hidden="1"/>
    <col min="15079" max="15081" width="9.140625" style="94" customWidth="1"/>
    <col min="15082" max="15082" width="11.140625" style="94" customWidth="1"/>
    <col min="15083" max="15083" width="9.140625" style="94" customWidth="1"/>
    <col min="15084" max="15084" width="9.28515625" style="94" customWidth="1"/>
    <col min="15085" max="15085" width="10.85546875" style="94" customWidth="1"/>
    <col min="15086" max="15105" width="9.140625" style="94" hidden="1" customWidth="1"/>
    <col min="15106" max="15106" width="7.28515625" style="94" customWidth="1"/>
    <col min="15107" max="15108" width="9.140625" style="94" customWidth="1"/>
    <col min="15109" max="15109" width="12" style="94" customWidth="1"/>
    <col min="15110" max="15232" width="11.7109375" style="94" customWidth="1"/>
    <col min="15233" max="15233" width="1.7109375" style="94" customWidth="1"/>
    <col min="15234" max="15235" width="9.140625" style="94" hidden="1" customWidth="1"/>
    <col min="15236" max="15236" width="1.7109375" style="94" customWidth="1"/>
    <col min="15237" max="15334" width="9.140625" style="94" hidden="1"/>
    <col min="15335" max="15337" width="9.140625" style="94" customWidth="1"/>
    <col min="15338" max="15338" width="11.140625" style="94" customWidth="1"/>
    <col min="15339" max="15339" width="9.140625" style="94" customWidth="1"/>
    <col min="15340" max="15340" width="9.28515625" style="94" customWidth="1"/>
    <col min="15341" max="15341" width="10.85546875" style="94" customWidth="1"/>
    <col min="15342" max="15361" width="9.140625" style="94" hidden="1" customWidth="1"/>
    <col min="15362" max="15362" width="7.28515625" style="94" customWidth="1"/>
    <col min="15363" max="15364" width="9.140625" style="94" customWidth="1"/>
    <col min="15365" max="15365" width="12" style="94" customWidth="1"/>
    <col min="15366" max="15488" width="11.7109375" style="94" customWidth="1"/>
    <col min="15489" max="15489" width="1.7109375" style="94" customWidth="1"/>
    <col min="15490" max="15491" width="9.140625" style="94" hidden="1" customWidth="1"/>
    <col min="15492" max="15492" width="1.7109375" style="94" customWidth="1"/>
    <col min="15493" max="15590" width="9.140625" style="94" hidden="1"/>
    <col min="15591" max="15593" width="9.140625" style="94" customWidth="1"/>
    <col min="15594" max="15594" width="11.140625" style="94" customWidth="1"/>
    <col min="15595" max="15595" width="9.140625" style="94" customWidth="1"/>
    <col min="15596" max="15596" width="9.28515625" style="94" customWidth="1"/>
    <col min="15597" max="15597" width="10.85546875" style="94" customWidth="1"/>
    <col min="15598" max="15617" width="9.140625" style="94" hidden="1" customWidth="1"/>
    <col min="15618" max="15618" width="7.28515625" style="94" customWidth="1"/>
    <col min="15619" max="15620" width="9.140625" style="94" customWidth="1"/>
    <col min="15621" max="15621" width="12" style="94" customWidth="1"/>
    <col min="15622" max="15744" width="11.7109375" style="94" customWidth="1"/>
    <col min="15745" max="15745" width="1.7109375" style="94" customWidth="1"/>
    <col min="15746" max="15747" width="9.140625" style="94" hidden="1" customWidth="1"/>
    <col min="15748" max="15748" width="1.7109375" style="94" customWidth="1"/>
    <col min="15749" max="15846" width="9.140625" style="94" hidden="1"/>
    <col min="15847" max="15849" width="9.140625" style="94" customWidth="1"/>
    <col min="15850" max="15850" width="11.140625" style="94" customWidth="1"/>
    <col min="15851" max="15851" width="9.140625" style="94" customWidth="1"/>
    <col min="15852" max="15852" width="9.28515625" style="94" customWidth="1"/>
    <col min="15853" max="15853" width="10.85546875" style="94" customWidth="1"/>
    <col min="15854" max="15873" width="9.140625" style="94" hidden="1" customWidth="1"/>
    <col min="15874" max="15874" width="7.28515625" style="94" customWidth="1"/>
    <col min="15875" max="15876" width="9.140625" style="94" customWidth="1"/>
    <col min="15877" max="15877" width="12" style="94" customWidth="1"/>
    <col min="15878" max="16000" width="11.7109375" style="94" customWidth="1"/>
    <col min="16001" max="16001" width="1.7109375" style="94" customWidth="1"/>
    <col min="16002" max="16003" width="9.140625" style="94" hidden="1" customWidth="1"/>
    <col min="16004" max="16004" width="1.7109375" style="94" customWidth="1"/>
    <col min="16005" max="16102" width="9.140625" style="94" hidden="1"/>
    <col min="16103" max="16105" width="9.140625" style="94" customWidth="1"/>
    <col min="16106" max="16106" width="11.140625" style="94" customWidth="1"/>
    <col min="16107" max="16107" width="9.140625" style="94" customWidth="1"/>
    <col min="16108" max="16108" width="9.28515625" style="94" customWidth="1"/>
    <col min="16109" max="16109" width="10.85546875" style="94" customWidth="1"/>
    <col min="16110" max="16129" width="9.140625" style="94" hidden="1" customWidth="1"/>
    <col min="16130" max="16130" width="7.28515625" style="94" customWidth="1"/>
    <col min="16131" max="16132" width="9.140625" style="94" customWidth="1"/>
    <col min="16133" max="16133" width="12" style="94" customWidth="1"/>
    <col min="16134" max="16256" width="11.7109375" style="94" customWidth="1"/>
    <col min="16257" max="16257" width="1.7109375" style="94" customWidth="1"/>
    <col min="16258" max="16259" width="9.140625" style="94" hidden="1" customWidth="1"/>
    <col min="16260" max="16260" width="1.7109375" style="94" customWidth="1"/>
    <col min="16261" max="16384" width="9.140625" style="94" hidden="1"/>
  </cols>
  <sheetData>
    <row r="1" spans="1:132" s="179" customFormat="1">
      <c r="A1" s="83" t="s">
        <v>206</v>
      </c>
      <c r="B1" s="23"/>
      <c r="C1" s="83"/>
      <c r="D1" s="83"/>
      <c r="E1" s="178">
        <f>IF(OR(([2]Constants!D508+PLA7C)&gt;0,SUM(DY:EB)&gt;ErrTol),1,0)</f>
        <v>0</v>
      </c>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row>
    <row r="2" spans="1:132" ht="15.75">
      <c r="A2" s="25" t="s">
        <v>355</v>
      </c>
      <c r="B2" s="85"/>
      <c r="C2" s="180"/>
      <c r="D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88"/>
      <c r="EB2" s="88"/>
    </row>
    <row r="3" spans="1:132">
      <c r="A3" s="181"/>
      <c r="B3" s="180"/>
      <c r="C3" s="180"/>
      <c r="D3" s="180"/>
      <c r="F3" s="180"/>
      <c r="G3" s="180"/>
      <c r="H3" s="180"/>
      <c r="I3" s="180"/>
      <c r="J3" s="180"/>
      <c r="K3" s="180"/>
      <c r="L3" s="180"/>
      <c r="M3" s="180"/>
      <c r="N3" s="180"/>
      <c r="O3" s="180"/>
      <c r="P3" s="180"/>
      <c r="Q3" s="210">
        <v>41944</v>
      </c>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88"/>
      <c r="EB3" s="88"/>
    </row>
    <row r="4" spans="1:132">
      <c r="A4" s="180"/>
      <c r="B4" s="180"/>
      <c r="C4" s="180"/>
      <c r="D4" s="180"/>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c r="BM4" s="180"/>
      <c r="BN4" s="180"/>
      <c r="BO4" s="180"/>
      <c r="BP4" s="180"/>
      <c r="BQ4" s="180"/>
      <c r="BR4" s="180"/>
      <c r="BS4" s="180"/>
      <c r="BT4" s="180"/>
      <c r="BU4" s="180"/>
      <c r="BV4" s="180"/>
      <c r="BW4" s="180"/>
      <c r="BX4" s="180"/>
      <c r="BY4" s="180"/>
      <c r="BZ4" s="180"/>
      <c r="CA4" s="180"/>
      <c r="CB4" s="180"/>
      <c r="CC4" s="180"/>
      <c r="CD4" s="180"/>
      <c r="CE4" s="180"/>
      <c r="CF4" s="180"/>
      <c r="CG4" s="180"/>
      <c r="CH4" s="180"/>
      <c r="CI4" s="180"/>
      <c r="CJ4" s="180"/>
      <c r="CK4" s="180"/>
      <c r="CL4" s="180"/>
      <c r="CM4" s="180"/>
      <c r="CN4" s="180"/>
      <c r="CO4" s="180"/>
      <c r="CP4" s="180"/>
      <c r="CQ4" s="180"/>
      <c r="CR4" s="180"/>
      <c r="CS4" s="180"/>
      <c r="CT4" s="180"/>
      <c r="CU4" s="180"/>
      <c r="CV4" s="180"/>
      <c r="CW4" s="180"/>
      <c r="CX4" s="180"/>
      <c r="CY4" s="180"/>
      <c r="CZ4" s="180"/>
      <c r="DA4" s="180"/>
      <c r="DB4" s="180"/>
      <c r="DC4" s="180"/>
      <c r="DD4" s="180"/>
      <c r="DE4" s="180"/>
      <c r="DF4" s="180"/>
      <c r="DG4" s="180"/>
      <c r="DH4" s="180"/>
      <c r="DI4" s="180"/>
      <c r="DJ4" s="180"/>
      <c r="DK4" s="180"/>
      <c r="DL4" s="180"/>
      <c r="DM4" s="180"/>
      <c r="DN4" s="180"/>
      <c r="DO4" s="180"/>
      <c r="DP4" s="180"/>
      <c r="DQ4" s="180"/>
      <c r="DR4" s="180"/>
      <c r="DS4" s="180"/>
      <c r="DT4" s="180"/>
      <c r="DU4" s="180"/>
      <c r="DV4" s="180"/>
      <c r="DW4" s="180"/>
      <c r="DX4" s="180"/>
      <c r="DY4" s="88"/>
      <c r="EB4" s="88"/>
    </row>
    <row r="5" spans="1:132" s="179" customFormat="1" collapsed="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row>
    <row r="6" spans="1:132" s="189" customFormat="1" hidden="1" outlineLevel="1">
      <c r="A6" s="180" t="s">
        <v>388</v>
      </c>
      <c r="B6" s="180"/>
      <c r="C6" s="180"/>
      <c r="D6" s="187">
        <f>PreContractPeriodDurationIn</f>
        <v>3</v>
      </c>
      <c r="E6" s="188"/>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88"/>
      <c r="EB6" s="88"/>
    </row>
    <row r="7" spans="1:132" s="189" customFormat="1" hidden="1" outlineLevel="1">
      <c r="A7" s="180" t="s">
        <v>389</v>
      </c>
      <c r="B7" s="180"/>
      <c r="C7" s="180"/>
      <c r="D7" s="180"/>
      <c r="E7" s="180"/>
      <c r="F7" s="190" t="s">
        <v>142</v>
      </c>
      <c r="G7" s="190" t="s">
        <v>143</v>
      </c>
      <c r="H7" s="190" t="s">
        <v>144</v>
      </c>
      <c r="I7" s="190" t="s">
        <v>145</v>
      </c>
      <c r="J7" s="190" t="s">
        <v>146</v>
      </c>
      <c r="K7" s="190" t="s">
        <v>147</v>
      </c>
      <c r="L7" s="190" t="s">
        <v>148</v>
      </c>
      <c r="M7" s="190" t="s">
        <v>149</v>
      </c>
      <c r="N7" s="190" t="s">
        <v>150</v>
      </c>
      <c r="O7" s="190" t="s">
        <v>151</v>
      </c>
      <c r="P7" s="190" t="s">
        <v>152</v>
      </c>
      <c r="Q7" s="190" t="s">
        <v>153</v>
      </c>
      <c r="R7" s="191" t="s">
        <v>390</v>
      </c>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92"/>
      <c r="CU7" s="192"/>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80"/>
      <c r="DY7" s="88"/>
      <c r="EB7" s="88"/>
    </row>
    <row r="8" spans="1:132">
      <c r="A8" s="185"/>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2"/>
      <c r="EB8" s="182"/>
    </row>
    <row r="9" spans="1:132" s="179" customFormat="1" ht="15">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184"/>
      <c r="EA9" s="183"/>
      <c r="EB9" s="184"/>
    </row>
    <row r="10" spans="1:132" outlineLevel="1">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6"/>
      <c r="EB10" s="186"/>
    </row>
    <row r="11" spans="1:132" outlineLevel="1">
      <c r="A11" s="91" t="s">
        <v>155</v>
      </c>
      <c r="C11" s="180"/>
      <c r="D11" s="180"/>
      <c r="E11" s="180"/>
      <c r="F11" s="196">
        <f>Q3</f>
        <v>41944</v>
      </c>
      <c r="G11" s="197">
        <f t="shared" ref="G11:BR11" si="0">F12+1</f>
        <v>41974</v>
      </c>
      <c r="H11" s="198">
        <f t="shared" si="0"/>
        <v>42005</v>
      </c>
      <c r="I11" s="198">
        <f t="shared" si="0"/>
        <v>42036</v>
      </c>
      <c r="J11" s="198">
        <f t="shared" si="0"/>
        <v>42064</v>
      </c>
      <c r="K11" s="198">
        <f t="shared" si="0"/>
        <v>42095</v>
      </c>
      <c r="L11" s="198">
        <f t="shared" si="0"/>
        <v>42125</v>
      </c>
      <c r="M11" s="198">
        <f t="shared" si="0"/>
        <v>42156</v>
      </c>
      <c r="N11" s="198">
        <f t="shared" si="0"/>
        <v>42186</v>
      </c>
      <c r="O11" s="198">
        <f t="shared" si="0"/>
        <v>42217</v>
      </c>
      <c r="P11" s="198">
        <f t="shared" si="0"/>
        <v>42248</v>
      </c>
      <c r="Q11" s="198">
        <f t="shared" si="0"/>
        <v>42278</v>
      </c>
      <c r="R11" s="198">
        <f t="shared" si="0"/>
        <v>42309</v>
      </c>
      <c r="S11" s="198">
        <f t="shared" si="0"/>
        <v>42339</v>
      </c>
      <c r="T11" s="198">
        <f t="shared" si="0"/>
        <v>42370</v>
      </c>
      <c r="U11" s="198">
        <f t="shared" si="0"/>
        <v>42401</v>
      </c>
      <c r="V11" s="198">
        <f t="shared" si="0"/>
        <v>42430</v>
      </c>
      <c r="W11" s="198">
        <f t="shared" si="0"/>
        <v>42461</v>
      </c>
      <c r="X11" s="198">
        <f t="shared" si="0"/>
        <v>42491</v>
      </c>
      <c r="Y11" s="198">
        <f t="shared" si="0"/>
        <v>42522</v>
      </c>
      <c r="Z11" s="198">
        <f t="shared" si="0"/>
        <v>42552</v>
      </c>
      <c r="AA11" s="198">
        <f t="shared" si="0"/>
        <v>42583</v>
      </c>
      <c r="AB11" s="198">
        <f t="shared" si="0"/>
        <v>42614</v>
      </c>
      <c r="AC11" s="198">
        <f t="shared" si="0"/>
        <v>42644</v>
      </c>
      <c r="AD11" s="198">
        <f t="shared" si="0"/>
        <v>42675</v>
      </c>
      <c r="AE11" s="198">
        <f t="shared" si="0"/>
        <v>42705</v>
      </c>
      <c r="AF11" s="198">
        <f t="shared" si="0"/>
        <v>42736</v>
      </c>
      <c r="AG11" s="198">
        <f t="shared" si="0"/>
        <v>42767</v>
      </c>
      <c r="AH11" s="198">
        <f t="shared" si="0"/>
        <v>42795</v>
      </c>
      <c r="AI11" s="198">
        <f t="shared" si="0"/>
        <v>42826</v>
      </c>
      <c r="AJ11" s="198">
        <f t="shared" si="0"/>
        <v>42856</v>
      </c>
      <c r="AK11" s="198">
        <f t="shared" si="0"/>
        <v>42887</v>
      </c>
      <c r="AL11" s="198">
        <f t="shared" si="0"/>
        <v>42917</v>
      </c>
      <c r="AM11" s="198">
        <f t="shared" si="0"/>
        <v>42948</v>
      </c>
      <c r="AN11" s="198">
        <f t="shared" si="0"/>
        <v>42979</v>
      </c>
      <c r="AO11" s="198">
        <f t="shared" si="0"/>
        <v>43009</v>
      </c>
      <c r="AP11" s="198">
        <f t="shared" si="0"/>
        <v>43040</v>
      </c>
      <c r="AQ11" s="198">
        <f t="shared" si="0"/>
        <v>43070</v>
      </c>
      <c r="AR11" s="198">
        <f t="shared" si="0"/>
        <v>43101</v>
      </c>
      <c r="AS11" s="198">
        <f t="shared" si="0"/>
        <v>43132</v>
      </c>
      <c r="AT11" s="198">
        <f t="shared" si="0"/>
        <v>43160</v>
      </c>
      <c r="AU11" s="198">
        <f t="shared" si="0"/>
        <v>43191</v>
      </c>
      <c r="AV11" s="198">
        <f t="shared" si="0"/>
        <v>43221</v>
      </c>
      <c r="AW11" s="198">
        <f t="shared" si="0"/>
        <v>43252</v>
      </c>
      <c r="AX11" s="198">
        <f t="shared" si="0"/>
        <v>43282</v>
      </c>
      <c r="AY11" s="198">
        <f t="shared" si="0"/>
        <v>43313</v>
      </c>
      <c r="AZ11" s="198">
        <f t="shared" si="0"/>
        <v>43344</v>
      </c>
      <c r="BA11" s="198">
        <f t="shared" si="0"/>
        <v>43374</v>
      </c>
      <c r="BB11" s="198">
        <f t="shared" si="0"/>
        <v>43405</v>
      </c>
      <c r="BC11" s="198">
        <f t="shared" si="0"/>
        <v>43435</v>
      </c>
      <c r="BD11" s="198">
        <f t="shared" si="0"/>
        <v>43466</v>
      </c>
      <c r="BE11" s="198">
        <f t="shared" si="0"/>
        <v>43497</v>
      </c>
      <c r="BF11" s="198">
        <f t="shared" si="0"/>
        <v>43525</v>
      </c>
      <c r="BG11" s="198">
        <f t="shared" si="0"/>
        <v>43556</v>
      </c>
      <c r="BH11" s="198">
        <f t="shared" si="0"/>
        <v>43586</v>
      </c>
      <c r="BI11" s="198">
        <f t="shared" si="0"/>
        <v>43617</v>
      </c>
      <c r="BJ11" s="198">
        <f t="shared" si="0"/>
        <v>43647</v>
      </c>
      <c r="BK11" s="198">
        <f t="shared" si="0"/>
        <v>43678</v>
      </c>
      <c r="BL11" s="198">
        <f t="shared" si="0"/>
        <v>43709</v>
      </c>
      <c r="BM11" s="198">
        <f t="shared" si="0"/>
        <v>43739</v>
      </c>
      <c r="BN11" s="198">
        <f t="shared" si="0"/>
        <v>43770</v>
      </c>
      <c r="BO11" s="198">
        <f t="shared" si="0"/>
        <v>43800</v>
      </c>
      <c r="BP11" s="198">
        <f t="shared" si="0"/>
        <v>43831</v>
      </c>
      <c r="BQ11" s="198">
        <f t="shared" si="0"/>
        <v>43862</v>
      </c>
      <c r="BR11" s="198">
        <f t="shared" si="0"/>
        <v>43891</v>
      </c>
      <c r="BS11" s="198">
        <f t="shared" ref="BS11:DX11" si="1">BR12+1</f>
        <v>43922</v>
      </c>
      <c r="BT11" s="198">
        <f t="shared" si="1"/>
        <v>43952</v>
      </c>
      <c r="BU11" s="198">
        <f t="shared" si="1"/>
        <v>43983</v>
      </c>
      <c r="BV11" s="198">
        <f t="shared" si="1"/>
        <v>44013</v>
      </c>
      <c r="BW11" s="198">
        <f t="shared" si="1"/>
        <v>44044</v>
      </c>
      <c r="BX11" s="198">
        <f t="shared" si="1"/>
        <v>44075</v>
      </c>
      <c r="BY11" s="198">
        <f t="shared" si="1"/>
        <v>44105</v>
      </c>
      <c r="BZ11" s="198">
        <f t="shared" si="1"/>
        <v>44136</v>
      </c>
      <c r="CA11" s="198">
        <f t="shared" si="1"/>
        <v>44166</v>
      </c>
      <c r="CB11" s="198">
        <f t="shared" si="1"/>
        <v>44197</v>
      </c>
      <c r="CC11" s="198">
        <f t="shared" si="1"/>
        <v>44228</v>
      </c>
      <c r="CD11" s="198">
        <f t="shared" si="1"/>
        <v>44256</v>
      </c>
      <c r="CE11" s="198">
        <f t="shared" si="1"/>
        <v>44287</v>
      </c>
      <c r="CF11" s="198">
        <f t="shared" si="1"/>
        <v>44317</v>
      </c>
      <c r="CG11" s="198">
        <f t="shared" si="1"/>
        <v>44348</v>
      </c>
      <c r="CH11" s="198">
        <f t="shared" si="1"/>
        <v>44378</v>
      </c>
      <c r="CI11" s="198">
        <f t="shared" si="1"/>
        <v>44409</v>
      </c>
      <c r="CJ11" s="198">
        <f t="shared" si="1"/>
        <v>44440</v>
      </c>
      <c r="CK11" s="198">
        <f t="shared" si="1"/>
        <v>44470</v>
      </c>
      <c r="CL11" s="198">
        <f t="shared" si="1"/>
        <v>44501</v>
      </c>
      <c r="CM11" s="198">
        <f t="shared" si="1"/>
        <v>44531</v>
      </c>
      <c r="CN11" s="198">
        <f t="shared" si="1"/>
        <v>44562</v>
      </c>
      <c r="CO11" s="198">
        <f t="shared" si="1"/>
        <v>44593</v>
      </c>
      <c r="CP11" s="198">
        <f t="shared" si="1"/>
        <v>44621</v>
      </c>
      <c r="CQ11" s="198">
        <f t="shared" si="1"/>
        <v>44652</v>
      </c>
      <c r="CR11" s="198">
        <f t="shared" si="1"/>
        <v>44682</v>
      </c>
      <c r="CS11" s="198">
        <f t="shared" si="1"/>
        <v>44713</v>
      </c>
      <c r="CT11" s="198">
        <f t="shared" si="1"/>
        <v>44743</v>
      </c>
      <c r="CU11" s="198">
        <f t="shared" si="1"/>
        <v>44774</v>
      </c>
      <c r="CV11" s="198">
        <f t="shared" si="1"/>
        <v>44805</v>
      </c>
      <c r="CW11" s="198">
        <f t="shared" si="1"/>
        <v>44835</v>
      </c>
      <c r="CX11" s="198">
        <f t="shared" si="1"/>
        <v>44866</v>
      </c>
      <c r="CY11" s="198">
        <f t="shared" si="1"/>
        <v>44896</v>
      </c>
      <c r="CZ11" s="198">
        <f t="shared" si="1"/>
        <v>44927</v>
      </c>
      <c r="DA11" s="198">
        <f t="shared" si="1"/>
        <v>44958</v>
      </c>
      <c r="DB11" s="198">
        <f t="shared" si="1"/>
        <v>44986</v>
      </c>
      <c r="DC11" s="198">
        <f t="shared" si="1"/>
        <v>45017</v>
      </c>
      <c r="DD11" s="198">
        <f t="shared" si="1"/>
        <v>45047</v>
      </c>
      <c r="DE11" s="198">
        <f t="shared" si="1"/>
        <v>45078</v>
      </c>
      <c r="DF11" s="198">
        <f t="shared" si="1"/>
        <v>45108</v>
      </c>
      <c r="DG11" s="198">
        <f t="shared" si="1"/>
        <v>45139</v>
      </c>
      <c r="DH11" s="198">
        <f t="shared" si="1"/>
        <v>45170</v>
      </c>
      <c r="DI11" s="198">
        <f t="shared" si="1"/>
        <v>45200</v>
      </c>
      <c r="DJ11" s="198">
        <f t="shared" si="1"/>
        <v>45231</v>
      </c>
      <c r="DK11" s="198">
        <f t="shared" si="1"/>
        <v>45261</v>
      </c>
      <c r="DL11" s="198">
        <f t="shared" si="1"/>
        <v>45292</v>
      </c>
      <c r="DM11" s="198">
        <f t="shared" si="1"/>
        <v>45323</v>
      </c>
      <c r="DN11" s="198">
        <f t="shared" si="1"/>
        <v>45352</v>
      </c>
      <c r="DO11" s="198">
        <f t="shared" si="1"/>
        <v>45383</v>
      </c>
      <c r="DP11" s="198">
        <f t="shared" si="1"/>
        <v>45413</v>
      </c>
      <c r="DQ11" s="198">
        <f t="shared" si="1"/>
        <v>45444</v>
      </c>
      <c r="DR11" s="198">
        <f t="shared" si="1"/>
        <v>45474</v>
      </c>
      <c r="DS11" s="198">
        <f t="shared" si="1"/>
        <v>45505</v>
      </c>
      <c r="DT11" s="198">
        <f t="shared" si="1"/>
        <v>45536</v>
      </c>
      <c r="DU11" s="198">
        <f t="shared" si="1"/>
        <v>45566</v>
      </c>
      <c r="DV11" s="198">
        <f t="shared" si="1"/>
        <v>45597</v>
      </c>
      <c r="DW11" s="198">
        <f t="shared" si="1"/>
        <v>45627</v>
      </c>
      <c r="DX11" s="198">
        <f t="shared" si="1"/>
        <v>45658</v>
      </c>
      <c r="DY11" s="88"/>
      <c r="DZ11" s="193" t="s">
        <v>391</v>
      </c>
      <c r="EB11" s="88"/>
    </row>
    <row r="12" spans="1:132" outlineLevel="1">
      <c r="A12" s="91" t="s">
        <v>156</v>
      </c>
      <c r="C12" s="180"/>
      <c r="D12" s="180"/>
      <c r="E12" s="180"/>
      <c r="F12" s="199">
        <f t="shared" ref="F12:BQ12" si="2">DATE(YEAR(F11),MONTH(F11)+1,DAY(F11)-1)</f>
        <v>41973</v>
      </c>
      <c r="G12" s="200">
        <f t="shared" si="2"/>
        <v>42004</v>
      </c>
      <c r="H12" s="200">
        <f t="shared" si="2"/>
        <v>42035</v>
      </c>
      <c r="I12" s="200">
        <f t="shared" si="2"/>
        <v>42063</v>
      </c>
      <c r="J12" s="200">
        <f t="shared" si="2"/>
        <v>42094</v>
      </c>
      <c r="K12" s="200">
        <f t="shared" si="2"/>
        <v>42124</v>
      </c>
      <c r="L12" s="200">
        <f t="shared" si="2"/>
        <v>42155</v>
      </c>
      <c r="M12" s="200">
        <f t="shared" si="2"/>
        <v>42185</v>
      </c>
      <c r="N12" s="200">
        <f t="shared" si="2"/>
        <v>42216</v>
      </c>
      <c r="O12" s="200">
        <f t="shared" si="2"/>
        <v>42247</v>
      </c>
      <c r="P12" s="200">
        <f t="shared" si="2"/>
        <v>42277</v>
      </c>
      <c r="Q12" s="200">
        <f t="shared" si="2"/>
        <v>42308</v>
      </c>
      <c r="R12" s="200">
        <f t="shared" si="2"/>
        <v>42338</v>
      </c>
      <c r="S12" s="200">
        <f t="shared" si="2"/>
        <v>42369</v>
      </c>
      <c r="T12" s="200">
        <f t="shared" si="2"/>
        <v>42400</v>
      </c>
      <c r="U12" s="200">
        <f t="shared" si="2"/>
        <v>42429</v>
      </c>
      <c r="V12" s="200">
        <f t="shared" si="2"/>
        <v>42460</v>
      </c>
      <c r="W12" s="200">
        <f t="shared" si="2"/>
        <v>42490</v>
      </c>
      <c r="X12" s="200">
        <f t="shared" si="2"/>
        <v>42521</v>
      </c>
      <c r="Y12" s="200">
        <f t="shared" si="2"/>
        <v>42551</v>
      </c>
      <c r="Z12" s="200">
        <f t="shared" si="2"/>
        <v>42582</v>
      </c>
      <c r="AA12" s="200">
        <f t="shared" si="2"/>
        <v>42613</v>
      </c>
      <c r="AB12" s="200">
        <f t="shared" si="2"/>
        <v>42643</v>
      </c>
      <c r="AC12" s="200">
        <f t="shared" si="2"/>
        <v>42674</v>
      </c>
      <c r="AD12" s="200">
        <f t="shared" si="2"/>
        <v>42704</v>
      </c>
      <c r="AE12" s="200">
        <f t="shared" si="2"/>
        <v>42735</v>
      </c>
      <c r="AF12" s="200">
        <f t="shared" si="2"/>
        <v>42766</v>
      </c>
      <c r="AG12" s="200">
        <f t="shared" si="2"/>
        <v>42794</v>
      </c>
      <c r="AH12" s="200">
        <f t="shared" si="2"/>
        <v>42825</v>
      </c>
      <c r="AI12" s="200">
        <f t="shared" si="2"/>
        <v>42855</v>
      </c>
      <c r="AJ12" s="200">
        <f t="shared" si="2"/>
        <v>42886</v>
      </c>
      <c r="AK12" s="200">
        <f t="shared" si="2"/>
        <v>42916</v>
      </c>
      <c r="AL12" s="200">
        <f t="shared" si="2"/>
        <v>42947</v>
      </c>
      <c r="AM12" s="200">
        <f t="shared" si="2"/>
        <v>42978</v>
      </c>
      <c r="AN12" s="200">
        <f t="shared" si="2"/>
        <v>43008</v>
      </c>
      <c r="AO12" s="200">
        <f t="shared" si="2"/>
        <v>43039</v>
      </c>
      <c r="AP12" s="200">
        <f t="shared" si="2"/>
        <v>43069</v>
      </c>
      <c r="AQ12" s="200">
        <f t="shared" si="2"/>
        <v>43100</v>
      </c>
      <c r="AR12" s="200">
        <f t="shared" si="2"/>
        <v>43131</v>
      </c>
      <c r="AS12" s="200">
        <f t="shared" si="2"/>
        <v>43159</v>
      </c>
      <c r="AT12" s="200">
        <f t="shared" si="2"/>
        <v>43190</v>
      </c>
      <c r="AU12" s="200">
        <f t="shared" si="2"/>
        <v>43220</v>
      </c>
      <c r="AV12" s="200">
        <f t="shared" si="2"/>
        <v>43251</v>
      </c>
      <c r="AW12" s="200">
        <f t="shared" si="2"/>
        <v>43281</v>
      </c>
      <c r="AX12" s="200">
        <f t="shared" si="2"/>
        <v>43312</v>
      </c>
      <c r="AY12" s="200">
        <f t="shared" si="2"/>
        <v>43343</v>
      </c>
      <c r="AZ12" s="200">
        <f t="shared" si="2"/>
        <v>43373</v>
      </c>
      <c r="BA12" s="200">
        <f t="shared" si="2"/>
        <v>43404</v>
      </c>
      <c r="BB12" s="200">
        <f t="shared" si="2"/>
        <v>43434</v>
      </c>
      <c r="BC12" s="200">
        <f t="shared" si="2"/>
        <v>43465</v>
      </c>
      <c r="BD12" s="200">
        <f t="shared" si="2"/>
        <v>43496</v>
      </c>
      <c r="BE12" s="200">
        <f t="shared" si="2"/>
        <v>43524</v>
      </c>
      <c r="BF12" s="200">
        <f t="shared" si="2"/>
        <v>43555</v>
      </c>
      <c r="BG12" s="200">
        <f t="shared" si="2"/>
        <v>43585</v>
      </c>
      <c r="BH12" s="200">
        <f t="shared" si="2"/>
        <v>43616</v>
      </c>
      <c r="BI12" s="200">
        <f t="shared" si="2"/>
        <v>43646</v>
      </c>
      <c r="BJ12" s="200">
        <f t="shared" si="2"/>
        <v>43677</v>
      </c>
      <c r="BK12" s="200">
        <f t="shared" si="2"/>
        <v>43708</v>
      </c>
      <c r="BL12" s="200">
        <f t="shared" si="2"/>
        <v>43738</v>
      </c>
      <c r="BM12" s="200">
        <f t="shared" si="2"/>
        <v>43769</v>
      </c>
      <c r="BN12" s="200">
        <f t="shared" si="2"/>
        <v>43799</v>
      </c>
      <c r="BO12" s="200">
        <f t="shared" si="2"/>
        <v>43830</v>
      </c>
      <c r="BP12" s="200">
        <f t="shared" si="2"/>
        <v>43861</v>
      </c>
      <c r="BQ12" s="200">
        <f t="shared" si="2"/>
        <v>43890</v>
      </c>
      <c r="BR12" s="200">
        <f t="shared" ref="BR12:DX12" si="3">DATE(YEAR(BR11),MONTH(BR11)+1,DAY(BR11)-1)</f>
        <v>43921</v>
      </c>
      <c r="BS12" s="200">
        <f t="shared" si="3"/>
        <v>43951</v>
      </c>
      <c r="BT12" s="200">
        <f t="shared" si="3"/>
        <v>43982</v>
      </c>
      <c r="BU12" s="200">
        <f t="shared" si="3"/>
        <v>44012</v>
      </c>
      <c r="BV12" s="200">
        <f t="shared" si="3"/>
        <v>44043</v>
      </c>
      <c r="BW12" s="200">
        <f t="shared" si="3"/>
        <v>44074</v>
      </c>
      <c r="BX12" s="200">
        <f t="shared" si="3"/>
        <v>44104</v>
      </c>
      <c r="BY12" s="200">
        <f t="shared" si="3"/>
        <v>44135</v>
      </c>
      <c r="BZ12" s="200">
        <f t="shared" si="3"/>
        <v>44165</v>
      </c>
      <c r="CA12" s="200">
        <f t="shared" si="3"/>
        <v>44196</v>
      </c>
      <c r="CB12" s="200">
        <f t="shared" si="3"/>
        <v>44227</v>
      </c>
      <c r="CC12" s="200">
        <f t="shared" si="3"/>
        <v>44255</v>
      </c>
      <c r="CD12" s="200">
        <f t="shared" si="3"/>
        <v>44286</v>
      </c>
      <c r="CE12" s="200">
        <f t="shared" si="3"/>
        <v>44316</v>
      </c>
      <c r="CF12" s="200">
        <f t="shared" si="3"/>
        <v>44347</v>
      </c>
      <c r="CG12" s="200">
        <f t="shared" si="3"/>
        <v>44377</v>
      </c>
      <c r="CH12" s="200">
        <f t="shared" si="3"/>
        <v>44408</v>
      </c>
      <c r="CI12" s="200">
        <f t="shared" si="3"/>
        <v>44439</v>
      </c>
      <c r="CJ12" s="200">
        <f t="shared" si="3"/>
        <v>44469</v>
      </c>
      <c r="CK12" s="200">
        <f t="shared" si="3"/>
        <v>44500</v>
      </c>
      <c r="CL12" s="200">
        <f t="shared" si="3"/>
        <v>44530</v>
      </c>
      <c r="CM12" s="200">
        <f t="shared" si="3"/>
        <v>44561</v>
      </c>
      <c r="CN12" s="200">
        <f t="shared" si="3"/>
        <v>44592</v>
      </c>
      <c r="CO12" s="200">
        <f t="shared" si="3"/>
        <v>44620</v>
      </c>
      <c r="CP12" s="200">
        <f t="shared" si="3"/>
        <v>44651</v>
      </c>
      <c r="CQ12" s="200">
        <f t="shared" si="3"/>
        <v>44681</v>
      </c>
      <c r="CR12" s="200">
        <f t="shared" si="3"/>
        <v>44712</v>
      </c>
      <c r="CS12" s="200">
        <f t="shared" si="3"/>
        <v>44742</v>
      </c>
      <c r="CT12" s="200">
        <f t="shared" si="3"/>
        <v>44773</v>
      </c>
      <c r="CU12" s="200">
        <f t="shared" si="3"/>
        <v>44804</v>
      </c>
      <c r="CV12" s="200">
        <f t="shared" si="3"/>
        <v>44834</v>
      </c>
      <c r="CW12" s="200">
        <f t="shared" si="3"/>
        <v>44865</v>
      </c>
      <c r="CX12" s="200">
        <f t="shared" si="3"/>
        <v>44895</v>
      </c>
      <c r="CY12" s="200">
        <f t="shared" si="3"/>
        <v>44926</v>
      </c>
      <c r="CZ12" s="200">
        <f t="shared" si="3"/>
        <v>44957</v>
      </c>
      <c r="DA12" s="200">
        <f t="shared" si="3"/>
        <v>44985</v>
      </c>
      <c r="DB12" s="200">
        <f t="shared" si="3"/>
        <v>45016</v>
      </c>
      <c r="DC12" s="200">
        <f t="shared" si="3"/>
        <v>45046</v>
      </c>
      <c r="DD12" s="200">
        <f t="shared" si="3"/>
        <v>45077</v>
      </c>
      <c r="DE12" s="200">
        <f t="shared" si="3"/>
        <v>45107</v>
      </c>
      <c r="DF12" s="200">
        <f t="shared" si="3"/>
        <v>45138</v>
      </c>
      <c r="DG12" s="200">
        <f t="shared" si="3"/>
        <v>45169</v>
      </c>
      <c r="DH12" s="200">
        <f t="shared" si="3"/>
        <v>45199</v>
      </c>
      <c r="DI12" s="200">
        <f t="shared" si="3"/>
        <v>45230</v>
      </c>
      <c r="DJ12" s="200">
        <f t="shared" si="3"/>
        <v>45260</v>
      </c>
      <c r="DK12" s="200">
        <f t="shared" si="3"/>
        <v>45291</v>
      </c>
      <c r="DL12" s="200">
        <f t="shared" si="3"/>
        <v>45322</v>
      </c>
      <c r="DM12" s="200">
        <f t="shared" si="3"/>
        <v>45351</v>
      </c>
      <c r="DN12" s="200">
        <f t="shared" si="3"/>
        <v>45382</v>
      </c>
      <c r="DO12" s="200">
        <f t="shared" si="3"/>
        <v>45412</v>
      </c>
      <c r="DP12" s="200">
        <f t="shared" si="3"/>
        <v>45443</v>
      </c>
      <c r="DQ12" s="200">
        <f t="shared" si="3"/>
        <v>45473</v>
      </c>
      <c r="DR12" s="200">
        <f t="shared" si="3"/>
        <v>45504</v>
      </c>
      <c r="DS12" s="200">
        <f t="shared" si="3"/>
        <v>45535</v>
      </c>
      <c r="DT12" s="200">
        <f t="shared" si="3"/>
        <v>45565</v>
      </c>
      <c r="DU12" s="200">
        <f t="shared" si="3"/>
        <v>45596</v>
      </c>
      <c r="DV12" s="200">
        <f t="shared" si="3"/>
        <v>45626</v>
      </c>
      <c r="DW12" s="200">
        <f t="shared" si="3"/>
        <v>45657</v>
      </c>
      <c r="DX12" s="200">
        <f t="shared" si="3"/>
        <v>45688</v>
      </c>
      <c r="DY12" s="88"/>
      <c r="DZ12" s="193" t="s">
        <v>392</v>
      </c>
      <c r="EB12" s="88"/>
    </row>
    <row r="13" spans="1:132" outlineLevel="1">
      <c r="A13" s="91" t="s">
        <v>157</v>
      </c>
      <c r="C13" s="180"/>
      <c r="D13" s="180"/>
      <c r="E13" s="180"/>
      <c r="F13" s="201">
        <v>1</v>
      </c>
      <c r="G13" s="202">
        <f t="shared" ref="G13:BR13" si="4">F13+1</f>
        <v>2</v>
      </c>
      <c r="H13" s="203">
        <f t="shared" si="4"/>
        <v>3</v>
      </c>
      <c r="I13" s="203">
        <f t="shared" si="4"/>
        <v>4</v>
      </c>
      <c r="J13" s="203">
        <f t="shared" si="4"/>
        <v>5</v>
      </c>
      <c r="K13" s="203">
        <f t="shared" si="4"/>
        <v>6</v>
      </c>
      <c r="L13" s="203">
        <f t="shared" si="4"/>
        <v>7</v>
      </c>
      <c r="M13" s="203">
        <f t="shared" si="4"/>
        <v>8</v>
      </c>
      <c r="N13" s="203">
        <f t="shared" si="4"/>
        <v>9</v>
      </c>
      <c r="O13" s="203">
        <f t="shared" si="4"/>
        <v>10</v>
      </c>
      <c r="P13" s="203">
        <f t="shared" si="4"/>
        <v>11</v>
      </c>
      <c r="Q13" s="203">
        <f t="shared" si="4"/>
        <v>12</v>
      </c>
      <c r="R13" s="203">
        <f t="shared" si="4"/>
        <v>13</v>
      </c>
      <c r="S13" s="203">
        <f t="shared" si="4"/>
        <v>14</v>
      </c>
      <c r="T13" s="203">
        <f t="shared" si="4"/>
        <v>15</v>
      </c>
      <c r="U13" s="203">
        <f t="shared" si="4"/>
        <v>16</v>
      </c>
      <c r="V13" s="203">
        <f t="shared" si="4"/>
        <v>17</v>
      </c>
      <c r="W13" s="203">
        <f t="shared" si="4"/>
        <v>18</v>
      </c>
      <c r="X13" s="203">
        <f t="shared" si="4"/>
        <v>19</v>
      </c>
      <c r="Y13" s="203">
        <f t="shared" si="4"/>
        <v>20</v>
      </c>
      <c r="Z13" s="203">
        <f t="shared" si="4"/>
        <v>21</v>
      </c>
      <c r="AA13" s="203">
        <f t="shared" si="4"/>
        <v>22</v>
      </c>
      <c r="AB13" s="203">
        <f t="shared" si="4"/>
        <v>23</v>
      </c>
      <c r="AC13" s="203">
        <f t="shared" si="4"/>
        <v>24</v>
      </c>
      <c r="AD13" s="203">
        <f t="shared" si="4"/>
        <v>25</v>
      </c>
      <c r="AE13" s="203">
        <f t="shared" si="4"/>
        <v>26</v>
      </c>
      <c r="AF13" s="203">
        <f t="shared" si="4"/>
        <v>27</v>
      </c>
      <c r="AG13" s="203">
        <f t="shared" si="4"/>
        <v>28</v>
      </c>
      <c r="AH13" s="203">
        <f t="shared" si="4"/>
        <v>29</v>
      </c>
      <c r="AI13" s="203">
        <f t="shared" si="4"/>
        <v>30</v>
      </c>
      <c r="AJ13" s="203">
        <f t="shared" si="4"/>
        <v>31</v>
      </c>
      <c r="AK13" s="203">
        <f t="shared" si="4"/>
        <v>32</v>
      </c>
      <c r="AL13" s="203">
        <f t="shared" si="4"/>
        <v>33</v>
      </c>
      <c r="AM13" s="203">
        <f t="shared" si="4"/>
        <v>34</v>
      </c>
      <c r="AN13" s="203">
        <f t="shared" si="4"/>
        <v>35</v>
      </c>
      <c r="AO13" s="203">
        <f t="shared" si="4"/>
        <v>36</v>
      </c>
      <c r="AP13" s="203">
        <f t="shared" si="4"/>
        <v>37</v>
      </c>
      <c r="AQ13" s="203">
        <f t="shared" si="4"/>
        <v>38</v>
      </c>
      <c r="AR13" s="203">
        <f t="shared" si="4"/>
        <v>39</v>
      </c>
      <c r="AS13" s="203">
        <f t="shared" si="4"/>
        <v>40</v>
      </c>
      <c r="AT13" s="203">
        <f t="shared" si="4"/>
        <v>41</v>
      </c>
      <c r="AU13" s="203">
        <f t="shared" si="4"/>
        <v>42</v>
      </c>
      <c r="AV13" s="203">
        <f t="shared" si="4"/>
        <v>43</v>
      </c>
      <c r="AW13" s="203">
        <f t="shared" si="4"/>
        <v>44</v>
      </c>
      <c r="AX13" s="203">
        <f t="shared" si="4"/>
        <v>45</v>
      </c>
      <c r="AY13" s="203">
        <f t="shared" si="4"/>
        <v>46</v>
      </c>
      <c r="AZ13" s="203">
        <f t="shared" si="4"/>
        <v>47</v>
      </c>
      <c r="BA13" s="203">
        <f t="shared" si="4"/>
        <v>48</v>
      </c>
      <c r="BB13" s="203">
        <f t="shared" si="4"/>
        <v>49</v>
      </c>
      <c r="BC13" s="203">
        <f t="shared" si="4"/>
        <v>50</v>
      </c>
      <c r="BD13" s="203">
        <f t="shared" si="4"/>
        <v>51</v>
      </c>
      <c r="BE13" s="203">
        <f t="shared" si="4"/>
        <v>52</v>
      </c>
      <c r="BF13" s="203">
        <f t="shared" si="4"/>
        <v>53</v>
      </c>
      <c r="BG13" s="203">
        <f t="shared" si="4"/>
        <v>54</v>
      </c>
      <c r="BH13" s="203">
        <f t="shared" si="4"/>
        <v>55</v>
      </c>
      <c r="BI13" s="203">
        <f t="shared" si="4"/>
        <v>56</v>
      </c>
      <c r="BJ13" s="203">
        <f t="shared" si="4"/>
        <v>57</v>
      </c>
      <c r="BK13" s="203">
        <f t="shared" si="4"/>
        <v>58</v>
      </c>
      <c r="BL13" s="203">
        <f t="shared" si="4"/>
        <v>59</v>
      </c>
      <c r="BM13" s="203">
        <f t="shared" si="4"/>
        <v>60</v>
      </c>
      <c r="BN13" s="203">
        <f t="shared" si="4"/>
        <v>61</v>
      </c>
      <c r="BO13" s="203">
        <f t="shared" si="4"/>
        <v>62</v>
      </c>
      <c r="BP13" s="203">
        <f t="shared" si="4"/>
        <v>63</v>
      </c>
      <c r="BQ13" s="203">
        <f t="shared" si="4"/>
        <v>64</v>
      </c>
      <c r="BR13" s="203">
        <f t="shared" si="4"/>
        <v>65</v>
      </c>
      <c r="BS13" s="203">
        <f t="shared" ref="BS13:DX13" si="5">BR13+1</f>
        <v>66</v>
      </c>
      <c r="BT13" s="203">
        <f t="shared" si="5"/>
        <v>67</v>
      </c>
      <c r="BU13" s="203">
        <f t="shared" si="5"/>
        <v>68</v>
      </c>
      <c r="BV13" s="203">
        <f t="shared" si="5"/>
        <v>69</v>
      </c>
      <c r="BW13" s="203">
        <f t="shared" si="5"/>
        <v>70</v>
      </c>
      <c r="BX13" s="203">
        <f t="shared" si="5"/>
        <v>71</v>
      </c>
      <c r="BY13" s="203">
        <f t="shared" si="5"/>
        <v>72</v>
      </c>
      <c r="BZ13" s="203">
        <f t="shared" si="5"/>
        <v>73</v>
      </c>
      <c r="CA13" s="203">
        <f t="shared" si="5"/>
        <v>74</v>
      </c>
      <c r="CB13" s="203">
        <f t="shared" si="5"/>
        <v>75</v>
      </c>
      <c r="CC13" s="203">
        <f t="shared" si="5"/>
        <v>76</v>
      </c>
      <c r="CD13" s="203">
        <f t="shared" si="5"/>
        <v>77</v>
      </c>
      <c r="CE13" s="203">
        <f t="shared" si="5"/>
        <v>78</v>
      </c>
      <c r="CF13" s="203">
        <f t="shared" si="5"/>
        <v>79</v>
      </c>
      <c r="CG13" s="203">
        <f t="shared" si="5"/>
        <v>80</v>
      </c>
      <c r="CH13" s="203">
        <f t="shared" si="5"/>
        <v>81</v>
      </c>
      <c r="CI13" s="203">
        <f t="shared" si="5"/>
        <v>82</v>
      </c>
      <c r="CJ13" s="203">
        <f t="shared" si="5"/>
        <v>83</v>
      </c>
      <c r="CK13" s="203">
        <f t="shared" si="5"/>
        <v>84</v>
      </c>
      <c r="CL13" s="203">
        <f t="shared" si="5"/>
        <v>85</v>
      </c>
      <c r="CM13" s="203">
        <f t="shared" si="5"/>
        <v>86</v>
      </c>
      <c r="CN13" s="203">
        <f t="shared" si="5"/>
        <v>87</v>
      </c>
      <c r="CO13" s="203">
        <f t="shared" si="5"/>
        <v>88</v>
      </c>
      <c r="CP13" s="203">
        <f t="shared" si="5"/>
        <v>89</v>
      </c>
      <c r="CQ13" s="203">
        <f t="shared" si="5"/>
        <v>90</v>
      </c>
      <c r="CR13" s="203">
        <f t="shared" si="5"/>
        <v>91</v>
      </c>
      <c r="CS13" s="203">
        <f t="shared" si="5"/>
        <v>92</v>
      </c>
      <c r="CT13" s="203">
        <f t="shared" si="5"/>
        <v>93</v>
      </c>
      <c r="CU13" s="203">
        <f t="shared" si="5"/>
        <v>94</v>
      </c>
      <c r="CV13" s="203">
        <f t="shared" si="5"/>
        <v>95</v>
      </c>
      <c r="CW13" s="203">
        <f t="shared" si="5"/>
        <v>96</v>
      </c>
      <c r="CX13" s="203">
        <f t="shared" si="5"/>
        <v>97</v>
      </c>
      <c r="CY13" s="203">
        <f t="shared" si="5"/>
        <v>98</v>
      </c>
      <c r="CZ13" s="203">
        <f t="shared" si="5"/>
        <v>99</v>
      </c>
      <c r="DA13" s="203">
        <f t="shared" si="5"/>
        <v>100</v>
      </c>
      <c r="DB13" s="203">
        <f t="shared" si="5"/>
        <v>101</v>
      </c>
      <c r="DC13" s="203">
        <f t="shared" si="5"/>
        <v>102</v>
      </c>
      <c r="DD13" s="203">
        <f t="shared" si="5"/>
        <v>103</v>
      </c>
      <c r="DE13" s="203">
        <f t="shared" si="5"/>
        <v>104</v>
      </c>
      <c r="DF13" s="203">
        <f t="shared" si="5"/>
        <v>105</v>
      </c>
      <c r="DG13" s="203">
        <f t="shared" si="5"/>
        <v>106</v>
      </c>
      <c r="DH13" s="203">
        <f t="shared" si="5"/>
        <v>107</v>
      </c>
      <c r="DI13" s="203">
        <f t="shared" si="5"/>
        <v>108</v>
      </c>
      <c r="DJ13" s="203">
        <f t="shared" si="5"/>
        <v>109</v>
      </c>
      <c r="DK13" s="203">
        <f t="shared" si="5"/>
        <v>110</v>
      </c>
      <c r="DL13" s="203">
        <f t="shared" si="5"/>
        <v>111</v>
      </c>
      <c r="DM13" s="203">
        <f t="shared" si="5"/>
        <v>112</v>
      </c>
      <c r="DN13" s="203">
        <f t="shared" si="5"/>
        <v>113</v>
      </c>
      <c r="DO13" s="203">
        <f t="shared" si="5"/>
        <v>114</v>
      </c>
      <c r="DP13" s="203">
        <f t="shared" si="5"/>
        <v>115</v>
      </c>
      <c r="DQ13" s="203">
        <f t="shared" si="5"/>
        <v>116</v>
      </c>
      <c r="DR13" s="203">
        <f t="shared" si="5"/>
        <v>117</v>
      </c>
      <c r="DS13" s="203">
        <f t="shared" si="5"/>
        <v>118</v>
      </c>
      <c r="DT13" s="203">
        <f t="shared" si="5"/>
        <v>119</v>
      </c>
      <c r="DU13" s="203">
        <f t="shared" si="5"/>
        <v>120</v>
      </c>
      <c r="DV13" s="203">
        <f t="shared" si="5"/>
        <v>121</v>
      </c>
      <c r="DW13" s="203">
        <f t="shared" si="5"/>
        <v>122</v>
      </c>
      <c r="DX13" s="203">
        <f t="shared" si="5"/>
        <v>123</v>
      </c>
      <c r="DY13" s="88"/>
      <c r="DZ13" s="188" t="s">
        <v>393</v>
      </c>
      <c r="EB13" s="88"/>
    </row>
    <row r="14" spans="1:132" outlineLevel="1">
      <c r="A14" s="91" t="s">
        <v>158</v>
      </c>
      <c r="C14" s="180"/>
      <c r="D14" s="180"/>
      <c r="E14" s="180"/>
      <c r="F14" s="202">
        <f t="shared" ref="F14:AK14" si="6">IF(PeriodNoMth&lt;=PreContractPeriodDuration,-1-PreContractPeriodDuration+F13,PeriodNoMth-PreContractPeriodDuration)</f>
        <v>-3</v>
      </c>
      <c r="G14" s="203">
        <f t="shared" si="6"/>
        <v>-2</v>
      </c>
      <c r="H14" s="203">
        <f t="shared" si="6"/>
        <v>-1</v>
      </c>
      <c r="I14" s="203">
        <f t="shared" si="6"/>
        <v>1</v>
      </c>
      <c r="J14" s="203">
        <f t="shared" si="6"/>
        <v>2</v>
      </c>
      <c r="K14" s="203">
        <f t="shared" si="6"/>
        <v>3</v>
      </c>
      <c r="L14" s="203">
        <f t="shared" si="6"/>
        <v>4</v>
      </c>
      <c r="M14" s="203">
        <f t="shared" si="6"/>
        <v>5</v>
      </c>
      <c r="N14" s="203">
        <f t="shared" si="6"/>
        <v>6</v>
      </c>
      <c r="O14" s="203">
        <f t="shared" si="6"/>
        <v>7</v>
      </c>
      <c r="P14" s="203">
        <f t="shared" si="6"/>
        <v>8</v>
      </c>
      <c r="Q14" s="203">
        <f t="shared" si="6"/>
        <v>9</v>
      </c>
      <c r="R14" s="203">
        <f t="shared" si="6"/>
        <v>10</v>
      </c>
      <c r="S14" s="203">
        <f t="shared" si="6"/>
        <v>11</v>
      </c>
      <c r="T14" s="203">
        <f t="shared" si="6"/>
        <v>12</v>
      </c>
      <c r="U14" s="203">
        <f t="shared" si="6"/>
        <v>13</v>
      </c>
      <c r="V14" s="203">
        <f t="shared" si="6"/>
        <v>14</v>
      </c>
      <c r="W14" s="203">
        <f t="shared" si="6"/>
        <v>15</v>
      </c>
      <c r="X14" s="203">
        <f t="shared" si="6"/>
        <v>16</v>
      </c>
      <c r="Y14" s="203">
        <f t="shared" si="6"/>
        <v>17</v>
      </c>
      <c r="Z14" s="203">
        <f t="shared" si="6"/>
        <v>18</v>
      </c>
      <c r="AA14" s="203">
        <f t="shared" si="6"/>
        <v>19</v>
      </c>
      <c r="AB14" s="203">
        <f t="shared" si="6"/>
        <v>20</v>
      </c>
      <c r="AC14" s="203">
        <f t="shared" si="6"/>
        <v>21</v>
      </c>
      <c r="AD14" s="203">
        <f t="shared" si="6"/>
        <v>22</v>
      </c>
      <c r="AE14" s="203">
        <f t="shared" si="6"/>
        <v>23</v>
      </c>
      <c r="AF14" s="203">
        <f t="shared" si="6"/>
        <v>24</v>
      </c>
      <c r="AG14" s="203">
        <f t="shared" si="6"/>
        <v>25</v>
      </c>
      <c r="AH14" s="203">
        <f t="shared" si="6"/>
        <v>26</v>
      </c>
      <c r="AI14" s="203">
        <f t="shared" si="6"/>
        <v>27</v>
      </c>
      <c r="AJ14" s="203">
        <f t="shared" si="6"/>
        <v>28</v>
      </c>
      <c r="AK14" s="203">
        <f t="shared" si="6"/>
        <v>29</v>
      </c>
      <c r="AL14" s="203">
        <f t="shared" ref="AL14:BQ14" si="7">IF(PeriodNoMth&lt;=PreContractPeriodDuration,-1-PreContractPeriodDuration+AL13,PeriodNoMth-PreContractPeriodDuration)</f>
        <v>30</v>
      </c>
      <c r="AM14" s="203">
        <f t="shared" si="7"/>
        <v>31</v>
      </c>
      <c r="AN14" s="203">
        <f t="shared" si="7"/>
        <v>32</v>
      </c>
      <c r="AO14" s="203">
        <f t="shared" si="7"/>
        <v>33</v>
      </c>
      <c r="AP14" s="203">
        <f t="shared" si="7"/>
        <v>34</v>
      </c>
      <c r="AQ14" s="203">
        <f t="shared" si="7"/>
        <v>35</v>
      </c>
      <c r="AR14" s="203">
        <f t="shared" si="7"/>
        <v>36</v>
      </c>
      <c r="AS14" s="203">
        <f t="shared" si="7"/>
        <v>37</v>
      </c>
      <c r="AT14" s="203">
        <f t="shared" si="7"/>
        <v>38</v>
      </c>
      <c r="AU14" s="203">
        <f t="shared" si="7"/>
        <v>39</v>
      </c>
      <c r="AV14" s="203">
        <f t="shared" si="7"/>
        <v>40</v>
      </c>
      <c r="AW14" s="203">
        <f t="shared" si="7"/>
        <v>41</v>
      </c>
      <c r="AX14" s="203">
        <f t="shared" si="7"/>
        <v>42</v>
      </c>
      <c r="AY14" s="203">
        <f t="shared" si="7"/>
        <v>43</v>
      </c>
      <c r="AZ14" s="203">
        <f t="shared" si="7"/>
        <v>44</v>
      </c>
      <c r="BA14" s="203">
        <f t="shared" si="7"/>
        <v>45</v>
      </c>
      <c r="BB14" s="203">
        <f t="shared" si="7"/>
        <v>46</v>
      </c>
      <c r="BC14" s="203">
        <f t="shared" si="7"/>
        <v>47</v>
      </c>
      <c r="BD14" s="203">
        <f t="shared" si="7"/>
        <v>48</v>
      </c>
      <c r="BE14" s="203">
        <f t="shared" si="7"/>
        <v>49</v>
      </c>
      <c r="BF14" s="203">
        <f t="shared" si="7"/>
        <v>50</v>
      </c>
      <c r="BG14" s="203">
        <f t="shared" si="7"/>
        <v>51</v>
      </c>
      <c r="BH14" s="203">
        <f t="shared" si="7"/>
        <v>52</v>
      </c>
      <c r="BI14" s="203">
        <f t="shared" si="7"/>
        <v>53</v>
      </c>
      <c r="BJ14" s="203">
        <f t="shared" si="7"/>
        <v>54</v>
      </c>
      <c r="BK14" s="203">
        <f t="shared" si="7"/>
        <v>55</v>
      </c>
      <c r="BL14" s="203">
        <f t="shared" si="7"/>
        <v>56</v>
      </c>
      <c r="BM14" s="203">
        <f t="shared" si="7"/>
        <v>57</v>
      </c>
      <c r="BN14" s="203">
        <f t="shared" si="7"/>
        <v>58</v>
      </c>
      <c r="BO14" s="203">
        <f t="shared" si="7"/>
        <v>59</v>
      </c>
      <c r="BP14" s="203">
        <f t="shared" si="7"/>
        <v>60</v>
      </c>
      <c r="BQ14" s="203">
        <f t="shared" si="7"/>
        <v>61</v>
      </c>
      <c r="BR14" s="203">
        <f t="shared" ref="BR14:CW14" si="8">IF(PeriodNoMth&lt;=PreContractPeriodDuration,-1-PreContractPeriodDuration+BR13,PeriodNoMth-PreContractPeriodDuration)</f>
        <v>62</v>
      </c>
      <c r="BS14" s="203">
        <f t="shared" si="8"/>
        <v>63</v>
      </c>
      <c r="BT14" s="203">
        <f t="shared" si="8"/>
        <v>64</v>
      </c>
      <c r="BU14" s="203">
        <f t="shared" si="8"/>
        <v>65</v>
      </c>
      <c r="BV14" s="203">
        <f t="shared" si="8"/>
        <v>66</v>
      </c>
      <c r="BW14" s="203">
        <f t="shared" si="8"/>
        <v>67</v>
      </c>
      <c r="BX14" s="203">
        <f t="shared" si="8"/>
        <v>68</v>
      </c>
      <c r="BY14" s="203">
        <f t="shared" si="8"/>
        <v>69</v>
      </c>
      <c r="BZ14" s="203">
        <f t="shared" si="8"/>
        <v>70</v>
      </c>
      <c r="CA14" s="203">
        <f t="shared" si="8"/>
        <v>71</v>
      </c>
      <c r="CB14" s="203">
        <f t="shared" si="8"/>
        <v>72</v>
      </c>
      <c r="CC14" s="203">
        <f t="shared" si="8"/>
        <v>73</v>
      </c>
      <c r="CD14" s="203">
        <f t="shared" si="8"/>
        <v>74</v>
      </c>
      <c r="CE14" s="203">
        <f t="shared" si="8"/>
        <v>75</v>
      </c>
      <c r="CF14" s="203">
        <f t="shared" si="8"/>
        <v>76</v>
      </c>
      <c r="CG14" s="203">
        <f t="shared" si="8"/>
        <v>77</v>
      </c>
      <c r="CH14" s="203">
        <f t="shared" si="8"/>
        <v>78</v>
      </c>
      <c r="CI14" s="203">
        <f t="shared" si="8"/>
        <v>79</v>
      </c>
      <c r="CJ14" s="203">
        <f t="shared" si="8"/>
        <v>80</v>
      </c>
      <c r="CK14" s="203">
        <f t="shared" si="8"/>
        <v>81</v>
      </c>
      <c r="CL14" s="203">
        <f t="shared" si="8"/>
        <v>82</v>
      </c>
      <c r="CM14" s="203">
        <f t="shared" si="8"/>
        <v>83</v>
      </c>
      <c r="CN14" s="203">
        <f t="shared" si="8"/>
        <v>84</v>
      </c>
      <c r="CO14" s="203">
        <f t="shared" si="8"/>
        <v>85</v>
      </c>
      <c r="CP14" s="203">
        <f t="shared" si="8"/>
        <v>86</v>
      </c>
      <c r="CQ14" s="203">
        <f t="shared" si="8"/>
        <v>87</v>
      </c>
      <c r="CR14" s="203">
        <f t="shared" si="8"/>
        <v>88</v>
      </c>
      <c r="CS14" s="203">
        <f t="shared" si="8"/>
        <v>89</v>
      </c>
      <c r="CT14" s="203">
        <f t="shared" si="8"/>
        <v>90</v>
      </c>
      <c r="CU14" s="203">
        <f t="shared" si="8"/>
        <v>91</v>
      </c>
      <c r="CV14" s="203">
        <f t="shared" si="8"/>
        <v>92</v>
      </c>
      <c r="CW14" s="203">
        <f t="shared" si="8"/>
        <v>93</v>
      </c>
      <c r="CX14" s="203">
        <f t="shared" ref="CX14:DX14" si="9">IF(PeriodNoMth&lt;=PreContractPeriodDuration,-1-PreContractPeriodDuration+CX13,PeriodNoMth-PreContractPeriodDuration)</f>
        <v>94</v>
      </c>
      <c r="CY14" s="203">
        <f t="shared" si="9"/>
        <v>95</v>
      </c>
      <c r="CZ14" s="203">
        <f t="shared" si="9"/>
        <v>96</v>
      </c>
      <c r="DA14" s="203">
        <f t="shared" si="9"/>
        <v>97</v>
      </c>
      <c r="DB14" s="203">
        <f t="shared" si="9"/>
        <v>98</v>
      </c>
      <c r="DC14" s="203">
        <f t="shared" si="9"/>
        <v>99</v>
      </c>
      <c r="DD14" s="203">
        <f t="shared" si="9"/>
        <v>100</v>
      </c>
      <c r="DE14" s="203">
        <f t="shared" si="9"/>
        <v>101</v>
      </c>
      <c r="DF14" s="203">
        <f t="shared" si="9"/>
        <v>102</v>
      </c>
      <c r="DG14" s="203">
        <f t="shared" si="9"/>
        <v>103</v>
      </c>
      <c r="DH14" s="203">
        <f t="shared" si="9"/>
        <v>104</v>
      </c>
      <c r="DI14" s="203">
        <f t="shared" si="9"/>
        <v>105</v>
      </c>
      <c r="DJ14" s="203">
        <f t="shared" si="9"/>
        <v>106</v>
      </c>
      <c r="DK14" s="203">
        <f t="shared" si="9"/>
        <v>107</v>
      </c>
      <c r="DL14" s="203">
        <f t="shared" si="9"/>
        <v>108</v>
      </c>
      <c r="DM14" s="203">
        <f t="shared" si="9"/>
        <v>109</v>
      </c>
      <c r="DN14" s="203">
        <f t="shared" si="9"/>
        <v>110</v>
      </c>
      <c r="DO14" s="203">
        <f t="shared" si="9"/>
        <v>111</v>
      </c>
      <c r="DP14" s="203">
        <f t="shared" si="9"/>
        <v>112</v>
      </c>
      <c r="DQ14" s="203">
        <f t="shared" si="9"/>
        <v>113</v>
      </c>
      <c r="DR14" s="203">
        <f t="shared" si="9"/>
        <v>114</v>
      </c>
      <c r="DS14" s="203">
        <f t="shared" si="9"/>
        <v>115</v>
      </c>
      <c r="DT14" s="203">
        <f t="shared" si="9"/>
        <v>116</v>
      </c>
      <c r="DU14" s="203">
        <f t="shared" si="9"/>
        <v>117</v>
      </c>
      <c r="DV14" s="203">
        <f t="shared" si="9"/>
        <v>118</v>
      </c>
      <c r="DW14" s="203">
        <f t="shared" si="9"/>
        <v>119</v>
      </c>
      <c r="DX14" s="203">
        <f t="shared" si="9"/>
        <v>120</v>
      </c>
      <c r="DY14" s="88"/>
      <c r="DZ14" s="188" t="s">
        <v>394</v>
      </c>
      <c r="EB14" s="88"/>
    </row>
    <row r="15" spans="1:132" outlineLevel="1">
      <c r="A15" s="91" t="s">
        <v>159</v>
      </c>
      <c r="C15" s="180"/>
      <c r="D15" s="180"/>
      <c r="E15" s="180"/>
      <c r="F15" s="202">
        <f t="shared" ref="F15:AK15" si="10">IF(PeriodNoMth&lt;=PreContractPeriodDuration,0,INT((PeriodCounter-1)/MinY)+1)</f>
        <v>0</v>
      </c>
      <c r="G15" s="203">
        <f t="shared" si="10"/>
        <v>0</v>
      </c>
      <c r="H15" s="203">
        <f t="shared" si="10"/>
        <v>0</v>
      </c>
      <c r="I15" s="203">
        <f t="shared" si="10"/>
        <v>1</v>
      </c>
      <c r="J15" s="203">
        <f t="shared" si="10"/>
        <v>1</v>
      </c>
      <c r="K15" s="203">
        <f t="shared" si="10"/>
        <v>1</v>
      </c>
      <c r="L15" s="203">
        <f t="shared" si="10"/>
        <v>1</v>
      </c>
      <c r="M15" s="203">
        <f t="shared" si="10"/>
        <v>1</v>
      </c>
      <c r="N15" s="203">
        <f t="shared" si="10"/>
        <v>1</v>
      </c>
      <c r="O15" s="203">
        <f t="shared" si="10"/>
        <v>1</v>
      </c>
      <c r="P15" s="203">
        <f t="shared" si="10"/>
        <v>1</v>
      </c>
      <c r="Q15" s="203">
        <f t="shared" si="10"/>
        <v>1</v>
      </c>
      <c r="R15" s="203">
        <f t="shared" si="10"/>
        <v>1</v>
      </c>
      <c r="S15" s="203">
        <f t="shared" si="10"/>
        <v>1</v>
      </c>
      <c r="T15" s="203">
        <f t="shared" si="10"/>
        <v>1</v>
      </c>
      <c r="U15" s="203">
        <f t="shared" si="10"/>
        <v>2</v>
      </c>
      <c r="V15" s="203">
        <f t="shared" si="10"/>
        <v>2</v>
      </c>
      <c r="W15" s="203">
        <f t="shared" si="10"/>
        <v>2</v>
      </c>
      <c r="X15" s="203">
        <f t="shared" si="10"/>
        <v>2</v>
      </c>
      <c r="Y15" s="203">
        <f t="shared" si="10"/>
        <v>2</v>
      </c>
      <c r="Z15" s="203">
        <f t="shared" si="10"/>
        <v>2</v>
      </c>
      <c r="AA15" s="203">
        <f t="shared" si="10"/>
        <v>2</v>
      </c>
      <c r="AB15" s="203">
        <f t="shared" si="10"/>
        <v>2</v>
      </c>
      <c r="AC15" s="203">
        <f t="shared" si="10"/>
        <v>2</v>
      </c>
      <c r="AD15" s="203">
        <f t="shared" si="10"/>
        <v>2</v>
      </c>
      <c r="AE15" s="203">
        <f t="shared" si="10"/>
        <v>2</v>
      </c>
      <c r="AF15" s="203">
        <f t="shared" si="10"/>
        <v>2</v>
      </c>
      <c r="AG15" s="203">
        <f t="shared" si="10"/>
        <v>3</v>
      </c>
      <c r="AH15" s="203">
        <f t="shared" si="10"/>
        <v>3</v>
      </c>
      <c r="AI15" s="203">
        <f t="shared" si="10"/>
        <v>3</v>
      </c>
      <c r="AJ15" s="203">
        <f t="shared" si="10"/>
        <v>3</v>
      </c>
      <c r="AK15" s="203">
        <f t="shared" si="10"/>
        <v>3</v>
      </c>
      <c r="AL15" s="203">
        <f t="shared" ref="AL15:BQ15" si="11">IF(PeriodNoMth&lt;=PreContractPeriodDuration,0,INT((PeriodCounter-1)/MinY)+1)</f>
        <v>3</v>
      </c>
      <c r="AM15" s="203">
        <f t="shared" si="11"/>
        <v>3</v>
      </c>
      <c r="AN15" s="203">
        <f t="shared" si="11"/>
        <v>3</v>
      </c>
      <c r="AO15" s="203">
        <f t="shared" si="11"/>
        <v>3</v>
      </c>
      <c r="AP15" s="203">
        <f t="shared" si="11"/>
        <v>3</v>
      </c>
      <c r="AQ15" s="203">
        <f t="shared" si="11"/>
        <v>3</v>
      </c>
      <c r="AR15" s="203">
        <f t="shared" si="11"/>
        <v>3</v>
      </c>
      <c r="AS15" s="203">
        <f t="shared" si="11"/>
        <v>4</v>
      </c>
      <c r="AT15" s="203">
        <f t="shared" si="11"/>
        <v>4</v>
      </c>
      <c r="AU15" s="203">
        <f t="shared" si="11"/>
        <v>4</v>
      </c>
      <c r="AV15" s="203">
        <f t="shared" si="11"/>
        <v>4</v>
      </c>
      <c r="AW15" s="203">
        <f t="shared" si="11"/>
        <v>4</v>
      </c>
      <c r="AX15" s="203">
        <f t="shared" si="11"/>
        <v>4</v>
      </c>
      <c r="AY15" s="203">
        <f t="shared" si="11"/>
        <v>4</v>
      </c>
      <c r="AZ15" s="203">
        <f t="shared" si="11"/>
        <v>4</v>
      </c>
      <c r="BA15" s="203">
        <f t="shared" si="11"/>
        <v>4</v>
      </c>
      <c r="BB15" s="203">
        <f t="shared" si="11"/>
        <v>4</v>
      </c>
      <c r="BC15" s="203">
        <f t="shared" si="11"/>
        <v>4</v>
      </c>
      <c r="BD15" s="203">
        <f t="shared" si="11"/>
        <v>4</v>
      </c>
      <c r="BE15" s="203">
        <f t="shared" si="11"/>
        <v>5</v>
      </c>
      <c r="BF15" s="203">
        <f t="shared" si="11"/>
        <v>5</v>
      </c>
      <c r="BG15" s="203">
        <f t="shared" si="11"/>
        <v>5</v>
      </c>
      <c r="BH15" s="203">
        <f t="shared" si="11"/>
        <v>5</v>
      </c>
      <c r="BI15" s="203">
        <f t="shared" si="11"/>
        <v>5</v>
      </c>
      <c r="BJ15" s="203">
        <f t="shared" si="11"/>
        <v>5</v>
      </c>
      <c r="BK15" s="203">
        <f t="shared" si="11"/>
        <v>5</v>
      </c>
      <c r="BL15" s="203">
        <f t="shared" si="11"/>
        <v>5</v>
      </c>
      <c r="BM15" s="203">
        <f t="shared" si="11"/>
        <v>5</v>
      </c>
      <c r="BN15" s="203">
        <f t="shared" si="11"/>
        <v>5</v>
      </c>
      <c r="BO15" s="203">
        <f t="shared" si="11"/>
        <v>5</v>
      </c>
      <c r="BP15" s="203">
        <f t="shared" si="11"/>
        <v>5</v>
      </c>
      <c r="BQ15" s="203">
        <f t="shared" si="11"/>
        <v>6</v>
      </c>
      <c r="BR15" s="203">
        <f t="shared" ref="BR15:CW15" si="12">IF(PeriodNoMth&lt;=PreContractPeriodDuration,0,INT((PeriodCounter-1)/MinY)+1)</f>
        <v>6</v>
      </c>
      <c r="BS15" s="203">
        <f t="shared" si="12"/>
        <v>6</v>
      </c>
      <c r="BT15" s="203">
        <f t="shared" si="12"/>
        <v>6</v>
      </c>
      <c r="BU15" s="203">
        <f t="shared" si="12"/>
        <v>6</v>
      </c>
      <c r="BV15" s="203">
        <f t="shared" si="12"/>
        <v>6</v>
      </c>
      <c r="BW15" s="203">
        <f t="shared" si="12"/>
        <v>6</v>
      </c>
      <c r="BX15" s="203">
        <f t="shared" si="12"/>
        <v>6</v>
      </c>
      <c r="BY15" s="203">
        <f t="shared" si="12"/>
        <v>6</v>
      </c>
      <c r="BZ15" s="203">
        <f t="shared" si="12"/>
        <v>6</v>
      </c>
      <c r="CA15" s="203">
        <f t="shared" si="12"/>
        <v>6</v>
      </c>
      <c r="CB15" s="203">
        <f t="shared" si="12"/>
        <v>6</v>
      </c>
      <c r="CC15" s="203">
        <f t="shared" si="12"/>
        <v>7</v>
      </c>
      <c r="CD15" s="203">
        <f t="shared" si="12"/>
        <v>7</v>
      </c>
      <c r="CE15" s="203">
        <f t="shared" si="12"/>
        <v>7</v>
      </c>
      <c r="CF15" s="203">
        <f t="shared" si="12"/>
        <v>7</v>
      </c>
      <c r="CG15" s="203">
        <f t="shared" si="12"/>
        <v>7</v>
      </c>
      <c r="CH15" s="203">
        <f t="shared" si="12"/>
        <v>7</v>
      </c>
      <c r="CI15" s="203">
        <f t="shared" si="12"/>
        <v>7</v>
      </c>
      <c r="CJ15" s="203">
        <f t="shared" si="12"/>
        <v>7</v>
      </c>
      <c r="CK15" s="203">
        <f t="shared" si="12"/>
        <v>7</v>
      </c>
      <c r="CL15" s="203">
        <f t="shared" si="12"/>
        <v>7</v>
      </c>
      <c r="CM15" s="203">
        <f t="shared" si="12"/>
        <v>7</v>
      </c>
      <c r="CN15" s="203">
        <f t="shared" si="12"/>
        <v>7</v>
      </c>
      <c r="CO15" s="203">
        <f t="shared" si="12"/>
        <v>8</v>
      </c>
      <c r="CP15" s="203">
        <f t="shared" si="12"/>
        <v>8</v>
      </c>
      <c r="CQ15" s="203">
        <f t="shared" si="12"/>
        <v>8</v>
      </c>
      <c r="CR15" s="203">
        <f t="shared" si="12"/>
        <v>8</v>
      </c>
      <c r="CS15" s="203">
        <f t="shared" si="12"/>
        <v>8</v>
      </c>
      <c r="CT15" s="203">
        <f t="shared" si="12"/>
        <v>8</v>
      </c>
      <c r="CU15" s="203">
        <f t="shared" si="12"/>
        <v>8</v>
      </c>
      <c r="CV15" s="203">
        <f t="shared" si="12"/>
        <v>8</v>
      </c>
      <c r="CW15" s="203">
        <f t="shared" si="12"/>
        <v>8</v>
      </c>
      <c r="CX15" s="203">
        <f t="shared" ref="CX15:DX15" si="13">IF(PeriodNoMth&lt;=PreContractPeriodDuration,0,INT((PeriodCounter-1)/MinY)+1)</f>
        <v>8</v>
      </c>
      <c r="CY15" s="203">
        <f t="shared" si="13"/>
        <v>8</v>
      </c>
      <c r="CZ15" s="203">
        <f t="shared" si="13"/>
        <v>8</v>
      </c>
      <c r="DA15" s="203">
        <f t="shared" si="13"/>
        <v>9</v>
      </c>
      <c r="DB15" s="203">
        <f t="shared" si="13"/>
        <v>9</v>
      </c>
      <c r="DC15" s="203">
        <f t="shared" si="13"/>
        <v>9</v>
      </c>
      <c r="DD15" s="203">
        <f t="shared" si="13"/>
        <v>9</v>
      </c>
      <c r="DE15" s="203">
        <f t="shared" si="13"/>
        <v>9</v>
      </c>
      <c r="DF15" s="203">
        <f t="shared" si="13"/>
        <v>9</v>
      </c>
      <c r="DG15" s="203">
        <f t="shared" si="13"/>
        <v>9</v>
      </c>
      <c r="DH15" s="203">
        <f t="shared" si="13"/>
        <v>9</v>
      </c>
      <c r="DI15" s="203">
        <f t="shared" si="13"/>
        <v>9</v>
      </c>
      <c r="DJ15" s="203">
        <f t="shared" si="13"/>
        <v>9</v>
      </c>
      <c r="DK15" s="203">
        <f t="shared" si="13"/>
        <v>9</v>
      </c>
      <c r="DL15" s="203">
        <f t="shared" si="13"/>
        <v>9</v>
      </c>
      <c r="DM15" s="203">
        <f t="shared" si="13"/>
        <v>10</v>
      </c>
      <c r="DN15" s="203">
        <f t="shared" si="13"/>
        <v>10</v>
      </c>
      <c r="DO15" s="203">
        <f t="shared" si="13"/>
        <v>10</v>
      </c>
      <c r="DP15" s="203">
        <f t="shared" si="13"/>
        <v>10</v>
      </c>
      <c r="DQ15" s="203">
        <f t="shared" si="13"/>
        <v>10</v>
      </c>
      <c r="DR15" s="203">
        <f t="shared" si="13"/>
        <v>10</v>
      </c>
      <c r="DS15" s="203">
        <f t="shared" si="13"/>
        <v>10</v>
      </c>
      <c r="DT15" s="203">
        <f t="shared" si="13"/>
        <v>10</v>
      </c>
      <c r="DU15" s="203">
        <f t="shared" si="13"/>
        <v>10</v>
      </c>
      <c r="DV15" s="203">
        <f t="shared" si="13"/>
        <v>10</v>
      </c>
      <c r="DW15" s="203">
        <f t="shared" si="13"/>
        <v>10</v>
      </c>
      <c r="DX15" s="203">
        <f t="shared" si="13"/>
        <v>10</v>
      </c>
      <c r="DY15" s="88"/>
      <c r="DZ15" s="188" t="s">
        <v>395</v>
      </c>
      <c r="EB15" s="88"/>
    </row>
    <row r="16" spans="1:132" outlineLevel="1">
      <c r="A16" s="91" t="s">
        <v>160</v>
      </c>
      <c r="C16" s="185"/>
      <c r="D16" s="185"/>
      <c r="E16" s="194"/>
      <c r="F16" s="202">
        <f t="shared" ref="F16:AK16" si="14">IF(MOD(F14,MinY)=0,MinY,MOD(F14,MinY))</f>
        <v>9</v>
      </c>
      <c r="G16" s="204">
        <f t="shared" si="14"/>
        <v>10</v>
      </c>
      <c r="H16" s="204">
        <f t="shared" si="14"/>
        <v>11</v>
      </c>
      <c r="I16" s="204">
        <f t="shared" si="14"/>
        <v>1</v>
      </c>
      <c r="J16" s="203">
        <f t="shared" si="14"/>
        <v>2</v>
      </c>
      <c r="K16" s="203">
        <f t="shared" si="14"/>
        <v>3</v>
      </c>
      <c r="L16" s="203">
        <f t="shared" si="14"/>
        <v>4</v>
      </c>
      <c r="M16" s="203">
        <f t="shared" si="14"/>
        <v>5</v>
      </c>
      <c r="N16" s="203">
        <f t="shared" si="14"/>
        <v>6</v>
      </c>
      <c r="O16" s="203">
        <f t="shared" si="14"/>
        <v>7</v>
      </c>
      <c r="P16" s="203">
        <f t="shared" si="14"/>
        <v>8</v>
      </c>
      <c r="Q16" s="203">
        <f t="shared" si="14"/>
        <v>9</v>
      </c>
      <c r="R16" s="203">
        <f t="shared" si="14"/>
        <v>10</v>
      </c>
      <c r="S16" s="203">
        <f t="shared" si="14"/>
        <v>11</v>
      </c>
      <c r="T16" s="203">
        <f t="shared" si="14"/>
        <v>12</v>
      </c>
      <c r="U16" s="203">
        <f t="shared" si="14"/>
        <v>1</v>
      </c>
      <c r="V16" s="203">
        <f t="shared" si="14"/>
        <v>2</v>
      </c>
      <c r="W16" s="203">
        <f t="shared" si="14"/>
        <v>3</v>
      </c>
      <c r="X16" s="203">
        <f t="shared" si="14"/>
        <v>4</v>
      </c>
      <c r="Y16" s="203">
        <f t="shared" si="14"/>
        <v>5</v>
      </c>
      <c r="Z16" s="203">
        <f t="shared" si="14"/>
        <v>6</v>
      </c>
      <c r="AA16" s="203">
        <f t="shared" si="14"/>
        <v>7</v>
      </c>
      <c r="AB16" s="203">
        <f t="shared" si="14"/>
        <v>8</v>
      </c>
      <c r="AC16" s="203">
        <f t="shared" si="14"/>
        <v>9</v>
      </c>
      <c r="AD16" s="203">
        <f t="shared" si="14"/>
        <v>10</v>
      </c>
      <c r="AE16" s="203">
        <f t="shared" si="14"/>
        <v>11</v>
      </c>
      <c r="AF16" s="203">
        <f t="shared" si="14"/>
        <v>12</v>
      </c>
      <c r="AG16" s="203">
        <f t="shared" si="14"/>
        <v>1</v>
      </c>
      <c r="AH16" s="203">
        <f t="shared" si="14"/>
        <v>2</v>
      </c>
      <c r="AI16" s="203">
        <f t="shared" si="14"/>
        <v>3</v>
      </c>
      <c r="AJ16" s="203">
        <f t="shared" si="14"/>
        <v>4</v>
      </c>
      <c r="AK16" s="203">
        <f t="shared" si="14"/>
        <v>5</v>
      </c>
      <c r="AL16" s="203">
        <f t="shared" ref="AL16:BQ16" si="15">IF(MOD(AL14,MinY)=0,MinY,MOD(AL14,MinY))</f>
        <v>6</v>
      </c>
      <c r="AM16" s="203">
        <f t="shared" si="15"/>
        <v>7</v>
      </c>
      <c r="AN16" s="203">
        <f t="shared" si="15"/>
        <v>8</v>
      </c>
      <c r="AO16" s="203">
        <f t="shared" si="15"/>
        <v>9</v>
      </c>
      <c r="AP16" s="203">
        <f t="shared" si="15"/>
        <v>10</v>
      </c>
      <c r="AQ16" s="203">
        <f t="shared" si="15"/>
        <v>11</v>
      </c>
      <c r="AR16" s="203">
        <f t="shared" si="15"/>
        <v>12</v>
      </c>
      <c r="AS16" s="203">
        <f t="shared" si="15"/>
        <v>1</v>
      </c>
      <c r="AT16" s="203">
        <f t="shared" si="15"/>
        <v>2</v>
      </c>
      <c r="AU16" s="203">
        <f t="shared" si="15"/>
        <v>3</v>
      </c>
      <c r="AV16" s="203">
        <f t="shared" si="15"/>
        <v>4</v>
      </c>
      <c r="AW16" s="203">
        <f t="shared" si="15"/>
        <v>5</v>
      </c>
      <c r="AX16" s="203">
        <f t="shared" si="15"/>
        <v>6</v>
      </c>
      <c r="AY16" s="203">
        <f t="shared" si="15"/>
        <v>7</v>
      </c>
      <c r="AZ16" s="203">
        <f t="shared" si="15"/>
        <v>8</v>
      </c>
      <c r="BA16" s="203">
        <f t="shared" si="15"/>
        <v>9</v>
      </c>
      <c r="BB16" s="203">
        <f t="shared" si="15"/>
        <v>10</v>
      </c>
      <c r="BC16" s="203">
        <f t="shared" si="15"/>
        <v>11</v>
      </c>
      <c r="BD16" s="203">
        <f t="shared" si="15"/>
        <v>12</v>
      </c>
      <c r="BE16" s="203">
        <f t="shared" si="15"/>
        <v>1</v>
      </c>
      <c r="BF16" s="203">
        <f t="shared" si="15"/>
        <v>2</v>
      </c>
      <c r="BG16" s="203">
        <f t="shared" si="15"/>
        <v>3</v>
      </c>
      <c r="BH16" s="203">
        <f t="shared" si="15"/>
        <v>4</v>
      </c>
      <c r="BI16" s="203">
        <f t="shared" si="15"/>
        <v>5</v>
      </c>
      <c r="BJ16" s="203">
        <f t="shared" si="15"/>
        <v>6</v>
      </c>
      <c r="BK16" s="203">
        <f t="shared" si="15"/>
        <v>7</v>
      </c>
      <c r="BL16" s="203">
        <f t="shared" si="15"/>
        <v>8</v>
      </c>
      <c r="BM16" s="203">
        <f t="shared" si="15"/>
        <v>9</v>
      </c>
      <c r="BN16" s="203">
        <f t="shared" si="15"/>
        <v>10</v>
      </c>
      <c r="BO16" s="203">
        <f t="shared" si="15"/>
        <v>11</v>
      </c>
      <c r="BP16" s="203">
        <f t="shared" si="15"/>
        <v>12</v>
      </c>
      <c r="BQ16" s="203">
        <f t="shared" si="15"/>
        <v>1</v>
      </c>
      <c r="BR16" s="203">
        <f t="shared" ref="BR16:CW16" si="16">IF(MOD(BR14,MinY)=0,MinY,MOD(BR14,MinY))</f>
        <v>2</v>
      </c>
      <c r="BS16" s="203">
        <f t="shared" si="16"/>
        <v>3</v>
      </c>
      <c r="BT16" s="203">
        <f t="shared" si="16"/>
        <v>4</v>
      </c>
      <c r="BU16" s="203">
        <f t="shared" si="16"/>
        <v>5</v>
      </c>
      <c r="BV16" s="203">
        <f t="shared" si="16"/>
        <v>6</v>
      </c>
      <c r="BW16" s="203">
        <f t="shared" si="16"/>
        <v>7</v>
      </c>
      <c r="BX16" s="203">
        <f t="shared" si="16"/>
        <v>8</v>
      </c>
      <c r="BY16" s="203">
        <f t="shared" si="16"/>
        <v>9</v>
      </c>
      <c r="BZ16" s="203">
        <f t="shared" si="16"/>
        <v>10</v>
      </c>
      <c r="CA16" s="203">
        <f t="shared" si="16"/>
        <v>11</v>
      </c>
      <c r="CB16" s="203">
        <f t="shared" si="16"/>
        <v>12</v>
      </c>
      <c r="CC16" s="203">
        <f t="shared" si="16"/>
        <v>1</v>
      </c>
      <c r="CD16" s="203">
        <f t="shared" si="16"/>
        <v>2</v>
      </c>
      <c r="CE16" s="203">
        <f t="shared" si="16"/>
        <v>3</v>
      </c>
      <c r="CF16" s="203">
        <f t="shared" si="16"/>
        <v>4</v>
      </c>
      <c r="CG16" s="203">
        <f t="shared" si="16"/>
        <v>5</v>
      </c>
      <c r="CH16" s="203">
        <f t="shared" si="16"/>
        <v>6</v>
      </c>
      <c r="CI16" s="203">
        <f t="shared" si="16"/>
        <v>7</v>
      </c>
      <c r="CJ16" s="203">
        <f t="shared" si="16"/>
        <v>8</v>
      </c>
      <c r="CK16" s="203">
        <f t="shared" si="16"/>
        <v>9</v>
      </c>
      <c r="CL16" s="203">
        <f t="shared" si="16"/>
        <v>10</v>
      </c>
      <c r="CM16" s="203">
        <f t="shared" si="16"/>
        <v>11</v>
      </c>
      <c r="CN16" s="203">
        <f t="shared" si="16"/>
        <v>12</v>
      </c>
      <c r="CO16" s="203">
        <f t="shared" si="16"/>
        <v>1</v>
      </c>
      <c r="CP16" s="203">
        <f t="shared" si="16"/>
        <v>2</v>
      </c>
      <c r="CQ16" s="203">
        <f t="shared" si="16"/>
        <v>3</v>
      </c>
      <c r="CR16" s="203">
        <f t="shared" si="16"/>
        <v>4</v>
      </c>
      <c r="CS16" s="203">
        <f t="shared" si="16"/>
        <v>5</v>
      </c>
      <c r="CT16" s="203">
        <f t="shared" si="16"/>
        <v>6</v>
      </c>
      <c r="CU16" s="203">
        <f t="shared" si="16"/>
        <v>7</v>
      </c>
      <c r="CV16" s="203">
        <f t="shared" si="16"/>
        <v>8</v>
      </c>
      <c r="CW16" s="203">
        <f t="shared" si="16"/>
        <v>9</v>
      </c>
      <c r="CX16" s="203">
        <f t="shared" ref="CX16:DX16" si="17">IF(MOD(CX14,MinY)=0,MinY,MOD(CX14,MinY))</f>
        <v>10</v>
      </c>
      <c r="CY16" s="203">
        <f t="shared" si="17"/>
        <v>11</v>
      </c>
      <c r="CZ16" s="203">
        <f t="shared" si="17"/>
        <v>12</v>
      </c>
      <c r="DA16" s="203">
        <f t="shared" si="17"/>
        <v>1</v>
      </c>
      <c r="DB16" s="203">
        <f t="shared" si="17"/>
        <v>2</v>
      </c>
      <c r="DC16" s="203">
        <f t="shared" si="17"/>
        <v>3</v>
      </c>
      <c r="DD16" s="203">
        <f t="shared" si="17"/>
        <v>4</v>
      </c>
      <c r="DE16" s="203">
        <f t="shared" si="17"/>
        <v>5</v>
      </c>
      <c r="DF16" s="203">
        <f t="shared" si="17"/>
        <v>6</v>
      </c>
      <c r="DG16" s="203">
        <f t="shared" si="17"/>
        <v>7</v>
      </c>
      <c r="DH16" s="203">
        <f t="shared" si="17"/>
        <v>8</v>
      </c>
      <c r="DI16" s="203">
        <f t="shared" si="17"/>
        <v>9</v>
      </c>
      <c r="DJ16" s="203">
        <f t="shared" si="17"/>
        <v>10</v>
      </c>
      <c r="DK16" s="203">
        <f t="shared" si="17"/>
        <v>11</v>
      </c>
      <c r="DL16" s="203">
        <f t="shared" si="17"/>
        <v>12</v>
      </c>
      <c r="DM16" s="203">
        <f t="shared" si="17"/>
        <v>1</v>
      </c>
      <c r="DN16" s="203">
        <f t="shared" si="17"/>
        <v>2</v>
      </c>
      <c r="DO16" s="203">
        <f t="shared" si="17"/>
        <v>3</v>
      </c>
      <c r="DP16" s="203">
        <f t="shared" si="17"/>
        <v>4</v>
      </c>
      <c r="DQ16" s="203">
        <f t="shared" si="17"/>
        <v>5</v>
      </c>
      <c r="DR16" s="203">
        <f t="shared" si="17"/>
        <v>6</v>
      </c>
      <c r="DS16" s="203">
        <f t="shared" si="17"/>
        <v>7</v>
      </c>
      <c r="DT16" s="203">
        <f t="shared" si="17"/>
        <v>8</v>
      </c>
      <c r="DU16" s="203">
        <f t="shared" si="17"/>
        <v>9</v>
      </c>
      <c r="DV16" s="203">
        <f t="shared" si="17"/>
        <v>10</v>
      </c>
      <c r="DW16" s="203">
        <f t="shared" si="17"/>
        <v>11</v>
      </c>
      <c r="DX16" s="203">
        <f t="shared" si="17"/>
        <v>12</v>
      </c>
      <c r="DY16" s="88"/>
      <c r="DZ16" s="188" t="s">
        <v>396</v>
      </c>
      <c r="EB16" s="88"/>
    </row>
    <row r="17" spans="1:132" outlineLevel="1">
      <c r="A17" s="91" t="s">
        <v>161</v>
      </c>
      <c r="C17" s="185"/>
      <c r="D17" s="185"/>
      <c r="E17" s="185"/>
      <c r="F17" s="202">
        <f>MONTH(F11)</f>
        <v>11</v>
      </c>
      <c r="G17" s="204">
        <f>MONTH(G11)</f>
        <v>12</v>
      </c>
      <c r="H17" s="204">
        <f t="shared" ref="H17:BS17" si="18">MONTH(H11)</f>
        <v>1</v>
      </c>
      <c r="I17" s="204">
        <f t="shared" si="18"/>
        <v>2</v>
      </c>
      <c r="J17" s="203">
        <f t="shared" si="18"/>
        <v>3</v>
      </c>
      <c r="K17" s="203">
        <f t="shared" si="18"/>
        <v>4</v>
      </c>
      <c r="L17" s="203">
        <f t="shared" si="18"/>
        <v>5</v>
      </c>
      <c r="M17" s="203">
        <f t="shared" si="18"/>
        <v>6</v>
      </c>
      <c r="N17" s="203">
        <f t="shared" si="18"/>
        <v>7</v>
      </c>
      <c r="O17" s="203">
        <f t="shared" si="18"/>
        <v>8</v>
      </c>
      <c r="P17" s="203">
        <f t="shared" si="18"/>
        <v>9</v>
      </c>
      <c r="Q17" s="203">
        <f t="shared" si="18"/>
        <v>10</v>
      </c>
      <c r="R17" s="203">
        <f t="shared" si="18"/>
        <v>11</v>
      </c>
      <c r="S17" s="203">
        <f t="shared" si="18"/>
        <v>12</v>
      </c>
      <c r="T17" s="203">
        <f t="shared" si="18"/>
        <v>1</v>
      </c>
      <c r="U17" s="203">
        <f t="shared" si="18"/>
        <v>2</v>
      </c>
      <c r="V17" s="203">
        <f t="shared" si="18"/>
        <v>3</v>
      </c>
      <c r="W17" s="203">
        <f t="shared" si="18"/>
        <v>4</v>
      </c>
      <c r="X17" s="203">
        <f t="shared" si="18"/>
        <v>5</v>
      </c>
      <c r="Y17" s="203">
        <f t="shared" si="18"/>
        <v>6</v>
      </c>
      <c r="Z17" s="203">
        <f t="shared" si="18"/>
        <v>7</v>
      </c>
      <c r="AA17" s="203">
        <f t="shared" si="18"/>
        <v>8</v>
      </c>
      <c r="AB17" s="203">
        <f t="shared" si="18"/>
        <v>9</v>
      </c>
      <c r="AC17" s="203">
        <f t="shared" si="18"/>
        <v>10</v>
      </c>
      <c r="AD17" s="203">
        <f t="shared" si="18"/>
        <v>11</v>
      </c>
      <c r="AE17" s="203">
        <f t="shared" si="18"/>
        <v>12</v>
      </c>
      <c r="AF17" s="203">
        <f t="shared" si="18"/>
        <v>1</v>
      </c>
      <c r="AG17" s="203">
        <f t="shared" si="18"/>
        <v>2</v>
      </c>
      <c r="AH17" s="203">
        <f t="shared" si="18"/>
        <v>3</v>
      </c>
      <c r="AI17" s="203">
        <f t="shared" si="18"/>
        <v>4</v>
      </c>
      <c r="AJ17" s="203">
        <f t="shared" si="18"/>
        <v>5</v>
      </c>
      <c r="AK17" s="203">
        <f t="shared" si="18"/>
        <v>6</v>
      </c>
      <c r="AL17" s="203">
        <f t="shared" si="18"/>
        <v>7</v>
      </c>
      <c r="AM17" s="203">
        <f t="shared" si="18"/>
        <v>8</v>
      </c>
      <c r="AN17" s="203">
        <f t="shared" si="18"/>
        <v>9</v>
      </c>
      <c r="AO17" s="203">
        <f t="shared" si="18"/>
        <v>10</v>
      </c>
      <c r="AP17" s="203">
        <f t="shared" si="18"/>
        <v>11</v>
      </c>
      <c r="AQ17" s="203">
        <f t="shared" si="18"/>
        <v>12</v>
      </c>
      <c r="AR17" s="203">
        <f t="shared" si="18"/>
        <v>1</v>
      </c>
      <c r="AS17" s="203">
        <f t="shared" si="18"/>
        <v>2</v>
      </c>
      <c r="AT17" s="203">
        <f t="shared" si="18"/>
        <v>3</v>
      </c>
      <c r="AU17" s="203">
        <f t="shared" si="18"/>
        <v>4</v>
      </c>
      <c r="AV17" s="203">
        <f t="shared" si="18"/>
        <v>5</v>
      </c>
      <c r="AW17" s="203">
        <f t="shared" si="18"/>
        <v>6</v>
      </c>
      <c r="AX17" s="203">
        <f t="shared" si="18"/>
        <v>7</v>
      </c>
      <c r="AY17" s="203">
        <f t="shared" si="18"/>
        <v>8</v>
      </c>
      <c r="AZ17" s="203">
        <f t="shared" si="18"/>
        <v>9</v>
      </c>
      <c r="BA17" s="203">
        <f t="shared" si="18"/>
        <v>10</v>
      </c>
      <c r="BB17" s="203">
        <f t="shared" si="18"/>
        <v>11</v>
      </c>
      <c r="BC17" s="203">
        <f t="shared" si="18"/>
        <v>12</v>
      </c>
      <c r="BD17" s="203">
        <f t="shared" si="18"/>
        <v>1</v>
      </c>
      <c r="BE17" s="203">
        <f t="shared" si="18"/>
        <v>2</v>
      </c>
      <c r="BF17" s="203">
        <f t="shared" si="18"/>
        <v>3</v>
      </c>
      <c r="BG17" s="203">
        <f t="shared" si="18"/>
        <v>4</v>
      </c>
      <c r="BH17" s="203">
        <f t="shared" si="18"/>
        <v>5</v>
      </c>
      <c r="BI17" s="203">
        <f t="shared" si="18"/>
        <v>6</v>
      </c>
      <c r="BJ17" s="203">
        <f t="shared" si="18"/>
        <v>7</v>
      </c>
      <c r="BK17" s="203">
        <f t="shared" si="18"/>
        <v>8</v>
      </c>
      <c r="BL17" s="203">
        <f t="shared" si="18"/>
        <v>9</v>
      </c>
      <c r="BM17" s="203">
        <f t="shared" si="18"/>
        <v>10</v>
      </c>
      <c r="BN17" s="203">
        <f t="shared" si="18"/>
        <v>11</v>
      </c>
      <c r="BO17" s="203">
        <f t="shared" si="18"/>
        <v>12</v>
      </c>
      <c r="BP17" s="203">
        <f t="shared" si="18"/>
        <v>1</v>
      </c>
      <c r="BQ17" s="203">
        <f t="shared" si="18"/>
        <v>2</v>
      </c>
      <c r="BR17" s="203">
        <f t="shared" si="18"/>
        <v>3</v>
      </c>
      <c r="BS17" s="203">
        <f t="shared" si="18"/>
        <v>4</v>
      </c>
      <c r="BT17" s="203">
        <f t="shared" ref="BT17:DX17" si="19">MONTH(BT11)</f>
        <v>5</v>
      </c>
      <c r="BU17" s="203">
        <f t="shared" si="19"/>
        <v>6</v>
      </c>
      <c r="BV17" s="203">
        <f t="shared" si="19"/>
        <v>7</v>
      </c>
      <c r="BW17" s="203">
        <f t="shared" si="19"/>
        <v>8</v>
      </c>
      <c r="BX17" s="203">
        <f t="shared" si="19"/>
        <v>9</v>
      </c>
      <c r="BY17" s="203">
        <f t="shared" si="19"/>
        <v>10</v>
      </c>
      <c r="BZ17" s="203">
        <f t="shared" si="19"/>
        <v>11</v>
      </c>
      <c r="CA17" s="203">
        <f t="shared" si="19"/>
        <v>12</v>
      </c>
      <c r="CB17" s="203">
        <f t="shared" si="19"/>
        <v>1</v>
      </c>
      <c r="CC17" s="203">
        <f t="shared" si="19"/>
        <v>2</v>
      </c>
      <c r="CD17" s="203">
        <f t="shared" si="19"/>
        <v>3</v>
      </c>
      <c r="CE17" s="203">
        <f t="shared" si="19"/>
        <v>4</v>
      </c>
      <c r="CF17" s="203">
        <f t="shared" si="19"/>
        <v>5</v>
      </c>
      <c r="CG17" s="203">
        <f t="shared" si="19"/>
        <v>6</v>
      </c>
      <c r="CH17" s="203">
        <f t="shared" si="19"/>
        <v>7</v>
      </c>
      <c r="CI17" s="203">
        <f t="shared" si="19"/>
        <v>8</v>
      </c>
      <c r="CJ17" s="203">
        <f t="shared" si="19"/>
        <v>9</v>
      </c>
      <c r="CK17" s="203">
        <f t="shared" si="19"/>
        <v>10</v>
      </c>
      <c r="CL17" s="203">
        <f t="shared" si="19"/>
        <v>11</v>
      </c>
      <c r="CM17" s="203">
        <f t="shared" si="19"/>
        <v>12</v>
      </c>
      <c r="CN17" s="203">
        <f t="shared" si="19"/>
        <v>1</v>
      </c>
      <c r="CO17" s="203">
        <f t="shared" si="19"/>
        <v>2</v>
      </c>
      <c r="CP17" s="203">
        <f t="shared" si="19"/>
        <v>3</v>
      </c>
      <c r="CQ17" s="203">
        <f t="shared" si="19"/>
        <v>4</v>
      </c>
      <c r="CR17" s="203">
        <f t="shared" si="19"/>
        <v>5</v>
      </c>
      <c r="CS17" s="203">
        <f t="shared" si="19"/>
        <v>6</v>
      </c>
      <c r="CT17" s="203">
        <f t="shared" si="19"/>
        <v>7</v>
      </c>
      <c r="CU17" s="203">
        <f t="shared" si="19"/>
        <v>8</v>
      </c>
      <c r="CV17" s="203">
        <f t="shared" si="19"/>
        <v>9</v>
      </c>
      <c r="CW17" s="203">
        <f t="shared" si="19"/>
        <v>10</v>
      </c>
      <c r="CX17" s="203">
        <f t="shared" si="19"/>
        <v>11</v>
      </c>
      <c r="CY17" s="203">
        <f t="shared" si="19"/>
        <v>12</v>
      </c>
      <c r="CZ17" s="203">
        <f t="shared" si="19"/>
        <v>1</v>
      </c>
      <c r="DA17" s="203">
        <f t="shared" si="19"/>
        <v>2</v>
      </c>
      <c r="DB17" s="203">
        <f t="shared" si="19"/>
        <v>3</v>
      </c>
      <c r="DC17" s="203">
        <f t="shared" si="19"/>
        <v>4</v>
      </c>
      <c r="DD17" s="203">
        <f t="shared" si="19"/>
        <v>5</v>
      </c>
      <c r="DE17" s="203">
        <f t="shared" si="19"/>
        <v>6</v>
      </c>
      <c r="DF17" s="203">
        <f t="shared" si="19"/>
        <v>7</v>
      </c>
      <c r="DG17" s="203">
        <f t="shared" si="19"/>
        <v>8</v>
      </c>
      <c r="DH17" s="203">
        <f t="shared" si="19"/>
        <v>9</v>
      </c>
      <c r="DI17" s="203">
        <f t="shared" si="19"/>
        <v>10</v>
      </c>
      <c r="DJ17" s="203">
        <f t="shared" si="19"/>
        <v>11</v>
      </c>
      <c r="DK17" s="203">
        <f t="shared" si="19"/>
        <v>12</v>
      </c>
      <c r="DL17" s="203">
        <f t="shared" si="19"/>
        <v>1</v>
      </c>
      <c r="DM17" s="203">
        <f t="shared" si="19"/>
        <v>2</v>
      </c>
      <c r="DN17" s="203">
        <f t="shared" si="19"/>
        <v>3</v>
      </c>
      <c r="DO17" s="203">
        <f t="shared" si="19"/>
        <v>4</v>
      </c>
      <c r="DP17" s="203">
        <f t="shared" si="19"/>
        <v>5</v>
      </c>
      <c r="DQ17" s="203">
        <f t="shared" si="19"/>
        <v>6</v>
      </c>
      <c r="DR17" s="203">
        <f t="shared" si="19"/>
        <v>7</v>
      </c>
      <c r="DS17" s="203">
        <f t="shared" si="19"/>
        <v>8</v>
      </c>
      <c r="DT17" s="203">
        <f t="shared" si="19"/>
        <v>9</v>
      </c>
      <c r="DU17" s="203">
        <f t="shared" si="19"/>
        <v>10</v>
      </c>
      <c r="DV17" s="203">
        <f t="shared" si="19"/>
        <v>11</v>
      </c>
      <c r="DW17" s="203">
        <f t="shared" si="19"/>
        <v>12</v>
      </c>
      <c r="DX17" s="203">
        <f t="shared" si="19"/>
        <v>1</v>
      </c>
      <c r="DY17" s="88"/>
      <c r="DZ17" s="188" t="s">
        <v>397</v>
      </c>
      <c r="EB17" s="88"/>
    </row>
    <row r="18" spans="1:132" outlineLevel="1">
      <c r="A18" s="91" t="s">
        <v>162</v>
      </c>
      <c r="C18" s="185"/>
      <c r="D18" s="185"/>
      <c r="E18" s="185"/>
      <c r="F18" s="202" t="str">
        <f t="shared" ref="F18:AK18" si="20">INDEX(MonthListIn,MONTH(F11))</f>
        <v>November</v>
      </c>
      <c r="G18" s="205" t="str">
        <f t="shared" si="20"/>
        <v>December</v>
      </c>
      <c r="H18" s="205" t="str">
        <f t="shared" si="20"/>
        <v>January</v>
      </c>
      <c r="I18" s="205" t="str">
        <f t="shared" si="20"/>
        <v>February</v>
      </c>
      <c r="J18" s="205" t="str">
        <f t="shared" si="20"/>
        <v>March</v>
      </c>
      <c r="K18" s="205" t="str">
        <f t="shared" si="20"/>
        <v>April</v>
      </c>
      <c r="L18" s="205" t="str">
        <f t="shared" si="20"/>
        <v>May</v>
      </c>
      <c r="M18" s="205" t="str">
        <f t="shared" si="20"/>
        <v>June</v>
      </c>
      <c r="N18" s="205" t="str">
        <f t="shared" si="20"/>
        <v>July</v>
      </c>
      <c r="O18" s="205" t="str">
        <f t="shared" si="20"/>
        <v>August</v>
      </c>
      <c r="P18" s="205" t="str">
        <f t="shared" si="20"/>
        <v>September</v>
      </c>
      <c r="Q18" s="205" t="str">
        <f t="shared" si="20"/>
        <v>October</v>
      </c>
      <c r="R18" s="205" t="str">
        <f t="shared" si="20"/>
        <v>November</v>
      </c>
      <c r="S18" s="205" t="str">
        <f t="shared" si="20"/>
        <v>December</v>
      </c>
      <c r="T18" s="205" t="str">
        <f t="shared" si="20"/>
        <v>January</v>
      </c>
      <c r="U18" s="205" t="str">
        <f t="shared" si="20"/>
        <v>February</v>
      </c>
      <c r="V18" s="205" t="str">
        <f t="shared" si="20"/>
        <v>March</v>
      </c>
      <c r="W18" s="205" t="str">
        <f t="shared" si="20"/>
        <v>April</v>
      </c>
      <c r="X18" s="205" t="str">
        <f t="shared" si="20"/>
        <v>May</v>
      </c>
      <c r="Y18" s="205" t="str">
        <f t="shared" si="20"/>
        <v>June</v>
      </c>
      <c r="Z18" s="205" t="str">
        <f t="shared" si="20"/>
        <v>July</v>
      </c>
      <c r="AA18" s="205" t="str">
        <f t="shared" si="20"/>
        <v>August</v>
      </c>
      <c r="AB18" s="205" t="str">
        <f t="shared" si="20"/>
        <v>September</v>
      </c>
      <c r="AC18" s="205" t="str">
        <f t="shared" si="20"/>
        <v>October</v>
      </c>
      <c r="AD18" s="205" t="str">
        <f t="shared" si="20"/>
        <v>November</v>
      </c>
      <c r="AE18" s="205" t="str">
        <f t="shared" si="20"/>
        <v>December</v>
      </c>
      <c r="AF18" s="205" t="str">
        <f t="shared" si="20"/>
        <v>January</v>
      </c>
      <c r="AG18" s="205" t="str">
        <f t="shared" si="20"/>
        <v>February</v>
      </c>
      <c r="AH18" s="205" t="str">
        <f t="shared" si="20"/>
        <v>March</v>
      </c>
      <c r="AI18" s="205" t="str">
        <f t="shared" si="20"/>
        <v>April</v>
      </c>
      <c r="AJ18" s="205" t="str">
        <f t="shared" si="20"/>
        <v>May</v>
      </c>
      <c r="AK18" s="205" t="str">
        <f t="shared" si="20"/>
        <v>June</v>
      </c>
      <c r="AL18" s="205" t="str">
        <f t="shared" ref="AL18:BQ18" si="21">INDEX(MonthListIn,MONTH(AL11))</f>
        <v>July</v>
      </c>
      <c r="AM18" s="205" t="str">
        <f t="shared" si="21"/>
        <v>August</v>
      </c>
      <c r="AN18" s="205" t="str">
        <f t="shared" si="21"/>
        <v>September</v>
      </c>
      <c r="AO18" s="205" t="str">
        <f t="shared" si="21"/>
        <v>October</v>
      </c>
      <c r="AP18" s="205" t="str">
        <f t="shared" si="21"/>
        <v>November</v>
      </c>
      <c r="AQ18" s="205" t="str">
        <f t="shared" si="21"/>
        <v>December</v>
      </c>
      <c r="AR18" s="205" t="str">
        <f t="shared" si="21"/>
        <v>January</v>
      </c>
      <c r="AS18" s="205" t="str">
        <f t="shared" si="21"/>
        <v>February</v>
      </c>
      <c r="AT18" s="205" t="str">
        <f t="shared" si="21"/>
        <v>March</v>
      </c>
      <c r="AU18" s="205" t="str">
        <f t="shared" si="21"/>
        <v>April</v>
      </c>
      <c r="AV18" s="205" t="str">
        <f t="shared" si="21"/>
        <v>May</v>
      </c>
      <c r="AW18" s="205" t="str">
        <f t="shared" si="21"/>
        <v>June</v>
      </c>
      <c r="AX18" s="205" t="str">
        <f t="shared" si="21"/>
        <v>July</v>
      </c>
      <c r="AY18" s="205" t="str">
        <f t="shared" si="21"/>
        <v>August</v>
      </c>
      <c r="AZ18" s="205" t="str">
        <f t="shared" si="21"/>
        <v>September</v>
      </c>
      <c r="BA18" s="205" t="str">
        <f t="shared" si="21"/>
        <v>October</v>
      </c>
      <c r="BB18" s="205" t="str">
        <f t="shared" si="21"/>
        <v>November</v>
      </c>
      <c r="BC18" s="205" t="str">
        <f t="shared" si="21"/>
        <v>December</v>
      </c>
      <c r="BD18" s="205" t="str">
        <f t="shared" si="21"/>
        <v>January</v>
      </c>
      <c r="BE18" s="205" t="str">
        <f t="shared" si="21"/>
        <v>February</v>
      </c>
      <c r="BF18" s="205" t="str">
        <f t="shared" si="21"/>
        <v>March</v>
      </c>
      <c r="BG18" s="205" t="str">
        <f t="shared" si="21"/>
        <v>April</v>
      </c>
      <c r="BH18" s="205" t="str">
        <f t="shared" si="21"/>
        <v>May</v>
      </c>
      <c r="BI18" s="205" t="str">
        <f t="shared" si="21"/>
        <v>June</v>
      </c>
      <c r="BJ18" s="205" t="str">
        <f t="shared" si="21"/>
        <v>July</v>
      </c>
      <c r="BK18" s="205" t="str">
        <f t="shared" si="21"/>
        <v>August</v>
      </c>
      <c r="BL18" s="205" t="str">
        <f t="shared" si="21"/>
        <v>September</v>
      </c>
      <c r="BM18" s="205" t="str">
        <f t="shared" si="21"/>
        <v>October</v>
      </c>
      <c r="BN18" s="205" t="str">
        <f t="shared" si="21"/>
        <v>November</v>
      </c>
      <c r="BO18" s="205" t="str">
        <f t="shared" si="21"/>
        <v>December</v>
      </c>
      <c r="BP18" s="205" t="str">
        <f t="shared" si="21"/>
        <v>January</v>
      </c>
      <c r="BQ18" s="205" t="str">
        <f t="shared" si="21"/>
        <v>February</v>
      </c>
      <c r="BR18" s="205" t="str">
        <f t="shared" ref="BR18:CW18" si="22">INDEX(MonthListIn,MONTH(BR11))</f>
        <v>March</v>
      </c>
      <c r="BS18" s="205" t="str">
        <f t="shared" si="22"/>
        <v>April</v>
      </c>
      <c r="BT18" s="205" t="str">
        <f t="shared" si="22"/>
        <v>May</v>
      </c>
      <c r="BU18" s="205" t="str">
        <f t="shared" si="22"/>
        <v>June</v>
      </c>
      <c r="BV18" s="205" t="str">
        <f t="shared" si="22"/>
        <v>July</v>
      </c>
      <c r="BW18" s="205" t="str">
        <f t="shared" si="22"/>
        <v>August</v>
      </c>
      <c r="BX18" s="205" t="str">
        <f t="shared" si="22"/>
        <v>September</v>
      </c>
      <c r="BY18" s="205" t="str">
        <f t="shared" si="22"/>
        <v>October</v>
      </c>
      <c r="BZ18" s="205" t="str">
        <f t="shared" si="22"/>
        <v>November</v>
      </c>
      <c r="CA18" s="205" t="str">
        <f t="shared" si="22"/>
        <v>December</v>
      </c>
      <c r="CB18" s="205" t="str">
        <f t="shared" si="22"/>
        <v>January</v>
      </c>
      <c r="CC18" s="205" t="str">
        <f t="shared" si="22"/>
        <v>February</v>
      </c>
      <c r="CD18" s="205" t="str">
        <f t="shared" si="22"/>
        <v>March</v>
      </c>
      <c r="CE18" s="205" t="str">
        <f t="shared" si="22"/>
        <v>April</v>
      </c>
      <c r="CF18" s="205" t="str">
        <f t="shared" si="22"/>
        <v>May</v>
      </c>
      <c r="CG18" s="205" t="str">
        <f t="shared" si="22"/>
        <v>June</v>
      </c>
      <c r="CH18" s="205" t="str">
        <f t="shared" si="22"/>
        <v>July</v>
      </c>
      <c r="CI18" s="205" t="str">
        <f t="shared" si="22"/>
        <v>August</v>
      </c>
      <c r="CJ18" s="205" t="str">
        <f t="shared" si="22"/>
        <v>September</v>
      </c>
      <c r="CK18" s="205" t="str">
        <f t="shared" si="22"/>
        <v>October</v>
      </c>
      <c r="CL18" s="205" t="str">
        <f t="shared" si="22"/>
        <v>November</v>
      </c>
      <c r="CM18" s="205" t="str">
        <f t="shared" si="22"/>
        <v>December</v>
      </c>
      <c r="CN18" s="205" t="str">
        <f t="shared" si="22"/>
        <v>January</v>
      </c>
      <c r="CO18" s="205" t="str">
        <f t="shared" si="22"/>
        <v>February</v>
      </c>
      <c r="CP18" s="205" t="str">
        <f t="shared" si="22"/>
        <v>March</v>
      </c>
      <c r="CQ18" s="205" t="str">
        <f t="shared" si="22"/>
        <v>April</v>
      </c>
      <c r="CR18" s="205" t="str">
        <f t="shared" si="22"/>
        <v>May</v>
      </c>
      <c r="CS18" s="205" t="str">
        <f t="shared" si="22"/>
        <v>June</v>
      </c>
      <c r="CT18" s="205" t="str">
        <f t="shared" si="22"/>
        <v>July</v>
      </c>
      <c r="CU18" s="205" t="str">
        <f t="shared" si="22"/>
        <v>August</v>
      </c>
      <c r="CV18" s="205" t="str">
        <f t="shared" si="22"/>
        <v>September</v>
      </c>
      <c r="CW18" s="205" t="str">
        <f t="shared" si="22"/>
        <v>October</v>
      </c>
      <c r="CX18" s="205" t="str">
        <f t="shared" ref="CX18:DX18" si="23">INDEX(MonthListIn,MONTH(CX11))</f>
        <v>November</v>
      </c>
      <c r="CY18" s="205" t="str">
        <f t="shared" si="23"/>
        <v>December</v>
      </c>
      <c r="CZ18" s="205" t="str">
        <f t="shared" si="23"/>
        <v>January</v>
      </c>
      <c r="DA18" s="205" t="str">
        <f t="shared" si="23"/>
        <v>February</v>
      </c>
      <c r="DB18" s="205" t="str">
        <f t="shared" si="23"/>
        <v>March</v>
      </c>
      <c r="DC18" s="205" t="str">
        <f t="shared" si="23"/>
        <v>April</v>
      </c>
      <c r="DD18" s="205" t="str">
        <f t="shared" si="23"/>
        <v>May</v>
      </c>
      <c r="DE18" s="205" t="str">
        <f t="shared" si="23"/>
        <v>June</v>
      </c>
      <c r="DF18" s="205" t="str">
        <f t="shared" si="23"/>
        <v>July</v>
      </c>
      <c r="DG18" s="205" t="str">
        <f t="shared" si="23"/>
        <v>August</v>
      </c>
      <c r="DH18" s="205" t="str">
        <f t="shared" si="23"/>
        <v>September</v>
      </c>
      <c r="DI18" s="205" t="str">
        <f t="shared" si="23"/>
        <v>October</v>
      </c>
      <c r="DJ18" s="205" t="str">
        <f t="shared" si="23"/>
        <v>November</v>
      </c>
      <c r="DK18" s="205" t="str">
        <f t="shared" si="23"/>
        <v>December</v>
      </c>
      <c r="DL18" s="205" t="str">
        <f t="shared" si="23"/>
        <v>January</v>
      </c>
      <c r="DM18" s="205" t="str">
        <f t="shared" si="23"/>
        <v>February</v>
      </c>
      <c r="DN18" s="205" t="str">
        <f t="shared" si="23"/>
        <v>March</v>
      </c>
      <c r="DO18" s="205" t="str">
        <f t="shared" si="23"/>
        <v>April</v>
      </c>
      <c r="DP18" s="205" t="str">
        <f t="shared" si="23"/>
        <v>May</v>
      </c>
      <c r="DQ18" s="205" t="str">
        <f t="shared" si="23"/>
        <v>June</v>
      </c>
      <c r="DR18" s="205" t="str">
        <f t="shared" si="23"/>
        <v>July</v>
      </c>
      <c r="DS18" s="205" t="str">
        <f t="shared" si="23"/>
        <v>August</v>
      </c>
      <c r="DT18" s="205" t="str">
        <f t="shared" si="23"/>
        <v>September</v>
      </c>
      <c r="DU18" s="205" t="str">
        <f t="shared" si="23"/>
        <v>October</v>
      </c>
      <c r="DV18" s="205" t="str">
        <f t="shared" si="23"/>
        <v>November</v>
      </c>
      <c r="DW18" s="205" t="str">
        <f t="shared" si="23"/>
        <v>December</v>
      </c>
      <c r="DX18" s="205" t="str">
        <f t="shared" si="23"/>
        <v>January</v>
      </c>
      <c r="DY18" s="88"/>
      <c r="DZ18" s="188" t="s">
        <v>398</v>
      </c>
      <c r="EB18" s="88"/>
    </row>
    <row r="19" spans="1:132" outlineLevel="1">
      <c r="A19" s="91" t="s">
        <v>355</v>
      </c>
      <c r="C19" s="185"/>
      <c r="D19" s="185"/>
      <c r="E19" s="185"/>
      <c r="F19" s="206" t="str">
        <f t="shared" ref="F19:BQ19" si="24">IF(F15=0,"M"&amp;F14,"Y"&amp;F15&amp;"M"&amp;F16)</f>
        <v>M-3</v>
      </c>
      <c r="G19" s="207" t="str">
        <f t="shared" si="24"/>
        <v>M-2</v>
      </c>
      <c r="H19" s="207" t="str">
        <f t="shared" si="24"/>
        <v>M-1</v>
      </c>
      <c r="I19" s="207" t="str">
        <f t="shared" si="24"/>
        <v>Y1M1</v>
      </c>
      <c r="J19" s="207" t="str">
        <f t="shared" si="24"/>
        <v>Y1M2</v>
      </c>
      <c r="K19" s="207" t="str">
        <f t="shared" si="24"/>
        <v>Y1M3</v>
      </c>
      <c r="L19" s="207" t="str">
        <f t="shared" si="24"/>
        <v>Y1M4</v>
      </c>
      <c r="M19" s="207" t="str">
        <f t="shared" si="24"/>
        <v>Y1M5</v>
      </c>
      <c r="N19" s="207" t="str">
        <f t="shared" si="24"/>
        <v>Y1M6</v>
      </c>
      <c r="O19" s="207" t="str">
        <f t="shared" si="24"/>
        <v>Y1M7</v>
      </c>
      <c r="P19" s="207" t="str">
        <f t="shared" si="24"/>
        <v>Y1M8</v>
      </c>
      <c r="Q19" s="207" t="str">
        <f t="shared" si="24"/>
        <v>Y1M9</v>
      </c>
      <c r="R19" s="207" t="str">
        <f t="shared" si="24"/>
        <v>Y1M10</v>
      </c>
      <c r="S19" s="207" t="str">
        <f t="shared" si="24"/>
        <v>Y1M11</v>
      </c>
      <c r="T19" s="207" t="str">
        <f t="shared" si="24"/>
        <v>Y1M12</v>
      </c>
      <c r="U19" s="207" t="str">
        <f t="shared" si="24"/>
        <v>Y2M1</v>
      </c>
      <c r="V19" s="207" t="str">
        <f t="shared" si="24"/>
        <v>Y2M2</v>
      </c>
      <c r="W19" s="207" t="str">
        <f t="shared" si="24"/>
        <v>Y2M3</v>
      </c>
      <c r="X19" s="207" t="str">
        <f t="shared" si="24"/>
        <v>Y2M4</v>
      </c>
      <c r="Y19" s="207" t="str">
        <f t="shared" si="24"/>
        <v>Y2M5</v>
      </c>
      <c r="Z19" s="207" t="str">
        <f t="shared" si="24"/>
        <v>Y2M6</v>
      </c>
      <c r="AA19" s="207" t="str">
        <f t="shared" si="24"/>
        <v>Y2M7</v>
      </c>
      <c r="AB19" s="207" t="str">
        <f t="shared" si="24"/>
        <v>Y2M8</v>
      </c>
      <c r="AC19" s="207" t="str">
        <f t="shared" si="24"/>
        <v>Y2M9</v>
      </c>
      <c r="AD19" s="207" t="str">
        <f t="shared" si="24"/>
        <v>Y2M10</v>
      </c>
      <c r="AE19" s="207" t="str">
        <f t="shared" si="24"/>
        <v>Y2M11</v>
      </c>
      <c r="AF19" s="207" t="str">
        <f t="shared" si="24"/>
        <v>Y2M12</v>
      </c>
      <c r="AG19" s="207" t="str">
        <f t="shared" si="24"/>
        <v>Y3M1</v>
      </c>
      <c r="AH19" s="207" t="str">
        <f t="shared" si="24"/>
        <v>Y3M2</v>
      </c>
      <c r="AI19" s="207" t="str">
        <f t="shared" si="24"/>
        <v>Y3M3</v>
      </c>
      <c r="AJ19" s="207" t="str">
        <f t="shared" si="24"/>
        <v>Y3M4</v>
      </c>
      <c r="AK19" s="207" t="str">
        <f t="shared" si="24"/>
        <v>Y3M5</v>
      </c>
      <c r="AL19" s="207" t="str">
        <f t="shared" si="24"/>
        <v>Y3M6</v>
      </c>
      <c r="AM19" s="207" t="str">
        <f t="shared" si="24"/>
        <v>Y3M7</v>
      </c>
      <c r="AN19" s="207" t="str">
        <f t="shared" si="24"/>
        <v>Y3M8</v>
      </c>
      <c r="AO19" s="207" t="str">
        <f t="shared" si="24"/>
        <v>Y3M9</v>
      </c>
      <c r="AP19" s="207" t="str">
        <f t="shared" si="24"/>
        <v>Y3M10</v>
      </c>
      <c r="AQ19" s="207" t="str">
        <f t="shared" si="24"/>
        <v>Y3M11</v>
      </c>
      <c r="AR19" s="207" t="str">
        <f t="shared" si="24"/>
        <v>Y3M12</v>
      </c>
      <c r="AS19" s="207" t="str">
        <f t="shared" si="24"/>
        <v>Y4M1</v>
      </c>
      <c r="AT19" s="207" t="str">
        <f t="shared" si="24"/>
        <v>Y4M2</v>
      </c>
      <c r="AU19" s="207" t="str">
        <f t="shared" si="24"/>
        <v>Y4M3</v>
      </c>
      <c r="AV19" s="207" t="str">
        <f t="shared" si="24"/>
        <v>Y4M4</v>
      </c>
      <c r="AW19" s="207" t="str">
        <f t="shared" si="24"/>
        <v>Y4M5</v>
      </c>
      <c r="AX19" s="207" t="str">
        <f t="shared" si="24"/>
        <v>Y4M6</v>
      </c>
      <c r="AY19" s="207" t="str">
        <f t="shared" si="24"/>
        <v>Y4M7</v>
      </c>
      <c r="AZ19" s="207" t="str">
        <f t="shared" si="24"/>
        <v>Y4M8</v>
      </c>
      <c r="BA19" s="207" t="str">
        <f t="shared" si="24"/>
        <v>Y4M9</v>
      </c>
      <c r="BB19" s="207" t="str">
        <f t="shared" si="24"/>
        <v>Y4M10</v>
      </c>
      <c r="BC19" s="207" t="str">
        <f t="shared" si="24"/>
        <v>Y4M11</v>
      </c>
      <c r="BD19" s="207" t="str">
        <f t="shared" si="24"/>
        <v>Y4M12</v>
      </c>
      <c r="BE19" s="207" t="str">
        <f t="shared" si="24"/>
        <v>Y5M1</v>
      </c>
      <c r="BF19" s="207" t="str">
        <f t="shared" si="24"/>
        <v>Y5M2</v>
      </c>
      <c r="BG19" s="207" t="str">
        <f t="shared" si="24"/>
        <v>Y5M3</v>
      </c>
      <c r="BH19" s="207" t="str">
        <f t="shared" si="24"/>
        <v>Y5M4</v>
      </c>
      <c r="BI19" s="207" t="str">
        <f t="shared" si="24"/>
        <v>Y5M5</v>
      </c>
      <c r="BJ19" s="207" t="str">
        <f t="shared" si="24"/>
        <v>Y5M6</v>
      </c>
      <c r="BK19" s="207" t="str">
        <f t="shared" si="24"/>
        <v>Y5M7</v>
      </c>
      <c r="BL19" s="207" t="str">
        <f t="shared" si="24"/>
        <v>Y5M8</v>
      </c>
      <c r="BM19" s="207" t="str">
        <f t="shared" si="24"/>
        <v>Y5M9</v>
      </c>
      <c r="BN19" s="207" t="str">
        <f t="shared" si="24"/>
        <v>Y5M10</v>
      </c>
      <c r="BO19" s="207" t="str">
        <f t="shared" si="24"/>
        <v>Y5M11</v>
      </c>
      <c r="BP19" s="207" t="str">
        <f t="shared" si="24"/>
        <v>Y5M12</v>
      </c>
      <c r="BQ19" s="207" t="str">
        <f t="shared" si="24"/>
        <v>Y6M1</v>
      </c>
      <c r="BR19" s="207" t="str">
        <f t="shared" ref="BR19:DX19" si="25">IF(BR15=0,"M"&amp;BR14,"Y"&amp;BR15&amp;"M"&amp;BR16)</f>
        <v>Y6M2</v>
      </c>
      <c r="BS19" s="207" t="str">
        <f t="shared" si="25"/>
        <v>Y6M3</v>
      </c>
      <c r="BT19" s="207" t="str">
        <f t="shared" si="25"/>
        <v>Y6M4</v>
      </c>
      <c r="BU19" s="207" t="str">
        <f t="shared" si="25"/>
        <v>Y6M5</v>
      </c>
      <c r="BV19" s="207" t="str">
        <f t="shared" si="25"/>
        <v>Y6M6</v>
      </c>
      <c r="BW19" s="207" t="str">
        <f t="shared" si="25"/>
        <v>Y6M7</v>
      </c>
      <c r="BX19" s="207" t="str">
        <f t="shared" si="25"/>
        <v>Y6M8</v>
      </c>
      <c r="BY19" s="207" t="str">
        <f t="shared" si="25"/>
        <v>Y6M9</v>
      </c>
      <c r="BZ19" s="207" t="str">
        <f t="shared" si="25"/>
        <v>Y6M10</v>
      </c>
      <c r="CA19" s="207" t="str">
        <f t="shared" si="25"/>
        <v>Y6M11</v>
      </c>
      <c r="CB19" s="207" t="str">
        <f t="shared" si="25"/>
        <v>Y6M12</v>
      </c>
      <c r="CC19" s="207" t="str">
        <f t="shared" si="25"/>
        <v>Y7M1</v>
      </c>
      <c r="CD19" s="207" t="str">
        <f t="shared" si="25"/>
        <v>Y7M2</v>
      </c>
      <c r="CE19" s="207" t="str">
        <f t="shared" si="25"/>
        <v>Y7M3</v>
      </c>
      <c r="CF19" s="207" t="str">
        <f t="shared" si="25"/>
        <v>Y7M4</v>
      </c>
      <c r="CG19" s="207" t="str">
        <f t="shared" si="25"/>
        <v>Y7M5</v>
      </c>
      <c r="CH19" s="207" t="str">
        <f t="shared" si="25"/>
        <v>Y7M6</v>
      </c>
      <c r="CI19" s="207" t="str">
        <f t="shared" si="25"/>
        <v>Y7M7</v>
      </c>
      <c r="CJ19" s="207" t="str">
        <f t="shared" si="25"/>
        <v>Y7M8</v>
      </c>
      <c r="CK19" s="207" t="str">
        <f t="shared" si="25"/>
        <v>Y7M9</v>
      </c>
      <c r="CL19" s="207" t="str">
        <f t="shared" si="25"/>
        <v>Y7M10</v>
      </c>
      <c r="CM19" s="207" t="str">
        <f t="shared" si="25"/>
        <v>Y7M11</v>
      </c>
      <c r="CN19" s="207" t="str">
        <f t="shared" si="25"/>
        <v>Y7M12</v>
      </c>
      <c r="CO19" s="207" t="str">
        <f t="shared" si="25"/>
        <v>Y8M1</v>
      </c>
      <c r="CP19" s="207" t="str">
        <f t="shared" si="25"/>
        <v>Y8M2</v>
      </c>
      <c r="CQ19" s="207" t="str">
        <f t="shared" si="25"/>
        <v>Y8M3</v>
      </c>
      <c r="CR19" s="207" t="str">
        <f t="shared" si="25"/>
        <v>Y8M4</v>
      </c>
      <c r="CS19" s="207" t="str">
        <f t="shared" si="25"/>
        <v>Y8M5</v>
      </c>
      <c r="CT19" s="207" t="str">
        <f t="shared" si="25"/>
        <v>Y8M6</v>
      </c>
      <c r="CU19" s="207" t="str">
        <f t="shared" si="25"/>
        <v>Y8M7</v>
      </c>
      <c r="CV19" s="207" t="str">
        <f t="shared" si="25"/>
        <v>Y8M8</v>
      </c>
      <c r="CW19" s="207" t="str">
        <f t="shared" si="25"/>
        <v>Y8M9</v>
      </c>
      <c r="CX19" s="207" t="str">
        <f t="shared" si="25"/>
        <v>Y8M10</v>
      </c>
      <c r="CY19" s="207" t="str">
        <f t="shared" si="25"/>
        <v>Y8M11</v>
      </c>
      <c r="CZ19" s="207" t="str">
        <f t="shared" si="25"/>
        <v>Y8M12</v>
      </c>
      <c r="DA19" s="207" t="str">
        <f t="shared" si="25"/>
        <v>Y9M1</v>
      </c>
      <c r="DB19" s="207" t="str">
        <f t="shared" si="25"/>
        <v>Y9M2</v>
      </c>
      <c r="DC19" s="207" t="str">
        <f t="shared" si="25"/>
        <v>Y9M3</v>
      </c>
      <c r="DD19" s="207" t="str">
        <f t="shared" si="25"/>
        <v>Y9M4</v>
      </c>
      <c r="DE19" s="207" t="str">
        <f t="shared" si="25"/>
        <v>Y9M5</v>
      </c>
      <c r="DF19" s="207" t="str">
        <f t="shared" si="25"/>
        <v>Y9M6</v>
      </c>
      <c r="DG19" s="207" t="str">
        <f t="shared" si="25"/>
        <v>Y9M7</v>
      </c>
      <c r="DH19" s="207" t="str">
        <f t="shared" si="25"/>
        <v>Y9M8</v>
      </c>
      <c r="DI19" s="207" t="str">
        <f t="shared" si="25"/>
        <v>Y9M9</v>
      </c>
      <c r="DJ19" s="207" t="str">
        <f t="shared" si="25"/>
        <v>Y9M10</v>
      </c>
      <c r="DK19" s="207" t="str">
        <f t="shared" si="25"/>
        <v>Y9M11</v>
      </c>
      <c r="DL19" s="207" t="str">
        <f t="shared" si="25"/>
        <v>Y9M12</v>
      </c>
      <c r="DM19" s="207" t="str">
        <f t="shared" si="25"/>
        <v>Y10M1</v>
      </c>
      <c r="DN19" s="207" t="str">
        <f t="shared" si="25"/>
        <v>Y10M2</v>
      </c>
      <c r="DO19" s="207" t="str">
        <f t="shared" si="25"/>
        <v>Y10M3</v>
      </c>
      <c r="DP19" s="207" t="str">
        <f t="shared" si="25"/>
        <v>Y10M4</v>
      </c>
      <c r="DQ19" s="207" t="str">
        <f t="shared" si="25"/>
        <v>Y10M5</v>
      </c>
      <c r="DR19" s="207" t="str">
        <f t="shared" si="25"/>
        <v>Y10M6</v>
      </c>
      <c r="DS19" s="207" t="str">
        <f t="shared" si="25"/>
        <v>Y10M7</v>
      </c>
      <c r="DT19" s="207" t="str">
        <f t="shared" si="25"/>
        <v>Y10M8</v>
      </c>
      <c r="DU19" s="207" t="str">
        <f t="shared" si="25"/>
        <v>Y10M9</v>
      </c>
      <c r="DV19" s="207" t="str">
        <f t="shared" si="25"/>
        <v>Y10M10</v>
      </c>
      <c r="DW19" s="207" t="str">
        <f t="shared" si="25"/>
        <v>Y10M11</v>
      </c>
      <c r="DX19" s="207" t="str">
        <f t="shared" si="25"/>
        <v>Y10M12</v>
      </c>
      <c r="DY19" s="88"/>
      <c r="DZ19" s="188" t="s">
        <v>399</v>
      </c>
      <c r="EB19" s="88"/>
    </row>
    <row r="20" spans="1:132" outlineLevel="1">
      <c r="A20" s="91" t="s">
        <v>163</v>
      </c>
      <c r="C20" s="185"/>
      <c r="D20" s="185"/>
      <c r="E20" s="185"/>
      <c r="F20" s="206" t="str">
        <f t="shared" ref="F20:BQ20" si="26">IF(F14&lt;0,"Pre","Q"&amp;INT((F14-1)/3)+1)</f>
        <v>Pre</v>
      </c>
      <c r="G20" s="207" t="str">
        <f t="shared" si="26"/>
        <v>Pre</v>
      </c>
      <c r="H20" s="207" t="str">
        <f t="shared" si="26"/>
        <v>Pre</v>
      </c>
      <c r="I20" s="207" t="str">
        <f t="shared" si="26"/>
        <v>Q1</v>
      </c>
      <c r="J20" s="207" t="str">
        <f t="shared" si="26"/>
        <v>Q1</v>
      </c>
      <c r="K20" s="207" t="str">
        <f t="shared" si="26"/>
        <v>Q1</v>
      </c>
      <c r="L20" s="207" t="str">
        <f t="shared" si="26"/>
        <v>Q2</v>
      </c>
      <c r="M20" s="207" t="str">
        <f t="shared" si="26"/>
        <v>Q2</v>
      </c>
      <c r="N20" s="207" t="str">
        <f t="shared" si="26"/>
        <v>Q2</v>
      </c>
      <c r="O20" s="207" t="str">
        <f t="shared" si="26"/>
        <v>Q3</v>
      </c>
      <c r="P20" s="207" t="str">
        <f t="shared" si="26"/>
        <v>Q3</v>
      </c>
      <c r="Q20" s="207" t="str">
        <f t="shared" si="26"/>
        <v>Q3</v>
      </c>
      <c r="R20" s="207" t="str">
        <f t="shared" si="26"/>
        <v>Q4</v>
      </c>
      <c r="S20" s="207" t="str">
        <f t="shared" si="26"/>
        <v>Q4</v>
      </c>
      <c r="T20" s="207" t="str">
        <f t="shared" si="26"/>
        <v>Q4</v>
      </c>
      <c r="U20" s="207" t="str">
        <f t="shared" si="26"/>
        <v>Q5</v>
      </c>
      <c r="V20" s="207" t="str">
        <f t="shared" si="26"/>
        <v>Q5</v>
      </c>
      <c r="W20" s="207" t="str">
        <f t="shared" si="26"/>
        <v>Q5</v>
      </c>
      <c r="X20" s="207" t="str">
        <f t="shared" si="26"/>
        <v>Q6</v>
      </c>
      <c r="Y20" s="207" t="str">
        <f t="shared" si="26"/>
        <v>Q6</v>
      </c>
      <c r="Z20" s="207" t="str">
        <f t="shared" si="26"/>
        <v>Q6</v>
      </c>
      <c r="AA20" s="207" t="str">
        <f t="shared" si="26"/>
        <v>Q7</v>
      </c>
      <c r="AB20" s="207" t="str">
        <f t="shared" si="26"/>
        <v>Q7</v>
      </c>
      <c r="AC20" s="207" t="str">
        <f t="shared" si="26"/>
        <v>Q7</v>
      </c>
      <c r="AD20" s="207" t="str">
        <f t="shared" si="26"/>
        <v>Q8</v>
      </c>
      <c r="AE20" s="207" t="str">
        <f t="shared" si="26"/>
        <v>Q8</v>
      </c>
      <c r="AF20" s="207" t="str">
        <f t="shared" si="26"/>
        <v>Q8</v>
      </c>
      <c r="AG20" s="207" t="str">
        <f t="shared" si="26"/>
        <v>Q9</v>
      </c>
      <c r="AH20" s="207" t="str">
        <f t="shared" si="26"/>
        <v>Q9</v>
      </c>
      <c r="AI20" s="207" t="str">
        <f t="shared" si="26"/>
        <v>Q9</v>
      </c>
      <c r="AJ20" s="207" t="str">
        <f t="shared" si="26"/>
        <v>Q10</v>
      </c>
      <c r="AK20" s="207" t="str">
        <f t="shared" si="26"/>
        <v>Q10</v>
      </c>
      <c r="AL20" s="207" t="str">
        <f t="shared" si="26"/>
        <v>Q10</v>
      </c>
      <c r="AM20" s="207" t="str">
        <f t="shared" si="26"/>
        <v>Q11</v>
      </c>
      <c r="AN20" s="207" t="str">
        <f t="shared" si="26"/>
        <v>Q11</v>
      </c>
      <c r="AO20" s="207" t="str">
        <f t="shared" si="26"/>
        <v>Q11</v>
      </c>
      <c r="AP20" s="207" t="str">
        <f t="shared" si="26"/>
        <v>Q12</v>
      </c>
      <c r="AQ20" s="207" t="str">
        <f t="shared" si="26"/>
        <v>Q12</v>
      </c>
      <c r="AR20" s="207" t="str">
        <f t="shared" si="26"/>
        <v>Q12</v>
      </c>
      <c r="AS20" s="207" t="str">
        <f t="shared" si="26"/>
        <v>Q13</v>
      </c>
      <c r="AT20" s="207" t="str">
        <f t="shared" si="26"/>
        <v>Q13</v>
      </c>
      <c r="AU20" s="207" t="str">
        <f t="shared" si="26"/>
        <v>Q13</v>
      </c>
      <c r="AV20" s="207" t="str">
        <f t="shared" si="26"/>
        <v>Q14</v>
      </c>
      <c r="AW20" s="207" t="str">
        <f t="shared" si="26"/>
        <v>Q14</v>
      </c>
      <c r="AX20" s="207" t="str">
        <f t="shared" si="26"/>
        <v>Q14</v>
      </c>
      <c r="AY20" s="207" t="str">
        <f t="shared" si="26"/>
        <v>Q15</v>
      </c>
      <c r="AZ20" s="207" t="str">
        <f t="shared" si="26"/>
        <v>Q15</v>
      </c>
      <c r="BA20" s="207" t="str">
        <f t="shared" si="26"/>
        <v>Q15</v>
      </c>
      <c r="BB20" s="207" t="str">
        <f t="shared" si="26"/>
        <v>Q16</v>
      </c>
      <c r="BC20" s="207" t="str">
        <f t="shared" si="26"/>
        <v>Q16</v>
      </c>
      <c r="BD20" s="207" t="str">
        <f t="shared" si="26"/>
        <v>Q16</v>
      </c>
      <c r="BE20" s="207" t="str">
        <f t="shared" si="26"/>
        <v>Q17</v>
      </c>
      <c r="BF20" s="207" t="str">
        <f t="shared" si="26"/>
        <v>Q17</v>
      </c>
      <c r="BG20" s="207" t="str">
        <f t="shared" si="26"/>
        <v>Q17</v>
      </c>
      <c r="BH20" s="207" t="str">
        <f t="shared" si="26"/>
        <v>Q18</v>
      </c>
      <c r="BI20" s="207" t="str">
        <f t="shared" si="26"/>
        <v>Q18</v>
      </c>
      <c r="BJ20" s="207" t="str">
        <f t="shared" si="26"/>
        <v>Q18</v>
      </c>
      <c r="BK20" s="207" t="str">
        <f t="shared" si="26"/>
        <v>Q19</v>
      </c>
      <c r="BL20" s="207" t="str">
        <f t="shared" si="26"/>
        <v>Q19</v>
      </c>
      <c r="BM20" s="207" t="str">
        <f t="shared" si="26"/>
        <v>Q19</v>
      </c>
      <c r="BN20" s="207" t="str">
        <f t="shared" si="26"/>
        <v>Q20</v>
      </c>
      <c r="BO20" s="207" t="str">
        <f t="shared" si="26"/>
        <v>Q20</v>
      </c>
      <c r="BP20" s="207" t="str">
        <f t="shared" si="26"/>
        <v>Q20</v>
      </c>
      <c r="BQ20" s="207" t="str">
        <f t="shared" si="26"/>
        <v>Q21</v>
      </c>
      <c r="BR20" s="207" t="str">
        <f t="shared" ref="BR20:DX20" si="27">IF(BR14&lt;0,"Pre","Q"&amp;INT((BR14-1)/3)+1)</f>
        <v>Q21</v>
      </c>
      <c r="BS20" s="207" t="str">
        <f t="shared" si="27"/>
        <v>Q21</v>
      </c>
      <c r="BT20" s="207" t="str">
        <f t="shared" si="27"/>
        <v>Q22</v>
      </c>
      <c r="BU20" s="207" t="str">
        <f t="shared" si="27"/>
        <v>Q22</v>
      </c>
      <c r="BV20" s="207" t="str">
        <f t="shared" si="27"/>
        <v>Q22</v>
      </c>
      <c r="BW20" s="207" t="str">
        <f t="shared" si="27"/>
        <v>Q23</v>
      </c>
      <c r="BX20" s="207" t="str">
        <f t="shared" si="27"/>
        <v>Q23</v>
      </c>
      <c r="BY20" s="207" t="str">
        <f t="shared" si="27"/>
        <v>Q23</v>
      </c>
      <c r="BZ20" s="207" t="str">
        <f t="shared" si="27"/>
        <v>Q24</v>
      </c>
      <c r="CA20" s="207" t="str">
        <f t="shared" si="27"/>
        <v>Q24</v>
      </c>
      <c r="CB20" s="207" t="str">
        <f t="shared" si="27"/>
        <v>Q24</v>
      </c>
      <c r="CC20" s="207" t="str">
        <f t="shared" si="27"/>
        <v>Q25</v>
      </c>
      <c r="CD20" s="207" t="str">
        <f t="shared" si="27"/>
        <v>Q25</v>
      </c>
      <c r="CE20" s="207" t="str">
        <f t="shared" si="27"/>
        <v>Q25</v>
      </c>
      <c r="CF20" s="207" t="str">
        <f t="shared" si="27"/>
        <v>Q26</v>
      </c>
      <c r="CG20" s="207" t="str">
        <f t="shared" si="27"/>
        <v>Q26</v>
      </c>
      <c r="CH20" s="207" t="str">
        <f t="shared" si="27"/>
        <v>Q26</v>
      </c>
      <c r="CI20" s="207" t="str">
        <f t="shared" si="27"/>
        <v>Q27</v>
      </c>
      <c r="CJ20" s="207" t="str">
        <f t="shared" si="27"/>
        <v>Q27</v>
      </c>
      <c r="CK20" s="207" t="str">
        <f t="shared" si="27"/>
        <v>Q27</v>
      </c>
      <c r="CL20" s="207" t="str">
        <f t="shared" si="27"/>
        <v>Q28</v>
      </c>
      <c r="CM20" s="207" t="str">
        <f t="shared" si="27"/>
        <v>Q28</v>
      </c>
      <c r="CN20" s="207" t="str">
        <f t="shared" si="27"/>
        <v>Q28</v>
      </c>
      <c r="CO20" s="207" t="str">
        <f t="shared" si="27"/>
        <v>Q29</v>
      </c>
      <c r="CP20" s="207" t="str">
        <f t="shared" si="27"/>
        <v>Q29</v>
      </c>
      <c r="CQ20" s="207" t="str">
        <f t="shared" si="27"/>
        <v>Q29</v>
      </c>
      <c r="CR20" s="207" t="str">
        <f t="shared" si="27"/>
        <v>Q30</v>
      </c>
      <c r="CS20" s="207" t="str">
        <f t="shared" si="27"/>
        <v>Q30</v>
      </c>
      <c r="CT20" s="207" t="str">
        <f t="shared" si="27"/>
        <v>Q30</v>
      </c>
      <c r="CU20" s="207" t="str">
        <f t="shared" si="27"/>
        <v>Q31</v>
      </c>
      <c r="CV20" s="207" t="str">
        <f t="shared" si="27"/>
        <v>Q31</v>
      </c>
      <c r="CW20" s="207" t="str">
        <f t="shared" si="27"/>
        <v>Q31</v>
      </c>
      <c r="CX20" s="207" t="str">
        <f t="shared" si="27"/>
        <v>Q32</v>
      </c>
      <c r="CY20" s="207" t="str">
        <f t="shared" si="27"/>
        <v>Q32</v>
      </c>
      <c r="CZ20" s="207" t="str">
        <f t="shared" si="27"/>
        <v>Q32</v>
      </c>
      <c r="DA20" s="207" t="str">
        <f t="shared" si="27"/>
        <v>Q33</v>
      </c>
      <c r="DB20" s="207" t="str">
        <f t="shared" si="27"/>
        <v>Q33</v>
      </c>
      <c r="DC20" s="207" t="str">
        <f t="shared" si="27"/>
        <v>Q33</v>
      </c>
      <c r="DD20" s="207" t="str">
        <f t="shared" si="27"/>
        <v>Q34</v>
      </c>
      <c r="DE20" s="207" t="str">
        <f t="shared" si="27"/>
        <v>Q34</v>
      </c>
      <c r="DF20" s="207" t="str">
        <f t="shared" si="27"/>
        <v>Q34</v>
      </c>
      <c r="DG20" s="207" t="str">
        <f t="shared" si="27"/>
        <v>Q35</v>
      </c>
      <c r="DH20" s="207" t="str">
        <f t="shared" si="27"/>
        <v>Q35</v>
      </c>
      <c r="DI20" s="207" t="str">
        <f t="shared" si="27"/>
        <v>Q35</v>
      </c>
      <c r="DJ20" s="207" t="str">
        <f t="shared" si="27"/>
        <v>Q36</v>
      </c>
      <c r="DK20" s="207" t="str">
        <f t="shared" si="27"/>
        <v>Q36</v>
      </c>
      <c r="DL20" s="207" t="str">
        <f t="shared" si="27"/>
        <v>Q36</v>
      </c>
      <c r="DM20" s="207" t="str">
        <f t="shared" si="27"/>
        <v>Q37</v>
      </c>
      <c r="DN20" s="207" t="str">
        <f t="shared" si="27"/>
        <v>Q37</v>
      </c>
      <c r="DO20" s="207" t="str">
        <f t="shared" si="27"/>
        <v>Q37</v>
      </c>
      <c r="DP20" s="207" t="str">
        <f t="shared" si="27"/>
        <v>Q38</v>
      </c>
      <c r="DQ20" s="207" t="str">
        <f t="shared" si="27"/>
        <v>Q38</v>
      </c>
      <c r="DR20" s="207" t="str">
        <f t="shared" si="27"/>
        <v>Q38</v>
      </c>
      <c r="DS20" s="207" t="str">
        <f t="shared" si="27"/>
        <v>Q39</v>
      </c>
      <c r="DT20" s="207" t="str">
        <f t="shared" si="27"/>
        <v>Q39</v>
      </c>
      <c r="DU20" s="207" t="str">
        <f t="shared" si="27"/>
        <v>Q39</v>
      </c>
      <c r="DV20" s="207" t="str">
        <f t="shared" si="27"/>
        <v>Q40</v>
      </c>
      <c r="DW20" s="207" t="str">
        <f t="shared" si="27"/>
        <v>Q40</v>
      </c>
      <c r="DX20" s="207" t="str">
        <f t="shared" si="27"/>
        <v>Q40</v>
      </c>
      <c r="DY20" s="88"/>
      <c r="DZ20" s="188" t="s">
        <v>400</v>
      </c>
      <c r="EB20" s="88"/>
    </row>
    <row r="21" spans="1:132" outlineLevel="1">
      <c r="A21" s="91" t="s">
        <v>164</v>
      </c>
      <c r="C21" s="185"/>
      <c r="D21" s="185"/>
      <c r="E21" s="185"/>
      <c r="F21" s="202">
        <f t="shared" ref="F21:AK21" si="28">IF(AND(PreContractStartDateIn&lt;=DateToMth,DateToMth&lt;=ContractEndDateIn),1,0)</f>
        <v>0</v>
      </c>
      <c r="G21" s="203">
        <f t="shared" si="28"/>
        <v>0</v>
      </c>
      <c r="H21" s="203">
        <f t="shared" si="28"/>
        <v>0</v>
      </c>
      <c r="I21" s="203">
        <f t="shared" si="28"/>
        <v>0</v>
      </c>
      <c r="J21" s="203">
        <f t="shared" si="28"/>
        <v>0</v>
      </c>
      <c r="K21" s="203">
        <f t="shared" si="28"/>
        <v>0</v>
      </c>
      <c r="L21" s="203">
        <f t="shared" si="28"/>
        <v>0</v>
      </c>
      <c r="M21" s="203">
        <f t="shared" si="28"/>
        <v>0</v>
      </c>
      <c r="N21" s="203">
        <f t="shared" si="28"/>
        <v>0</v>
      </c>
      <c r="O21" s="203">
        <f t="shared" si="28"/>
        <v>0</v>
      </c>
      <c r="P21" s="203">
        <f t="shared" si="28"/>
        <v>0</v>
      </c>
      <c r="Q21" s="203">
        <f t="shared" si="28"/>
        <v>0</v>
      </c>
      <c r="R21" s="203">
        <f t="shared" si="28"/>
        <v>0</v>
      </c>
      <c r="S21" s="203">
        <f t="shared" si="28"/>
        <v>0</v>
      </c>
      <c r="T21" s="203">
        <f t="shared" si="28"/>
        <v>0</v>
      </c>
      <c r="U21" s="203">
        <f t="shared" si="28"/>
        <v>0</v>
      </c>
      <c r="V21" s="203">
        <f t="shared" si="28"/>
        <v>0</v>
      </c>
      <c r="W21" s="203">
        <f t="shared" si="28"/>
        <v>0</v>
      </c>
      <c r="X21" s="203">
        <f t="shared" si="28"/>
        <v>0</v>
      </c>
      <c r="Y21" s="203">
        <f t="shared" si="28"/>
        <v>0</v>
      </c>
      <c r="Z21" s="203">
        <f t="shared" si="28"/>
        <v>0</v>
      </c>
      <c r="AA21" s="203">
        <f t="shared" si="28"/>
        <v>0</v>
      </c>
      <c r="AB21" s="203">
        <f t="shared" si="28"/>
        <v>0</v>
      </c>
      <c r="AC21" s="203">
        <f t="shared" si="28"/>
        <v>0</v>
      </c>
      <c r="AD21" s="203">
        <f t="shared" si="28"/>
        <v>0</v>
      </c>
      <c r="AE21" s="203">
        <f t="shared" si="28"/>
        <v>0</v>
      </c>
      <c r="AF21" s="203">
        <f t="shared" si="28"/>
        <v>0</v>
      </c>
      <c r="AG21" s="203">
        <f t="shared" si="28"/>
        <v>0</v>
      </c>
      <c r="AH21" s="203">
        <f t="shared" si="28"/>
        <v>0</v>
      </c>
      <c r="AI21" s="203">
        <f t="shared" si="28"/>
        <v>0</v>
      </c>
      <c r="AJ21" s="203">
        <f t="shared" si="28"/>
        <v>0</v>
      </c>
      <c r="AK21" s="203">
        <f t="shared" si="28"/>
        <v>0</v>
      </c>
      <c r="AL21" s="203">
        <f t="shared" ref="AL21:BQ21" si="29">IF(AND(PreContractStartDateIn&lt;=DateToMth,DateToMth&lt;=ContractEndDateIn),1,0)</f>
        <v>0</v>
      </c>
      <c r="AM21" s="203">
        <f t="shared" si="29"/>
        <v>0</v>
      </c>
      <c r="AN21" s="203">
        <f t="shared" si="29"/>
        <v>0</v>
      </c>
      <c r="AO21" s="203">
        <f t="shared" si="29"/>
        <v>0</v>
      </c>
      <c r="AP21" s="203">
        <f t="shared" si="29"/>
        <v>0</v>
      </c>
      <c r="AQ21" s="203">
        <f t="shared" si="29"/>
        <v>0</v>
      </c>
      <c r="AR21" s="203">
        <f t="shared" si="29"/>
        <v>0</v>
      </c>
      <c r="AS21" s="203">
        <f t="shared" si="29"/>
        <v>0</v>
      </c>
      <c r="AT21" s="203">
        <f t="shared" si="29"/>
        <v>0</v>
      </c>
      <c r="AU21" s="203">
        <f t="shared" si="29"/>
        <v>0</v>
      </c>
      <c r="AV21" s="203">
        <f t="shared" si="29"/>
        <v>0</v>
      </c>
      <c r="AW21" s="203">
        <f t="shared" si="29"/>
        <v>0</v>
      </c>
      <c r="AX21" s="203">
        <f t="shared" si="29"/>
        <v>0</v>
      </c>
      <c r="AY21" s="203">
        <f t="shared" si="29"/>
        <v>0</v>
      </c>
      <c r="AZ21" s="203">
        <f t="shared" si="29"/>
        <v>0</v>
      </c>
      <c r="BA21" s="203">
        <f t="shared" si="29"/>
        <v>0</v>
      </c>
      <c r="BB21" s="203">
        <f t="shared" si="29"/>
        <v>0</v>
      </c>
      <c r="BC21" s="203">
        <f t="shared" si="29"/>
        <v>0</v>
      </c>
      <c r="BD21" s="203">
        <f t="shared" si="29"/>
        <v>0</v>
      </c>
      <c r="BE21" s="203">
        <f t="shared" si="29"/>
        <v>0</v>
      </c>
      <c r="BF21" s="203">
        <f t="shared" si="29"/>
        <v>0</v>
      </c>
      <c r="BG21" s="203">
        <f t="shared" si="29"/>
        <v>0</v>
      </c>
      <c r="BH21" s="203">
        <f t="shared" si="29"/>
        <v>0</v>
      </c>
      <c r="BI21" s="203">
        <f t="shared" si="29"/>
        <v>0</v>
      </c>
      <c r="BJ21" s="203">
        <f t="shared" si="29"/>
        <v>0</v>
      </c>
      <c r="BK21" s="203">
        <f t="shared" si="29"/>
        <v>0</v>
      </c>
      <c r="BL21" s="203">
        <f t="shared" si="29"/>
        <v>0</v>
      </c>
      <c r="BM21" s="203">
        <f t="shared" si="29"/>
        <v>0</v>
      </c>
      <c r="BN21" s="203">
        <f t="shared" si="29"/>
        <v>0</v>
      </c>
      <c r="BO21" s="203">
        <f t="shared" si="29"/>
        <v>0</v>
      </c>
      <c r="BP21" s="203">
        <f t="shared" si="29"/>
        <v>0</v>
      </c>
      <c r="BQ21" s="203">
        <f t="shared" si="29"/>
        <v>0</v>
      </c>
      <c r="BR21" s="203">
        <f t="shared" ref="BR21:CW21" si="30">IF(AND(PreContractStartDateIn&lt;=DateToMth,DateToMth&lt;=ContractEndDateIn),1,0)</f>
        <v>0</v>
      </c>
      <c r="BS21" s="203">
        <f t="shared" si="30"/>
        <v>0</v>
      </c>
      <c r="BT21" s="203">
        <f t="shared" si="30"/>
        <v>0</v>
      </c>
      <c r="BU21" s="203">
        <f t="shared" si="30"/>
        <v>0</v>
      </c>
      <c r="BV21" s="203">
        <f t="shared" si="30"/>
        <v>0</v>
      </c>
      <c r="BW21" s="203">
        <f t="shared" si="30"/>
        <v>0</v>
      </c>
      <c r="BX21" s="203">
        <f t="shared" si="30"/>
        <v>0</v>
      </c>
      <c r="BY21" s="203">
        <f t="shared" si="30"/>
        <v>0</v>
      </c>
      <c r="BZ21" s="203">
        <f t="shared" si="30"/>
        <v>0</v>
      </c>
      <c r="CA21" s="203">
        <f t="shared" si="30"/>
        <v>0</v>
      </c>
      <c r="CB21" s="203">
        <f t="shared" si="30"/>
        <v>0</v>
      </c>
      <c r="CC21" s="203">
        <f t="shared" si="30"/>
        <v>0</v>
      </c>
      <c r="CD21" s="203">
        <f t="shared" si="30"/>
        <v>0</v>
      </c>
      <c r="CE21" s="203">
        <f t="shared" si="30"/>
        <v>0</v>
      </c>
      <c r="CF21" s="203">
        <f t="shared" si="30"/>
        <v>0</v>
      </c>
      <c r="CG21" s="203">
        <f t="shared" si="30"/>
        <v>0</v>
      </c>
      <c r="CH21" s="203">
        <f t="shared" si="30"/>
        <v>0</v>
      </c>
      <c r="CI21" s="203">
        <f t="shared" si="30"/>
        <v>0</v>
      </c>
      <c r="CJ21" s="203">
        <f t="shared" si="30"/>
        <v>0</v>
      </c>
      <c r="CK21" s="203">
        <f t="shared" si="30"/>
        <v>0</v>
      </c>
      <c r="CL21" s="203">
        <f t="shared" si="30"/>
        <v>0</v>
      </c>
      <c r="CM21" s="203">
        <f t="shared" si="30"/>
        <v>0</v>
      </c>
      <c r="CN21" s="203">
        <f t="shared" si="30"/>
        <v>0</v>
      </c>
      <c r="CO21" s="203">
        <f t="shared" si="30"/>
        <v>0</v>
      </c>
      <c r="CP21" s="203">
        <f t="shared" si="30"/>
        <v>0</v>
      </c>
      <c r="CQ21" s="203">
        <f t="shared" si="30"/>
        <v>0</v>
      </c>
      <c r="CR21" s="203">
        <f t="shared" si="30"/>
        <v>0</v>
      </c>
      <c r="CS21" s="203">
        <f t="shared" si="30"/>
        <v>0</v>
      </c>
      <c r="CT21" s="203">
        <f t="shared" si="30"/>
        <v>0</v>
      </c>
      <c r="CU21" s="203">
        <f t="shared" si="30"/>
        <v>0</v>
      </c>
      <c r="CV21" s="203">
        <f t="shared" si="30"/>
        <v>0</v>
      </c>
      <c r="CW21" s="203">
        <f t="shared" si="30"/>
        <v>0</v>
      </c>
      <c r="CX21" s="203">
        <f t="shared" ref="CX21:DX21" si="31">IF(AND(PreContractStartDateIn&lt;=DateToMth,DateToMth&lt;=ContractEndDateIn),1,0)</f>
        <v>0</v>
      </c>
      <c r="CY21" s="203">
        <f t="shared" si="31"/>
        <v>0</v>
      </c>
      <c r="CZ21" s="203">
        <f t="shared" si="31"/>
        <v>0</v>
      </c>
      <c r="DA21" s="203">
        <f t="shared" si="31"/>
        <v>0</v>
      </c>
      <c r="DB21" s="203">
        <f t="shared" si="31"/>
        <v>0</v>
      </c>
      <c r="DC21" s="203">
        <f t="shared" si="31"/>
        <v>0</v>
      </c>
      <c r="DD21" s="203">
        <f t="shared" si="31"/>
        <v>0</v>
      </c>
      <c r="DE21" s="203">
        <f t="shared" si="31"/>
        <v>0</v>
      </c>
      <c r="DF21" s="203">
        <f t="shared" si="31"/>
        <v>0</v>
      </c>
      <c r="DG21" s="203">
        <f t="shared" si="31"/>
        <v>0</v>
      </c>
      <c r="DH21" s="203">
        <f t="shared" si="31"/>
        <v>0</v>
      </c>
      <c r="DI21" s="203">
        <f t="shared" si="31"/>
        <v>0</v>
      </c>
      <c r="DJ21" s="203">
        <f t="shared" si="31"/>
        <v>0</v>
      </c>
      <c r="DK21" s="203">
        <f t="shared" si="31"/>
        <v>0</v>
      </c>
      <c r="DL21" s="203">
        <f t="shared" si="31"/>
        <v>0</v>
      </c>
      <c r="DM21" s="203">
        <f t="shared" si="31"/>
        <v>0</v>
      </c>
      <c r="DN21" s="203">
        <f t="shared" si="31"/>
        <v>0</v>
      </c>
      <c r="DO21" s="203">
        <f t="shared" si="31"/>
        <v>0</v>
      </c>
      <c r="DP21" s="203">
        <f t="shared" si="31"/>
        <v>0</v>
      </c>
      <c r="DQ21" s="203">
        <f t="shared" si="31"/>
        <v>0</v>
      </c>
      <c r="DR21" s="203">
        <f t="shared" si="31"/>
        <v>0</v>
      </c>
      <c r="DS21" s="203">
        <f t="shared" si="31"/>
        <v>0</v>
      </c>
      <c r="DT21" s="203">
        <f t="shared" si="31"/>
        <v>0</v>
      </c>
      <c r="DU21" s="203">
        <f t="shared" si="31"/>
        <v>0</v>
      </c>
      <c r="DV21" s="203">
        <f t="shared" si="31"/>
        <v>0</v>
      </c>
      <c r="DW21" s="203">
        <f t="shared" si="31"/>
        <v>0</v>
      </c>
      <c r="DX21" s="203">
        <f t="shared" si="31"/>
        <v>0</v>
      </c>
      <c r="DY21" s="88"/>
      <c r="DZ21" s="188" t="s">
        <v>401</v>
      </c>
      <c r="EB21" s="88"/>
    </row>
    <row r="22" spans="1:132" outlineLevel="1">
      <c r="A22" s="91" t="s">
        <v>165</v>
      </c>
      <c r="C22" s="185"/>
      <c r="D22" s="185"/>
      <c r="E22" s="185"/>
      <c r="F22" s="202">
        <f>SUM(ActivePeriodFlag)</f>
        <v>0</v>
      </c>
      <c r="G22" s="203">
        <f>IF(F22&gt;0,F22-1,0)</f>
        <v>0</v>
      </c>
      <c r="H22" s="203">
        <f t="shared" ref="H22:BS22" si="32">IF(G22&gt;0,G22-1,0)</f>
        <v>0</v>
      </c>
      <c r="I22" s="203">
        <f t="shared" si="32"/>
        <v>0</v>
      </c>
      <c r="J22" s="203">
        <f t="shared" si="32"/>
        <v>0</v>
      </c>
      <c r="K22" s="203">
        <f t="shared" si="32"/>
        <v>0</v>
      </c>
      <c r="L22" s="203">
        <f t="shared" si="32"/>
        <v>0</v>
      </c>
      <c r="M22" s="203">
        <f t="shared" si="32"/>
        <v>0</v>
      </c>
      <c r="N22" s="203">
        <f t="shared" si="32"/>
        <v>0</v>
      </c>
      <c r="O22" s="203">
        <f t="shared" si="32"/>
        <v>0</v>
      </c>
      <c r="P22" s="203">
        <f t="shared" si="32"/>
        <v>0</v>
      </c>
      <c r="Q22" s="203">
        <f t="shared" si="32"/>
        <v>0</v>
      </c>
      <c r="R22" s="203">
        <f t="shared" si="32"/>
        <v>0</v>
      </c>
      <c r="S22" s="203">
        <f t="shared" si="32"/>
        <v>0</v>
      </c>
      <c r="T22" s="203">
        <f t="shared" si="32"/>
        <v>0</v>
      </c>
      <c r="U22" s="203">
        <f t="shared" si="32"/>
        <v>0</v>
      </c>
      <c r="V22" s="203">
        <f t="shared" si="32"/>
        <v>0</v>
      </c>
      <c r="W22" s="203">
        <f t="shared" si="32"/>
        <v>0</v>
      </c>
      <c r="X22" s="203">
        <f t="shared" si="32"/>
        <v>0</v>
      </c>
      <c r="Y22" s="203">
        <f t="shared" si="32"/>
        <v>0</v>
      </c>
      <c r="Z22" s="203">
        <f t="shared" si="32"/>
        <v>0</v>
      </c>
      <c r="AA22" s="203">
        <f t="shared" si="32"/>
        <v>0</v>
      </c>
      <c r="AB22" s="203">
        <f t="shared" si="32"/>
        <v>0</v>
      </c>
      <c r="AC22" s="203">
        <f t="shared" si="32"/>
        <v>0</v>
      </c>
      <c r="AD22" s="203">
        <f t="shared" si="32"/>
        <v>0</v>
      </c>
      <c r="AE22" s="203">
        <f t="shared" si="32"/>
        <v>0</v>
      </c>
      <c r="AF22" s="203">
        <f t="shared" si="32"/>
        <v>0</v>
      </c>
      <c r="AG22" s="203">
        <f t="shared" si="32"/>
        <v>0</v>
      </c>
      <c r="AH22" s="203">
        <f t="shared" si="32"/>
        <v>0</v>
      </c>
      <c r="AI22" s="203">
        <f t="shared" si="32"/>
        <v>0</v>
      </c>
      <c r="AJ22" s="203">
        <f t="shared" si="32"/>
        <v>0</v>
      </c>
      <c r="AK22" s="203">
        <f t="shared" si="32"/>
        <v>0</v>
      </c>
      <c r="AL22" s="203">
        <f t="shared" si="32"/>
        <v>0</v>
      </c>
      <c r="AM22" s="203">
        <f t="shared" si="32"/>
        <v>0</v>
      </c>
      <c r="AN22" s="203">
        <f t="shared" si="32"/>
        <v>0</v>
      </c>
      <c r="AO22" s="203">
        <f t="shared" si="32"/>
        <v>0</v>
      </c>
      <c r="AP22" s="203">
        <f t="shared" si="32"/>
        <v>0</v>
      </c>
      <c r="AQ22" s="203">
        <f t="shared" si="32"/>
        <v>0</v>
      </c>
      <c r="AR22" s="203">
        <f t="shared" si="32"/>
        <v>0</v>
      </c>
      <c r="AS22" s="203">
        <f t="shared" si="32"/>
        <v>0</v>
      </c>
      <c r="AT22" s="203">
        <f t="shared" si="32"/>
        <v>0</v>
      </c>
      <c r="AU22" s="203">
        <f t="shared" si="32"/>
        <v>0</v>
      </c>
      <c r="AV22" s="203">
        <f t="shared" si="32"/>
        <v>0</v>
      </c>
      <c r="AW22" s="203">
        <f t="shared" si="32"/>
        <v>0</v>
      </c>
      <c r="AX22" s="203">
        <f t="shared" si="32"/>
        <v>0</v>
      </c>
      <c r="AY22" s="203">
        <f t="shared" si="32"/>
        <v>0</v>
      </c>
      <c r="AZ22" s="203">
        <f t="shared" si="32"/>
        <v>0</v>
      </c>
      <c r="BA22" s="203">
        <f t="shared" si="32"/>
        <v>0</v>
      </c>
      <c r="BB22" s="203">
        <f t="shared" si="32"/>
        <v>0</v>
      </c>
      <c r="BC22" s="203">
        <f t="shared" si="32"/>
        <v>0</v>
      </c>
      <c r="BD22" s="203">
        <f t="shared" si="32"/>
        <v>0</v>
      </c>
      <c r="BE22" s="203">
        <f t="shared" si="32"/>
        <v>0</v>
      </c>
      <c r="BF22" s="203">
        <f t="shared" si="32"/>
        <v>0</v>
      </c>
      <c r="BG22" s="203">
        <f t="shared" si="32"/>
        <v>0</v>
      </c>
      <c r="BH22" s="203">
        <f t="shared" si="32"/>
        <v>0</v>
      </c>
      <c r="BI22" s="203">
        <f t="shared" si="32"/>
        <v>0</v>
      </c>
      <c r="BJ22" s="203">
        <f t="shared" si="32"/>
        <v>0</v>
      </c>
      <c r="BK22" s="203">
        <f t="shared" si="32"/>
        <v>0</v>
      </c>
      <c r="BL22" s="203">
        <f t="shared" si="32"/>
        <v>0</v>
      </c>
      <c r="BM22" s="203">
        <f t="shared" si="32"/>
        <v>0</v>
      </c>
      <c r="BN22" s="203">
        <f t="shared" si="32"/>
        <v>0</v>
      </c>
      <c r="BO22" s="203">
        <f t="shared" si="32"/>
        <v>0</v>
      </c>
      <c r="BP22" s="203">
        <f t="shared" si="32"/>
        <v>0</v>
      </c>
      <c r="BQ22" s="203">
        <f t="shared" si="32"/>
        <v>0</v>
      </c>
      <c r="BR22" s="203">
        <f t="shared" si="32"/>
        <v>0</v>
      </c>
      <c r="BS22" s="203">
        <f t="shared" si="32"/>
        <v>0</v>
      </c>
      <c r="BT22" s="203">
        <f t="shared" ref="BT22:DX22" si="33">IF(BS22&gt;0,BS22-1,0)</f>
        <v>0</v>
      </c>
      <c r="BU22" s="203">
        <f t="shared" si="33"/>
        <v>0</v>
      </c>
      <c r="BV22" s="203">
        <f t="shared" si="33"/>
        <v>0</v>
      </c>
      <c r="BW22" s="203">
        <f t="shared" si="33"/>
        <v>0</v>
      </c>
      <c r="BX22" s="203">
        <f t="shared" si="33"/>
        <v>0</v>
      </c>
      <c r="BY22" s="203">
        <f t="shared" si="33"/>
        <v>0</v>
      </c>
      <c r="BZ22" s="203">
        <f t="shared" si="33"/>
        <v>0</v>
      </c>
      <c r="CA22" s="203">
        <f t="shared" si="33"/>
        <v>0</v>
      </c>
      <c r="CB22" s="203">
        <f t="shared" si="33"/>
        <v>0</v>
      </c>
      <c r="CC22" s="203">
        <f t="shared" si="33"/>
        <v>0</v>
      </c>
      <c r="CD22" s="203">
        <f t="shared" si="33"/>
        <v>0</v>
      </c>
      <c r="CE22" s="203">
        <f t="shared" si="33"/>
        <v>0</v>
      </c>
      <c r="CF22" s="203">
        <f t="shared" si="33"/>
        <v>0</v>
      </c>
      <c r="CG22" s="203">
        <f t="shared" si="33"/>
        <v>0</v>
      </c>
      <c r="CH22" s="203">
        <f t="shared" si="33"/>
        <v>0</v>
      </c>
      <c r="CI22" s="203">
        <f t="shared" si="33"/>
        <v>0</v>
      </c>
      <c r="CJ22" s="203">
        <f t="shared" si="33"/>
        <v>0</v>
      </c>
      <c r="CK22" s="203">
        <f t="shared" si="33"/>
        <v>0</v>
      </c>
      <c r="CL22" s="203">
        <f t="shared" si="33"/>
        <v>0</v>
      </c>
      <c r="CM22" s="203">
        <f t="shared" si="33"/>
        <v>0</v>
      </c>
      <c r="CN22" s="203">
        <f t="shared" si="33"/>
        <v>0</v>
      </c>
      <c r="CO22" s="203">
        <f t="shared" si="33"/>
        <v>0</v>
      </c>
      <c r="CP22" s="203">
        <f t="shared" si="33"/>
        <v>0</v>
      </c>
      <c r="CQ22" s="203">
        <f t="shared" si="33"/>
        <v>0</v>
      </c>
      <c r="CR22" s="203">
        <f t="shared" si="33"/>
        <v>0</v>
      </c>
      <c r="CS22" s="203">
        <f t="shared" si="33"/>
        <v>0</v>
      </c>
      <c r="CT22" s="203">
        <f t="shared" si="33"/>
        <v>0</v>
      </c>
      <c r="CU22" s="203">
        <f t="shared" si="33"/>
        <v>0</v>
      </c>
      <c r="CV22" s="203">
        <f t="shared" si="33"/>
        <v>0</v>
      </c>
      <c r="CW22" s="203">
        <f t="shared" si="33"/>
        <v>0</v>
      </c>
      <c r="CX22" s="203">
        <f t="shared" si="33"/>
        <v>0</v>
      </c>
      <c r="CY22" s="203">
        <f t="shared" si="33"/>
        <v>0</v>
      </c>
      <c r="CZ22" s="203">
        <f t="shared" si="33"/>
        <v>0</v>
      </c>
      <c r="DA22" s="203">
        <f t="shared" si="33"/>
        <v>0</v>
      </c>
      <c r="DB22" s="203">
        <f t="shared" si="33"/>
        <v>0</v>
      </c>
      <c r="DC22" s="203">
        <f t="shared" si="33"/>
        <v>0</v>
      </c>
      <c r="DD22" s="203">
        <f t="shared" si="33"/>
        <v>0</v>
      </c>
      <c r="DE22" s="203">
        <f t="shared" si="33"/>
        <v>0</v>
      </c>
      <c r="DF22" s="203">
        <f t="shared" si="33"/>
        <v>0</v>
      </c>
      <c r="DG22" s="203">
        <f t="shared" si="33"/>
        <v>0</v>
      </c>
      <c r="DH22" s="203">
        <f t="shared" si="33"/>
        <v>0</v>
      </c>
      <c r="DI22" s="203">
        <f t="shared" si="33"/>
        <v>0</v>
      </c>
      <c r="DJ22" s="203">
        <f t="shared" si="33"/>
        <v>0</v>
      </c>
      <c r="DK22" s="203">
        <f t="shared" si="33"/>
        <v>0</v>
      </c>
      <c r="DL22" s="203">
        <f t="shared" si="33"/>
        <v>0</v>
      </c>
      <c r="DM22" s="203">
        <f t="shared" si="33"/>
        <v>0</v>
      </c>
      <c r="DN22" s="203">
        <f t="shared" si="33"/>
        <v>0</v>
      </c>
      <c r="DO22" s="203">
        <f t="shared" si="33"/>
        <v>0</v>
      </c>
      <c r="DP22" s="203">
        <f t="shared" si="33"/>
        <v>0</v>
      </c>
      <c r="DQ22" s="203">
        <f t="shared" si="33"/>
        <v>0</v>
      </c>
      <c r="DR22" s="203">
        <f t="shared" si="33"/>
        <v>0</v>
      </c>
      <c r="DS22" s="203">
        <f t="shared" si="33"/>
        <v>0</v>
      </c>
      <c r="DT22" s="203">
        <f t="shared" si="33"/>
        <v>0</v>
      </c>
      <c r="DU22" s="203">
        <f t="shared" si="33"/>
        <v>0</v>
      </c>
      <c r="DV22" s="203">
        <f t="shared" si="33"/>
        <v>0</v>
      </c>
      <c r="DW22" s="203">
        <f t="shared" si="33"/>
        <v>0</v>
      </c>
      <c r="DX22" s="203">
        <f t="shared" si="33"/>
        <v>0</v>
      </c>
      <c r="DY22" s="88"/>
      <c r="DZ22" s="188" t="s">
        <v>402</v>
      </c>
      <c r="EB22" s="88"/>
    </row>
    <row r="23" spans="1:132" outlineLevel="1">
      <c r="A23" s="91" t="s">
        <v>166</v>
      </c>
      <c r="C23" s="185"/>
      <c r="D23" s="185"/>
      <c r="E23" s="195"/>
      <c r="F23" s="202" t="str">
        <f>YEAR(CompanyYearStartDateIn)&amp;"/"&amp;RIGHT(YEAR(CompanyYearStartDateIn)+1,1)</f>
        <v>2008/9</v>
      </c>
      <c r="G23" s="203" t="str">
        <f t="shared" ref="G23:U23" si="34">IF(MONTH(G11)=4,YEAR(G11)&amp;"/"&amp;RIGHT(YEAR(G11)+1,IF(YEAR(G11)&gt;2008,2,1)),F23)</f>
        <v>2008/9</v>
      </c>
      <c r="H23" s="203" t="str">
        <f t="shared" si="34"/>
        <v>2008/9</v>
      </c>
      <c r="I23" s="203" t="str">
        <f t="shared" si="34"/>
        <v>2008/9</v>
      </c>
      <c r="J23" s="203" t="str">
        <f t="shared" si="34"/>
        <v>2008/9</v>
      </c>
      <c r="K23" s="203" t="str">
        <f t="shared" si="34"/>
        <v>2015/16</v>
      </c>
      <c r="L23" s="203" t="str">
        <f t="shared" si="34"/>
        <v>2015/16</v>
      </c>
      <c r="M23" s="203" t="str">
        <f t="shared" si="34"/>
        <v>2015/16</v>
      </c>
      <c r="N23" s="203" t="str">
        <f t="shared" si="34"/>
        <v>2015/16</v>
      </c>
      <c r="O23" s="203" t="str">
        <f t="shared" si="34"/>
        <v>2015/16</v>
      </c>
      <c r="P23" s="203" t="str">
        <f t="shared" si="34"/>
        <v>2015/16</v>
      </c>
      <c r="Q23" s="203" t="str">
        <f t="shared" si="34"/>
        <v>2015/16</v>
      </c>
      <c r="R23" s="203" t="str">
        <f t="shared" si="34"/>
        <v>2015/16</v>
      </c>
      <c r="S23" s="203" t="str">
        <f t="shared" si="34"/>
        <v>2015/16</v>
      </c>
      <c r="T23" s="203" t="str">
        <f t="shared" si="34"/>
        <v>2015/16</v>
      </c>
      <c r="U23" s="203" t="str">
        <f t="shared" si="34"/>
        <v>2015/16</v>
      </c>
      <c r="V23" s="203" t="str">
        <f>IF(MONTH(V11)=4,YEAR(V11)&amp;"/"&amp;RIGHT(YEAR(V11)+1,IF(YEAR(V11)&gt;2008,2,1)),U23)</f>
        <v>2015/16</v>
      </c>
      <c r="W23" s="203" t="str">
        <f t="shared" ref="W23:CH23" si="35">IF(MONTH(W11)=4,YEAR(W11)&amp;"/"&amp;RIGHT(YEAR(W11)+1,IF(YEAR(W11)&gt;2009,2,1)),V23)</f>
        <v>2016/17</v>
      </c>
      <c r="X23" s="203" t="str">
        <f t="shared" si="35"/>
        <v>2016/17</v>
      </c>
      <c r="Y23" s="203" t="str">
        <f t="shared" si="35"/>
        <v>2016/17</v>
      </c>
      <c r="Z23" s="203" t="str">
        <f t="shared" si="35"/>
        <v>2016/17</v>
      </c>
      <c r="AA23" s="203" t="str">
        <f t="shared" si="35"/>
        <v>2016/17</v>
      </c>
      <c r="AB23" s="203" t="str">
        <f t="shared" si="35"/>
        <v>2016/17</v>
      </c>
      <c r="AC23" s="203" t="str">
        <f t="shared" si="35"/>
        <v>2016/17</v>
      </c>
      <c r="AD23" s="203" t="str">
        <f t="shared" si="35"/>
        <v>2016/17</v>
      </c>
      <c r="AE23" s="203" t="str">
        <f t="shared" si="35"/>
        <v>2016/17</v>
      </c>
      <c r="AF23" s="203" t="str">
        <f t="shared" si="35"/>
        <v>2016/17</v>
      </c>
      <c r="AG23" s="203" t="str">
        <f t="shared" si="35"/>
        <v>2016/17</v>
      </c>
      <c r="AH23" s="203" t="str">
        <f t="shared" si="35"/>
        <v>2016/17</v>
      </c>
      <c r="AI23" s="203" t="str">
        <f t="shared" si="35"/>
        <v>2017/18</v>
      </c>
      <c r="AJ23" s="203" t="str">
        <f t="shared" si="35"/>
        <v>2017/18</v>
      </c>
      <c r="AK23" s="203" t="str">
        <f t="shared" si="35"/>
        <v>2017/18</v>
      </c>
      <c r="AL23" s="203" t="str">
        <f t="shared" si="35"/>
        <v>2017/18</v>
      </c>
      <c r="AM23" s="203" t="str">
        <f t="shared" si="35"/>
        <v>2017/18</v>
      </c>
      <c r="AN23" s="203" t="str">
        <f t="shared" si="35"/>
        <v>2017/18</v>
      </c>
      <c r="AO23" s="203" t="str">
        <f t="shared" si="35"/>
        <v>2017/18</v>
      </c>
      <c r="AP23" s="203" t="str">
        <f t="shared" si="35"/>
        <v>2017/18</v>
      </c>
      <c r="AQ23" s="203" t="str">
        <f t="shared" si="35"/>
        <v>2017/18</v>
      </c>
      <c r="AR23" s="203" t="str">
        <f t="shared" si="35"/>
        <v>2017/18</v>
      </c>
      <c r="AS23" s="203" t="str">
        <f t="shared" si="35"/>
        <v>2017/18</v>
      </c>
      <c r="AT23" s="203" t="str">
        <f t="shared" si="35"/>
        <v>2017/18</v>
      </c>
      <c r="AU23" s="203" t="str">
        <f t="shared" si="35"/>
        <v>2018/19</v>
      </c>
      <c r="AV23" s="203" t="str">
        <f t="shared" si="35"/>
        <v>2018/19</v>
      </c>
      <c r="AW23" s="203" t="str">
        <f t="shared" si="35"/>
        <v>2018/19</v>
      </c>
      <c r="AX23" s="203" t="str">
        <f t="shared" si="35"/>
        <v>2018/19</v>
      </c>
      <c r="AY23" s="203" t="str">
        <f t="shared" si="35"/>
        <v>2018/19</v>
      </c>
      <c r="AZ23" s="203" t="str">
        <f t="shared" si="35"/>
        <v>2018/19</v>
      </c>
      <c r="BA23" s="203" t="str">
        <f t="shared" si="35"/>
        <v>2018/19</v>
      </c>
      <c r="BB23" s="203" t="str">
        <f t="shared" si="35"/>
        <v>2018/19</v>
      </c>
      <c r="BC23" s="203" t="str">
        <f t="shared" si="35"/>
        <v>2018/19</v>
      </c>
      <c r="BD23" s="203" t="str">
        <f t="shared" si="35"/>
        <v>2018/19</v>
      </c>
      <c r="BE23" s="203" t="str">
        <f t="shared" si="35"/>
        <v>2018/19</v>
      </c>
      <c r="BF23" s="203" t="str">
        <f t="shared" si="35"/>
        <v>2018/19</v>
      </c>
      <c r="BG23" s="203" t="str">
        <f t="shared" si="35"/>
        <v>2019/20</v>
      </c>
      <c r="BH23" s="203" t="str">
        <f t="shared" si="35"/>
        <v>2019/20</v>
      </c>
      <c r="BI23" s="203" t="str">
        <f t="shared" si="35"/>
        <v>2019/20</v>
      </c>
      <c r="BJ23" s="203" t="str">
        <f t="shared" si="35"/>
        <v>2019/20</v>
      </c>
      <c r="BK23" s="203" t="str">
        <f t="shared" si="35"/>
        <v>2019/20</v>
      </c>
      <c r="BL23" s="203" t="str">
        <f t="shared" si="35"/>
        <v>2019/20</v>
      </c>
      <c r="BM23" s="203" t="str">
        <f t="shared" si="35"/>
        <v>2019/20</v>
      </c>
      <c r="BN23" s="203" t="str">
        <f t="shared" si="35"/>
        <v>2019/20</v>
      </c>
      <c r="BO23" s="203" t="str">
        <f t="shared" si="35"/>
        <v>2019/20</v>
      </c>
      <c r="BP23" s="203" t="str">
        <f t="shared" si="35"/>
        <v>2019/20</v>
      </c>
      <c r="BQ23" s="203" t="str">
        <f t="shared" si="35"/>
        <v>2019/20</v>
      </c>
      <c r="BR23" s="203" t="str">
        <f t="shared" si="35"/>
        <v>2019/20</v>
      </c>
      <c r="BS23" s="203" t="str">
        <f t="shared" si="35"/>
        <v>2020/21</v>
      </c>
      <c r="BT23" s="203" t="str">
        <f t="shared" si="35"/>
        <v>2020/21</v>
      </c>
      <c r="BU23" s="203" t="str">
        <f t="shared" si="35"/>
        <v>2020/21</v>
      </c>
      <c r="BV23" s="203" t="str">
        <f t="shared" si="35"/>
        <v>2020/21</v>
      </c>
      <c r="BW23" s="203" t="str">
        <f t="shared" si="35"/>
        <v>2020/21</v>
      </c>
      <c r="BX23" s="203" t="str">
        <f t="shared" si="35"/>
        <v>2020/21</v>
      </c>
      <c r="BY23" s="203" t="str">
        <f t="shared" si="35"/>
        <v>2020/21</v>
      </c>
      <c r="BZ23" s="203" t="str">
        <f t="shared" si="35"/>
        <v>2020/21</v>
      </c>
      <c r="CA23" s="203" t="str">
        <f t="shared" si="35"/>
        <v>2020/21</v>
      </c>
      <c r="CB23" s="203" t="str">
        <f t="shared" si="35"/>
        <v>2020/21</v>
      </c>
      <c r="CC23" s="203" t="str">
        <f t="shared" si="35"/>
        <v>2020/21</v>
      </c>
      <c r="CD23" s="203" t="str">
        <f t="shared" si="35"/>
        <v>2020/21</v>
      </c>
      <c r="CE23" s="203" t="str">
        <f t="shared" si="35"/>
        <v>2021/22</v>
      </c>
      <c r="CF23" s="203" t="str">
        <f t="shared" si="35"/>
        <v>2021/22</v>
      </c>
      <c r="CG23" s="203" t="str">
        <f t="shared" si="35"/>
        <v>2021/22</v>
      </c>
      <c r="CH23" s="203" t="str">
        <f t="shared" si="35"/>
        <v>2021/22</v>
      </c>
      <c r="CI23" s="203" t="str">
        <f t="shared" ref="CI23:DX23" si="36">IF(MONTH(CI11)=4,YEAR(CI11)&amp;"/"&amp;RIGHT(YEAR(CI11)+1,IF(YEAR(CI11)&gt;2009,2,1)),CH23)</f>
        <v>2021/22</v>
      </c>
      <c r="CJ23" s="203" t="str">
        <f t="shared" si="36"/>
        <v>2021/22</v>
      </c>
      <c r="CK23" s="203" t="str">
        <f t="shared" si="36"/>
        <v>2021/22</v>
      </c>
      <c r="CL23" s="203" t="str">
        <f t="shared" si="36"/>
        <v>2021/22</v>
      </c>
      <c r="CM23" s="203" t="str">
        <f t="shared" si="36"/>
        <v>2021/22</v>
      </c>
      <c r="CN23" s="203" t="str">
        <f t="shared" si="36"/>
        <v>2021/22</v>
      </c>
      <c r="CO23" s="203" t="str">
        <f t="shared" si="36"/>
        <v>2021/22</v>
      </c>
      <c r="CP23" s="203" t="str">
        <f t="shared" si="36"/>
        <v>2021/22</v>
      </c>
      <c r="CQ23" s="203" t="str">
        <f t="shared" si="36"/>
        <v>2022/23</v>
      </c>
      <c r="CR23" s="203" t="str">
        <f t="shared" si="36"/>
        <v>2022/23</v>
      </c>
      <c r="CS23" s="203" t="str">
        <f t="shared" si="36"/>
        <v>2022/23</v>
      </c>
      <c r="CT23" s="203" t="str">
        <f t="shared" si="36"/>
        <v>2022/23</v>
      </c>
      <c r="CU23" s="203" t="str">
        <f t="shared" si="36"/>
        <v>2022/23</v>
      </c>
      <c r="CV23" s="203" t="str">
        <f t="shared" si="36"/>
        <v>2022/23</v>
      </c>
      <c r="CW23" s="203" t="str">
        <f t="shared" si="36"/>
        <v>2022/23</v>
      </c>
      <c r="CX23" s="203" t="str">
        <f t="shared" si="36"/>
        <v>2022/23</v>
      </c>
      <c r="CY23" s="203" t="str">
        <f t="shared" si="36"/>
        <v>2022/23</v>
      </c>
      <c r="CZ23" s="203" t="str">
        <f t="shared" si="36"/>
        <v>2022/23</v>
      </c>
      <c r="DA23" s="203" t="str">
        <f t="shared" si="36"/>
        <v>2022/23</v>
      </c>
      <c r="DB23" s="203" t="str">
        <f t="shared" si="36"/>
        <v>2022/23</v>
      </c>
      <c r="DC23" s="203" t="str">
        <f t="shared" si="36"/>
        <v>2023/24</v>
      </c>
      <c r="DD23" s="203" t="str">
        <f t="shared" si="36"/>
        <v>2023/24</v>
      </c>
      <c r="DE23" s="203" t="str">
        <f t="shared" si="36"/>
        <v>2023/24</v>
      </c>
      <c r="DF23" s="203" t="str">
        <f t="shared" si="36"/>
        <v>2023/24</v>
      </c>
      <c r="DG23" s="203" t="str">
        <f t="shared" si="36"/>
        <v>2023/24</v>
      </c>
      <c r="DH23" s="203" t="str">
        <f t="shared" si="36"/>
        <v>2023/24</v>
      </c>
      <c r="DI23" s="203" t="str">
        <f t="shared" si="36"/>
        <v>2023/24</v>
      </c>
      <c r="DJ23" s="203" t="str">
        <f t="shared" si="36"/>
        <v>2023/24</v>
      </c>
      <c r="DK23" s="203" t="str">
        <f t="shared" si="36"/>
        <v>2023/24</v>
      </c>
      <c r="DL23" s="203" t="str">
        <f t="shared" si="36"/>
        <v>2023/24</v>
      </c>
      <c r="DM23" s="203" t="str">
        <f t="shared" si="36"/>
        <v>2023/24</v>
      </c>
      <c r="DN23" s="203" t="str">
        <f t="shared" si="36"/>
        <v>2023/24</v>
      </c>
      <c r="DO23" s="203" t="str">
        <f t="shared" si="36"/>
        <v>2024/25</v>
      </c>
      <c r="DP23" s="203" t="str">
        <f t="shared" si="36"/>
        <v>2024/25</v>
      </c>
      <c r="DQ23" s="203" t="str">
        <f t="shared" si="36"/>
        <v>2024/25</v>
      </c>
      <c r="DR23" s="203" t="str">
        <f t="shared" si="36"/>
        <v>2024/25</v>
      </c>
      <c r="DS23" s="203" t="str">
        <f t="shared" si="36"/>
        <v>2024/25</v>
      </c>
      <c r="DT23" s="203" t="str">
        <f t="shared" si="36"/>
        <v>2024/25</v>
      </c>
      <c r="DU23" s="203" t="str">
        <f t="shared" si="36"/>
        <v>2024/25</v>
      </c>
      <c r="DV23" s="203" t="str">
        <f t="shared" si="36"/>
        <v>2024/25</v>
      </c>
      <c r="DW23" s="203" t="str">
        <f t="shared" si="36"/>
        <v>2024/25</v>
      </c>
      <c r="DX23" s="203" t="str">
        <f t="shared" si="36"/>
        <v>2024/25</v>
      </c>
      <c r="DY23" s="88"/>
      <c r="DZ23" s="188" t="s">
        <v>403</v>
      </c>
      <c r="EB23" s="88"/>
    </row>
    <row r="24" spans="1:132" outlineLevel="1">
      <c r="A24" s="91" t="s">
        <v>167</v>
      </c>
      <c r="C24" s="185"/>
      <c r="D24" s="185"/>
      <c r="E24" s="185"/>
      <c r="F24" s="202">
        <f>MONTH(F11)-3</f>
        <v>8</v>
      </c>
      <c r="G24" s="203">
        <f>IF(F24=12,1,F24+1)</f>
        <v>9</v>
      </c>
      <c r="H24" s="203">
        <f>IF(G24=12,1,G24+1)</f>
        <v>10</v>
      </c>
      <c r="I24" s="203">
        <f>IF(H24=12,1,H24+1)</f>
        <v>11</v>
      </c>
      <c r="J24" s="203">
        <f>IF(I24=12,1,I24+1)</f>
        <v>12</v>
      </c>
      <c r="K24" s="203">
        <f t="shared" ref="K24:BV24" si="37">IF(J24=12,1,J24+1)</f>
        <v>1</v>
      </c>
      <c r="L24" s="203">
        <f t="shared" si="37"/>
        <v>2</v>
      </c>
      <c r="M24" s="203">
        <f t="shared" si="37"/>
        <v>3</v>
      </c>
      <c r="N24" s="203">
        <f t="shared" si="37"/>
        <v>4</v>
      </c>
      <c r="O24" s="203">
        <f t="shared" si="37"/>
        <v>5</v>
      </c>
      <c r="P24" s="203">
        <f t="shared" si="37"/>
        <v>6</v>
      </c>
      <c r="Q24" s="203">
        <f t="shared" si="37"/>
        <v>7</v>
      </c>
      <c r="R24" s="203">
        <f t="shared" si="37"/>
        <v>8</v>
      </c>
      <c r="S24" s="203">
        <f t="shared" si="37"/>
        <v>9</v>
      </c>
      <c r="T24" s="203">
        <f t="shared" si="37"/>
        <v>10</v>
      </c>
      <c r="U24" s="203">
        <f t="shared" si="37"/>
        <v>11</v>
      </c>
      <c r="V24" s="203">
        <f t="shared" si="37"/>
        <v>12</v>
      </c>
      <c r="W24" s="203">
        <f t="shared" si="37"/>
        <v>1</v>
      </c>
      <c r="X24" s="203">
        <f t="shared" si="37"/>
        <v>2</v>
      </c>
      <c r="Y24" s="203">
        <f t="shared" si="37"/>
        <v>3</v>
      </c>
      <c r="Z24" s="203">
        <f t="shared" si="37"/>
        <v>4</v>
      </c>
      <c r="AA24" s="203">
        <f t="shared" si="37"/>
        <v>5</v>
      </c>
      <c r="AB24" s="203">
        <f t="shared" si="37"/>
        <v>6</v>
      </c>
      <c r="AC24" s="203">
        <f t="shared" si="37"/>
        <v>7</v>
      </c>
      <c r="AD24" s="203">
        <f t="shared" si="37"/>
        <v>8</v>
      </c>
      <c r="AE24" s="203">
        <f t="shared" si="37"/>
        <v>9</v>
      </c>
      <c r="AF24" s="203">
        <f t="shared" si="37"/>
        <v>10</v>
      </c>
      <c r="AG24" s="203">
        <f t="shared" si="37"/>
        <v>11</v>
      </c>
      <c r="AH24" s="203">
        <f t="shared" si="37"/>
        <v>12</v>
      </c>
      <c r="AI24" s="203">
        <f t="shared" si="37"/>
        <v>1</v>
      </c>
      <c r="AJ24" s="203">
        <f t="shared" si="37"/>
        <v>2</v>
      </c>
      <c r="AK24" s="203">
        <f t="shared" si="37"/>
        <v>3</v>
      </c>
      <c r="AL24" s="203">
        <f t="shared" si="37"/>
        <v>4</v>
      </c>
      <c r="AM24" s="203">
        <f t="shared" si="37"/>
        <v>5</v>
      </c>
      <c r="AN24" s="203">
        <f t="shared" si="37"/>
        <v>6</v>
      </c>
      <c r="AO24" s="203">
        <f t="shared" si="37"/>
        <v>7</v>
      </c>
      <c r="AP24" s="203">
        <f t="shared" si="37"/>
        <v>8</v>
      </c>
      <c r="AQ24" s="203">
        <f t="shared" si="37"/>
        <v>9</v>
      </c>
      <c r="AR24" s="203">
        <f t="shared" si="37"/>
        <v>10</v>
      </c>
      <c r="AS24" s="203">
        <f t="shared" si="37"/>
        <v>11</v>
      </c>
      <c r="AT24" s="203">
        <f t="shared" si="37"/>
        <v>12</v>
      </c>
      <c r="AU24" s="203">
        <f t="shared" si="37"/>
        <v>1</v>
      </c>
      <c r="AV24" s="203">
        <f t="shared" si="37"/>
        <v>2</v>
      </c>
      <c r="AW24" s="203">
        <f t="shared" si="37"/>
        <v>3</v>
      </c>
      <c r="AX24" s="203">
        <f t="shared" si="37"/>
        <v>4</v>
      </c>
      <c r="AY24" s="203">
        <f t="shared" si="37"/>
        <v>5</v>
      </c>
      <c r="AZ24" s="203">
        <f t="shared" si="37"/>
        <v>6</v>
      </c>
      <c r="BA24" s="203">
        <f t="shared" si="37"/>
        <v>7</v>
      </c>
      <c r="BB24" s="203">
        <f t="shared" si="37"/>
        <v>8</v>
      </c>
      <c r="BC24" s="203">
        <f t="shared" si="37"/>
        <v>9</v>
      </c>
      <c r="BD24" s="203">
        <f t="shared" si="37"/>
        <v>10</v>
      </c>
      <c r="BE24" s="203">
        <f t="shared" si="37"/>
        <v>11</v>
      </c>
      <c r="BF24" s="203">
        <f t="shared" si="37"/>
        <v>12</v>
      </c>
      <c r="BG24" s="203">
        <f t="shared" si="37"/>
        <v>1</v>
      </c>
      <c r="BH24" s="203">
        <f t="shared" si="37"/>
        <v>2</v>
      </c>
      <c r="BI24" s="203">
        <f t="shared" si="37"/>
        <v>3</v>
      </c>
      <c r="BJ24" s="203">
        <f t="shared" si="37"/>
        <v>4</v>
      </c>
      <c r="BK24" s="203">
        <f t="shared" si="37"/>
        <v>5</v>
      </c>
      <c r="BL24" s="203">
        <f t="shared" si="37"/>
        <v>6</v>
      </c>
      <c r="BM24" s="203">
        <f t="shared" si="37"/>
        <v>7</v>
      </c>
      <c r="BN24" s="203">
        <f t="shared" si="37"/>
        <v>8</v>
      </c>
      <c r="BO24" s="203">
        <f t="shared" si="37"/>
        <v>9</v>
      </c>
      <c r="BP24" s="203">
        <f t="shared" si="37"/>
        <v>10</v>
      </c>
      <c r="BQ24" s="203">
        <f t="shared" si="37"/>
        <v>11</v>
      </c>
      <c r="BR24" s="203">
        <f t="shared" si="37"/>
        <v>12</v>
      </c>
      <c r="BS24" s="203">
        <f t="shared" si="37"/>
        <v>1</v>
      </c>
      <c r="BT24" s="203">
        <f t="shared" si="37"/>
        <v>2</v>
      </c>
      <c r="BU24" s="203">
        <f t="shared" si="37"/>
        <v>3</v>
      </c>
      <c r="BV24" s="203">
        <f t="shared" si="37"/>
        <v>4</v>
      </c>
      <c r="BW24" s="203">
        <f t="shared" ref="BW24:DX24" si="38">IF(BV24=12,1,BV24+1)</f>
        <v>5</v>
      </c>
      <c r="BX24" s="203">
        <f t="shared" si="38"/>
        <v>6</v>
      </c>
      <c r="BY24" s="203">
        <f t="shared" si="38"/>
        <v>7</v>
      </c>
      <c r="BZ24" s="203">
        <f t="shared" si="38"/>
        <v>8</v>
      </c>
      <c r="CA24" s="203">
        <f t="shared" si="38"/>
        <v>9</v>
      </c>
      <c r="CB24" s="203">
        <f t="shared" si="38"/>
        <v>10</v>
      </c>
      <c r="CC24" s="203">
        <f t="shared" si="38"/>
        <v>11</v>
      </c>
      <c r="CD24" s="203">
        <f t="shared" si="38"/>
        <v>12</v>
      </c>
      <c r="CE24" s="203">
        <f t="shared" si="38"/>
        <v>1</v>
      </c>
      <c r="CF24" s="203">
        <f t="shared" si="38"/>
        <v>2</v>
      </c>
      <c r="CG24" s="203">
        <f t="shared" si="38"/>
        <v>3</v>
      </c>
      <c r="CH24" s="203">
        <f t="shared" si="38"/>
        <v>4</v>
      </c>
      <c r="CI24" s="203">
        <f t="shared" si="38"/>
        <v>5</v>
      </c>
      <c r="CJ24" s="203">
        <f t="shared" si="38"/>
        <v>6</v>
      </c>
      <c r="CK24" s="203">
        <f t="shared" si="38"/>
        <v>7</v>
      </c>
      <c r="CL24" s="203">
        <f t="shared" si="38"/>
        <v>8</v>
      </c>
      <c r="CM24" s="203">
        <f t="shared" si="38"/>
        <v>9</v>
      </c>
      <c r="CN24" s="203">
        <f t="shared" si="38"/>
        <v>10</v>
      </c>
      <c r="CO24" s="203">
        <f t="shared" si="38"/>
        <v>11</v>
      </c>
      <c r="CP24" s="203">
        <f t="shared" si="38"/>
        <v>12</v>
      </c>
      <c r="CQ24" s="203">
        <f t="shared" si="38"/>
        <v>1</v>
      </c>
      <c r="CR24" s="203">
        <f t="shared" si="38"/>
        <v>2</v>
      </c>
      <c r="CS24" s="203">
        <f t="shared" si="38"/>
        <v>3</v>
      </c>
      <c r="CT24" s="203">
        <f t="shared" si="38"/>
        <v>4</v>
      </c>
      <c r="CU24" s="203">
        <f t="shared" si="38"/>
        <v>5</v>
      </c>
      <c r="CV24" s="203">
        <f t="shared" si="38"/>
        <v>6</v>
      </c>
      <c r="CW24" s="203">
        <f t="shared" si="38"/>
        <v>7</v>
      </c>
      <c r="CX24" s="203">
        <f t="shared" si="38"/>
        <v>8</v>
      </c>
      <c r="CY24" s="203">
        <f t="shared" si="38"/>
        <v>9</v>
      </c>
      <c r="CZ24" s="203">
        <f t="shared" si="38"/>
        <v>10</v>
      </c>
      <c r="DA24" s="203">
        <f t="shared" si="38"/>
        <v>11</v>
      </c>
      <c r="DB24" s="203">
        <f t="shared" si="38"/>
        <v>12</v>
      </c>
      <c r="DC24" s="203">
        <f t="shared" si="38"/>
        <v>1</v>
      </c>
      <c r="DD24" s="203">
        <f t="shared" si="38"/>
        <v>2</v>
      </c>
      <c r="DE24" s="203">
        <f t="shared" si="38"/>
        <v>3</v>
      </c>
      <c r="DF24" s="203">
        <f t="shared" si="38"/>
        <v>4</v>
      </c>
      <c r="DG24" s="203">
        <f t="shared" si="38"/>
        <v>5</v>
      </c>
      <c r="DH24" s="203">
        <f t="shared" si="38"/>
        <v>6</v>
      </c>
      <c r="DI24" s="203">
        <f t="shared" si="38"/>
        <v>7</v>
      </c>
      <c r="DJ24" s="203">
        <f t="shared" si="38"/>
        <v>8</v>
      </c>
      <c r="DK24" s="203">
        <f t="shared" si="38"/>
        <v>9</v>
      </c>
      <c r="DL24" s="203">
        <f t="shared" si="38"/>
        <v>10</v>
      </c>
      <c r="DM24" s="203">
        <f t="shared" si="38"/>
        <v>11</v>
      </c>
      <c r="DN24" s="203">
        <f t="shared" si="38"/>
        <v>12</v>
      </c>
      <c r="DO24" s="203">
        <f t="shared" si="38"/>
        <v>1</v>
      </c>
      <c r="DP24" s="203">
        <f t="shared" si="38"/>
        <v>2</v>
      </c>
      <c r="DQ24" s="203">
        <f t="shared" si="38"/>
        <v>3</v>
      </c>
      <c r="DR24" s="203">
        <f t="shared" si="38"/>
        <v>4</v>
      </c>
      <c r="DS24" s="203">
        <f t="shared" si="38"/>
        <v>5</v>
      </c>
      <c r="DT24" s="203">
        <f t="shared" si="38"/>
        <v>6</v>
      </c>
      <c r="DU24" s="203">
        <f t="shared" si="38"/>
        <v>7</v>
      </c>
      <c r="DV24" s="203">
        <f t="shared" si="38"/>
        <v>8</v>
      </c>
      <c r="DW24" s="203">
        <f t="shared" si="38"/>
        <v>9</v>
      </c>
      <c r="DX24" s="203">
        <f t="shared" si="38"/>
        <v>10</v>
      </c>
      <c r="DY24" s="88"/>
      <c r="DZ24" s="188" t="s">
        <v>404</v>
      </c>
      <c r="EB24" s="88"/>
    </row>
    <row r="25" spans="1:132">
      <c r="A25" s="185"/>
      <c r="B25" s="185"/>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5"/>
      <c r="CU25" s="185"/>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2"/>
      <c r="EB25" s="182"/>
    </row>
    <row r="26" spans="1:132" s="179" customFormat="1">
      <c r="A26" s="208" t="s">
        <v>405</v>
      </c>
      <c r="B26" s="209"/>
      <c r="C26" s="209"/>
      <c r="D26" s="209"/>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09"/>
      <c r="BC26" s="209"/>
      <c r="BD26" s="209"/>
      <c r="BE26" s="209"/>
      <c r="BF26" s="209"/>
      <c r="BG26" s="209"/>
      <c r="BH26" s="209"/>
      <c r="BI26" s="209"/>
      <c r="BJ26" s="209"/>
      <c r="BK26" s="209"/>
      <c r="BL26" s="209"/>
      <c r="BM26" s="209"/>
      <c r="BN26" s="209"/>
      <c r="BO26" s="209"/>
      <c r="BP26" s="209"/>
      <c r="BQ26" s="209"/>
      <c r="BR26" s="209"/>
      <c r="BS26" s="209"/>
      <c r="BT26" s="209"/>
      <c r="BU26" s="209"/>
      <c r="BV26" s="209"/>
      <c r="BW26" s="209"/>
      <c r="BX26" s="209"/>
      <c r="BY26" s="209"/>
      <c r="BZ26" s="209"/>
      <c r="CA26" s="209"/>
      <c r="CB26" s="209"/>
      <c r="CC26" s="209"/>
      <c r="CD26" s="209"/>
      <c r="CE26" s="209"/>
      <c r="CF26" s="209"/>
      <c r="CG26" s="209"/>
      <c r="CH26" s="209"/>
      <c r="CI26" s="209"/>
      <c r="CJ26" s="209"/>
      <c r="CK26" s="209"/>
      <c r="CL26" s="209"/>
      <c r="CM26" s="209"/>
      <c r="CN26" s="209"/>
      <c r="CO26" s="209"/>
      <c r="CP26" s="209"/>
      <c r="CQ26" s="209"/>
      <c r="CR26" s="209"/>
      <c r="CS26" s="209"/>
      <c r="CT26" s="209"/>
      <c r="CU26" s="209"/>
      <c r="CV26" s="209"/>
      <c r="CW26" s="209"/>
      <c r="CX26" s="209"/>
      <c r="CY26" s="209"/>
      <c r="CZ26" s="209"/>
      <c r="DA26" s="209"/>
      <c r="DB26" s="209"/>
      <c r="DC26" s="209"/>
      <c r="DD26" s="209"/>
      <c r="DE26" s="209"/>
      <c r="DF26" s="209"/>
      <c r="DG26" s="209"/>
      <c r="DH26" s="209"/>
      <c r="DI26" s="209"/>
      <c r="DJ26" s="209"/>
      <c r="DK26" s="209"/>
      <c r="DL26" s="209"/>
      <c r="DM26" s="209"/>
      <c r="DN26" s="209"/>
      <c r="DO26" s="209"/>
      <c r="DP26" s="209"/>
      <c r="DQ26" s="209"/>
      <c r="DR26" s="209"/>
      <c r="DS26" s="209"/>
      <c r="DT26" s="209"/>
      <c r="DU26" s="209"/>
      <c r="DV26" s="209"/>
      <c r="DW26" s="209"/>
      <c r="DX26" s="209"/>
      <c r="DY26" s="209"/>
      <c r="DZ26" s="209"/>
      <c r="EA26" s="209"/>
      <c r="EB26" s="209"/>
    </row>
    <row r="27" spans="1:132" outlineLevel="1">
      <c r="A27" s="185"/>
      <c r="B27" s="185"/>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K27" s="185"/>
      <c r="BL27" s="185"/>
      <c r="BM27" s="185"/>
      <c r="BN27" s="185"/>
      <c r="BO27" s="185"/>
      <c r="BP27" s="185"/>
      <c r="BQ27" s="185"/>
      <c r="BR27" s="185"/>
      <c r="BS27" s="185"/>
      <c r="BT27" s="185"/>
      <c r="BU27" s="185"/>
      <c r="BV27" s="185"/>
      <c r="BW27" s="185"/>
      <c r="BX27" s="185"/>
      <c r="BY27" s="185"/>
      <c r="BZ27" s="185"/>
      <c r="CA27" s="185"/>
      <c r="CB27" s="185"/>
      <c r="CC27" s="185"/>
      <c r="CD27" s="185"/>
      <c r="CE27" s="185"/>
      <c r="CF27" s="185"/>
      <c r="CG27" s="185"/>
      <c r="CH27" s="185"/>
      <c r="CI27" s="185"/>
      <c r="CJ27" s="185"/>
      <c r="CK27" s="185"/>
      <c r="CL27" s="185"/>
      <c r="CM27" s="185"/>
      <c r="CN27" s="185"/>
      <c r="CO27" s="185"/>
      <c r="CP27" s="185"/>
      <c r="CQ27" s="185"/>
      <c r="CR27" s="185"/>
      <c r="CS27" s="185"/>
      <c r="CT27" s="185"/>
      <c r="CU27" s="185"/>
      <c r="CV27" s="185"/>
      <c r="CW27" s="185"/>
      <c r="CX27" s="185"/>
      <c r="CY27" s="185"/>
      <c r="CZ27" s="185"/>
      <c r="DA27" s="185"/>
      <c r="DB27" s="185"/>
      <c r="DC27" s="185"/>
      <c r="DD27" s="185"/>
      <c r="DE27" s="185"/>
      <c r="DF27" s="185"/>
      <c r="DG27" s="185"/>
      <c r="DH27" s="185"/>
      <c r="DI27" s="185"/>
      <c r="DJ27" s="185"/>
      <c r="DK27" s="185"/>
      <c r="DL27" s="185"/>
      <c r="DM27" s="185"/>
      <c r="DN27" s="185"/>
      <c r="DO27" s="185"/>
      <c r="DP27" s="185"/>
      <c r="DQ27" s="185"/>
      <c r="DR27" s="185"/>
      <c r="DS27" s="185"/>
      <c r="DT27" s="185"/>
      <c r="DU27" s="185"/>
      <c r="DV27" s="185"/>
      <c r="DW27" s="185"/>
      <c r="DX27" s="185"/>
      <c r="DY27" s="186"/>
      <c r="EB27" s="186"/>
    </row>
    <row r="28" spans="1:132" hidden="1"/>
    <row r="29" spans="1:132" hidden="1"/>
    <row r="30" spans="1:132" hidden="1"/>
    <row r="31" spans="1:132" hidden="1"/>
    <row r="32" spans="1:1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spans="1:1" hidden="1"/>
    <row r="162" spans="1:1" hidden="1"/>
    <row r="163" spans="1:1" hidden="1">
      <c r="A163" s="24"/>
    </row>
    <row r="164" spans="1:1" hidden="1">
      <c r="A164" s="24"/>
    </row>
    <row r="165" spans="1:1" ht="12.75" hidden="1" customHeight="1"/>
    <row r="166" spans="1:1" ht="12.75" hidden="1" customHeight="1"/>
    <row r="167" spans="1:1" ht="12.75" hidden="1" customHeight="1"/>
    <row r="168" spans="1:1" ht="12.75" hidden="1" customHeight="1"/>
    <row r="169" spans="1:1" ht="12.75" hidden="1" customHeight="1"/>
    <row r="170" spans="1:1" ht="12.75" hidden="1" customHeight="1"/>
    <row r="171" spans="1:1" ht="12.75" hidden="1" customHeight="1"/>
    <row r="172" spans="1:1" ht="12.75" hidden="1" customHeight="1"/>
    <row r="173" spans="1:1" ht="12.75" hidden="1" customHeight="1"/>
    <row r="174" spans="1:1" ht="12.75" hidden="1" customHeight="1"/>
    <row r="175" spans="1:1" ht="12.75" hidden="1" customHeight="1"/>
    <row r="176" spans="1:1" ht="12.75" hidden="1" customHeight="1"/>
    <row r="177" ht="12.75" hidden="1" customHeight="1"/>
    <row r="178" ht="12.75" hidden="1" customHeight="1"/>
    <row r="179" ht="12.75" hidden="1" customHeight="1"/>
    <row r="180" ht="12.75" hidden="1" customHeight="1"/>
    <row r="181" ht="12.75" hidden="1" customHeight="1"/>
    <row r="182" ht="12.75" hidden="1" customHeight="1"/>
    <row r="183" ht="12.75" hidden="1" customHeight="1"/>
    <row r="184" ht="12.75" hidden="1" customHeight="1"/>
    <row r="185" ht="12.75" hidden="1" customHeight="1"/>
    <row r="186" ht="12.75" hidden="1" customHeight="1"/>
    <row r="187" ht="12.75" hidden="1" customHeight="1"/>
    <row r="188" ht="12.75" hidden="1" customHeight="1"/>
    <row r="189" ht="12.75" hidden="1" customHeight="1"/>
    <row r="190" ht="12.75" hidden="1" customHeight="1"/>
    <row r="191" ht="12.75" hidden="1" customHeight="1"/>
    <row r="192" ht="12.75" hidden="1" customHeight="1"/>
    <row r="193" ht="12.75" hidden="1" customHeight="1"/>
    <row r="194" ht="12.75" hidden="1" customHeight="1"/>
    <row r="195" ht="12.75" hidden="1" customHeight="1"/>
    <row r="196" ht="12.75" hidden="1" customHeight="1"/>
    <row r="197" ht="12.75" hidden="1" customHeight="1"/>
    <row r="198" ht="12.75" hidden="1" customHeight="1"/>
    <row r="199" ht="12.75" hidden="1" customHeight="1"/>
    <row r="200" ht="12.75" hidden="1" customHeight="1"/>
    <row r="201" ht="12.75" hidden="1" customHeight="1"/>
    <row r="202" ht="12.75" hidden="1" customHeight="1"/>
    <row r="203" ht="12.75" customHeight="1"/>
    <row r="204" ht="12.75" customHeight="1"/>
    <row r="205" ht="12.75" customHeight="1"/>
    <row r="206" ht="12.75" customHeight="1"/>
    <row r="207" ht="12.75" customHeight="1"/>
  </sheetData>
  <sheetProtection autoFilter="0"/>
  <conditionalFormatting sqref="F11:DX11">
    <cfRule type="cellIs" dxfId="149" priority="11" stopIfTrue="1" operator="between">
      <formula>PreContractStartDateIn</formula>
      <formula>ContractEndDateIn</formula>
    </cfRule>
  </conditionalFormatting>
  <conditionalFormatting sqref="E1">
    <cfRule type="cellIs" dxfId="148" priority="12" stopIfTrue="1" operator="greaterThan">
      <formula>0</formula>
    </cfRule>
    <cfRule type="cellIs" dxfId="147" priority="13" stopIfTrue="1" operator="lessThan">
      <formula>0</formula>
    </cfRule>
  </conditionalFormatting>
  <conditionalFormatting sqref="F1:EB1 B5:EB5 B9:DY9">
    <cfRule type="expression" dxfId="146" priority="1" stopIfTrue="1">
      <formula>ErrorsPresent&gt;0</formula>
    </cfRule>
    <cfRule type="expression" dxfId="145" priority="2" stopIfTrue="1">
      <formula>ErrorsPresent&lt;0</formula>
    </cfRule>
  </conditionalFormatting>
  <conditionalFormatting sqref="A1:B1">
    <cfRule type="expression" dxfId="144" priority="9" stopIfTrue="1">
      <formula>ErrorsPresent&gt;0</formula>
    </cfRule>
    <cfRule type="expression" dxfId="143" priority="10" stopIfTrue="1">
      <formula>ErrorsPresent&lt;0</formula>
    </cfRule>
  </conditionalFormatting>
  <conditionalFormatting sqref="A9">
    <cfRule type="expression" dxfId="142" priority="7" stopIfTrue="1">
      <formula>ErrorsPresent&gt;0</formula>
    </cfRule>
    <cfRule type="expression" dxfId="141" priority="8" stopIfTrue="1">
      <formula>ErrorsPresent&lt;0</formula>
    </cfRule>
  </conditionalFormatting>
  <conditionalFormatting sqref="C1:D1">
    <cfRule type="expression" dxfId="140" priority="5" stopIfTrue="1">
      <formula>ErrorsPresent&gt;0</formula>
    </cfRule>
    <cfRule type="expression" dxfId="139" priority="6" stopIfTrue="1">
      <formula>ErrorsPresent&lt;0</formula>
    </cfRule>
  </conditionalFormatting>
  <conditionalFormatting sqref="A5">
    <cfRule type="expression" dxfId="138" priority="3" stopIfTrue="1">
      <formula>ErrorsPresent&gt;0</formula>
    </cfRule>
    <cfRule type="expression" dxfId="137" priority="4" stopIfTrue="1">
      <formula>ErrorsPresent&lt;0</formula>
    </cfRule>
  </conditionalFormatting>
  <conditionalFormatting sqref="F12:DX24">
    <cfRule type="expression" dxfId="136" priority="14" stopIfTrue="1">
      <formula>#REF!&lt;&gt;""</formula>
    </cfRule>
  </conditionalFormatting>
  <hyperlinks>
    <hyperlink ref="E1" location="PLA5A" tooltip="Hyperlink to &quot;Error Checks&quot; sheet" display="PLA5A"/>
  </hyperlinks>
  <pageMargins left="0.4" right="0.4" top="1" bottom="1" header="0.5" footer="0.5"/>
  <pageSetup scale="53" orientation="landscape" r:id="rId1"/>
  <headerFooter alignWithMargins="0">
    <oddHeader>&amp;LFUJITSU SERVICES&amp;RCOMMERCIAL IN CONFIDENCE</oddHeader>
    <oddFooter>&amp;L&amp;"Arial,Italic"&amp;F&amp;C&amp;"Arial,Italic"Printed on &amp;D at &amp;T&amp;R&amp;"Arial,Italic"Page &amp;P of &amp;N</oddFooter>
  </headerFooter>
  <colBreaks count="1" manualBreakCount="1">
    <brk id="17" min="4" max="139"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outlinePr summaryBelow="0" summaryRight="0"/>
    <pageSetUpPr autoPageBreaks="0"/>
  </sheetPr>
  <dimension ref="A1:XAJ207"/>
  <sheetViews>
    <sheetView showGridLines="0" zoomScale="90" zoomScaleNormal="90" workbookViewId="0">
      <selection activeCell="F15" sqref="F15"/>
    </sheetView>
  </sheetViews>
  <sheetFormatPr defaultColWidth="0" defaultRowHeight="12.75" customHeight="1" zeroHeight="1" outlineLevelRow="1" outlineLevelCol="1"/>
  <cols>
    <col min="1" max="3" width="9.140625" style="94" customWidth="1"/>
    <col min="4" max="4" width="11.140625" style="94" customWidth="1"/>
    <col min="5" max="5" width="9.28515625" style="94" customWidth="1"/>
    <col min="6" max="128" width="11.7109375" style="94" customWidth="1"/>
    <col min="129" max="129" width="1.7109375" style="94" customWidth="1" collapsed="1"/>
    <col min="130" max="131" width="0" style="94" hidden="1" customWidth="1" outlineLevel="1"/>
    <col min="132" max="132" width="1.7109375" style="94" customWidth="1"/>
    <col min="133" max="158" width="0" style="94" hidden="1"/>
    <col min="159" max="230" width="9.140625" style="94" hidden="1"/>
    <col min="231" max="233" width="9.140625" style="94" customWidth="1"/>
    <col min="234" max="234" width="11.140625" style="94" customWidth="1"/>
    <col min="235" max="235" width="9.140625" style="94" customWidth="1"/>
    <col min="236" max="236" width="9.28515625" style="94" customWidth="1"/>
    <col min="237" max="237" width="10.85546875" style="94" customWidth="1"/>
    <col min="238" max="257" width="9.140625" style="94" hidden="1" customWidth="1"/>
    <col min="258" max="258" width="7.28515625" style="94" customWidth="1"/>
    <col min="259" max="260" width="9.140625" style="94" customWidth="1"/>
    <col min="261" max="261" width="12" style="94" customWidth="1"/>
    <col min="262" max="384" width="11.7109375" style="94" customWidth="1"/>
    <col min="385" max="385" width="1.7109375" style="94" customWidth="1"/>
    <col min="386" max="387" width="9.140625" style="94" hidden="1" customWidth="1"/>
    <col min="388" max="388" width="1.7109375" style="94" customWidth="1"/>
    <col min="389" max="486" width="9.140625" style="94" hidden="1"/>
    <col min="487" max="489" width="9.140625" style="94" customWidth="1"/>
    <col min="490" max="490" width="11.140625" style="94" customWidth="1"/>
    <col min="491" max="491" width="9.140625" style="94" customWidth="1"/>
    <col min="492" max="492" width="9.28515625" style="94" customWidth="1"/>
    <col min="493" max="493" width="10.85546875" style="94" customWidth="1"/>
    <col min="494" max="513" width="9.140625" style="94" hidden="1" customWidth="1"/>
    <col min="514" max="514" width="7.28515625" style="94" customWidth="1"/>
    <col min="515" max="516" width="9.140625" style="94" customWidth="1"/>
    <col min="517" max="517" width="12" style="94" customWidth="1"/>
    <col min="518" max="640" width="11.7109375" style="94" customWidth="1"/>
    <col min="641" max="641" width="1.7109375" style="94" customWidth="1"/>
    <col min="642" max="643" width="9.140625" style="94" hidden="1" customWidth="1"/>
    <col min="644" max="644" width="1.7109375" style="94" customWidth="1"/>
    <col min="645" max="742" width="9.140625" style="94" hidden="1"/>
    <col min="743" max="745" width="9.140625" style="94" customWidth="1"/>
    <col min="746" max="746" width="11.140625" style="94" customWidth="1"/>
    <col min="747" max="747" width="9.140625" style="94" customWidth="1"/>
    <col min="748" max="748" width="9.28515625" style="94" customWidth="1"/>
    <col min="749" max="749" width="10.85546875" style="94" customWidth="1"/>
    <col min="750" max="769" width="9.140625" style="94" hidden="1" customWidth="1"/>
    <col min="770" max="770" width="7.28515625" style="94" customWidth="1"/>
    <col min="771" max="772" width="9.140625" style="94" customWidth="1"/>
    <col min="773" max="773" width="12" style="94" customWidth="1"/>
    <col min="774" max="896" width="11.7109375" style="94" customWidth="1"/>
    <col min="897" max="897" width="1.7109375" style="94" customWidth="1"/>
    <col min="898" max="899" width="9.140625" style="94" hidden="1" customWidth="1"/>
    <col min="900" max="900" width="1.7109375" style="94" customWidth="1"/>
    <col min="901" max="998" width="9.140625" style="94" hidden="1"/>
    <col min="999" max="1001" width="9.140625" style="94" customWidth="1"/>
    <col min="1002" max="1002" width="11.140625" style="94" customWidth="1"/>
    <col min="1003" max="1003" width="9.140625" style="94" customWidth="1"/>
    <col min="1004" max="1004" width="9.28515625" style="94" customWidth="1"/>
    <col min="1005" max="1005" width="10.85546875" style="94" customWidth="1"/>
    <col min="1006" max="1025" width="9.140625" style="94" hidden="1" customWidth="1"/>
    <col min="1026" max="1026" width="7.28515625" style="94" customWidth="1"/>
    <col min="1027" max="1028" width="9.140625" style="94" customWidth="1"/>
    <col min="1029" max="1029" width="12" style="94" customWidth="1"/>
    <col min="1030" max="1152" width="11.7109375" style="94" customWidth="1"/>
    <col min="1153" max="1153" width="1.7109375" style="94" customWidth="1"/>
    <col min="1154" max="1155" width="9.140625" style="94" hidden="1" customWidth="1"/>
    <col min="1156" max="1156" width="1.7109375" style="94" customWidth="1"/>
    <col min="1157" max="1254" width="9.140625" style="94" hidden="1"/>
    <col min="1255" max="1257" width="9.140625" style="94" customWidth="1"/>
    <col min="1258" max="1258" width="11.140625" style="94" customWidth="1"/>
    <col min="1259" max="1259" width="9.140625" style="94" customWidth="1"/>
    <col min="1260" max="1260" width="9.28515625" style="94" customWidth="1"/>
    <col min="1261" max="1261" width="10.85546875" style="94" customWidth="1"/>
    <col min="1262" max="1281" width="9.140625" style="94" hidden="1" customWidth="1"/>
    <col min="1282" max="1282" width="7.28515625" style="94" customWidth="1"/>
    <col min="1283" max="1284" width="9.140625" style="94" customWidth="1"/>
    <col min="1285" max="1285" width="12" style="94" customWidth="1"/>
    <col min="1286" max="1408" width="11.7109375" style="94" customWidth="1"/>
    <col min="1409" max="1409" width="1.7109375" style="94" customWidth="1"/>
    <col min="1410" max="1411" width="9.140625" style="94" hidden="1" customWidth="1"/>
    <col min="1412" max="1412" width="1.7109375" style="94" customWidth="1"/>
    <col min="1413" max="1510" width="9.140625" style="94" hidden="1"/>
    <col min="1511" max="1513" width="9.140625" style="94" customWidth="1"/>
    <col min="1514" max="1514" width="11.140625" style="94" customWidth="1"/>
    <col min="1515" max="1515" width="9.140625" style="94" customWidth="1"/>
    <col min="1516" max="1516" width="9.28515625" style="94" customWidth="1"/>
    <col min="1517" max="1517" width="10.85546875" style="94" customWidth="1"/>
    <col min="1518" max="1537" width="9.140625" style="94" hidden="1" customWidth="1"/>
    <col min="1538" max="1538" width="7.28515625" style="94" customWidth="1"/>
    <col min="1539" max="1540" width="9.140625" style="94" customWidth="1"/>
    <col min="1541" max="1541" width="12" style="94" customWidth="1"/>
    <col min="1542" max="1664" width="11.7109375" style="94" customWidth="1"/>
    <col min="1665" max="1665" width="1.7109375" style="94" customWidth="1"/>
    <col min="1666" max="1667" width="9.140625" style="94" hidden="1" customWidth="1"/>
    <col min="1668" max="1668" width="1.7109375" style="94" customWidth="1"/>
    <col min="1669" max="1766" width="9.140625" style="94" hidden="1"/>
    <col min="1767" max="1769" width="9.140625" style="94" customWidth="1"/>
    <col min="1770" max="1770" width="11.140625" style="94" customWidth="1"/>
    <col min="1771" max="1771" width="9.140625" style="94" customWidth="1"/>
    <col min="1772" max="1772" width="9.28515625" style="94" customWidth="1"/>
    <col min="1773" max="1773" width="10.85546875" style="94" customWidth="1"/>
    <col min="1774" max="1793" width="9.140625" style="94" hidden="1" customWidth="1"/>
    <col min="1794" max="1794" width="7.28515625" style="94" customWidth="1"/>
    <col min="1795" max="1796" width="9.140625" style="94" customWidth="1"/>
    <col min="1797" max="1797" width="12" style="94" customWidth="1"/>
    <col min="1798" max="1920" width="11.7109375" style="94" customWidth="1"/>
    <col min="1921" max="1921" width="1.7109375" style="94" customWidth="1"/>
    <col min="1922" max="1923" width="9.140625" style="94" hidden="1" customWidth="1"/>
    <col min="1924" max="1924" width="1.7109375" style="94" customWidth="1"/>
    <col min="1925" max="2022" width="9.140625" style="94" hidden="1"/>
    <col min="2023" max="2025" width="9.140625" style="94" customWidth="1"/>
    <col min="2026" max="2026" width="11.140625" style="94" customWidth="1"/>
    <col min="2027" max="2027" width="9.140625" style="94" customWidth="1"/>
    <col min="2028" max="2028" width="9.28515625" style="94" customWidth="1"/>
    <col min="2029" max="2029" width="10.85546875" style="94" customWidth="1"/>
    <col min="2030" max="2049" width="9.140625" style="94" hidden="1" customWidth="1"/>
    <col min="2050" max="2050" width="7.28515625" style="94" customWidth="1"/>
    <col min="2051" max="2052" width="9.140625" style="94" customWidth="1"/>
    <col min="2053" max="2053" width="12" style="94" customWidth="1"/>
    <col min="2054" max="2176" width="11.7109375" style="94" customWidth="1"/>
    <col min="2177" max="2177" width="1.7109375" style="94" customWidth="1"/>
    <col min="2178" max="2179" width="9.140625" style="94" hidden="1" customWidth="1"/>
    <col min="2180" max="2180" width="1.7109375" style="94" customWidth="1"/>
    <col min="2181" max="2278" width="9.140625" style="94" hidden="1"/>
    <col min="2279" max="2281" width="9.140625" style="94" customWidth="1"/>
    <col min="2282" max="2282" width="11.140625" style="94" customWidth="1"/>
    <col min="2283" max="2283" width="9.140625" style="94" customWidth="1"/>
    <col min="2284" max="2284" width="9.28515625" style="94" customWidth="1"/>
    <col min="2285" max="2285" width="10.85546875" style="94" customWidth="1"/>
    <col min="2286" max="2305" width="9.140625" style="94" hidden="1" customWidth="1"/>
    <col min="2306" max="2306" width="7.28515625" style="94" customWidth="1"/>
    <col min="2307" max="2308" width="9.140625" style="94" customWidth="1"/>
    <col min="2309" max="2309" width="12" style="94" customWidth="1"/>
    <col min="2310" max="2432" width="11.7109375" style="94" customWidth="1"/>
    <col min="2433" max="2433" width="1.7109375" style="94" customWidth="1"/>
    <col min="2434" max="2435" width="9.140625" style="94" hidden="1" customWidth="1"/>
    <col min="2436" max="2436" width="1.7109375" style="94" customWidth="1"/>
    <col min="2437" max="2534" width="9.140625" style="94" hidden="1"/>
    <col min="2535" max="2537" width="9.140625" style="94" customWidth="1"/>
    <col min="2538" max="2538" width="11.140625" style="94" customWidth="1"/>
    <col min="2539" max="2539" width="9.140625" style="94" customWidth="1"/>
    <col min="2540" max="2540" width="9.28515625" style="94" customWidth="1"/>
    <col min="2541" max="2541" width="10.85546875" style="94" customWidth="1"/>
    <col min="2542" max="2561" width="9.140625" style="94" hidden="1" customWidth="1"/>
    <col min="2562" max="2562" width="7.28515625" style="94" customWidth="1"/>
    <col min="2563" max="2564" width="9.140625" style="94" customWidth="1"/>
    <col min="2565" max="2565" width="12" style="94" customWidth="1"/>
    <col min="2566" max="2688" width="11.7109375" style="94" customWidth="1"/>
    <col min="2689" max="2689" width="1.7109375" style="94" customWidth="1"/>
    <col min="2690" max="2691" width="9.140625" style="94" hidden="1" customWidth="1"/>
    <col min="2692" max="2692" width="1.7109375" style="94" customWidth="1"/>
    <col min="2693" max="2790" width="9.140625" style="94" hidden="1"/>
    <col min="2791" max="2793" width="9.140625" style="94" customWidth="1"/>
    <col min="2794" max="2794" width="11.140625" style="94" customWidth="1"/>
    <col min="2795" max="2795" width="9.140625" style="94" customWidth="1"/>
    <col min="2796" max="2796" width="9.28515625" style="94" customWidth="1"/>
    <col min="2797" max="2797" width="10.85546875" style="94" customWidth="1"/>
    <col min="2798" max="2817" width="9.140625" style="94" hidden="1" customWidth="1"/>
    <col min="2818" max="2818" width="7.28515625" style="94" customWidth="1"/>
    <col min="2819" max="2820" width="9.140625" style="94" customWidth="1"/>
    <col min="2821" max="2821" width="12" style="94" customWidth="1"/>
    <col min="2822" max="2944" width="11.7109375" style="94" customWidth="1"/>
    <col min="2945" max="2945" width="1.7109375" style="94" customWidth="1"/>
    <col min="2946" max="2947" width="9.140625" style="94" hidden="1" customWidth="1"/>
    <col min="2948" max="2948" width="1.7109375" style="94" customWidth="1"/>
    <col min="2949" max="3046" width="9.140625" style="94" hidden="1"/>
    <col min="3047" max="3049" width="9.140625" style="94" customWidth="1"/>
    <col min="3050" max="3050" width="11.140625" style="94" customWidth="1"/>
    <col min="3051" max="3051" width="9.140625" style="94" customWidth="1"/>
    <col min="3052" max="3052" width="9.28515625" style="94" customWidth="1"/>
    <col min="3053" max="3053" width="10.85546875" style="94" customWidth="1"/>
    <col min="3054" max="3073" width="9.140625" style="94" hidden="1" customWidth="1"/>
    <col min="3074" max="3074" width="7.28515625" style="94" customWidth="1"/>
    <col min="3075" max="3076" width="9.140625" style="94" customWidth="1"/>
    <col min="3077" max="3077" width="12" style="94" customWidth="1"/>
    <col min="3078" max="3200" width="11.7109375" style="94" customWidth="1"/>
    <col min="3201" max="3201" width="1.7109375" style="94" customWidth="1"/>
    <col min="3202" max="3203" width="9.140625" style="94" hidden="1" customWidth="1"/>
    <col min="3204" max="3204" width="1.7109375" style="94" customWidth="1"/>
    <col min="3205" max="3302" width="9.140625" style="94" hidden="1"/>
    <col min="3303" max="3305" width="9.140625" style="94" customWidth="1"/>
    <col min="3306" max="3306" width="11.140625" style="94" customWidth="1"/>
    <col min="3307" max="3307" width="9.140625" style="94" customWidth="1"/>
    <col min="3308" max="3308" width="9.28515625" style="94" customWidth="1"/>
    <col min="3309" max="3309" width="10.85546875" style="94" customWidth="1"/>
    <col min="3310" max="3329" width="9.140625" style="94" hidden="1" customWidth="1"/>
    <col min="3330" max="3330" width="7.28515625" style="94" customWidth="1"/>
    <col min="3331" max="3332" width="9.140625" style="94" customWidth="1"/>
    <col min="3333" max="3333" width="12" style="94" customWidth="1"/>
    <col min="3334" max="3456" width="11.7109375" style="94" customWidth="1"/>
    <col min="3457" max="3457" width="1.7109375" style="94" customWidth="1"/>
    <col min="3458" max="3459" width="9.140625" style="94" hidden="1" customWidth="1"/>
    <col min="3460" max="3460" width="1.7109375" style="94" customWidth="1"/>
    <col min="3461" max="3558" width="9.140625" style="94" hidden="1"/>
    <col min="3559" max="3561" width="9.140625" style="94" customWidth="1"/>
    <col min="3562" max="3562" width="11.140625" style="94" customWidth="1"/>
    <col min="3563" max="3563" width="9.140625" style="94" customWidth="1"/>
    <col min="3564" max="3564" width="9.28515625" style="94" customWidth="1"/>
    <col min="3565" max="3565" width="10.85546875" style="94" customWidth="1"/>
    <col min="3566" max="3585" width="9.140625" style="94" hidden="1" customWidth="1"/>
    <col min="3586" max="3586" width="7.28515625" style="94" customWidth="1"/>
    <col min="3587" max="3588" width="9.140625" style="94" customWidth="1"/>
    <col min="3589" max="3589" width="12" style="94" customWidth="1"/>
    <col min="3590" max="3712" width="11.7109375" style="94" customWidth="1"/>
    <col min="3713" max="3713" width="1.7109375" style="94" customWidth="1"/>
    <col min="3714" max="3715" width="9.140625" style="94" hidden="1" customWidth="1"/>
    <col min="3716" max="3716" width="1.7109375" style="94" customWidth="1"/>
    <col min="3717" max="3814" width="9.140625" style="94" hidden="1"/>
    <col min="3815" max="3817" width="9.140625" style="94" customWidth="1"/>
    <col min="3818" max="3818" width="11.140625" style="94" customWidth="1"/>
    <col min="3819" max="3819" width="9.140625" style="94" customWidth="1"/>
    <col min="3820" max="3820" width="9.28515625" style="94" customWidth="1"/>
    <col min="3821" max="3821" width="10.85546875" style="94" customWidth="1"/>
    <col min="3822" max="3841" width="9.140625" style="94" hidden="1" customWidth="1"/>
    <col min="3842" max="3842" width="7.28515625" style="94" customWidth="1"/>
    <col min="3843" max="3844" width="9.140625" style="94" customWidth="1"/>
    <col min="3845" max="3845" width="12" style="94" customWidth="1"/>
    <col min="3846" max="3968" width="11.7109375" style="94" customWidth="1"/>
    <col min="3969" max="3969" width="1.7109375" style="94" customWidth="1"/>
    <col min="3970" max="3971" width="9.140625" style="94" hidden="1" customWidth="1"/>
    <col min="3972" max="3972" width="1.7109375" style="94" customWidth="1"/>
    <col min="3973" max="4070" width="9.140625" style="94" hidden="1"/>
    <col min="4071" max="4073" width="9.140625" style="94" customWidth="1"/>
    <col min="4074" max="4074" width="11.140625" style="94" customWidth="1"/>
    <col min="4075" max="4075" width="9.140625" style="94" customWidth="1"/>
    <col min="4076" max="4076" width="9.28515625" style="94" customWidth="1"/>
    <col min="4077" max="4077" width="10.85546875" style="94" customWidth="1"/>
    <col min="4078" max="4097" width="9.140625" style="94" hidden="1" customWidth="1"/>
    <col min="4098" max="4098" width="7.28515625" style="94" customWidth="1"/>
    <col min="4099" max="4100" width="9.140625" style="94" customWidth="1"/>
    <col min="4101" max="4101" width="12" style="94" customWidth="1"/>
    <col min="4102" max="4224" width="11.7109375" style="94" customWidth="1"/>
    <col min="4225" max="4225" width="1.7109375" style="94" customWidth="1"/>
    <col min="4226" max="4227" width="9.140625" style="94" hidden="1" customWidth="1"/>
    <col min="4228" max="4228" width="1.7109375" style="94" customWidth="1"/>
    <col min="4229" max="4326" width="9.140625" style="94" hidden="1"/>
    <col min="4327" max="4329" width="9.140625" style="94" customWidth="1"/>
    <col min="4330" max="4330" width="11.140625" style="94" customWidth="1"/>
    <col min="4331" max="4331" width="9.140625" style="94" customWidth="1"/>
    <col min="4332" max="4332" width="9.28515625" style="94" customWidth="1"/>
    <col min="4333" max="4333" width="10.85546875" style="94" customWidth="1"/>
    <col min="4334" max="4353" width="9.140625" style="94" hidden="1" customWidth="1"/>
    <col min="4354" max="4354" width="7.28515625" style="94" customWidth="1"/>
    <col min="4355" max="4356" width="9.140625" style="94" customWidth="1"/>
    <col min="4357" max="4357" width="12" style="94" customWidth="1"/>
    <col min="4358" max="4480" width="11.7109375" style="94" customWidth="1"/>
    <col min="4481" max="4481" width="1.7109375" style="94" customWidth="1"/>
    <col min="4482" max="4483" width="9.140625" style="94" hidden="1" customWidth="1"/>
    <col min="4484" max="4484" width="1.7109375" style="94" customWidth="1"/>
    <col min="4485" max="4582" width="9.140625" style="94" hidden="1"/>
    <col min="4583" max="4585" width="9.140625" style="94" customWidth="1"/>
    <col min="4586" max="4586" width="11.140625" style="94" customWidth="1"/>
    <col min="4587" max="4587" width="9.140625" style="94" customWidth="1"/>
    <col min="4588" max="4588" width="9.28515625" style="94" customWidth="1"/>
    <col min="4589" max="4589" width="10.85546875" style="94" customWidth="1"/>
    <col min="4590" max="4609" width="9.140625" style="94" hidden="1" customWidth="1"/>
    <col min="4610" max="4610" width="7.28515625" style="94" customWidth="1"/>
    <col min="4611" max="4612" width="9.140625" style="94" customWidth="1"/>
    <col min="4613" max="4613" width="12" style="94" customWidth="1"/>
    <col min="4614" max="4736" width="11.7109375" style="94" customWidth="1"/>
    <col min="4737" max="4737" width="1.7109375" style="94" customWidth="1"/>
    <col min="4738" max="4739" width="9.140625" style="94" hidden="1" customWidth="1"/>
    <col min="4740" max="4740" width="1.7109375" style="94" customWidth="1"/>
    <col min="4741" max="4838" width="9.140625" style="94" hidden="1"/>
    <col min="4839" max="4841" width="9.140625" style="94" customWidth="1"/>
    <col min="4842" max="4842" width="11.140625" style="94" customWidth="1"/>
    <col min="4843" max="4843" width="9.140625" style="94" customWidth="1"/>
    <col min="4844" max="4844" width="9.28515625" style="94" customWidth="1"/>
    <col min="4845" max="4845" width="10.85546875" style="94" customWidth="1"/>
    <col min="4846" max="4865" width="9.140625" style="94" hidden="1" customWidth="1"/>
    <col min="4866" max="4866" width="7.28515625" style="94" customWidth="1"/>
    <col min="4867" max="4868" width="9.140625" style="94" customWidth="1"/>
    <col min="4869" max="4869" width="12" style="94" customWidth="1"/>
    <col min="4870" max="4992" width="11.7109375" style="94" customWidth="1"/>
    <col min="4993" max="4993" width="1.7109375" style="94" customWidth="1"/>
    <col min="4994" max="4995" width="9.140625" style="94" hidden="1" customWidth="1"/>
    <col min="4996" max="4996" width="1.7109375" style="94" customWidth="1"/>
    <col min="4997" max="5094" width="9.140625" style="94" hidden="1"/>
    <col min="5095" max="5097" width="9.140625" style="94" customWidth="1"/>
    <col min="5098" max="5098" width="11.140625" style="94" customWidth="1"/>
    <col min="5099" max="5099" width="9.140625" style="94" customWidth="1"/>
    <col min="5100" max="5100" width="9.28515625" style="94" customWidth="1"/>
    <col min="5101" max="5101" width="10.85546875" style="94" customWidth="1"/>
    <col min="5102" max="5121" width="9.140625" style="94" hidden="1" customWidth="1"/>
    <col min="5122" max="5122" width="7.28515625" style="94" customWidth="1"/>
    <col min="5123" max="5124" width="9.140625" style="94" customWidth="1"/>
    <col min="5125" max="5125" width="12" style="94" customWidth="1"/>
    <col min="5126" max="5248" width="11.7109375" style="94" customWidth="1"/>
    <col min="5249" max="5249" width="1.7109375" style="94" customWidth="1"/>
    <col min="5250" max="5251" width="9.140625" style="94" hidden="1" customWidth="1"/>
    <col min="5252" max="5252" width="1.7109375" style="94" customWidth="1"/>
    <col min="5253" max="5350" width="9.140625" style="94" hidden="1"/>
    <col min="5351" max="5353" width="9.140625" style="94" customWidth="1"/>
    <col min="5354" max="5354" width="11.140625" style="94" customWidth="1"/>
    <col min="5355" max="5355" width="9.140625" style="94" customWidth="1"/>
    <col min="5356" max="5356" width="9.28515625" style="94" customWidth="1"/>
    <col min="5357" max="5357" width="10.85546875" style="94" customWidth="1"/>
    <col min="5358" max="5377" width="9.140625" style="94" hidden="1" customWidth="1"/>
    <col min="5378" max="5378" width="7.28515625" style="94" customWidth="1"/>
    <col min="5379" max="5380" width="9.140625" style="94" customWidth="1"/>
    <col min="5381" max="5381" width="12" style="94" customWidth="1"/>
    <col min="5382" max="5504" width="11.7109375" style="94" customWidth="1"/>
    <col min="5505" max="5505" width="1.7109375" style="94" customWidth="1"/>
    <col min="5506" max="5507" width="9.140625" style="94" hidden="1" customWidth="1"/>
    <col min="5508" max="5508" width="1.7109375" style="94" customWidth="1"/>
    <col min="5509" max="5606" width="9.140625" style="94" hidden="1"/>
    <col min="5607" max="5609" width="9.140625" style="94" customWidth="1"/>
    <col min="5610" max="5610" width="11.140625" style="94" customWidth="1"/>
    <col min="5611" max="5611" width="9.140625" style="94" customWidth="1"/>
    <col min="5612" max="5612" width="9.28515625" style="94" customWidth="1"/>
    <col min="5613" max="5613" width="10.85546875" style="94" customWidth="1"/>
    <col min="5614" max="5633" width="9.140625" style="94" hidden="1" customWidth="1"/>
    <col min="5634" max="5634" width="7.28515625" style="94" customWidth="1"/>
    <col min="5635" max="5636" width="9.140625" style="94" customWidth="1"/>
    <col min="5637" max="5637" width="12" style="94" customWidth="1"/>
    <col min="5638" max="5760" width="11.7109375" style="94" customWidth="1"/>
    <col min="5761" max="5761" width="1.7109375" style="94" customWidth="1"/>
    <col min="5762" max="5763" width="9.140625" style="94" hidden="1" customWidth="1"/>
    <col min="5764" max="5764" width="1.7109375" style="94" customWidth="1"/>
    <col min="5765" max="5862" width="9.140625" style="94" hidden="1"/>
    <col min="5863" max="5865" width="9.140625" style="94" customWidth="1"/>
    <col min="5866" max="5866" width="11.140625" style="94" customWidth="1"/>
    <col min="5867" max="5867" width="9.140625" style="94" customWidth="1"/>
    <col min="5868" max="5868" width="9.28515625" style="94" customWidth="1"/>
    <col min="5869" max="5869" width="10.85546875" style="94" customWidth="1"/>
    <col min="5870" max="5889" width="9.140625" style="94" hidden="1" customWidth="1"/>
    <col min="5890" max="5890" width="7.28515625" style="94" customWidth="1"/>
    <col min="5891" max="5892" width="9.140625" style="94" customWidth="1"/>
    <col min="5893" max="5893" width="12" style="94" customWidth="1"/>
    <col min="5894" max="6016" width="11.7109375" style="94" customWidth="1"/>
    <col min="6017" max="6017" width="1.7109375" style="94" customWidth="1"/>
    <col min="6018" max="6019" width="9.140625" style="94" hidden="1" customWidth="1"/>
    <col min="6020" max="6020" width="1.7109375" style="94" customWidth="1"/>
    <col min="6021" max="6118" width="9.140625" style="94" hidden="1"/>
    <col min="6119" max="6121" width="9.140625" style="94" customWidth="1"/>
    <col min="6122" max="6122" width="11.140625" style="94" customWidth="1"/>
    <col min="6123" max="6123" width="9.140625" style="94" customWidth="1"/>
    <col min="6124" max="6124" width="9.28515625" style="94" customWidth="1"/>
    <col min="6125" max="6125" width="10.85546875" style="94" customWidth="1"/>
    <col min="6126" max="6145" width="9.140625" style="94" hidden="1" customWidth="1"/>
    <col min="6146" max="6146" width="7.28515625" style="94" customWidth="1"/>
    <col min="6147" max="6148" width="9.140625" style="94" customWidth="1"/>
    <col min="6149" max="6149" width="12" style="94" customWidth="1"/>
    <col min="6150" max="6272" width="11.7109375" style="94" customWidth="1"/>
    <col min="6273" max="6273" width="1.7109375" style="94" customWidth="1"/>
    <col min="6274" max="6275" width="9.140625" style="94" hidden="1" customWidth="1"/>
    <col min="6276" max="6276" width="1.7109375" style="94" customWidth="1"/>
    <col min="6277" max="6374" width="9.140625" style="94" hidden="1"/>
    <col min="6375" max="6377" width="9.140625" style="94" customWidth="1"/>
    <col min="6378" max="6378" width="11.140625" style="94" customWidth="1"/>
    <col min="6379" max="6379" width="9.140625" style="94" customWidth="1"/>
    <col min="6380" max="6380" width="9.28515625" style="94" customWidth="1"/>
    <col min="6381" max="6381" width="10.85546875" style="94" customWidth="1"/>
    <col min="6382" max="6401" width="9.140625" style="94" hidden="1" customWidth="1"/>
    <col min="6402" max="6402" width="7.28515625" style="94" customWidth="1"/>
    <col min="6403" max="6404" width="9.140625" style="94" customWidth="1"/>
    <col min="6405" max="6405" width="12" style="94" customWidth="1"/>
    <col min="6406" max="6528" width="11.7109375" style="94" customWidth="1"/>
    <col min="6529" max="6529" width="1.7109375" style="94" customWidth="1"/>
    <col min="6530" max="6531" width="9.140625" style="94" hidden="1" customWidth="1"/>
    <col min="6532" max="6532" width="1.7109375" style="94" customWidth="1"/>
    <col min="6533" max="6630" width="9.140625" style="94" hidden="1"/>
    <col min="6631" max="6633" width="9.140625" style="94" customWidth="1"/>
    <col min="6634" max="6634" width="11.140625" style="94" customWidth="1"/>
    <col min="6635" max="6635" width="9.140625" style="94" customWidth="1"/>
    <col min="6636" max="6636" width="9.28515625" style="94" customWidth="1"/>
    <col min="6637" max="6637" width="10.85546875" style="94" customWidth="1"/>
    <col min="6638" max="6657" width="9.140625" style="94" hidden="1" customWidth="1"/>
    <col min="6658" max="6658" width="7.28515625" style="94" customWidth="1"/>
    <col min="6659" max="6660" width="9.140625" style="94" customWidth="1"/>
    <col min="6661" max="6661" width="12" style="94" customWidth="1"/>
    <col min="6662" max="6784" width="11.7109375" style="94" customWidth="1"/>
    <col min="6785" max="6785" width="1.7109375" style="94" customWidth="1"/>
    <col min="6786" max="6787" width="9.140625" style="94" hidden="1" customWidth="1"/>
    <col min="6788" max="6788" width="1.7109375" style="94" customWidth="1"/>
    <col min="6789" max="6886" width="9.140625" style="94" hidden="1"/>
    <col min="6887" max="6889" width="9.140625" style="94" customWidth="1"/>
    <col min="6890" max="6890" width="11.140625" style="94" customWidth="1"/>
    <col min="6891" max="6891" width="9.140625" style="94" customWidth="1"/>
    <col min="6892" max="6892" width="9.28515625" style="94" customWidth="1"/>
    <col min="6893" max="6893" width="10.85546875" style="94" customWidth="1"/>
    <col min="6894" max="6913" width="9.140625" style="94" hidden="1" customWidth="1"/>
    <col min="6914" max="6914" width="7.28515625" style="94" customWidth="1"/>
    <col min="6915" max="6916" width="9.140625" style="94" customWidth="1"/>
    <col min="6917" max="6917" width="12" style="94" customWidth="1"/>
    <col min="6918" max="7040" width="11.7109375" style="94" customWidth="1"/>
    <col min="7041" max="7041" width="1.7109375" style="94" customWidth="1"/>
    <col min="7042" max="7043" width="9.140625" style="94" hidden="1" customWidth="1"/>
    <col min="7044" max="7044" width="1.7109375" style="94" customWidth="1"/>
    <col min="7045" max="7142" width="9.140625" style="94" hidden="1"/>
    <col min="7143" max="7145" width="9.140625" style="94" customWidth="1"/>
    <col min="7146" max="7146" width="11.140625" style="94" customWidth="1"/>
    <col min="7147" max="7147" width="9.140625" style="94" customWidth="1"/>
    <col min="7148" max="7148" width="9.28515625" style="94" customWidth="1"/>
    <col min="7149" max="7149" width="10.85546875" style="94" customWidth="1"/>
    <col min="7150" max="7169" width="9.140625" style="94" hidden="1" customWidth="1"/>
    <col min="7170" max="7170" width="7.28515625" style="94" customWidth="1"/>
    <col min="7171" max="7172" width="9.140625" style="94" customWidth="1"/>
    <col min="7173" max="7173" width="12" style="94" customWidth="1"/>
    <col min="7174" max="7296" width="11.7109375" style="94" customWidth="1"/>
    <col min="7297" max="7297" width="1.7109375" style="94" customWidth="1"/>
    <col min="7298" max="7299" width="9.140625" style="94" hidden="1" customWidth="1"/>
    <col min="7300" max="7300" width="1.7109375" style="94" customWidth="1"/>
    <col min="7301" max="7398" width="9.140625" style="94" hidden="1"/>
    <col min="7399" max="7401" width="9.140625" style="94" customWidth="1"/>
    <col min="7402" max="7402" width="11.140625" style="94" customWidth="1"/>
    <col min="7403" max="7403" width="9.140625" style="94" customWidth="1"/>
    <col min="7404" max="7404" width="9.28515625" style="94" customWidth="1"/>
    <col min="7405" max="7405" width="10.85546875" style="94" customWidth="1"/>
    <col min="7406" max="7425" width="9.140625" style="94" hidden="1" customWidth="1"/>
    <col min="7426" max="7426" width="7.28515625" style="94" customWidth="1"/>
    <col min="7427" max="7428" width="9.140625" style="94" customWidth="1"/>
    <col min="7429" max="7429" width="12" style="94" customWidth="1"/>
    <col min="7430" max="7552" width="11.7109375" style="94" customWidth="1"/>
    <col min="7553" max="7553" width="1.7109375" style="94" customWidth="1"/>
    <col min="7554" max="7555" width="9.140625" style="94" hidden="1" customWidth="1"/>
    <col min="7556" max="7556" width="1.7109375" style="94" customWidth="1"/>
    <col min="7557" max="7654" width="9.140625" style="94" hidden="1"/>
    <col min="7655" max="7657" width="9.140625" style="94" customWidth="1"/>
    <col min="7658" max="7658" width="11.140625" style="94" customWidth="1"/>
    <col min="7659" max="7659" width="9.140625" style="94" customWidth="1"/>
    <col min="7660" max="7660" width="9.28515625" style="94" customWidth="1"/>
    <col min="7661" max="7661" width="10.85546875" style="94" customWidth="1"/>
    <col min="7662" max="7681" width="9.140625" style="94" hidden="1" customWidth="1"/>
    <col min="7682" max="7682" width="7.28515625" style="94" customWidth="1"/>
    <col min="7683" max="7684" width="9.140625" style="94" customWidth="1"/>
    <col min="7685" max="7685" width="12" style="94" customWidth="1"/>
    <col min="7686" max="7808" width="11.7109375" style="94" customWidth="1"/>
    <col min="7809" max="7809" width="1.7109375" style="94" customWidth="1"/>
    <col min="7810" max="7811" width="9.140625" style="94" hidden="1" customWidth="1"/>
    <col min="7812" max="7812" width="1.7109375" style="94" customWidth="1"/>
    <col min="7813" max="7910" width="9.140625" style="94" hidden="1"/>
    <col min="7911" max="7913" width="9.140625" style="94" customWidth="1"/>
    <col min="7914" max="7914" width="11.140625" style="94" customWidth="1"/>
    <col min="7915" max="7915" width="9.140625" style="94" customWidth="1"/>
    <col min="7916" max="7916" width="9.28515625" style="94" customWidth="1"/>
    <col min="7917" max="7917" width="10.85546875" style="94" customWidth="1"/>
    <col min="7918" max="7937" width="9.140625" style="94" hidden="1" customWidth="1"/>
    <col min="7938" max="7938" width="7.28515625" style="94" customWidth="1"/>
    <col min="7939" max="7940" width="9.140625" style="94" customWidth="1"/>
    <col min="7941" max="7941" width="12" style="94" customWidth="1"/>
    <col min="7942" max="8064" width="11.7109375" style="94" customWidth="1"/>
    <col min="8065" max="8065" width="1.7109375" style="94" customWidth="1"/>
    <col min="8066" max="8067" width="9.140625" style="94" hidden="1" customWidth="1"/>
    <col min="8068" max="8068" width="1.7109375" style="94" customWidth="1"/>
    <col min="8069" max="8166" width="9.140625" style="94" hidden="1"/>
    <col min="8167" max="8169" width="9.140625" style="94" customWidth="1"/>
    <col min="8170" max="8170" width="11.140625" style="94" customWidth="1"/>
    <col min="8171" max="8171" width="9.140625" style="94" customWidth="1"/>
    <col min="8172" max="8172" width="9.28515625" style="94" customWidth="1"/>
    <col min="8173" max="8173" width="10.85546875" style="94" customWidth="1"/>
    <col min="8174" max="8193" width="9.140625" style="94" hidden="1" customWidth="1"/>
    <col min="8194" max="8194" width="7.28515625" style="94" customWidth="1"/>
    <col min="8195" max="8196" width="9.140625" style="94" customWidth="1"/>
    <col min="8197" max="8197" width="12" style="94" customWidth="1"/>
    <col min="8198" max="8320" width="11.7109375" style="94" customWidth="1"/>
    <col min="8321" max="8321" width="1.7109375" style="94" customWidth="1"/>
    <col min="8322" max="8323" width="9.140625" style="94" hidden="1" customWidth="1"/>
    <col min="8324" max="8324" width="1.7109375" style="94" customWidth="1"/>
    <col min="8325" max="8422" width="9.140625" style="94" hidden="1"/>
    <col min="8423" max="8425" width="9.140625" style="94" customWidth="1"/>
    <col min="8426" max="8426" width="11.140625" style="94" customWidth="1"/>
    <col min="8427" max="8427" width="9.140625" style="94" customWidth="1"/>
    <col min="8428" max="8428" width="9.28515625" style="94" customWidth="1"/>
    <col min="8429" max="8429" width="10.85546875" style="94" customWidth="1"/>
    <col min="8430" max="8449" width="9.140625" style="94" hidden="1" customWidth="1"/>
    <col min="8450" max="8450" width="7.28515625" style="94" customWidth="1"/>
    <col min="8451" max="8452" width="9.140625" style="94" customWidth="1"/>
    <col min="8453" max="8453" width="12" style="94" customWidth="1"/>
    <col min="8454" max="8576" width="11.7109375" style="94" customWidth="1"/>
    <col min="8577" max="8577" width="1.7109375" style="94" customWidth="1"/>
    <col min="8578" max="8579" width="9.140625" style="94" hidden="1" customWidth="1"/>
    <col min="8580" max="8580" width="1.7109375" style="94" customWidth="1"/>
    <col min="8581" max="8678" width="9.140625" style="94" hidden="1"/>
    <col min="8679" max="8681" width="9.140625" style="94" customWidth="1"/>
    <col min="8682" max="8682" width="11.140625" style="94" customWidth="1"/>
    <col min="8683" max="8683" width="9.140625" style="94" customWidth="1"/>
    <col min="8684" max="8684" width="9.28515625" style="94" customWidth="1"/>
    <col min="8685" max="8685" width="10.85546875" style="94" customWidth="1"/>
    <col min="8686" max="8705" width="9.140625" style="94" hidden="1" customWidth="1"/>
    <col min="8706" max="8706" width="7.28515625" style="94" customWidth="1"/>
    <col min="8707" max="8708" width="9.140625" style="94" customWidth="1"/>
    <col min="8709" max="8709" width="12" style="94" customWidth="1"/>
    <col min="8710" max="8832" width="11.7109375" style="94" customWidth="1"/>
    <col min="8833" max="8833" width="1.7109375" style="94" customWidth="1"/>
    <col min="8834" max="8835" width="9.140625" style="94" hidden="1" customWidth="1"/>
    <col min="8836" max="8836" width="1.7109375" style="94" customWidth="1"/>
    <col min="8837" max="8934" width="9.140625" style="94" hidden="1"/>
    <col min="8935" max="8937" width="9.140625" style="94" customWidth="1"/>
    <col min="8938" max="8938" width="11.140625" style="94" customWidth="1"/>
    <col min="8939" max="8939" width="9.140625" style="94" customWidth="1"/>
    <col min="8940" max="8940" width="9.28515625" style="94" customWidth="1"/>
    <col min="8941" max="8941" width="10.85546875" style="94" customWidth="1"/>
    <col min="8942" max="8961" width="9.140625" style="94" hidden="1" customWidth="1"/>
    <col min="8962" max="8962" width="7.28515625" style="94" customWidth="1"/>
    <col min="8963" max="8964" width="9.140625" style="94" customWidth="1"/>
    <col min="8965" max="8965" width="12" style="94" customWidth="1"/>
    <col min="8966" max="9088" width="11.7109375" style="94" customWidth="1"/>
    <col min="9089" max="9089" width="1.7109375" style="94" customWidth="1"/>
    <col min="9090" max="9091" width="9.140625" style="94" hidden="1" customWidth="1"/>
    <col min="9092" max="9092" width="1.7109375" style="94" customWidth="1"/>
    <col min="9093" max="9190" width="9.140625" style="94" hidden="1"/>
    <col min="9191" max="9193" width="9.140625" style="94" customWidth="1"/>
    <col min="9194" max="9194" width="11.140625" style="94" customWidth="1"/>
    <col min="9195" max="9195" width="9.140625" style="94" customWidth="1"/>
    <col min="9196" max="9196" width="9.28515625" style="94" customWidth="1"/>
    <col min="9197" max="9197" width="10.85546875" style="94" customWidth="1"/>
    <col min="9198" max="9217" width="9.140625" style="94" hidden="1" customWidth="1"/>
    <col min="9218" max="9218" width="7.28515625" style="94" customWidth="1"/>
    <col min="9219" max="9220" width="9.140625" style="94" customWidth="1"/>
    <col min="9221" max="9221" width="12" style="94" customWidth="1"/>
    <col min="9222" max="9344" width="11.7109375" style="94" customWidth="1"/>
    <col min="9345" max="9345" width="1.7109375" style="94" customWidth="1"/>
    <col min="9346" max="9347" width="9.140625" style="94" hidden="1" customWidth="1"/>
    <col min="9348" max="9348" width="1.7109375" style="94" customWidth="1"/>
    <col min="9349" max="9446" width="9.140625" style="94" hidden="1"/>
    <col min="9447" max="9449" width="9.140625" style="94" customWidth="1"/>
    <col min="9450" max="9450" width="11.140625" style="94" customWidth="1"/>
    <col min="9451" max="9451" width="9.140625" style="94" customWidth="1"/>
    <col min="9452" max="9452" width="9.28515625" style="94" customWidth="1"/>
    <col min="9453" max="9453" width="10.85546875" style="94" customWidth="1"/>
    <col min="9454" max="9473" width="9.140625" style="94" hidden="1" customWidth="1"/>
    <col min="9474" max="9474" width="7.28515625" style="94" customWidth="1"/>
    <col min="9475" max="9476" width="9.140625" style="94" customWidth="1"/>
    <col min="9477" max="9477" width="12" style="94" customWidth="1"/>
    <col min="9478" max="9600" width="11.7109375" style="94" customWidth="1"/>
    <col min="9601" max="9601" width="1.7109375" style="94" customWidth="1"/>
    <col min="9602" max="9603" width="9.140625" style="94" hidden="1" customWidth="1"/>
    <col min="9604" max="9604" width="1.7109375" style="94" customWidth="1"/>
    <col min="9605" max="9702" width="9.140625" style="94" hidden="1"/>
    <col min="9703" max="9705" width="9.140625" style="94" customWidth="1"/>
    <col min="9706" max="9706" width="11.140625" style="94" customWidth="1"/>
    <col min="9707" max="9707" width="9.140625" style="94" customWidth="1"/>
    <col min="9708" max="9708" width="9.28515625" style="94" customWidth="1"/>
    <col min="9709" max="9709" width="10.85546875" style="94" customWidth="1"/>
    <col min="9710" max="9729" width="9.140625" style="94" hidden="1" customWidth="1"/>
    <col min="9730" max="9730" width="7.28515625" style="94" customWidth="1"/>
    <col min="9731" max="9732" width="9.140625" style="94" customWidth="1"/>
    <col min="9733" max="9733" width="12" style="94" customWidth="1"/>
    <col min="9734" max="9856" width="11.7109375" style="94" customWidth="1"/>
    <col min="9857" max="9857" width="1.7109375" style="94" customWidth="1"/>
    <col min="9858" max="9859" width="9.140625" style="94" hidden="1" customWidth="1"/>
    <col min="9860" max="9860" width="1.7109375" style="94" customWidth="1"/>
    <col min="9861" max="9958" width="9.140625" style="94" hidden="1"/>
    <col min="9959" max="9961" width="9.140625" style="94" customWidth="1"/>
    <col min="9962" max="9962" width="11.140625" style="94" customWidth="1"/>
    <col min="9963" max="9963" width="9.140625" style="94" customWidth="1"/>
    <col min="9964" max="9964" width="9.28515625" style="94" customWidth="1"/>
    <col min="9965" max="9965" width="10.85546875" style="94" customWidth="1"/>
    <col min="9966" max="9985" width="9.140625" style="94" hidden="1" customWidth="1"/>
    <col min="9986" max="9986" width="7.28515625" style="94" customWidth="1"/>
    <col min="9987" max="9988" width="9.140625" style="94" customWidth="1"/>
    <col min="9989" max="9989" width="12" style="94" customWidth="1"/>
    <col min="9990" max="10112" width="11.7109375" style="94" customWidth="1"/>
    <col min="10113" max="10113" width="1.7109375" style="94" customWidth="1"/>
    <col min="10114" max="10115" width="9.140625" style="94" hidden="1" customWidth="1"/>
    <col min="10116" max="10116" width="1.7109375" style="94" customWidth="1"/>
    <col min="10117" max="10214" width="9.140625" style="94" hidden="1"/>
    <col min="10215" max="10217" width="9.140625" style="94" customWidth="1"/>
    <col min="10218" max="10218" width="11.140625" style="94" customWidth="1"/>
    <col min="10219" max="10219" width="9.140625" style="94" customWidth="1"/>
    <col min="10220" max="10220" width="9.28515625" style="94" customWidth="1"/>
    <col min="10221" max="10221" width="10.85546875" style="94" customWidth="1"/>
    <col min="10222" max="10241" width="9.140625" style="94" hidden="1" customWidth="1"/>
    <col min="10242" max="10242" width="7.28515625" style="94" customWidth="1"/>
    <col min="10243" max="10244" width="9.140625" style="94" customWidth="1"/>
    <col min="10245" max="10245" width="12" style="94" customWidth="1"/>
    <col min="10246" max="10368" width="11.7109375" style="94" customWidth="1"/>
    <col min="10369" max="10369" width="1.7109375" style="94" customWidth="1"/>
    <col min="10370" max="10371" width="9.140625" style="94" hidden="1" customWidth="1"/>
    <col min="10372" max="10372" width="1.7109375" style="94" customWidth="1"/>
    <col min="10373" max="10470" width="9.140625" style="94" hidden="1"/>
    <col min="10471" max="10473" width="9.140625" style="94" customWidth="1"/>
    <col min="10474" max="10474" width="11.140625" style="94" customWidth="1"/>
    <col min="10475" max="10475" width="9.140625" style="94" customWidth="1"/>
    <col min="10476" max="10476" width="9.28515625" style="94" customWidth="1"/>
    <col min="10477" max="10477" width="10.85546875" style="94" customWidth="1"/>
    <col min="10478" max="10497" width="9.140625" style="94" hidden="1" customWidth="1"/>
    <col min="10498" max="10498" width="7.28515625" style="94" customWidth="1"/>
    <col min="10499" max="10500" width="9.140625" style="94" customWidth="1"/>
    <col min="10501" max="10501" width="12" style="94" customWidth="1"/>
    <col min="10502" max="10624" width="11.7109375" style="94" customWidth="1"/>
    <col min="10625" max="10625" width="1.7109375" style="94" customWidth="1"/>
    <col min="10626" max="10627" width="9.140625" style="94" hidden="1" customWidth="1"/>
    <col min="10628" max="10628" width="1.7109375" style="94" customWidth="1"/>
    <col min="10629" max="10726" width="9.140625" style="94" hidden="1"/>
    <col min="10727" max="10729" width="9.140625" style="94" customWidth="1"/>
    <col min="10730" max="10730" width="11.140625" style="94" customWidth="1"/>
    <col min="10731" max="10731" width="9.140625" style="94" customWidth="1"/>
    <col min="10732" max="10732" width="9.28515625" style="94" customWidth="1"/>
    <col min="10733" max="10733" width="10.85546875" style="94" customWidth="1"/>
    <col min="10734" max="10753" width="9.140625" style="94" hidden="1" customWidth="1"/>
    <col min="10754" max="10754" width="7.28515625" style="94" customWidth="1"/>
    <col min="10755" max="10756" width="9.140625" style="94" customWidth="1"/>
    <col min="10757" max="10757" width="12" style="94" customWidth="1"/>
    <col min="10758" max="10880" width="11.7109375" style="94" customWidth="1"/>
    <col min="10881" max="10881" width="1.7109375" style="94" customWidth="1"/>
    <col min="10882" max="10883" width="9.140625" style="94" hidden="1" customWidth="1"/>
    <col min="10884" max="10884" width="1.7109375" style="94" customWidth="1"/>
    <col min="10885" max="10982" width="9.140625" style="94" hidden="1"/>
    <col min="10983" max="10985" width="9.140625" style="94" customWidth="1"/>
    <col min="10986" max="10986" width="11.140625" style="94" customWidth="1"/>
    <col min="10987" max="10987" width="9.140625" style="94" customWidth="1"/>
    <col min="10988" max="10988" width="9.28515625" style="94" customWidth="1"/>
    <col min="10989" max="10989" width="10.85546875" style="94" customWidth="1"/>
    <col min="10990" max="11009" width="9.140625" style="94" hidden="1" customWidth="1"/>
    <col min="11010" max="11010" width="7.28515625" style="94" customWidth="1"/>
    <col min="11011" max="11012" width="9.140625" style="94" customWidth="1"/>
    <col min="11013" max="11013" width="12" style="94" customWidth="1"/>
    <col min="11014" max="11136" width="11.7109375" style="94" customWidth="1"/>
    <col min="11137" max="11137" width="1.7109375" style="94" customWidth="1"/>
    <col min="11138" max="11139" width="9.140625" style="94" hidden="1" customWidth="1"/>
    <col min="11140" max="11140" width="1.7109375" style="94" customWidth="1"/>
    <col min="11141" max="11238" width="9.140625" style="94" hidden="1"/>
    <col min="11239" max="11241" width="9.140625" style="94" customWidth="1"/>
    <col min="11242" max="11242" width="11.140625" style="94" customWidth="1"/>
    <col min="11243" max="11243" width="9.140625" style="94" customWidth="1"/>
    <col min="11244" max="11244" width="9.28515625" style="94" customWidth="1"/>
    <col min="11245" max="11245" width="10.85546875" style="94" customWidth="1"/>
    <col min="11246" max="11265" width="9.140625" style="94" hidden="1" customWidth="1"/>
    <col min="11266" max="11266" width="7.28515625" style="94" customWidth="1"/>
    <col min="11267" max="11268" width="9.140625" style="94" customWidth="1"/>
    <col min="11269" max="11269" width="12" style="94" customWidth="1"/>
    <col min="11270" max="11392" width="11.7109375" style="94" customWidth="1"/>
    <col min="11393" max="11393" width="1.7109375" style="94" customWidth="1"/>
    <col min="11394" max="11395" width="9.140625" style="94" hidden="1" customWidth="1"/>
    <col min="11396" max="11396" width="1.7109375" style="94" customWidth="1"/>
    <col min="11397" max="11494" width="9.140625" style="94" hidden="1"/>
    <col min="11495" max="11497" width="9.140625" style="94" customWidth="1"/>
    <col min="11498" max="11498" width="11.140625" style="94" customWidth="1"/>
    <col min="11499" max="11499" width="9.140625" style="94" customWidth="1"/>
    <col min="11500" max="11500" width="9.28515625" style="94" customWidth="1"/>
    <col min="11501" max="11501" width="10.85546875" style="94" customWidth="1"/>
    <col min="11502" max="11521" width="9.140625" style="94" hidden="1" customWidth="1"/>
    <col min="11522" max="11522" width="7.28515625" style="94" customWidth="1"/>
    <col min="11523" max="11524" width="9.140625" style="94" customWidth="1"/>
    <col min="11525" max="11525" width="12" style="94" customWidth="1"/>
    <col min="11526" max="11648" width="11.7109375" style="94" customWidth="1"/>
    <col min="11649" max="11649" width="1.7109375" style="94" customWidth="1"/>
    <col min="11650" max="11651" width="9.140625" style="94" hidden="1" customWidth="1"/>
    <col min="11652" max="11652" width="1.7109375" style="94" customWidth="1"/>
    <col min="11653" max="11750" width="9.140625" style="94" hidden="1"/>
    <col min="11751" max="11753" width="9.140625" style="94" customWidth="1"/>
    <col min="11754" max="11754" width="11.140625" style="94" customWidth="1"/>
    <col min="11755" max="11755" width="9.140625" style="94" customWidth="1"/>
    <col min="11756" max="11756" width="9.28515625" style="94" customWidth="1"/>
    <col min="11757" max="11757" width="10.85546875" style="94" customWidth="1"/>
    <col min="11758" max="11777" width="9.140625" style="94" hidden="1" customWidth="1"/>
    <col min="11778" max="11778" width="7.28515625" style="94" customWidth="1"/>
    <col min="11779" max="11780" width="9.140625" style="94" customWidth="1"/>
    <col min="11781" max="11781" width="12" style="94" customWidth="1"/>
    <col min="11782" max="11904" width="11.7109375" style="94" customWidth="1"/>
    <col min="11905" max="11905" width="1.7109375" style="94" customWidth="1"/>
    <col min="11906" max="11907" width="9.140625" style="94" hidden="1" customWidth="1"/>
    <col min="11908" max="11908" width="1.7109375" style="94" customWidth="1"/>
    <col min="11909" max="12006" width="9.140625" style="94" hidden="1"/>
    <col min="12007" max="12009" width="9.140625" style="94" customWidth="1"/>
    <col min="12010" max="12010" width="11.140625" style="94" customWidth="1"/>
    <col min="12011" max="12011" width="9.140625" style="94" customWidth="1"/>
    <col min="12012" max="12012" width="9.28515625" style="94" customWidth="1"/>
    <col min="12013" max="12013" width="10.85546875" style="94" customWidth="1"/>
    <col min="12014" max="12033" width="9.140625" style="94" hidden="1" customWidth="1"/>
    <col min="12034" max="12034" width="7.28515625" style="94" customWidth="1"/>
    <col min="12035" max="12036" width="9.140625" style="94" customWidth="1"/>
    <col min="12037" max="12037" width="12" style="94" customWidth="1"/>
    <col min="12038" max="12160" width="11.7109375" style="94" customWidth="1"/>
    <col min="12161" max="12161" width="1.7109375" style="94" customWidth="1"/>
    <col min="12162" max="12163" width="9.140625" style="94" hidden="1" customWidth="1"/>
    <col min="12164" max="12164" width="1.7109375" style="94" customWidth="1"/>
    <col min="12165" max="12262" width="9.140625" style="94" hidden="1"/>
    <col min="12263" max="12265" width="9.140625" style="94" customWidth="1"/>
    <col min="12266" max="12266" width="11.140625" style="94" customWidth="1"/>
    <col min="12267" max="12267" width="9.140625" style="94" customWidth="1"/>
    <col min="12268" max="12268" width="9.28515625" style="94" customWidth="1"/>
    <col min="12269" max="12269" width="10.85546875" style="94" customWidth="1"/>
    <col min="12270" max="12289" width="9.140625" style="94" hidden="1" customWidth="1"/>
    <col min="12290" max="12290" width="7.28515625" style="94" customWidth="1"/>
    <col min="12291" max="12292" width="9.140625" style="94" customWidth="1"/>
    <col min="12293" max="12293" width="12" style="94" customWidth="1"/>
    <col min="12294" max="12416" width="11.7109375" style="94" customWidth="1"/>
    <col min="12417" max="12417" width="1.7109375" style="94" customWidth="1"/>
    <col min="12418" max="12419" width="9.140625" style="94" hidden="1" customWidth="1"/>
    <col min="12420" max="12420" width="1.7109375" style="94" customWidth="1"/>
    <col min="12421" max="12518" width="9.140625" style="94" hidden="1"/>
    <col min="12519" max="12521" width="9.140625" style="94" customWidth="1"/>
    <col min="12522" max="12522" width="11.140625" style="94" customWidth="1"/>
    <col min="12523" max="12523" width="9.140625" style="94" customWidth="1"/>
    <col min="12524" max="12524" width="9.28515625" style="94" customWidth="1"/>
    <col min="12525" max="12525" width="10.85546875" style="94" customWidth="1"/>
    <col min="12526" max="12545" width="9.140625" style="94" hidden="1" customWidth="1"/>
    <col min="12546" max="12546" width="7.28515625" style="94" customWidth="1"/>
    <col min="12547" max="12548" width="9.140625" style="94" customWidth="1"/>
    <col min="12549" max="12549" width="12" style="94" customWidth="1"/>
    <col min="12550" max="12672" width="11.7109375" style="94" customWidth="1"/>
    <col min="12673" max="12673" width="1.7109375" style="94" customWidth="1"/>
    <col min="12674" max="12675" width="9.140625" style="94" hidden="1" customWidth="1"/>
    <col min="12676" max="12676" width="1.7109375" style="94" customWidth="1"/>
    <col min="12677" max="12774" width="9.140625" style="94" hidden="1"/>
    <col min="12775" max="12777" width="9.140625" style="94" customWidth="1"/>
    <col min="12778" max="12778" width="11.140625" style="94" customWidth="1"/>
    <col min="12779" max="12779" width="9.140625" style="94" customWidth="1"/>
    <col min="12780" max="12780" width="9.28515625" style="94" customWidth="1"/>
    <col min="12781" max="12781" width="10.85546875" style="94" customWidth="1"/>
    <col min="12782" max="12801" width="9.140625" style="94" hidden="1" customWidth="1"/>
    <col min="12802" max="12802" width="7.28515625" style="94" customWidth="1"/>
    <col min="12803" max="12804" width="9.140625" style="94" customWidth="1"/>
    <col min="12805" max="12805" width="12" style="94" customWidth="1"/>
    <col min="12806" max="12928" width="11.7109375" style="94" customWidth="1"/>
    <col min="12929" max="12929" width="1.7109375" style="94" customWidth="1"/>
    <col min="12930" max="12931" width="9.140625" style="94" hidden="1" customWidth="1"/>
    <col min="12932" max="12932" width="1.7109375" style="94" customWidth="1"/>
    <col min="12933" max="13030" width="9.140625" style="94" hidden="1"/>
    <col min="13031" max="13033" width="9.140625" style="94" customWidth="1"/>
    <col min="13034" max="13034" width="11.140625" style="94" customWidth="1"/>
    <col min="13035" max="13035" width="9.140625" style="94" customWidth="1"/>
    <col min="13036" max="13036" width="9.28515625" style="94" customWidth="1"/>
    <col min="13037" max="13037" width="10.85546875" style="94" customWidth="1"/>
    <col min="13038" max="13057" width="9.140625" style="94" hidden="1" customWidth="1"/>
    <col min="13058" max="13058" width="7.28515625" style="94" customWidth="1"/>
    <col min="13059" max="13060" width="9.140625" style="94" customWidth="1"/>
    <col min="13061" max="13061" width="12" style="94" customWidth="1"/>
    <col min="13062" max="13184" width="11.7109375" style="94" customWidth="1"/>
    <col min="13185" max="13185" width="1.7109375" style="94" customWidth="1"/>
    <col min="13186" max="13187" width="9.140625" style="94" hidden="1" customWidth="1"/>
    <col min="13188" max="13188" width="1.7109375" style="94" customWidth="1"/>
    <col min="13189" max="13286" width="9.140625" style="94" hidden="1"/>
    <col min="13287" max="13289" width="9.140625" style="94" customWidth="1"/>
    <col min="13290" max="13290" width="11.140625" style="94" customWidth="1"/>
    <col min="13291" max="13291" width="9.140625" style="94" customWidth="1"/>
    <col min="13292" max="13292" width="9.28515625" style="94" customWidth="1"/>
    <col min="13293" max="13293" width="10.85546875" style="94" customWidth="1"/>
    <col min="13294" max="13313" width="9.140625" style="94" hidden="1" customWidth="1"/>
    <col min="13314" max="13314" width="7.28515625" style="94" customWidth="1"/>
    <col min="13315" max="13316" width="9.140625" style="94" customWidth="1"/>
    <col min="13317" max="13317" width="12" style="94" customWidth="1"/>
    <col min="13318" max="13440" width="11.7109375" style="94" customWidth="1"/>
    <col min="13441" max="13441" width="1.7109375" style="94" customWidth="1"/>
    <col min="13442" max="13443" width="9.140625" style="94" hidden="1" customWidth="1"/>
    <col min="13444" max="13444" width="1.7109375" style="94" customWidth="1"/>
    <col min="13445" max="13542" width="9.140625" style="94" hidden="1"/>
    <col min="13543" max="13545" width="9.140625" style="94" customWidth="1"/>
    <col min="13546" max="13546" width="11.140625" style="94" customWidth="1"/>
    <col min="13547" max="13547" width="9.140625" style="94" customWidth="1"/>
    <col min="13548" max="13548" width="9.28515625" style="94" customWidth="1"/>
    <col min="13549" max="13549" width="10.85546875" style="94" customWidth="1"/>
    <col min="13550" max="13569" width="9.140625" style="94" hidden="1" customWidth="1"/>
    <col min="13570" max="13570" width="7.28515625" style="94" customWidth="1"/>
    <col min="13571" max="13572" width="9.140625" style="94" customWidth="1"/>
    <col min="13573" max="13573" width="12" style="94" customWidth="1"/>
    <col min="13574" max="13696" width="11.7109375" style="94" customWidth="1"/>
    <col min="13697" max="13697" width="1.7109375" style="94" customWidth="1"/>
    <col min="13698" max="13699" width="9.140625" style="94" hidden="1" customWidth="1"/>
    <col min="13700" max="13700" width="1.7109375" style="94" customWidth="1"/>
    <col min="13701" max="13798" width="9.140625" style="94" hidden="1"/>
    <col min="13799" max="13801" width="9.140625" style="94" customWidth="1"/>
    <col min="13802" max="13802" width="11.140625" style="94" customWidth="1"/>
    <col min="13803" max="13803" width="9.140625" style="94" customWidth="1"/>
    <col min="13804" max="13804" width="9.28515625" style="94" customWidth="1"/>
    <col min="13805" max="13805" width="10.85546875" style="94" customWidth="1"/>
    <col min="13806" max="13825" width="9.140625" style="94" hidden="1" customWidth="1"/>
    <col min="13826" max="13826" width="7.28515625" style="94" customWidth="1"/>
    <col min="13827" max="13828" width="9.140625" style="94" customWidth="1"/>
    <col min="13829" max="13829" width="12" style="94" customWidth="1"/>
    <col min="13830" max="13952" width="11.7109375" style="94" customWidth="1"/>
    <col min="13953" max="13953" width="1.7109375" style="94" customWidth="1"/>
    <col min="13954" max="13955" width="9.140625" style="94" hidden="1" customWidth="1"/>
    <col min="13956" max="13956" width="1.7109375" style="94" customWidth="1"/>
    <col min="13957" max="14054" width="9.140625" style="94" hidden="1"/>
    <col min="14055" max="14057" width="9.140625" style="94" customWidth="1"/>
    <col min="14058" max="14058" width="11.140625" style="94" customWidth="1"/>
    <col min="14059" max="14059" width="9.140625" style="94" customWidth="1"/>
    <col min="14060" max="14060" width="9.28515625" style="94" customWidth="1"/>
    <col min="14061" max="14061" width="10.85546875" style="94" customWidth="1"/>
    <col min="14062" max="14081" width="9.140625" style="94" hidden="1" customWidth="1"/>
    <col min="14082" max="14082" width="7.28515625" style="94" customWidth="1"/>
    <col min="14083" max="14084" width="9.140625" style="94" customWidth="1"/>
    <col min="14085" max="14085" width="12" style="94" customWidth="1"/>
    <col min="14086" max="14208" width="11.7109375" style="94" customWidth="1"/>
    <col min="14209" max="14209" width="1.7109375" style="94" customWidth="1"/>
    <col min="14210" max="14211" width="9.140625" style="94" hidden="1" customWidth="1"/>
    <col min="14212" max="14212" width="1.7109375" style="94" customWidth="1"/>
    <col min="14213" max="14310" width="9.140625" style="94" hidden="1"/>
    <col min="14311" max="14313" width="9.140625" style="94" customWidth="1"/>
    <col min="14314" max="14314" width="11.140625" style="94" customWidth="1"/>
    <col min="14315" max="14315" width="9.140625" style="94" customWidth="1"/>
    <col min="14316" max="14316" width="9.28515625" style="94" customWidth="1"/>
    <col min="14317" max="14317" width="10.85546875" style="94" customWidth="1"/>
    <col min="14318" max="14337" width="9.140625" style="94" hidden="1" customWidth="1"/>
    <col min="14338" max="14338" width="7.28515625" style="94" customWidth="1"/>
    <col min="14339" max="14340" width="9.140625" style="94" customWidth="1"/>
    <col min="14341" max="14341" width="12" style="94" customWidth="1"/>
    <col min="14342" max="14464" width="11.7109375" style="94" customWidth="1"/>
    <col min="14465" max="14465" width="1.7109375" style="94" customWidth="1"/>
    <col min="14466" max="14467" width="9.140625" style="94" hidden="1" customWidth="1"/>
    <col min="14468" max="14468" width="1.7109375" style="94" customWidth="1"/>
    <col min="14469" max="14566" width="9.140625" style="94" hidden="1"/>
    <col min="14567" max="14569" width="9.140625" style="94" customWidth="1"/>
    <col min="14570" max="14570" width="11.140625" style="94" customWidth="1"/>
    <col min="14571" max="14571" width="9.140625" style="94" customWidth="1"/>
    <col min="14572" max="14572" width="9.28515625" style="94" customWidth="1"/>
    <col min="14573" max="14573" width="10.85546875" style="94" customWidth="1"/>
    <col min="14574" max="14593" width="9.140625" style="94" hidden="1" customWidth="1"/>
    <col min="14594" max="14594" width="7.28515625" style="94" customWidth="1"/>
    <col min="14595" max="14596" width="9.140625" style="94" customWidth="1"/>
    <col min="14597" max="14597" width="12" style="94" customWidth="1"/>
    <col min="14598" max="14720" width="11.7109375" style="94" customWidth="1"/>
    <col min="14721" max="14721" width="1.7109375" style="94" customWidth="1"/>
    <col min="14722" max="14723" width="9.140625" style="94" hidden="1" customWidth="1"/>
    <col min="14724" max="14724" width="1.7109375" style="94" customWidth="1"/>
    <col min="14725" max="14822" width="9.140625" style="94" hidden="1"/>
    <col min="14823" max="14825" width="9.140625" style="94" customWidth="1"/>
    <col min="14826" max="14826" width="11.140625" style="94" customWidth="1"/>
    <col min="14827" max="14827" width="9.140625" style="94" customWidth="1"/>
    <col min="14828" max="14828" width="9.28515625" style="94" customWidth="1"/>
    <col min="14829" max="14829" width="10.85546875" style="94" customWidth="1"/>
    <col min="14830" max="14849" width="9.140625" style="94" hidden="1" customWidth="1"/>
    <col min="14850" max="14850" width="7.28515625" style="94" customWidth="1"/>
    <col min="14851" max="14852" width="9.140625" style="94" customWidth="1"/>
    <col min="14853" max="14853" width="12" style="94" customWidth="1"/>
    <col min="14854" max="14976" width="11.7109375" style="94" customWidth="1"/>
    <col min="14977" max="14977" width="1.7109375" style="94" customWidth="1"/>
    <col min="14978" max="14979" width="9.140625" style="94" hidden="1" customWidth="1"/>
    <col min="14980" max="14980" width="1.7109375" style="94" customWidth="1"/>
    <col min="14981" max="15078" width="9.140625" style="94" hidden="1"/>
    <col min="15079" max="15081" width="9.140625" style="94" customWidth="1"/>
    <col min="15082" max="15082" width="11.140625" style="94" customWidth="1"/>
    <col min="15083" max="15083" width="9.140625" style="94" customWidth="1"/>
    <col min="15084" max="15084" width="9.28515625" style="94" customWidth="1"/>
    <col min="15085" max="15085" width="10.85546875" style="94" customWidth="1"/>
    <col min="15086" max="15105" width="9.140625" style="94" hidden="1" customWidth="1"/>
    <col min="15106" max="15106" width="7.28515625" style="94" customWidth="1"/>
    <col min="15107" max="15108" width="9.140625" style="94" customWidth="1"/>
    <col min="15109" max="15109" width="12" style="94" customWidth="1"/>
    <col min="15110" max="15232" width="11.7109375" style="94" customWidth="1"/>
    <col min="15233" max="15233" width="1.7109375" style="94" customWidth="1"/>
    <col min="15234" max="15235" width="9.140625" style="94" hidden="1" customWidth="1"/>
    <col min="15236" max="15236" width="1.7109375" style="94" customWidth="1"/>
    <col min="15237" max="15334" width="9.140625" style="94" hidden="1"/>
    <col min="15335" max="15337" width="9.140625" style="94" customWidth="1"/>
    <col min="15338" max="15338" width="11.140625" style="94" customWidth="1"/>
    <col min="15339" max="15339" width="9.140625" style="94" customWidth="1"/>
    <col min="15340" max="15340" width="9.28515625" style="94" customWidth="1"/>
    <col min="15341" max="15341" width="10.85546875" style="94" customWidth="1"/>
    <col min="15342" max="15361" width="9.140625" style="94" hidden="1" customWidth="1"/>
    <col min="15362" max="15362" width="7.28515625" style="94" customWidth="1"/>
    <col min="15363" max="15364" width="9.140625" style="94" customWidth="1"/>
    <col min="15365" max="15365" width="12" style="94" customWidth="1"/>
    <col min="15366" max="15488" width="11.7109375" style="94" customWidth="1"/>
    <col min="15489" max="15489" width="1.7109375" style="94" customWidth="1"/>
    <col min="15490" max="15491" width="9.140625" style="94" hidden="1" customWidth="1"/>
    <col min="15492" max="15492" width="1.7109375" style="94" customWidth="1"/>
    <col min="15493" max="15590" width="9.140625" style="94" hidden="1"/>
    <col min="15591" max="15593" width="9.140625" style="94" customWidth="1"/>
    <col min="15594" max="15594" width="11.140625" style="94" customWidth="1"/>
    <col min="15595" max="15595" width="9.140625" style="94" customWidth="1"/>
    <col min="15596" max="15596" width="9.28515625" style="94" customWidth="1"/>
    <col min="15597" max="15597" width="10.85546875" style="94" customWidth="1"/>
    <col min="15598" max="15617" width="9.140625" style="94" hidden="1" customWidth="1"/>
    <col min="15618" max="15618" width="7.28515625" style="94" customWidth="1"/>
    <col min="15619" max="15620" width="9.140625" style="94" customWidth="1"/>
    <col min="15621" max="15621" width="12" style="94" customWidth="1"/>
    <col min="15622" max="15744" width="11.7109375" style="94" customWidth="1"/>
    <col min="15745" max="15745" width="1.7109375" style="94" customWidth="1"/>
    <col min="15746" max="15747" width="9.140625" style="94" hidden="1" customWidth="1"/>
    <col min="15748" max="15748" width="1.7109375" style="94" customWidth="1"/>
    <col min="15749" max="15846" width="9.140625" style="94" hidden="1"/>
    <col min="15847" max="15849" width="9.140625" style="94" customWidth="1"/>
    <col min="15850" max="15850" width="11.140625" style="94" customWidth="1"/>
    <col min="15851" max="15851" width="9.140625" style="94" customWidth="1"/>
    <col min="15852" max="15852" width="9.28515625" style="94" customWidth="1"/>
    <col min="15853" max="15853" width="10.85546875" style="94" customWidth="1"/>
    <col min="15854" max="15873" width="9.140625" style="94" hidden="1" customWidth="1"/>
    <col min="15874" max="15874" width="7.28515625" style="94" customWidth="1"/>
    <col min="15875" max="15876" width="9.140625" style="94" customWidth="1"/>
    <col min="15877" max="15877" width="12" style="94" customWidth="1"/>
    <col min="15878" max="16000" width="11.7109375" style="94" customWidth="1"/>
    <col min="16001" max="16001" width="1.7109375" style="94" customWidth="1"/>
    <col min="16002" max="16003" width="9.140625" style="94" hidden="1" customWidth="1"/>
    <col min="16004" max="16004" width="1.7109375" style="94" customWidth="1"/>
    <col min="16005" max="16102" width="9.140625" style="94" hidden="1"/>
    <col min="16103" max="16105" width="9.140625" style="94" customWidth="1"/>
    <col min="16106" max="16106" width="11.140625" style="94" customWidth="1"/>
    <col min="16107" max="16107" width="9.140625" style="94" customWidth="1"/>
    <col min="16108" max="16108" width="9.28515625" style="94" customWidth="1"/>
    <col min="16109" max="16109" width="10.85546875" style="94" customWidth="1"/>
    <col min="16110" max="16129" width="9.140625" style="94" hidden="1" customWidth="1"/>
    <col min="16130" max="16130" width="7.28515625" style="94" customWidth="1"/>
    <col min="16131" max="16132" width="9.140625" style="94" customWidth="1"/>
    <col min="16133" max="16133" width="12" style="94" customWidth="1"/>
    <col min="16134" max="16256" width="11.7109375" style="94" customWidth="1"/>
    <col min="16257" max="16257" width="1.7109375" style="94" customWidth="1"/>
    <col min="16258" max="16259" width="9.140625" style="94" hidden="1" customWidth="1"/>
    <col min="16260" max="16260" width="1.7109375" style="94" customWidth="1"/>
    <col min="16261" max="16384" width="9.140625" style="94" hidden="1"/>
  </cols>
  <sheetData>
    <row r="1" spans="1:132" s="179" customFormat="1">
      <c r="A1" s="83" t="s">
        <v>206</v>
      </c>
      <c r="B1" s="23"/>
      <c r="C1" s="83"/>
      <c r="D1" s="83"/>
      <c r="E1" s="178">
        <f>IF(OR(([2]Constants!D508+PLA7C)&gt;0,SUM(DY:EB)&gt;ErrTol),1,0)</f>
        <v>0</v>
      </c>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row>
    <row r="2" spans="1:132" ht="15.75">
      <c r="A2" s="25" t="s">
        <v>355</v>
      </c>
      <c r="B2" s="85"/>
      <c r="C2" s="180"/>
      <c r="D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88"/>
      <c r="EB2" s="88"/>
    </row>
    <row r="3" spans="1:132">
      <c r="A3" s="181"/>
      <c r="B3" s="180"/>
      <c r="C3" s="180"/>
      <c r="D3" s="180"/>
      <c r="F3" s="180"/>
      <c r="G3" s="180"/>
      <c r="H3" s="180"/>
      <c r="I3" s="180"/>
      <c r="J3" s="180"/>
      <c r="K3" s="180"/>
      <c r="L3" s="180"/>
      <c r="M3" s="180"/>
      <c r="N3" s="180"/>
      <c r="O3" s="180"/>
      <c r="P3" s="180"/>
      <c r="Q3" s="210">
        <v>41944</v>
      </c>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88"/>
      <c r="EB3" s="88"/>
    </row>
    <row r="4" spans="1:132">
      <c r="A4" s="180"/>
      <c r="B4" s="180"/>
      <c r="C4" s="180"/>
      <c r="D4" s="180"/>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c r="BM4" s="180"/>
      <c r="BN4" s="180"/>
      <c r="BO4" s="180"/>
      <c r="BP4" s="180"/>
      <c r="BQ4" s="180"/>
      <c r="BR4" s="180"/>
      <c r="BS4" s="180"/>
      <c r="BT4" s="180"/>
      <c r="BU4" s="180"/>
      <c r="BV4" s="180"/>
      <c r="BW4" s="180"/>
      <c r="BX4" s="180"/>
      <c r="BY4" s="180"/>
      <c r="BZ4" s="180"/>
      <c r="CA4" s="180"/>
      <c r="CB4" s="180"/>
      <c r="CC4" s="180"/>
      <c r="CD4" s="180"/>
      <c r="CE4" s="180"/>
      <c r="CF4" s="180"/>
      <c r="CG4" s="180"/>
      <c r="CH4" s="180"/>
      <c r="CI4" s="180"/>
      <c r="CJ4" s="180"/>
      <c r="CK4" s="180"/>
      <c r="CL4" s="180"/>
      <c r="CM4" s="180"/>
      <c r="CN4" s="180"/>
      <c r="CO4" s="180"/>
      <c r="CP4" s="180"/>
      <c r="CQ4" s="180"/>
      <c r="CR4" s="180"/>
      <c r="CS4" s="180"/>
      <c r="CT4" s="180"/>
      <c r="CU4" s="180"/>
      <c r="CV4" s="180"/>
      <c r="CW4" s="180"/>
      <c r="CX4" s="180"/>
      <c r="CY4" s="180"/>
      <c r="CZ4" s="180"/>
      <c r="DA4" s="180"/>
      <c r="DB4" s="180"/>
      <c r="DC4" s="180"/>
      <c r="DD4" s="180"/>
      <c r="DE4" s="180"/>
      <c r="DF4" s="180"/>
      <c r="DG4" s="180"/>
      <c r="DH4" s="180"/>
      <c r="DI4" s="180"/>
      <c r="DJ4" s="180"/>
      <c r="DK4" s="180"/>
      <c r="DL4" s="180"/>
      <c r="DM4" s="180"/>
      <c r="DN4" s="180"/>
      <c r="DO4" s="180"/>
      <c r="DP4" s="180"/>
      <c r="DQ4" s="180"/>
      <c r="DR4" s="180"/>
      <c r="DS4" s="180"/>
      <c r="DT4" s="180"/>
      <c r="DU4" s="180"/>
      <c r="DV4" s="180"/>
      <c r="DW4" s="180"/>
      <c r="DX4" s="180"/>
      <c r="DY4" s="88"/>
      <c r="EB4" s="88"/>
    </row>
    <row r="5" spans="1:132" s="179" customFormat="1" collapsed="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row>
    <row r="6" spans="1:132" s="189" customFormat="1" hidden="1" outlineLevel="1">
      <c r="A6" s="180" t="s">
        <v>388</v>
      </c>
      <c r="B6" s="180"/>
      <c r="C6" s="180"/>
      <c r="D6" s="187">
        <f>PreContractPeriodDurationIn</f>
        <v>3</v>
      </c>
      <c r="E6" s="188"/>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88"/>
      <c r="EB6" s="88"/>
    </row>
    <row r="7" spans="1:132" s="189" customFormat="1" hidden="1" outlineLevel="1">
      <c r="A7" s="180" t="s">
        <v>389</v>
      </c>
      <c r="B7" s="180"/>
      <c r="C7" s="180"/>
      <c r="D7" s="180"/>
      <c r="E7" s="180"/>
      <c r="F7" s="190" t="s">
        <v>142</v>
      </c>
      <c r="G7" s="190" t="s">
        <v>143</v>
      </c>
      <c r="H7" s="190" t="s">
        <v>144</v>
      </c>
      <c r="I7" s="190" t="s">
        <v>145</v>
      </c>
      <c r="J7" s="190" t="s">
        <v>146</v>
      </c>
      <c r="K7" s="190" t="s">
        <v>147</v>
      </c>
      <c r="L7" s="190" t="s">
        <v>148</v>
      </c>
      <c r="M7" s="190" t="s">
        <v>149</v>
      </c>
      <c r="N7" s="190" t="s">
        <v>150</v>
      </c>
      <c r="O7" s="190" t="s">
        <v>151</v>
      </c>
      <c r="P7" s="190" t="s">
        <v>152</v>
      </c>
      <c r="Q7" s="190" t="s">
        <v>153</v>
      </c>
      <c r="R7" s="191" t="s">
        <v>390</v>
      </c>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92"/>
      <c r="CU7" s="192"/>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80"/>
      <c r="DY7" s="88"/>
      <c r="EB7" s="88"/>
    </row>
    <row r="8" spans="1:132">
      <c r="A8" s="185"/>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2"/>
      <c r="EB8" s="182"/>
    </row>
    <row r="9" spans="1:132" s="179" customFormat="1" ht="15">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184"/>
      <c r="EA9" s="183"/>
      <c r="EB9" s="184"/>
    </row>
    <row r="10" spans="1:132" outlineLevel="1">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6"/>
      <c r="EB10" s="186"/>
    </row>
    <row r="11" spans="1:132" outlineLevel="1">
      <c r="A11" s="91" t="s">
        <v>155</v>
      </c>
      <c r="C11" s="180"/>
      <c r="D11" s="180"/>
      <c r="E11" s="180"/>
      <c r="F11" s="196">
        <f>Q3</f>
        <v>41944</v>
      </c>
      <c r="G11" s="197">
        <f t="shared" ref="G11:BR11" si="0">F12+1</f>
        <v>41974</v>
      </c>
      <c r="H11" s="198">
        <f t="shared" si="0"/>
        <v>42005</v>
      </c>
      <c r="I11" s="198">
        <f t="shared" si="0"/>
        <v>42036</v>
      </c>
      <c r="J11" s="198">
        <f t="shared" si="0"/>
        <v>42064</v>
      </c>
      <c r="K11" s="198">
        <f t="shared" si="0"/>
        <v>42095</v>
      </c>
      <c r="L11" s="198">
        <f t="shared" si="0"/>
        <v>42125</v>
      </c>
      <c r="M11" s="198">
        <f t="shared" si="0"/>
        <v>42156</v>
      </c>
      <c r="N11" s="198">
        <f t="shared" si="0"/>
        <v>42186</v>
      </c>
      <c r="O11" s="198">
        <f t="shared" si="0"/>
        <v>42217</v>
      </c>
      <c r="P11" s="198">
        <f t="shared" si="0"/>
        <v>42248</v>
      </c>
      <c r="Q11" s="198">
        <f t="shared" si="0"/>
        <v>42278</v>
      </c>
      <c r="R11" s="198">
        <f t="shared" si="0"/>
        <v>42309</v>
      </c>
      <c r="S11" s="198">
        <f t="shared" si="0"/>
        <v>42339</v>
      </c>
      <c r="T11" s="198">
        <f t="shared" si="0"/>
        <v>42370</v>
      </c>
      <c r="U11" s="198">
        <f t="shared" si="0"/>
        <v>42401</v>
      </c>
      <c r="V11" s="198">
        <f t="shared" si="0"/>
        <v>42430</v>
      </c>
      <c r="W11" s="198">
        <f t="shared" si="0"/>
        <v>42461</v>
      </c>
      <c r="X11" s="198">
        <f t="shared" si="0"/>
        <v>42491</v>
      </c>
      <c r="Y11" s="198">
        <f t="shared" si="0"/>
        <v>42522</v>
      </c>
      <c r="Z11" s="198">
        <f t="shared" si="0"/>
        <v>42552</v>
      </c>
      <c r="AA11" s="198">
        <f t="shared" si="0"/>
        <v>42583</v>
      </c>
      <c r="AB11" s="198">
        <f t="shared" si="0"/>
        <v>42614</v>
      </c>
      <c r="AC11" s="198">
        <f t="shared" si="0"/>
        <v>42644</v>
      </c>
      <c r="AD11" s="198">
        <f t="shared" si="0"/>
        <v>42675</v>
      </c>
      <c r="AE11" s="198">
        <f t="shared" si="0"/>
        <v>42705</v>
      </c>
      <c r="AF11" s="198">
        <f t="shared" si="0"/>
        <v>42736</v>
      </c>
      <c r="AG11" s="198">
        <f t="shared" si="0"/>
        <v>42767</v>
      </c>
      <c r="AH11" s="198">
        <f t="shared" si="0"/>
        <v>42795</v>
      </c>
      <c r="AI11" s="198">
        <f t="shared" si="0"/>
        <v>42826</v>
      </c>
      <c r="AJ11" s="198">
        <f t="shared" si="0"/>
        <v>42856</v>
      </c>
      <c r="AK11" s="198">
        <f t="shared" si="0"/>
        <v>42887</v>
      </c>
      <c r="AL11" s="198">
        <f t="shared" si="0"/>
        <v>42917</v>
      </c>
      <c r="AM11" s="198">
        <f t="shared" si="0"/>
        <v>42948</v>
      </c>
      <c r="AN11" s="198">
        <f t="shared" si="0"/>
        <v>42979</v>
      </c>
      <c r="AO11" s="198">
        <f t="shared" si="0"/>
        <v>43009</v>
      </c>
      <c r="AP11" s="198">
        <f t="shared" si="0"/>
        <v>43040</v>
      </c>
      <c r="AQ11" s="198">
        <f t="shared" si="0"/>
        <v>43070</v>
      </c>
      <c r="AR11" s="198">
        <f t="shared" si="0"/>
        <v>43101</v>
      </c>
      <c r="AS11" s="198">
        <f t="shared" si="0"/>
        <v>43132</v>
      </c>
      <c r="AT11" s="198">
        <f t="shared" si="0"/>
        <v>43160</v>
      </c>
      <c r="AU11" s="198">
        <f t="shared" si="0"/>
        <v>43191</v>
      </c>
      <c r="AV11" s="198">
        <f t="shared" si="0"/>
        <v>43221</v>
      </c>
      <c r="AW11" s="198">
        <f t="shared" si="0"/>
        <v>43252</v>
      </c>
      <c r="AX11" s="198">
        <f t="shared" si="0"/>
        <v>43282</v>
      </c>
      <c r="AY11" s="198">
        <f t="shared" si="0"/>
        <v>43313</v>
      </c>
      <c r="AZ11" s="198">
        <f t="shared" si="0"/>
        <v>43344</v>
      </c>
      <c r="BA11" s="198">
        <f t="shared" si="0"/>
        <v>43374</v>
      </c>
      <c r="BB11" s="198">
        <f t="shared" si="0"/>
        <v>43405</v>
      </c>
      <c r="BC11" s="198">
        <f t="shared" si="0"/>
        <v>43435</v>
      </c>
      <c r="BD11" s="198">
        <f t="shared" si="0"/>
        <v>43466</v>
      </c>
      <c r="BE11" s="198">
        <f t="shared" si="0"/>
        <v>43497</v>
      </c>
      <c r="BF11" s="198">
        <f t="shared" si="0"/>
        <v>43525</v>
      </c>
      <c r="BG11" s="198">
        <f t="shared" si="0"/>
        <v>43556</v>
      </c>
      <c r="BH11" s="198">
        <f t="shared" si="0"/>
        <v>43586</v>
      </c>
      <c r="BI11" s="198">
        <f t="shared" si="0"/>
        <v>43617</v>
      </c>
      <c r="BJ11" s="198">
        <f t="shared" si="0"/>
        <v>43647</v>
      </c>
      <c r="BK11" s="198">
        <f t="shared" si="0"/>
        <v>43678</v>
      </c>
      <c r="BL11" s="198">
        <f t="shared" si="0"/>
        <v>43709</v>
      </c>
      <c r="BM11" s="198">
        <f t="shared" si="0"/>
        <v>43739</v>
      </c>
      <c r="BN11" s="198">
        <f t="shared" si="0"/>
        <v>43770</v>
      </c>
      <c r="BO11" s="198">
        <f t="shared" si="0"/>
        <v>43800</v>
      </c>
      <c r="BP11" s="198">
        <f t="shared" si="0"/>
        <v>43831</v>
      </c>
      <c r="BQ11" s="198">
        <f t="shared" si="0"/>
        <v>43862</v>
      </c>
      <c r="BR11" s="198">
        <f t="shared" si="0"/>
        <v>43891</v>
      </c>
      <c r="BS11" s="198">
        <f t="shared" ref="BS11:DX11" si="1">BR12+1</f>
        <v>43922</v>
      </c>
      <c r="BT11" s="198">
        <f t="shared" si="1"/>
        <v>43952</v>
      </c>
      <c r="BU11" s="198">
        <f t="shared" si="1"/>
        <v>43983</v>
      </c>
      <c r="BV11" s="198">
        <f t="shared" si="1"/>
        <v>44013</v>
      </c>
      <c r="BW11" s="198">
        <f t="shared" si="1"/>
        <v>44044</v>
      </c>
      <c r="BX11" s="198">
        <f t="shared" si="1"/>
        <v>44075</v>
      </c>
      <c r="BY11" s="198">
        <f t="shared" si="1"/>
        <v>44105</v>
      </c>
      <c r="BZ11" s="198">
        <f t="shared" si="1"/>
        <v>44136</v>
      </c>
      <c r="CA11" s="198">
        <f t="shared" si="1"/>
        <v>44166</v>
      </c>
      <c r="CB11" s="198">
        <f t="shared" si="1"/>
        <v>44197</v>
      </c>
      <c r="CC11" s="198">
        <f t="shared" si="1"/>
        <v>44228</v>
      </c>
      <c r="CD11" s="198">
        <f t="shared" si="1"/>
        <v>44256</v>
      </c>
      <c r="CE11" s="198">
        <f t="shared" si="1"/>
        <v>44287</v>
      </c>
      <c r="CF11" s="198">
        <f t="shared" si="1"/>
        <v>44317</v>
      </c>
      <c r="CG11" s="198">
        <f t="shared" si="1"/>
        <v>44348</v>
      </c>
      <c r="CH11" s="198">
        <f t="shared" si="1"/>
        <v>44378</v>
      </c>
      <c r="CI11" s="198">
        <f t="shared" si="1"/>
        <v>44409</v>
      </c>
      <c r="CJ11" s="198">
        <f t="shared" si="1"/>
        <v>44440</v>
      </c>
      <c r="CK11" s="198">
        <f t="shared" si="1"/>
        <v>44470</v>
      </c>
      <c r="CL11" s="198">
        <f t="shared" si="1"/>
        <v>44501</v>
      </c>
      <c r="CM11" s="198">
        <f t="shared" si="1"/>
        <v>44531</v>
      </c>
      <c r="CN11" s="198">
        <f t="shared" si="1"/>
        <v>44562</v>
      </c>
      <c r="CO11" s="198">
        <f t="shared" si="1"/>
        <v>44593</v>
      </c>
      <c r="CP11" s="198">
        <f t="shared" si="1"/>
        <v>44621</v>
      </c>
      <c r="CQ11" s="198">
        <f t="shared" si="1"/>
        <v>44652</v>
      </c>
      <c r="CR11" s="198">
        <f t="shared" si="1"/>
        <v>44682</v>
      </c>
      <c r="CS11" s="198">
        <f t="shared" si="1"/>
        <v>44713</v>
      </c>
      <c r="CT11" s="198">
        <f t="shared" si="1"/>
        <v>44743</v>
      </c>
      <c r="CU11" s="198">
        <f t="shared" si="1"/>
        <v>44774</v>
      </c>
      <c r="CV11" s="198">
        <f t="shared" si="1"/>
        <v>44805</v>
      </c>
      <c r="CW11" s="198">
        <f t="shared" si="1"/>
        <v>44835</v>
      </c>
      <c r="CX11" s="198">
        <f t="shared" si="1"/>
        <v>44866</v>
      </c>
      <c r="CY11" s="198">
        <f t="shared" si="1"/>
        <v>44896</v>
      </c>
      <c r="CZ11" s="198">
        <f t="shared" si="1"/>
        <v>44927</v>
      </c>
      <c r="DA11" s="198">
        <f t="shared" si="1"/>
        <v>44958</v>
      </c>
      <c r="DB11" s="198">
        <f t="shared" si="1"/>
        <v>44986</v>
      </c>
      <c r="DC11" s="198">
        <f t="shared" si="1"/>
        <v>45017</v>
      </c>
      <c r="DD11" s="198">
        <f t="shared" si="1"/>
        <v>45047</v>
      </c>
      <c r="DE11" s="198">
        <f t="shared" si="1"/>
        <v>45078</v>
      </c>
      <c r="DF11" s="198">
        <f t="shared" si="1"/>
        <v>45108</v>
      </c>
      <c r="DG11" s="198">
        <f t="shared" si="1"/>
        <v>45139</v>
      </c>
      <c r="DH11" s="198">
        <f t="shared" si="1"/>
        <v>45170</v>
      </c>
      <c r="DI11" s="198">
        <f t="shared" si="1"/>
        <v>45200</v>
      </c>
      <c r="DJ11" s="198">
        <f t="shared" si="1"/>
        <v>45231</v>
      </c>
      <c r="DK11" s="198">
        <f t="shared" si="1"/>
        <v>45261</v>
      </c>
      <c r="DL11" s="198">
        <f t="shared" si="1"/>
        <v>45292</v>
      </c>
      <c r="DM11" s="198">
        <f t="shared" si="1"/>
        <v>45323</v>
      </c>
      <c r="DN11" s="198">
        <f t="shared" si="1"/>
        <v>45352</v>
      </c>
      <c r="DO11" s="198">
        <f t="shared" si="1"/>
        <v>45383</v>
      </c>
      <c r="DP11" s="198">
        <f t="shared" si="1"/>
        <v>45413</v>
      </c>
      <c r="DQ11" s="198">
        <f t="shared" si="1"/>
        <v>45444</v>
      </c>
      <c r="DR11" s="198">
        <f t="shared" si="1"/>
        <v>45474</v>
      </c>
      <c r="DS11" s="198">
        <f t="shared" si="1"/>
        <v>45505</v>
      </c>
      <c r="DT11" s="198">
        <f t="shared" si="1"/>
        <v>45536</v>
      </c>
      <c r="DU11" s="198">
        <f t="shared" si="1"/>
        <v>45566</v>
      </c>
      <c r="DV11" s="198">
        <f t="shared" si="1"/>
        <v>45597</v>
      </c>
      <c r="DW11" s="198">
        <f t="shared" si="1"/>
        <v>45627</v>
      </c>
      <c r="DX11" s="198">
        <f t="shared" si="1"/>
        <v>45658</v>
      </c>
      <c r="DY11" s="88"/>
      <c r="DZ11" s="193" t="s">
        <v>391</v>
      </c>
      <c r="EB11" s="88"/>
    </row>
    <row r="12" spans="1:132" outlineLevel="1">
      <c r="A12" s="91" t="s">
        <v>156</v>
      </c>
      <c r="C12" s="180"/>
      <c r="D12" s="180"/>
      <c r="E12" s="180"/>
      <c r="F12" s="199">
        <f t="shared" ref="F12:BQ12" si="2">DATE(YEAR(F11),MONTH(F11)+1,DAY(F11)-1)</f>
        <v>41973</v>
      </c>
      <c r="G12" s="200">
        <f t="shared" si="2"/>
        <v>42004</v>
      </c>
      <c r="H12" s="200">
        <f t="shared" si="2"/>
        <v>42035</v>
      </c>
      <c r="I12" s="200">
        <f t="shared" si="2"/>
        <v>42063</v>
      </c>
      <c r="J12" s="200">
        <f t="shared" si="2"/>
        <v>42094</v>
      </c>
      <c r="K12" s="200">
        <f t="shared" si="2"/>
        <v>42124</v>
      </c>
      <c r="L12" s="200">
        <f t="shared" si="2"/>
        <v>42155</v>
      </c>
      <c r="M12" s="200">
        <f t="shared" si="2"/>
        <v>42185</v>
      </c>
      <c r="N12" s="200">
        <f t="shared" si="2"/>
        <v>42216</v>
      </c>
      <c r="O12" s="200">
        <f t="shared" si="2"/>
        <v>42247</v>
      </c>
      <c r="P12" s="200">
        <f t="shared" si="2"/>
        <v>42277</v>
      </c>
      <c r="Q12" s="200">
        <f t="shared" si="2"/>
        <v>42308</v>
      </c>
      <c r="R12" s="200">
        <f t="shared" si="2"/>
        <v>42338</v>
      </c>
      <c r="S12" s="200">
        <f t="shared" si="2"/>
        <v>42369</v>
      </c>
      <c r="T12" s="200">
        <f t="shared" si="2"/>
        <v>42400</v>
      </c>
      <c r="U12" s="200">
        <f t="shared" si="2"/>
        <v>42429</v>
      </c>
      <c r="V12" s="200">
        <f t="shared" si="2"/>
        <v>42460</v>
      </c>
      <c r="W12" s="200">
        <f t="shared" si="2"/>
        <v>42490</v>
      </c>
      <c r="X12" s="200">
        <f t="shared" si="2"/>
        <v>42521</v>
      </c>
      <c r="Y12" s="200">
        <f t="shared" si="2"/>
        <v>42551</v>
      </c>
      <c r="Z12" s="200">
        <f t="shared" si="2"/>
        <v>42582</v>
      </c>
      <c r="AA12" s="200">
        <f t="shared" si="2"/>
        <v>42613</v>
      </c>
      <c r="AB12" s="200">
        <f t="shared" si="2"/>
        <v>42643</v>
      </c>
      <c r="AC12" s="200">
        <f t="shared" si="2"/>
        <v>42674</v>
      </c>
      <c r="AD12" s="200">
        <f t="shared" si="2"/>
        <v>42704</v>
      </c>
      <c r="AE12" s="200">
        <f t="shared" si="2"/>
        <v>42735</v>
      </c>
      <c r="AF12" s="200">
        <f t="shared" si="2"/>
        <v>42766</v>
      </c>
      <c r="AG12" s="200">
        <f t="shared" si="2"/>
        <v>42794</v>
      </c>
      <c r="AH12" s="200">
        <f t="shared" si="2"/>
        <v>42825</v>
      </c>
      <c r="AI12" s="200">
        <f t="shared" si="2"/>
        <v>42855</v>
      </c>
      <c r="AJ12" s="200">
        <f t="shared" si="2"/>
        <v>42886</v>
      </c>
      <c r="AK12" s="200">
        <f t="shared" si="2"/>
        <v>42916</v>
      </c>
      <c r="AL12" s="200">
        <f t="shared" si="2"/>
        <v>42947</v>
      </c>
      <c r="AM12" s="200">
        <f t="shared" si="2"/>
        <v>42978</v>
      </c>
      <c r="AN12" s="200">
        <f t="shared" si="2"/>
        <v>43008</v>
      </c>
      <c r="AO12" s="200">
        <f t="shared" si="2"/>
        <v>43039</v>
      </c>
      <c r="AP12" s="200">
        <f t="shared" si="2"/>
        <v>43069</v>
      </c>
      <c r="AQ12" s="200">
        <f t="shared" si="2"/>
        <v>43100</v>
      </c>
      <c r="AR12" s="200">
        <f t="shared" si="2"/>
        <v>43131</v>
      </c>
      <c r="AS12" s="200">
        <f t="shared" si="2"/>
        <v>43159</v>
      </c>
      <c r="AT12" s="200">
        <f t="shared" si="2"/>
        <v>43190</v>
      </c>
      <c r="AU12" s="200">
        <f t="shared" si="2"/>
        <v>43220</v>
      </c>
      <c r="AV12" s="200">
        <f t="shared" si="2"/>
        <v>43251</v>
      </c>
      <c r="AW12" s="200">
        <f t="shared" si="2"/>
        <v>43281</v>
      </c>
      <c r="AX12" s="200">
        <f t="shared" si="2"/>
        <v>43312</v>
      </c>
      <c r="AY12" s="200">
        <f t="shared" si="2"/>
        <v>43343</v>
      </c>
      <c r="AZ12" s="200">
        <f t="shared" si="2"/>
        <v>43373</v>
      </c>
      <c r="BA12" s="200">
        <f t="shared" si="2"/>
        <v>43404</v>
      </c>
      <c r="BB12" s="200">
        <f t="shared" si="2"/>
        <v>43434</v>
      </c>
      <c r="BC12" s="200">
        <f t="shared" si="2"/>
        <v>43465</v>
      </c>
      <c r="BD12" s="200">
        <f t="shared" si="2"/>
        <v>43496</v>
      </c>
      <c r="BE12" s="200">
        <f t="shared" si="2"/>
        <v>43524</v>
      </c>
      <c r="BF12" s="200">
        <f t="shared" si="2"/>
        <v>43555</v>
      </c>
      <c r="BG12" s="200">
        <f t="shared" si="2"/>
        <v>43585</v>
      </c>
      <c r="BH12" s="200">
        <f t="shared" si="2"/>
        <v>43616</v>
      </c>
      <c r="BI12" s="200">
        <f t="shared" si="2"/>
        <v>43646</v>
      </c>
      <c r="BJ12" s="200">
        <f t="shared" si="2"/>
        <v>43677</v>
      </c>
      <c r="BK12" s="200">
        <f t="shared" si="2"/>
        <v>43708</v>
      </c>
      <c r="BL12" s="200">
        <f t="shared" si="2"/>
        <v>43738</v>
      </c>
      <c r="BM12" s="200">
        <f t="shared" si="2"/>
        <v>43769</v>
      </c>
      <c r="BN12" s="200">
        <f t="shared" si="2"/>
        <v>43799</v>
      </c>
      <c r="BO12" s="200">
        <f t="shared" si="2"/>
        <v>43830</v>
      </c>
      <c r="BP12" s="200">
        <f t="shared" si="2"/>
        <v>43861</v>
      </c>
      <c r="BQ12" s="200">
        <f t="shared" si="2"/>
        <v>43890</v>
      </c>
      <c r="BR12" s="200">
        <f t="shared" ref="BR12:DX12" si="3">DATE(YEAR(BR11),MONTH(BR11)+1,DAY(BR11)-1)</f>
        <v>43921</v>
      </c>
      <c r="BS12" s="200">
        <f t="shared" si="3"/>
        <v>43951</v>
      </c>
      <c r="BT12" s="200">
        <f t="shared" si="3"/>
        <v>43982</v>
      </c>
      <c r="BU12" s="200">
        <f t="shared" si="3"/>
        <v>44012</v>
      </c>
      <c r="BV12" s="200">
        <f t="shared" si="3"/>
        <v>44043</v>
      </c>
      <c r="BW12" s="200">
        <f t="shared" si="3"/>
        <v>44074</v>
      </c>
      <c r="BX12" s="200">
        <f t="shared" si="3"/>
        <v>44104</v>
      </c>
      <c r="BY12" s="200">
        <f t="shared" si="3"/>
        <v>44135</v>
      </c>
      <c r="BZ12" s="200">
        <f t="shared" si="3"/>
        <v>44165</v>
      </c>
      <c r="CA12" s="200">
        <f t="shared" si="3"/>
        <v>44196</v>
      </c>
      <c r="CB12" s="200">
        <f t="shared" si="3"/>
        <v>44227</v>
      </c>
      <c r="CC12" s="200">
        <f t="shared" si="3"/>
        <v>44255</v>
      </c>
      <c r="CD12" s="200">
        <f t="shared" si="3"/>
        <v>44286</v>
      </c>
      <c r="CE12" s="200">
        <f t="shared" si="3"/>
        <v>44316</v>
      </c>
      <c r="CF12" s="200">
        <f t="shared" si="3"/>
        <v>44347</v>
      </c>
      <c r="CG12" s="200">
        <f t="shared" si="3"/>
        <v>44377</v>
      </c>
      <c r="CH12" s="200">
        <f t="shared" si="3"/>
        <v>44408</v>
      </c>
      <c r="CI12" s="200">
        <f t="shared" si="3"/>
        <v>44439</v>
      </c>
      <c r="CJ12" s="200">
        <f t="shared" si="3"/>
        <v>44469</v>
      </c>
      <c r="CK12" s="200">
        <f t="shared" si="3"/>
        <v>44500</v>
      </c>
      <c r="CL12" s="200">
        <f t="shared" si="3"/>
        <v>44530</v>
      </c>
      <c r="CM12" s="200">
        <f t="shared" si="3"/>
        <v>44561</v>
      </c>
      <c r="CN12" s="200">
        <f t="shared" si="3"/>
        <v>44592</v>
      </c>
      <c r="CO12" s="200">
        <f t="shared" si="3"/>
        <v>44620</v>
      </c>
      <c r="CP12" s="200">
        <f t="shared" si="3"/>
        <v>44651</v>
      </c>
      <c r="CQ12" s="200">
        <f t="shared" si="3"/>
        <v>44681</v>
      </c>
      <c r="CR12" s="200">
        <f t="shared" si="3"/>
        <v>44712</v>
      </c>
      <c r="CS12" s="200">
        <f t="shared" si="3"/>
        <v>44742</v>
      </c>
      <c r="CT12" s="200">
        <f t="shared" si="3"/>
        <v>44773</v>
      </c>
      <c r="CU12" s="200">
        <f t="shared" si="3"/>
        <v>44804</v>
      </c>
      <c r="CV12" s="200">
        <f t="shared" si="3"/>
        <v>44834</v>
      </c>
      <c r="CW12" s="200">
        <f t="shared" si="3"/>
        <v>44865</v>
      </c>
      <c r="CX12" s="200">
        <f t="shared" si="3"/>
        <v>44895</v>
      </c>
      <c r="CY12" s="200">
        <f t="shared" si="3"/>
        <v>44926</v>
      </c>
      <c r="CZ12" s="200">
        <f t="shared" si="3"/>
        <v>44957</v>
      </c>
      <c r="DA12" s="200">
        <f t="shared" si="3"/>
        <v>44985</v>
      </c>
      <c r="DB12" s="200">
        <f t="shared" si="3"/>
        <v>45016</v>
      </c>
      <c r="DC12" s="200">
        <f t="shared" si="3"/>
        <v>45046</v>
      </c>
      <c r="DD12" s="200">
        <f t="shared" si="3"/>
        <v>45077</v>
      </c>
      <c r="DE12" s="200">
        <f t="shared" si="3"/>
        <v>45107</v>
      </c>
      <c r="DF12" s="200">
        <f t="shared" si="3"/>
        <v>45138</v>
      </c>
      <c r="DG12" s="200">
        <f t="shared" si="3"/>
        <v>45169</v>
      </c>
      <c r="DH12" s="200">
        <f t="shared" si="3"/>
        <v>45199</v>
      </c>
      <c r="DI12" s="200">
        <f t="shared" si="3"/>
        <v>45230</v>
      </c>
      <c r="DJ12" s="200">
        <f t="shared" si="3"/>
        <v>45260</v>
      </c>
      <c r="DK12" s="200">
        <f t="shared" si="3"/>
        <v>45291</v>
      </c>
      <c r="DL12" s="200">
        <f t="shared" si="3"/>
        <v>45322</v>
      </c>
      <c r="DM12" s="200">
        <f t="shared" si="3"/>
        <v>45351</v>
      </c>
      <c r="DN12" s="200">
        <f t="shared" si="3"/>
        <v>45382</v>
      </c>
      <c r="DO12" s="200">
        <f t="shared" si="3"/>
        <v>45412</v>
      </c>
      <c r="DP12" s="200">
        <f t="shared" si="3"/>
        <v>45443</v>
      </c>
      <c r="DQ12" s="200">
        <f t="shared" si="3"/>
        <v>45473</v>
      </c>
      <c r="DR12" s="200">
        <f t="shared" si="3"/>
        <v>45504</v>
      </c>
      <c r="DS12" s="200">
        <f t="shared" si="3"/>
        <v>45535</v>
      </c>
      <c r="DT12" s="200">
        <f t="shared" si="3"/>
        <v>45565</v>
      </c>
      <c r="DU12" s="200">
        <f t="shared" si="3"/>
        <v>45596</v>
      </c>
      <c r="DV12" s="200">
        <f t="shared" si="3"/>
        <v>45626</v>
      </c>
      <c r="DW12" s="200">
        <f t="shared" si="3"/>
        <v>45657</v>
      </c>
      <c r="DX12" s="200">
        <f t="shared" si="3"/>
        <v>45688</v>
      </c>
      <c r="DY12" s="88"/>
      <c r="DZ12" s="193" t="s">
        <v>392</v>
      </c>
      <c r="EB12" s="88"/>
    </row>
    <row r="13" spans="1:132" outlineLevel="1">
      <c r="A13" s="91" t="s">
        <v>157</v>
      </c>
      <c r="C13" s="180"/>
      <c r="D13" s="180"/>
      <c r="E13" s="180"/>
      <c r="F13" s="201">
        <v>1</v>
      </c>
      <c r="G13" s="202">
        <f t="shared" ref="G13:BR13" si="4">F13+1</f>
        <v>2</v>
      </c>
      <c r="H13" s="203">
        <f t="shared" si="4"/>
        <v>3</v>
      </c>
      <c r="I13" s="203">
        <f t="shared" si="4"/>
        <v>4</v>
      </c>
      <c r="J13" s="203">
        <f t="shared" si="4"/>
        <v>5</v>
      </c>
      <c r="K13" s="203">
        <f t="shared" si="4"/>
        <v>6</v>
      </c>
      <c r="L13" s="203">
        <f t="shared" si="4"/>
        <v>7</v>
      </c>
      <c r="M13" s="203">
        <f t="shared" si="4"/>
        <v>8</v>
      </c>
      <c r="N13" s="203">
        <f t="shared" si="4"/>
        <v>9</v>
      </c>
      <c r="O13" s="203">
        <f t="shared" si="4"/>
        <v>10</v>
      </c>
      <c r="P13" s="203">
        <f t="shared" si="4"/>
        <v>11</v>
      </c>
      <c r="Q13" s="203">
        <f t="shared" si="4"/>
        <v>12</v>
      </c>
      <c r="R13" s="203">
        <f t="shared" si="4"/>
        <v>13</v>
      </c>
      <c r="S13" s="203">
        <f t="shared" si="4"/>
        <v>14</v>
      </c>
      <c r="T13" s="203">
        <f t="shared" si="4"/>
        <v>15</v>
      </c>
      <c r="U13" s="203">
        <f t="shared" si="4"/>
        <v>16</v>
      </c>
      <c r="V13" s="203">
        <f t="shared" si="4"/>
        <v>17</v>
      </c>
      <c r="W13" s="203">
        <f t="shared" si="4"/>
        <v>18</v>
      </c>
      <c r="X13" s="203">
        <f t="shared" si="4"/>
        <v>19</v>
      </c>
      <c r="Y13" s="203">
        <f t="shared" si="4"/>
        <v>20</v>
      </c>
      <c r="Z13" s="203">
        <f t="shared" si="4"/>
        <v>21</v>
      </c>
      <c r="AA13" s="203">
        <f t="shared" si="4"/>
        <v>22</v>
      </c>
      <c r="AB13" s="203">
        <f t="shared" si="4"/>
        <v>23</v>
      </c>
      <c r="AC13" s="203">
        <f t="shared" si="4"/>
        <v>24</v>
      </c>
      <c r="AD13" s="203">
        <f t="shared" si="4"/>
        <v>25</v>
      </c>
      <c r="AE13" s="203">
        <f t="shared" si="4"/>
        <v>26</v>
      </c>
      <c r="AF13" s="203">
        <f t="shared" si="4"/>
        <v>27</v>
      </c>
      <c r="AG13" s="203">
        <f t="shared" si="4"/>
        <v>28</v>
      </c>
      <c r="AH13" s="203">
        <f t="shared" si="4"/>
        <v>29</v>
      </c>
      <c r="AI13" s="203">
        <f t="shared" si="4"/>
        <v>30</v>
      </c>
      <c r="AJ13" s="203">
        <f t="shared" si="4"/>
        <v>31</v>
      </c>
      <c r="AK13" s="203">
        <f t="shared" si="4"/>
        <v>32</v>
      </c>
      <c r="AL13" s="203">
        <f t="shared" si="4"/>
        <v>33</v>
      </c>
      <c r="AM13" s="203">
        <f t="shared" si="4"/>
        <v>34</v>
      </c>
      <c r="AN13" s="203">
        <f t="shared" si="4"/>
        <v>35</v>
      </c>
      <c r="AO13" s="203">
        <f t="shared" si="4"/>
        <v>36</v>
      </c>
      <c r="AP13" s="203">
        <f t="shared" si="4"/>
        <v>37</v>
      </c>
      <c r="AQ13" s="203">
        <f t="shared" si="4"/>
        <v>38</v>
      </c>
      <c r="AR13" s="203">
        <f t="shared" si="4"/>
        <v>39</v>
      </c>
      <c r="AS13" s="203">
        <f t="shared" si="4"/>
        <v>40</v>
      </c>
      <c r="AT13" s="203">
        <f t="shared" si="4"/>
        <v>41</v>
      </c>
      <c r="AU13" s="203">
        <f t="shared" si="4"/>
        <v>42</v>
      </c>
      <c r="AV13" s="203">
        <f t="shared" si="4"/>
        <v>43</v>
      </c>
      <c r="AW13" s="203">
        <f t="shared" si="4"/>
        <v>44</v>
      </c>
      <c r="AX13" s="203">
        <f t="shared" si="4"/>
        <v>45</v>
      </c>
      <c r="AY13" s="203">
        <f t="shared" si="4"/>
        <v>46</v>
      </c>
      <c r="AZ13" s="203">
        <f t="shared" si="4"/>
        <v>47</v>
      </c>
      <c r="BA13" s="203">
        <f t="shared" si="4"/>
        <v>48</v>
      </c>
      <c r="BB13" s="203">
        <f t="shared" si="4"/>
        <v>49</v>
      </c>
      <c r="BC13" s="203">
        <f t="shared" si="4"/>
        <v>50</v>
      </c>
      <c r="BD13" s="203">
        <f t="shared" si="4"/>
        <v>51</v>
      </c>
      <c r="BE13" s="203">
        <f t="shared" si="4"/>
        <v>52</v>
      </c>
      <c r="BF13" s="203">
        <f t="shared" si="4"/>
        <v>53</v>
      </c>
      <c r="BG13" s="203">
        <f t="shared" si="4"/>
        <v>54</v>
      </c>
      <c r="BH13" s="203">
        <f t="shared" si="4"/>
        <v>55</v>
      </c>
      <c r="BI13" s="203">
        <f t="shared" si="4"/>
        <v>56</v>
      </c>
      <c r="BJ13" s="203">
        <f t="shared" si="4"/>
        <v>57</v>
      </c>
      <c r="BK13" s="203">
        <f t="shared" si="4"/>
        <v>58</v>
      </c>
      <c r="BL13" s="203">
        <f t="shared" si="4"/>
        <v>59</v>
      </c>
      <c r="BM13" s="203">
        <f t="shared" si="4"/>
        <v>60</v>
      </c>
      <c r="BN13" s="203">
        <f t="shared" si="4"/>
        <v>61</v>
      </c>
      <c r="BO13" s="203">
        <f t="shared" si="4"/>
        <v>62</v>
      </c>
      <c r="BP13" s="203">
        <f t="shared" si="4"/>
        <v>63</v>
      </c>
      <c r="BQ13" s="203">
        <f t="shared" si="4"/>
        <v>64</v>
      </c>
      <c r="BR13" s="203">
        <f t="shared" si="4"/>
        <v>65</v>
      </c>
      <c r="BS13" s="203">
        <f t="shared" ref="BS13:DX13" si="5">BR13+1</f>
        <v>66</v>
      </c>
      <c r="BT13" s="203">
        <f t="shared" si="5"/>
        <v>67</v>
      </c>
      <c r="BU13" s="203">
        <f t="shared" si="5"/>
        <v>68</v>
      </c>
      <c r="BV13" s="203">
        <f t="shared" si="5"/>
        <v>69</v>
      </c>
      <c r="BW13" s="203">
        <f t="shared" si="5"/>
        <v>70</v>
      </c>
      <c r="BX13" s="203">
        <f t="shared" si="5"/>
        <v>71</v>
      </c>
      <c r="BY13" s="203">
        <f t="shared" si="5"/>
        <v>72</v>
      </c>
      <c r="BZ13" s="203">
        <f t="shared" si="5"/>
        <v>73</v>
      </c>
      <c r="CA13" s="203">
        <f t="shared" si="5"/>
        <v>74</v>
      </c>
      <c r="CB13" s="203">
        <f t="shared" si="5"/>
        <v>75</v>
      </c>
      <c r="CC13" s="203">
        <f t="shared" si="5"/>
        <v>76</v>
      </c>
      <c r="CD13" s="203">
        <f t="shared" si="5"/>
        <v>77</v>
      </c>
      <c r="CE13" s="203">
        <f t="shared" si="5"/>
        <v>78</v>
      </c>
      <c r="CF13" s="203">
        <f t="shared" si="5"/>
        <v>79</v>
      </c>
      <c r="CG13" s="203">
        <f t="shared" si="5"/>
        <v>80</v>
      </c>
      <c r="CH13" s="203">
        <f t="shared" si="5"/>
        <v>81</v>
      </c>
      <c r="CI13" s="203">
        <f t="shared" si="5"/>
        <v>82</v>
      </c>
      <c r="CJ13" s="203">
        <f t="shared" si="5"/>
        <v>83</v>
      </c>
      <c r="CK13" s="203">
        <f t="shared" si="5"/>
        <v>84</v>
      </c>
      <c r="CL13" s="203">
        <f t="shared" si="5"/>
        <v>85</v>
      </c>
      <c r="CM13" s="203">
        <f t="shared" si="5"/>
        <v>86</v>
      </c>
      <c r="CN13" s="203">
        <f t="shared" si="5"/>
        <v>87</v>
      </c>
      <c r="CO13" s="203">
        <f t="shared" si="5"/>
        <v>88</v>
      </c>
      <c r="CP13" s="203">
        <f t="shared" si="5"/>
        <v>89</v>
      </c>
      <c r="CQ13" s="203">
        <f t="shared" si="5"/>
        <v>90</v>
      </c>
      <c r="CR13" s="203">
        <f t="shared" si="5"/>
        <v>91</v>
      </c>
      <c r="CS13" s="203">
        <f t="shared" si="5"/>
        <v>92</v>
      </c>
      <c r="CT13" s="203">
        <f t="shared" si="5"/>
        <v>93</v>
      </c>
      <c r="CU13" s="203">
        <f t="shared" si="5"/>
        <v>94</v>
      </c>
      <c r="CV13" s="203">
        <f t="shared" si="5"/>
        <v>95</v>
      </c>
      <c r="CW13" s="203">
        <f t="shared" si="5"/>
        <v>96</v>
      </c>
      <c r="CX13" s="203">
        <f t="shared" si="5"/>
        <v>97</v>
      </c>
      <c r="CY13" s="203">
        <f t="shared" si="5"/>
        <v>98</v>
      </c>
      <c r="CZ13" s="203">
        <f t="shared" si="5"/>
        <v>99</v>
      </c>
      <c r="DA13" s="203">
        <f t="shared" si="5"/>
        <v>100</v>
      </c>
      <c r="DB13" s="203">
        <f t="shared" si="5"/>
        <v>101</v>
      </c>
      <c r="DC13" s="203">
        <f t="shared" si="5"/>
        <v>102</v>
      </c>
      <c r="DD13" s="203">
        <f t="shared" si="5"/>
        <v>103</v>
      </c>
      <c r="DE13" s="203">
        <f t="shared" si="5"/>
        <v>104</v>
      </c>
      <c r="DF13" s="203">
        <f t="shared" si="5"/>
        <v>105</v>
      </c>
      <c r="DG13" s="203">
        <f t="shared" si="5"/>
        <v>106</v>
      </c>
      <c r="DH13" s="203">
        <f t="shared" si="5"/>
        <v>107</v>
      </c>
      <c r="DI13" s="203">
        <f t="shared" si="5"/>
        <v>108</v>
      </c>
      <c r="DJ13" s="203">
        <f t="shared" si="5"/>
        <v>109</v>
      </c>
      <c r="DK13" s="203">
        <f t="shared" si="5"/>
        <v>110</v>
      </c>
      <c r="DL13" s="203">
        <f t="shared" si="5"/>
        <v>111</v>
      </c>
      <c r="DM13" s="203">
        <f t="shared" si="5"/>
        <v>112</v>
      </c>
      <c r="DN13" s="203">
        <f t="shared" si="5"/>
        <v>113</v>
      </c>
      <c r="DO13" s="203">
        <f t="shared" si="5"/>
        <v>114</v>
      </c>
      <c r="DP13" s="203">
        <f t="shared" si="5"/>
        <v>115</v>
      </c>
      <c r="DQ13" s="203">
        <f t="shared" si="5"/>
        <v>116</v>
      </c>
      <c r="DR13" s="203">
        <f t="shared" si="5"/>
        <v>117</v>
      </c>
      <c r="DS13" s="203">
        <f t="shared" si="5"/>
        <v>118</v>
      </c>
      <c r="DT13" s="203">
        <f t="shared" si="5"/>
        <v>119</v>
      </c>
      <c r="DU13" s="203">
        <f t="shared" si="5"/>
        <v>120</v>
      </c>
      <c r="DV13" s="203">
        <f t="shared" si="5"/>
        <v>121</v>
      </c>
      <c r="DW13" s="203">
        <f t="shared" si="5"/>
        <v>122</v>
      </c>
      <c r="DX13" s="203">
        <f t="shared" si="5"/>
        <v>123</v>
      </c>
      <c r="DY13" s="88"/>
      <c r="DZ13" s="188" t="s">
        <v>393</v>
      </c>
      <c r="EB13" s="88"/>
    </row>
    <row r="14" spans="1:132" outlineLevel="1">
      <c r="A14" s="91" t="s">
        <v>158</v>
      </c>
      <c r="C14" s="180"/>
      <c r="D14" s="180"/>
      <c r="E14" s="180"/>
      <c r="F14" s="202">
        <f t="shared" ref="F14:AK14" si="6">IF(PeriodNoMth&lt;=PreContractPeriodDuration,-1-PreContractPeriodDuration+F13,PeriodNoMth-PreContractPeriodDuration)</f>
        <v>-3</v>
      </c>
      <c r="G14" s="203">
        <f t="shared" si="6"/>
        <v>-2</v>
      </c>
      <c r="H14" s="203">
        <f t="shared" si="6"/>
        <v>-1</v>
      </c>
      <c r="I14" s="203">
        <f t="shared" si="6"/>
        <v>1</v>
      </c>
      <c r="J14" s="203">
        <f t="shared" si="6"/>
        <v>2</v>
      </c>
      <c r="K14" s="203">
        <f t="shared" si="6"/>
        <v>3</v>
      </c>
      <c r="L14" s="203">
        <f t="shared" si="6"/>
        <v>4</v>
      </c>
      <c r="M14" s="203">
        <f t="shared" si="6"/>
        <v>5</v>
      </c>
      <c r="N14" s="203">
        <f t="shared" si="6"/>
        <v>6</v>
      </c>
      <c r="O14" s="203">
        <f t="shared" si="6"/>
        <v>7</v>
      </c>
      <c r="P14" s="203">
        <f t="shared" si="6"/>
        <v>8</v>
      </c>
      <c r="Q14" s="203">
        <f t="shared" si="6"/>
        <v>9</v>
      </c>
      <c r="R14" s="203">
        <f t="shared" si="6"/>
        <v>10</v>
      </c>
      <c r="S14" s="203">
        <f t="shared" si="6"/>
        <v>11</v>
      </c>
      <c r="T14" s="203">
        <f t="shared" si="6"/>
        <v>12</v>
      </c>
      <c r="U14" s="203">
        <f t="shared" si="6"/>
        <v>13</v>
      </c>
      <c r="V14" s="203">
        <f t="shared" si="6"/>
        <v>14</v>
      </c>
      <c r="W14" s="203">
        <f t="shared" si="6"/>
        <v>15</v>
      </c>
      <c r="X14" s="203">
        <f t="shared" si="6"/>
        <v>16</v>
      </c>
      <c r="Y14" s="203">
        <f t="shared" si="6"/>
        <v>17</v>
      </c>
      <c r="Z14" s="203">
        <f t="shared" si="6"/>
        <v>18</v>
      </c>
      <c r="AA14" s="203">
        <f t="shared" si="6"/>
        <v>19</v>
      </c>
      <c r="AB14" s="203">
        <f t="shared" si="6"/>
        <v>20</v>
      </c>
      <c r="AC14" s="203">
        <f t="shared" si="6"/>
        <v>21</v>
      </c>
      <c r="AD14" s="203">
        <f t="shared" si="6"/>
        <v>22</v>
      </c>
      <c r="AE14" s="203">
        <f t="shared" si="6"/>
        <v>23</v>
      </c>
      <c r="AF14" s="203">
        <f t="shared" si="6"/>
        <v>24</v>
      </c>
      <c r="AG14" s="203">
        <f t="shared" si="6"/>
        <v>25</v>
      </c>
      <c r="AH14" s="203">
        <f t="shared" si="6"/>
        <v>26</v>
      </c>
      <c r="AI14" s="203">
        <f t="shared" si="6"/>
        <v>27</v>
      </c>
      <c r="AJ14" s="203">
        <f t="shared" si="6"/>
        <v>28</v>
      </c>
      <c r="AK14" s="203">
        <f t="shared" si="6"/>
        <v>29</v>
      </c>
      <c r="AL14" s="203">
        <f t="shared" ref="AL14:BQ14" si="7">IF(PeriodNoMth&lt;=PreContractPeriodDuration,-1-PreContractPeriodDuration+AL13,PeriodNoMth-PreContractPeriodDuration)</f>
        <v>30</v>
      </c>
      <c r="AM14" s="203">
        <f t="shared" si="7"/>
        <v>31</v>
      </c>
      <c r="AN14" s="203">
        <f t="shared" si="7"/>
        <v>32</v>
      </c>
      <c r="AO14" s="203">
        <f t="shared" si="7"/>
        <v>33</v>
      </c>
      <c r="AP14" s="203">
        <f t="shared" si="7"/>
        <v>34</v>
      </c>
      <c r="AQ14" s="203">
        <f t="shared" si="7"/>
        <v>35</v>
      </c>
      <c r="AR14" s="203">
        <f t="shared" si="7"/>
        <v>36</v>
      </c>
      <c r="AS14" s="203">
        <f t="shared" si="7"/>
        <v>37</v>
      </c>
      <c r="AT14" s="203">
        <f t="shared" si="7"/>
        <v>38</v>
      </c>
      <c r="AU14" s="203">
        <f t="shared" si="7"/>
        <v>39</v>
      </c>
      <c r="AV14" s="203">
        <f t="shared" si="7"/>
        <v>40</v>
      </c>
      <c r="AW14" s="203">
        <f t="shared" si="7"/>
        <v>41</v>
      </c>
      <c r="AX14" s="203">
        <f t="shared" si="7"/>
        <v>42</v>
      </c>
      <c r="AY14" s="203">
        <f t="shared" si="7"/>
        <v>43</v>
      </c>
      <c r="AZ14" s="203">
        <f t="shared" si="7"/>
        <v>44</v>
      </c>
      <c r="BA14" s="203">
        <f t="shared" si="7"/>
        <v>45</v>
      </c>
      <c r="BB14" s="203">
        <f t="shared" si="7"/>
        <v>46</v>
      </c>
      <c r="BC14" s="203">
        <f t="shared" si="7"/>
        <v>47</v>
      </c>
      <c r="BD14" s="203">
        <f t="shared" si="7"/>
        <v>48</v>
      </c>
      <c r="BE14" s="203">
        <f t="shared" si="7"/>
        <v>49</v>
      </c>
      <c r="BF14" s="203">
        <f t="shared" si="7"/>
        <v>50</v>
      </c>
      <c r="BG14" s="203">
        <f t="shared" si="7"/>
        <v>51</v>
      </c>
      <c r="BH14" s="203">
        <f t="shared" si="7"/>
        <v>52</v>
      </c>
      <c r="BI14" s="203">
        <f t="shared" si="7"/>
        <v>53</v>
      </c>
      <c r="BJ14" s="203">
        <f t="shared" si="7"/>
        <v>54</v>
      </c>
      <c r="BK14" s="203">
        <f t="shared" si="7"/>
        <v>55</v>
      </c>
      <c r="BL14" s="203">
        <f t="shared" si="7"/>
        <v>56</v>
      </c>
      <c r="BM14" s="203">
        <f t="shared" si="7"/>
        <v>57</v>
      </c>
      <c r="BN14" s="203">
        <f t="shared" si="7"/>
        <v>58</v>
      </c>
      <c r="BO14" s="203">
        <f t="shared" si="7"/>
        <v>59</v>
      </c>
      <c r="BP14" s="203">
        <f t="shared" si="7"/>
        <v>60</v>
      </c>
      <c r="BQ14" s="203">
        <f t="shared" si="7"/>
        <v>61</v>
      </c>
      <c r="BR14" s="203">
        <f t="shared" ref="BR14:CW14" si="8">IF(PeriodNoMth&lt;=PreContractPeriodDuration,-1-PreContractPeriodDuration+BR13,PeriodNoMth-PreContractPeriodDuration)</f>
        <v>62</v>
      </c>
      <c r="BS14" s="203">
        <f t="shared" si="8"/>
        <v>63</v>
      </c>
      <c r="BT14" s="203">
        <f t="shared" si="8"/>
        <v>64</v>
      </c>
      <c r="BU14" s="203">
        <f t="shared" si="8"/>
        <v>65</v>
      </c>
      <c r="BV14" s="203">
        <f t="shared" si="8"/>
        <v>66</v>
      </c>
      <c r="BW14" s="203">
        <f t="shared" si="8"/>
        <v>67</v>
      </c>
      <c r="BX14" s="203">
        <f t="shared" si="8"/>
        <v>68</v>
      </c>
      <c r="BY14" s="203">
        <f t="shared" si="8"/>
        <v>69</v>
      </c>
      <c r="BZ14" s="203">
        <f t="shared" si="8"/>
        <v>70</v>
      </c>
      <c r="CA14" s="203">
        <f t="shared" si="8"/>
        <v>71</v>
      </c>
      <c r="CB14" s="203">
        <f t="shared" si="8"/>
        <v>72</v>
      </c>
      <c r="CC14" s="203">
        <f t="shared" si="8"/>
        <v>73</v>
      </c>
      <c r="CD14" s="203">
        <f t="shared" si="8"/>
        <v>74</v>
      </c>
      <c r="CE14" s="203">
        <f t="shared" si="8"/>
        <v>75</v>
      </c>
      <c r="CF14" s="203">
        <f t="shared" si="8"/>
        <v>76</v>
      </c>
      <c r="CG14" s="203">
        <f t="shared" si="8"/>
        <v>77</v>
      </c>
      <c r="CH14" s="203">
        <f t="shared" si="8"/>
        <v>78</v>
      </c>
      <c r="CI14" s="203">
        <f t="shared" si="8"/>
        <v>79</v>
      </c>
      <c r="CJ14" s="203">
        <f t="shared" si="8"/>
        <v>80</v>
      </c>
      <c r="CK14" s="203">
        <f t="shared" si="8"/>
        <v>81</v>
      </c>
      <c r="CL14" s="203">
        <f t="shared" si="8"/>
        <v>82</v>
      </c>
      <c r="CM14" s="203">
        <f t="shared" si="8"/>
        <v>83</v>
      </c>
      <c r="CN14" s="203">
        <f t="shared" si="8"/>
        <v>84</v>
      </c>
      <c r="CO14" s="203">
        <f t="shared" si="8"/>
        <v>85</v>
      </c>
      <c r="CP14" s="203">
        <f t="shared" si="8"/>
        <v>86</v>
      </c>
      <c r="CQ14" s="203">
        <f t="shared" si="8"/>
        <v>87</v>
      </c>
      <c r="CR14" s="203">
        <f t="shared" si="8"/>
        <v>88</v>
      </c>
      <c r="CS14" s="203">
        <f t="shared" si="8"/>
        <v>89</v>
      </c>
      <c r="CT14" s="203">
        <f t="shared" si="8"/>
        <v>90</v>
      </c>
      <c r="CU14" s="203">
        <f t="shared" si="8"/>
        <v>91</v>
      </c>
      <c r="CV14" s="203">
        <f t="shared" si="8"/>
        <v>92</v>
      </c>
      <c r="CW14" s="203">
        <f t="shared" si="8"/>
        <v>93</v>
      </c>
      <c r="CX14" s="203">
        <f t="shared" ref="CX14:DX14" si="9">IF(PeriodNoMth&lt;=PreContractPeriodDuration,-1-PreContractPeriodDuration+CX13,PeriodNoMth-PreContractPeriodDuration)</f>
        <v>94</v>
      </c>
      <c r="CY14" s="203">
        <f t="shared" si="9"/>
        <v>95</v>
      </c>
      <c r="CZ14" s="203">
        <f t="shared" si="9"/>
        <v>96</v>
      </c>
      <c r="DA14" s="203">
        <f t="shared" si="9"/>
        <v>97</v>
      </c>
      <c r="DB14" s="203">
        <f t="shared" si="9"/>
        <v>98</v>
      </c>
      <c r="DC14" s="203">
        <f t="shared" si="9"/>
        <v>99</v>
      </c>
      <c r="DD14" s="203">
        <f t="shared" si="9"/>
        <v>100</v>
      </c>
      <c r="DE14" s="203">
        <f t="shared" si="9"/>
        <v>101</v>
      </c>
      <c r="DF14" s="203">
        <f t="shared" si="9"/>
        <v>102</v>
      </c>
      <c r="DG14" s="203">
        <f t="shared" si="9"/>
        <v>103</v>
      </c>
      <c r="DH14" s="203">
        <f t="shared" si="9"/>
        <v>104</v>
      </c>
      <c r="DI14" s="203">
        <f t="shared" si="9"/>
        <v>105</v>
      </c>
      <c r="DJ14" s="203">
        <f t="shared" si="9"/>
        <v>106</v>
      </c>
      <c r="DK14" s="203">
        <f t="shared" si="9"/>
        <v>107</v>
      </c>
      <c r="DL14" s="203">
        <f t="shared" si="9"/>
        <v>108</v>
      </c>
      <c r="DM14" s="203">
        <f t="shared" si="9"/>
        <v>109</v>
      </c>
      <c r="DN14" s="203">
        <f t="shared" si="9"/>
        <v>110</v>
      </c>
      <c r="DO14" s="203">
        <f t="shared" si="9"/>
        <v>111</v>
      </c>
      <c r="DP14" s="203">
        <f t="shared" si="9"/>
        <v>112</v>
      </c>
      <c r="DQ14" s="203">
        <f t="shared" si="9"/>
        <v>113</v>
      </c>
      <c r="DR14" s="203">
        <f t="shared" si="9"/>
        <v>114</v>
      </c>
      <c r="DS14" s="203">
        <f t="shared" si="9"/>
        <v>115</v>
      </c>
      <c r="DT14" s="203">
        <f t="shared" si="9"/>
        <v>116</v>
      </c>
      <c r="DU14" s="203">
        <f t="shared" si="9"/>
        <v>117</v>
      </c>
      <c r="DV14" s="203">
        <f t="shared" si="9"/>
        <v>118</v>
      </c>
      <c r="DW14" s="203">
        <f t="shared" si="9"/>
        <v>119</v>
      </c>
      <c r="DX14" s="203">
        <f t="shared" si="9"/>
        <v>120</v>
      </c>
      <c r="DY14" s="88"/>
      <c r="DZ14" s="188" t="s">
        <v>394</v>
      </c>
      <c r="EB14" s="88"/>
    </row>
    <row r="15" spans="1:132" outlineLevel="1">
      <c r="A15" s="91" t="s">
        <v>159</v>
      </c>
      <c r="C15" s="180"/>
      <c r="D15" s="180"/>
      <c r="E15" s="180"/>
      <c r="F15" s="202">
        <f t="shared" ref="F15:AK15" si="10">IF(PeriodNoMth&lt;=PreContractPeriodDuration,0,INT((PeriodCounter-1)/MinY)+1)</f>
        <v>0</v>
      </c>
      <c r="G15" s="203">
        <f t="shared" si="10"/>
        <v>0</v>
      </c>
      <c r="H15" s="203">
        <f t="shared" si="10"/>
        <v>0</v>
      </c>
      <c r="I15" s="203">
        <f t="shared" si="10"/>
        <v>1</v>
      </c>
      <c r="J15" s="203">
        <f t="shared" si="10"/>
        <v>1</v>
      </c>
      <c r="K15" s="203">
        <f t="shared" si="10"/>
        <v>1</v>
      </c>
      <c r="L15" s="203">
        <f t="shared" si="10"/>
        <v>1</v>
      </c>
      <c r="M15" s="203">
        <f t="shared" si="10"/>
        <v>1</v>
      </c>
      <c r="N15" s="203">
        <f t="shared" si="10"/>
        <v>1</v>
      </c>
      <c r="O15" s="203">
        <f t="shared" si="10"/>
        <v>1</v>
      </c>
      <c r="P15" s="203">
        <f t="shared" si="10"/>
        <v>1</v>
      </c>
      <c r="Q15" s="203">
        <f t="shared" si="10"/>
        <v>1</v>
      </c>
      <c r="R15" s="203">
        <f t="shared" si="10"/>
        <v>1</v>
      </c>
      <c r="S15" s="203">
        <f t="shared" si="10"/>
        <v>1</v>
      </c>
      <c r="T15" s="203">
        <f t="shared" si="10"/>
        <v>1</v>
      </c>
      <c r="U15" s="203">
        <f t="shared" si="10"/>
        <v>2</v>
      </c>
      <c r="V15" s="203">
        <f t="shared" si="10"/>
        <v>2</v>
      </c>
      <c r="W15" s="203">
        <f t="shared" si="10"/>
        <v>2</v>
      </c>
      <c r="X15" s="203">
        <f t="shared" si="10"/>
        <v>2</v>
      </c>
      <c r="Y15" s="203">
        <f t="shared" si="10"/>
        <v>2</v>
      </c>
      <c r="Z15" s="203">
        <f t="shared" si="10"/>
        <v>2</v>
      </c>
      <c r="AA15" s="203">
        <f t="shared" si="10"/>
        <v>2</v>
      </c>
      <c r="AB15" s="203">
        <f t="shared" si="10"/>
        <v>2</v>
      </c>
      <c r="AC15" s="203">
        <f t="shared" si="10"/>
        <v>2</v>
      </c>
      <c r="AD15" s="203">
        <f t="shared" si="10"/>
        <v>2</v>
      </c>
      <c r="AE15" s="203">
        <f t="shared" si="10"/>
        <v>2</v>
      </c>
      <c r="AF15" s="203">
        <f t="shared" si="10"/>
        <v>2</v>
      </c>
      <c r="AG15" s="203">
        <f t="shared" si="10"/>
        <v>3</v>
      </c>
      <c r="AH15" s="203">
        <f t="shared" si="10"/>
        <v>3</v>
      </c>
      <c r="AI15" s="203">
        <f t="shared" si="10"/>
        <v>3</v>
      </c>
      <c r="AJ15" s="203">
        <f t="shared" si="10"/>
        <v>3</v>
      </c>
      <c r="AK15" s="203">
        <f t="shared" si="10"/>
        <v>3</v>
      </c>
      <c r="AL15" s="203">
        <f t="shared" ref="AL15:BQ15" si="11">IF(PeriodNoMth&lt;=PreContractPeriodDuration,0,INT((PeriodCounter-1)/MinY)+1)</f>
        <v>3</v>
      </c>
      <c r="AM15" s="203">
        <f t="shared" si="11"/>
        <v>3</v>
      </c>
      <c r="AN15" s="203">
        <f t="shared" si="11"/>
        <v>3</v>
      </c>
      <c r="AO15" s="203">
        <f t="shared" si="11"/>
        <v>3</v>
      </c>
      <c r="AP15" s="203">
        <f t="shared" si="11"/>
        <v>3</v>
      </c>
      <c r="AQ15" s="203">
        <f t="shared" si="11"/>
        <v>3</v>
      </c>
      <c r="AR15" s="203">
        <f t="shared" si="11"/>
        <v>3</v>
      </c>
      <c r="AS15" s="203">
        <f t="shared" si="11"/>
        <v>4</v>
      </c>
      <c r="AT15" s="203">
        <f t="shared" si="11"/>
        <v>4</v>
      </c>
      <c r="AU15" s="203">
        <f t="shared" si="11"/>
        <v>4</v>
      </c>
      <c r="AV15" s="203">
        <f t="shared" si="11"/>
        <v>4</v>
      </c>
      <c r="AW15" s="203">
        <f t="shared" si="11"/>
        <v>4</v>
      </c>
      <c r="AX15" s="203">
        <f t="shared" si="11"/>
        <v>4</v>
      </c>
      <c r="AY15" s="203">
        <f t="shared" si="11"/>
        <v>4</v>
      </c>
      <c r="AZ15" s="203">
        <f t="shared" si="11"/>
        <v>4</v>
      </c>
      <c r="BA15" s="203">
        <f t="shared" si="11"/>
        <v>4</v>
      </c>
      <c r="BB15" s="203">
        <f t="shared" si="11"/>
        <v>4</v>
      </c>
      <c r="BC15" s="203">
        <f t="shared" si="11"/>
        <v>4</v>
      </c>
      <c r="BD15" s="203">
        <f t="shared" si="11"/>
        <v>4</v>
      </c>
      <c r="BE15" s="203">
        <f t="shared" si="11"/>
        <v>5</v>
      </c>
      <c r="BF15" s="203">
        <f t="shared" si="11"/>
        <v>5</v>
      </c>
      <c r="BG15" s="203">
        <f t="shared" si="11"/>
        <v>5</v>
      </c>
      <c r="BH15" s="203">
        <f t="shared" si="11"/>
        <v>5</v>
      </c>
      <c r="BI15" s="203">
        <f t="shared" si="11"/>
        <v>5</v>
      </c>
      <c r="BJ15" s="203">
        <f t="shared" si="11"/>
        <v>5</v>
      </c>
      <c r="BK15" s="203">
        <f t="shared" si="11"/>
        <v>5</v>
      </c>
      <c r="BL15" s="203">
        <f t="shared" si="11"/>
        <v>5</v>
      </c>
      <c r="BM15" s="203">
        <f t="shared" si="11"/>
        <v>5</v>
      </c>
      <c r="BN15" s="203">
        <f t="shared" si="11"/>
        <v>5</v>
      </c>
      <c r="BO15" s="203">
        <f t="shared" si="11"/>
        <v>5</v>
      </c>
      <c r="BP15" s="203">
        <f t="shared" si="11"/>
        <v>5</v>
      </c>
      <c r="BQ15" s="203">
        <f t="shared" si="11"/>
        <v>6</v>
      </c>
      <c r="BR15" s="203">
        <f t="shared" ref="BR15:CW15" si="12">IF(PeriodNoMth&lt;=PreContractPeriodDuration,0,INT((PeriodCounter-1)/MinY)+1)</f>
        <v>6</v>
      </c>
      <c r="BS15" s="203">
        <f t="shared" si="12"/>
        <v>6</v>
      </c>
      <c r="BT15" s="203">
        <f t="shared" si="12"/>
        <v>6</v>
      </c>
      <c r="BU15" s="203">
        <f t="shared" si="12"/>
        <v>6</v>
      </c>
      <c r="BV15" s="203">
        <f t="shared" si="12"/>
        <v>6</v>
      </c>
      <c r="BW15" s="203">
        <f t="shared" si="12"/>
        <v>6</v>
      </c>
      <c r="BX15" s="203">
        <f t="shared" si="12"/>
        <v>6</v>
      </c>
      <c r="BY15" s="203">
        <f t="shared" si="12"/>
        <v>6</v>
      </c>
      <c r="BZ15" s="203">
        <f t="shared" si="12"/>
        <v>6</v>
      </c>
      <c r="CA15" s="203">
        <f t="shared" si="12"/>
        <v>6</v>
      </c>
      <c r="CB15" s="203">
        <f t="shared" si="12"/>
        <v>6</v>
      </c>
      <c r="CC15" s="203">
        <f t="shared" si="12"/>
        <v>7</v>
      </c>
      <c r="CD15" s="203">
        <f t="shared" si="12"/>
        <v>7</v>
      </c>
      <c r="CE15" s="203">
        <f t="shared" si="12"/>
        <v>7</v>
      </c>
      <c r="CF15" s="203">
        <f t="shared" si="12"/>
        <v>7</v>
      </c>
      <c r="CG15" s="203">
        <f t="shared" si="12"/>
        <v>7</v>
      </c>
      <c r="CH15" s="203">
        <f t="shared" si="12"/>
        <v>7</v>
      </c>
      <c r="CI15" s="203">
        <f t="shared" si="12"/>
        <v>7</v>
      </c>
      <c r="CJ15" s="203">
        <f t="shared" si="12"/>
        <v>7</v>
      </c>
      <c r="CK15" s="203">
        <f t="shared" si="12"/>
        <v>7</v>
      </c>
      <c r="CL15" s="203">
        <f t="shared" si="12"/>
        <v>7</v>
      </c>
      <c r="CM15" s="203">
        <f t="shared" si="12"/>
        <v>7</v>
      </c>
      <c r="CN15" s="203">
        <f t="shared" si="12"/>
        <v>7</v>
      </c>
      <c r="CO15" s="203">
        <f t="shared" si="12"/>
        <v>8</v>
      </c>
      <c r="CP15" s="203">
        <f t="shared" si="12"/>
        <v>8</v>
      </c>
      <c r="CQ15" s="203">
        <f t="shared" si="12"/>
        <v>8</v>
      </c>
      <c r="CR15" s="203">
        <f t="shared" si="12"/>
        <v>8</v>
      </c>
      <c r="CS15" s="203">
        <f t="shared" si="12"/>
        <v>8</v>
      </c>
      <c r="CT15" s="203">
        <f t="shared" si="12"/>
        <v>8</v>
      </c>
      <c r="CU15" s="203">
        <f t="shared" si="12"/>
        <v>8</v>
      </c>
      <c r="CV15" s="203">
        <f t="shared" si="12"/>
        <v>8</v>
      </c>
      <c r="CW15" s="203">
        <f t="shared" si="12"/>
        <v>8</v>
      </c>
      <c r="CX15" s="203">
        <f t="shared" ref="CX15:DX15" si="13">IF(PeriodNoMth&lt;=PreContractPeriodDuration,0,INT((PeriodCounter-1)/MinY)+1)</f>
        <v>8</v>
      </c>
      <c r="CY15" s="203">
        <f t="shared" si="13"/>
        <v>8</v>
      </c>
      <c r="CZ15" s="203">
        <f t="shared" si="13"/>
        <v>8</v>
      </c>
      <c r="DA15" s="203">
        <f t="shared" si="13"/>
        <v>9</v>
      </c>
      <c r="DB15" s="203">
        <f t="shared" si="13"/>
        <v>9</v>
      </c>
      <c r="DC15" s="203">
        <f t="shared" si="13"/>
        <v>9</v>
      </c>
      <c r="DD15" s="203">
        <f t="shared" si="13"/>
        <v>9</v>
      </c>
      <c r="DE15" s="203">
        <f t="shared" si="13"/>
        <v>9</v>
      </c>
      <c r="DF15" s="203">
        <f t="shared" si="13"/>
        <v>9</v>
      </c>
      <c r="DG15" s="203">
        <f t="shared" si="13"/>
        <v>9</v>
      </c>
      <c r="DH15" s="203">
        <f t="shared" si="13"/>
        <v>9</v>
      </c>
      <c r="DI15" s="203">
        <f t="shared" si="13"/>
        <v>9</v>
      </c>
      <c r="DJ15" s="203">
        <f t="shared" si="13"/>
        <v>9</v>
      </c>
      <c r="DK15" s="203">
        <f t="shared" si="13"/>
        <v>9</v>
      </c>
      <c r="DL15" s="203">
        <f t="shared" si="13"/>
        <v>9</v>
      </c>
      <c r="DM15" s="203">
        <f t="shared" si="13"/>
        <v>10</v>
      </c>
      <c r="DN15" s="203">
        <f t="shared" si="13"/>
        <v>10</v>
      </c>
      <c r="DO15" s="203">
        <f t="shared" si="13"/>
        <v>10</v>
      </c>
      <c r="DP15" s="203">
        <f t="shared" si="13"/>
        <v>10</v>
      </c>
      <c r="DQ15" s="203">
        <f t="shared" si="13"/>
        <v>10</v>
      </c>
      <c r="DR15" s="203">
        <f t="shared" si="13"/>
        <v>10</v>
      </c>
      <c r="DS15" s="203">
        <f t="shared" si="13"/>
        <v>10</v>
      </c>
      <c r="DT15" s="203">
        <f t="shared" si="13"/>
        <v>10</v>
      </c>
      <c r="DU15" s="203">
        <f t="shared" si="13"/>
        <v>10</v>
      </c>
      <c r="DV15" s="203">
        <f t="shared" si="13"/>
        <v>10</v>
      </c>
      <c r="DW15" s="203">
        <f t="shared" si="13"/>
        <v>10</v>
      </c>
      <c r="DX15" s="203">
        <f t="shared" si="13"/>
        <v>10</v>
      </c>
      <c r="DY15" s="88"/>
      <c r="DZ15" s="188" t="s">
        <v>395</v>
      </c>
      <c r="EB15" s="88"/>
    </row>
    <row r="16" spans="1:132" outlineLevel="1">
      <c r="A16" s="91" t="s">
        <v>160</v>
      </c>
      <c r="C16" s="185"/>
      <c r="D16" s="185"/>
      <c r="E16" s="194"/>
      <c r="F16" s="202">
        <f t="shared" ref="F16:AK16" si="14">IF(MOD(F14,MinY)=0,MinY,MOD(F14,MinY))</f>
        <v>9</v>
      </c>
      <c r="G16" s="204">
        <f t="shared" si="14"/>
        <v>10</v>
      </c>
      <c r="H16" s="204">
        <f t="shared" si="14"/>
        <v>11</v>
      </c>
      <c r="I16" s="204">
        <f t="shared" si="14"/>
        <v>1</v>
      </c>
      <c r="J16" s="203">
        <f t="shared" si="14"/>
        <v>2</v>
      </c>
      <c r="K16" s="203">
        <f t="shared" si="14"/>
        <v>3</v>
      </c>
      <c r="L16" s="203">
        <f t="shared" si="14"/>
        <v>4</v>
      </c>
      <c r="M16" s="203">
        <f t="shared" si="14"/>
        <v>5</v>
      </c>
      <c r="N16" s="203">
        <f t="shared" si="14"/>
        <v>6</v>
      </c>
      <c r="O16" s="203">
        <f t="shared" si="14"/>
        <v>7</v>
      </c>
      <c r="P16" s="203">
        <f t="shared" si="14"/>
        <v>8</v>
      </c>
      <c r="Q16" s="203">
        <f t="shared" si="14"/>
        <v>9</v>
      </c>
      <c r="R16" s="203">
        <f t="shared" si="14"/>
        <v>10</v>
      </c>
      <c r="S16" s="203">
        <f t="shared" si="14"/>
        <v>11</v>
      </c>
      <c r="T16" s="203">
        <f t="shared" si="14"/>
        <v>12</v>
      </c>
      <c r="U16" s="203">
        <f t="shared" si="14"/>
        <v>1</v>
      </c>
      <c r="V16" s="203">
        <f t="shared" si="14"/>
        <v>2</v>
      </c>
      <c r="W16" s="203">
        <f t="shared" si="14"/>
        <v>3</v>
      </c>
      <c r="X16" s="203">
        <f t="shared" si="14"/>
        <v>4</v>
      </c>
      <c r="Y16" s="203">
        <f t="shared" si="14"/>
        <v>5</v>
      </c>
      <c r="Z16" s="203">
        <f t="shared" si="14"/>
        <v>6</v>
      </c>
      <c r="AA16" s="203">
        <f t="shared" si="14"/>
        <v>7</v>
      </c>
      <c r="AB16" s="203">
        <f t="shared" si="14"/>
        <v>8</v>
      </c>
      <c r="AC16" s="203">
        <f t="shared" si="14"/>
        <v>9</v>
      </c>
      <c r="AD16" s="203">
        <f t="shared" si="14"/>
        <v>10</v>
      </c>
      <c r="AE16" s="203">
        <f t="shared" si="14"/>
        <v>11</v>
      </c>
      <c r="AF16" s="203">
        <f t="shared" si="14"/>
        <v>12</v>
      </c>
      <c r="AG16" s="203">
        <f t="shared" si="14"/>
        <v>1</v>
      </c>
      <c r="AH16" s="203">
        <f t="shared" si="14"/>
        <v>2</v>
      </c>
      <c r="AI16" s="203">
        <f t="shared" si="14"/>
        <v>3</v>
      </c>
      <c r="AJ16" s="203">
        <f t="shared" si="14"/>
        <v>4</v>
      </c>
      <c r="AK16" s="203">
        <f t="shared" si="14"/>
        <v>5</v>
      </c>
      <c r="AL16" s="203">
        <f t="shared" ref="AL16:BQ16" si="15">IF(MOD(AL14,MinY)=0,MinY,MOD(AL14,MinY))</f>
        <v>6</v>
      </c>
      <c r="AM16" s="203">
        <f t="shared" si="15"/>
        <v>7</v>
      </c>
      <c r="AN16" s="203">
        <f t="shared" si="15"/>
        <v>8</v>
      </c>
      <c r="AO16" s="203">
        <f t="shared" si="15"/>
        <v>9</v>
      </c>
      <c r="AP16" s="203">
        <f t="shared" si="15"/>
        <v>10</v>
      </c>
      <c r="AQ16" s="203">
        <f t="shared" si="15"/>
        <v>11</v>
      </c>
      <c r="AR16" s="203">
        <f t="shared" si="15"/>
        <v>12</v>
      </c>
      <c r="AS16" s="203">
        <f t="shared" si="15"/>
        <v>1</v>
      </c>
      <c r="AT16" s="203">
        <f t="shared" si="15"/>
        <v>2</v>
      </c>
      <c r="AU16" s="203">
        <f t="shared" si="15"/>
        <v>3</v>
      </c>
      <c r="AV16" s="203">
        <f t="shared" si="15"/>
        <v>4</v>
      </c>
      <c r="AW16" s="203">
        <f t="shared" si="15"/>
        <v>5</v>
      </c>
      <c r="AX16" s="203">
        <f t="shared" si="15"/>
        <v>6</v>
      </c>
      <c r="AY16" s="203">
        <f t="shared" si="15"/>
        <v>7</v>
      </c>
      <c r="AZ16" s="203">
        <f t="shared" si="15"/>
        <v>8</v>
      </c>
      <c r="BA16" s="203">
        <f t="shared" si="15"/>
        <v>9</v>
      </c>
      <c r="BB16" s="203">
        <f t="shared" si="15"/>
        <v>10</v>
      </c>
      <c r="BC16" s="203">
        <f t="shared" si="15"/>
        <v>11</v>
      </c>
      <c r="BD16" s="203">
        <f t="shared" si="15"/>
        <v>12</v>
      </c>
      <c r="BE16" s="203">
        <f t="shared" si="15"/>
        <v>1</v>
      </c>
      <c r="BF16" s="203">
        <f t="shared" si="15"/>
        <v>2</v>
      </c>
      <c r="BG16" s="203">
        <f t="shared" si="15"/>
        <v>3</v>
      </c>
      <c r="BH16" s="203">
        <f t="shared" si="15"/>
        <v>4</v>
      </c>
      <c r="BI16" s="203">
        <f t="shared" si="15"/>
        <v>5</v>
      </c>
      <c r="BJ16" s="203">
        <f t="shared" si="15"/>
        <v>6</v>
      </c>
      <c r="BK16" s="203">
        <f t="shared" si="15"/>
        <v>7</v>
      </c>
      <c r="BL16" s="203">
        <f t="shared" si="15"/>
        <v>8</v>
      </c>
      <c r="BM16" s="203">
        <f t="shared" si="15"/>
        <v>9</v>
      </c>
      <c r="BN16" s="203">
        <f t="shared" si="15"/>
        <v>10</v>
      </c>
      <c r="BO16" s="203">
        <f t="shared" si="15"/>
        <v>11</v>
      </c>
      <c r="BP16" s="203">
        <f t="shared" si="15"/>
        <v>12</v>
      </c>
      <c r="BQ16" s="203">
        <f t="shared" si="15"/>
        <v>1</v>
      </c>
      <c r="BR16" s="203">
        <f t="shared" ref="BR16:CW16" si="16">IF(MOD(BR14,MinY)=0,MinY,MOD(BR14,MinY))</f>
        <v>2</v>
      </c>
      <c r="BS16" s="203">
        <f t="shared" si="16"/>
        <v>3</v>
      </c>
      <c r="BT16" s="203">
        <f t="shared" si="16"/>
        <v>4</v>
      </c>
      <c r="BU16" s="203">
        <f t="shared" si="16"/>
        <v>5</v>
      </c>
      <c r="BV16" s="203">
        <f t="shared" si="16"/>
        <v>6</v>
      </c>
      <c r="BW16" s="203">
        <f t="shared" si="16"/>
        <v>7</v>
      </c>
      <c r="BX16" s="203">
        <f t="shared" si="16"/>
        <v>8</v>
      </c>
      <c r="BY16" s="203">
        <f t="shared" si="16"/>
        <v>9</v>
      </c>
      <c r="BZ16" s="203">
        <f t="shared" si="16"/>
        <v>10</v>
      </c>
      <c r="CA16" s="203">
        <f t="shared" si="16"/>
        <v>11</v>
      </c>
      <c r="CB16" s="203">
        <f t="shared" si="16"/>
        <v>12</v>
      </c>
      <c r="CC16" s="203">
        <f t="shared" si="16"/>
        <v>1</v>
      </c>
      <c r="CD16" s="203">
        <f t="shared" si="16"/>
        <v>2</v>
      </c>
      <c r="CE16" s="203">
        <f t="shared" si="16"/>
        <v>3</v>
      </c>
      <c r="CF16" s="203">
        <f t="shared" si="16"/>
        <v>4</v>
      </c>
      <c r="CG16" s="203">
        <f t="shared" si="16"/>
        <v>5</v>
      </c>
      <c r="CH16" s="203">
        <f t="shared" si="16"/>
        <v>6</v>
      </c>
      <c r="CI16" s="203">
        <f t="shared" si="16"/>
        <v>7</v>
      </c>
      <c r="CJ16" s="203">
        <f t="shared" si="16"/>
        <v>8</v>
      </c>
      <c r="CK16" s="203">
        <f t="shared" si="16"/>
        <v>9</v>
      </c>
      <c r="CL16" s="203">
        <f t="shared" si="16"/>
        <v>10</v>
      </c>
      <c r="CM16" s="203">
        <f t="shared" si="16"/>
        <v>11</v>
      </c>
      <c r="CN16" s="203">
        <f t="shared" si="16"/>
        <v>12</v>
      </c>
      <c r="CO16" s="203">
        <f t="shared" si="16"/>
        <v>1</v>
      </c>
      <c r="CP16" s="203">
        <f t="shared" si="16"/>
        <v>2</v>
      </c>
      <c r="CQ16" s="203">
        <f t="shared" si="16"/>
        <v>3</v>
      </c>
      <c r="CR16" s="203">
        <f t="shared" si="16"/>
        <v>4</v>
      </c>
      <c r="CS16" s="203">
        <f t="shared" si="16"/>
        <v>5</v>
      </c>
      <c r="CT16" s="203">
        <f t="shared" si="16"/>
        <v>6</v>
      </c>
      <c r="CU16" s="203">
        <f t="shared" si="16"/>
        <v>7</v>
      </c>
      <c r="CV16" s="203">
        <f t="shared" si="16"/>
        <v>8</v>
      </c>
      <c r="CW16" s="203">
        <f t="shared" si="16"/>
        <v>9</v>
      </c>
      <c r="CX16" s="203">
        <f t="shared" ref="CX16:DX16" si="17">IF(MOD(CX14,MinY)=0,MinY,MOD(CX14,MinY))</f>
        <v>10</v>
      </c>
      <c r="CY16" s="203">
        <f t="shared" si="17"/>
        <v>11</v>
      </c>
      <c r="CZ16" s="203">
        <f t="shared" si="17"/>
        <v>12</v>
      </c>
      <c r="DA16" s="203">
        <f t="shared" si="17"/>
        <v>1</v>
      </c>
      <c r="DB16" s="203">
        <f t="shared" si="17"/>
        <v>2</v>
      </c>
      <c r="DC16" s="203">
        <f t="shared" si="17"/>
        <v>3</v>
      </c>
      <c r="DD16" s="203">
        <f t="shared" si="17"/>
        <v>4</v>
      </c>
      <c r="DE16" s="203">
        <f t="shared" si="17"/>
        <v>5</v>
      </c>
      <c r="DF16" s="203">
        <f t="shared" si="17"/>
        <v>6</v>
      </c>
      <c r="DG16" s="203">
        <f t="shared" si="17"/>
        <v>7</v>
      </c>
      <c r="DH16" s="203">
        <f t="shared" si="17"/>
        <v>8</v>
      </c>
      <c r="DI16" s="203">
        <f t="shared" si="17"/>
        <v>9</v>
      </c>
      <c r="DJ16" s="203">
        <f t="shared" si="17"/>
        <v>10</v>
      </c>
      <c r="DK16" s="203">
        <f t="shared" si="17"/>
        <v>11</v>
      </c>
      <c r="DL16" s="203">
        <f t="shared" si="17"/>
        <v>12</v>
      </c>
      <c r="DM16" s="203">
        <f t="shared" si="17"/>
        <v>1</v>
      </c>
      <c r="DN16" s="203">
        <f t="shared" si="17"/>
        <v>2</v>
      </c>
      <c r="DO16" s="203">
        <f t="shared" si="17"/>
        <v>3</v>
      </c>
      <c r="DP16" s="203">
        <f t="shared" si="17"/>
        <v>4</v>
      </c>
      <c r="DQ16" s="203">
        <f t="shared" si="17"/>
        <v>5</v>
      </c>
      <c r="DR16" s="203">
        <f t="shared" si="17"/>
        <v>6</v>
      </c>
      <c r="DS16" s="203">
        <f t="shared" si="17"/>
        <v>7</v>
      </c>
      <c r="DT16" s="203">
        <f t="shared" si="17"/>
        <v>8</v>
      </c>
      <c r="DU16" s="203">
        <f t="shared" si="17"/>
        <v>9</v>
      </c>
      <c r="DV16" s="203">
        <f t="shared" si="17"/>
        <v>10</v>
      </c>
      <c r="DW16" s="203">
        <f t="shared" si="17"/>
        <v>11</v>
      </c>
      <c r="DX16" s="203">
        <f t="shared" si="17"/>
        <v>12</v>
      </c>
      <c r="DY16" s="88"/>
      <c r="DZ16" s="188" t="s">
        <v>396</v>
      </c>
      <c r="EB16" s="88"/>
    </row>
    <row r="17" spans="1:132" outlineLevel="1">
      <c r="A17" s="91" t="s">
        <v>161</v>
      </c>
      <c r="C17" s="185"/>
      <c r="D17" s="185"/>
      <c r="E17" s="185"/>
      <c r="F17" s="202">
        <f>MONTH(F11)</f>
        <v>11</v>
      </c>
      <c r="G17" s="204">
        <f>MONTH(G11)</f>
        <v>12</v>
      </c>
      <c r="H17" s="204">
        <f t="shared" ref="H17:BS17" si="18">MONTH(H11)</f>
        <v>1</v>
      </c>
      <c r="I17" s="204">
        <f t="shared" si="18"/>
        <v>2</v>
      </c>
      <c r="J17" s="203">
        <f t="shared" si="18"/>
        <v>3</v>
      </c>
      <c r="K17" s="203">
        <f t="shared" si="18"/>
        <v>4</v>
      </c>
      <c r="L17" s="203">
        <f t="shared" si="18"/>
        <v>5</v>
      </c>
      <c r="M17" s="203">
        <f t="shared" si="18"/>
        <v>6</v>
      </c>
      <c r="N17" s="203">
        <f t="shared" si="18"/>
        <v>7</v>
      </c>
      <c r="O17" s="203">
        <f t="shared" si="18"/>
        <v>8</v>
      </c>
      <c r="P17" s="203">
        <f t="shared" si="18"/>
        <v>9</v>
      </c>
      <c r="Q17" s="203">
        <f t="shared" si="18"/>
        <v>10</v>
      </c>
      <c r="R17" s="203">
        <f t="shared" si="18"/>
        <v>11</v>
      </c>
      <c r="S17" s="203">
        <f t="shared" si="18"/>
        <v>12</v>
      </c>
      <c r="T17" s="203">
        <f t="shared" si="18"/>
        <v>1</v>
      </c>
      <c r="U17" s="203">
        <f t="shared" si="18"/>
        <v>2</v>
      </c>
      <c r="V17" s="203">
        <f t="shared" si="18"/>
        <v>3</v>
      </c>
      <c r="W17" s="203">
        <f t="shared" si="18"/>
        <v>4</v>
      </c>
      <c r="X17" s="203">
        <f t="shared" si="18"/>
        <v>5</v>
      </c>
      <c r="Y17" s="203">
        <f t="shared" si="18"/>
        <v>6</v>
      </c>
      <c r="Z17" s="203">
        <f t="shared" si="18"/>
        <v>7</v>
      </c>
      <c r="AA17" s="203">
        <f t="shared" si="18"/>
        <v>8</v>
      </c>
      <c r="AB17" s="203">
        <f t="shared" si="18"/>
        <v>9</v>
      </c>
      <c r="AC17" s="203">
        <f t="shared" si="18"/>
        <v>10</v>
      </c>
      <c r="AD17" s="203">
        <f t="shared" si="18"/>
        <v>11</v>
      </c>
      <c r="AE17" s="203">
        <f t="shared" si="18"/>
        <v>12</v>
      </c>
      <c r="AF17" s="203">
        <f t="shared" si="18"/>
        <v>1</v>
      </c>
      <c r="AG17" s="203">
        <f t="shared" si="18"/>
        <v>2</v>
      </c>
      <c r="AH17" s="203">
        <f t="shared" si="18"/>
        <v>3</v>
      </c>
      <c r="AI17" s="203">
        <f t="shared" si="18"/>
        <v>4</v>
      </c>
      <c r="AJ17" s="203">
        <f t="shared" si="18"/>
        <v>5</v>
      </c>
      <c r="AK17" s="203">
        <f t="shared" si="18"/>
        <v>6</v>
      </c>
      <c r="AL17" s="203">
        <f t="shared" si="18"/>
        <v>7</v>
      </c>
      <c r="AM17" s="203">
        <f t="shared" si="18"/>
        <v>8</v>
      </c>
      <c r="AN17" s="203">
        <f t="shared" si="18"/>
        <v>9</v>
      </c>
      <c r="AO17" s="203">
        <f t="shared" si="18"/>
        <v>10</v>
      </c>
      <c r="AP17" s="203">
        <f t="shared" si="18"/>
        <v>11</v>
      </c>
      <c r="AQ17" s="203">
        <f t="shared" si="18"/>
        <v>12</v>
      </c>
      <c r="AR17" s="203">
        <f t="shared" si="18"/>
        <v>1</v>
      </c>
      <c r="AS17" s="203">
        <f t="shared" si="18"/>
        <v>2</v>
      </c>
      <c r="AT17" s="203">
        <f t="shared" si="18"/>
        <v>3</v>
      </c>
      <c r="AU17" s="203">
        <f t="shared" si="18"/>
        <v>4</v>
      </c>
      <c r="AV17" s="203">
        <f t="shared" si="18"/>
        <v>5</v>
      </c>
      <c r="AW17" s="203">
        <f t="shared" si="18"/>
        <v>6</v>
      </c>
      <c r="AX17" s="203">
        <f t="shared" si="18"/>
        <v>7</v>
      </c>
      <c r="AY17" s="203">
        <f t="shared" si="18"/>
        <v>8</v>
      </c>
      <c r="AZ17" s="203">
        <f t="shared" si="18"/>
        <v>9</v>
      </c>
      <c r="BA17" s="203">
        <f t="shared" si="18"/>
        <v>10</v>
      </c>
      <c r="BB17" s="203">
        <f t="shared" si="18"/>
        <v>11</v>
      </c>
      <c r="BC17" s="203">
        <f t="shared" si="18"/>
        <v>12</v>
      </c>
      <c r="BD17" s="203">
        <f t="shared" si="18"/>
        <v>1</v>
      </c>
      <c r="BE17" s="203">
        <f t="shared" si="18"/>
        <v>2</v>
      </c>
      <c r="BF17" s="203">
        <f t="shared" si="18"/>
        <v>3</v>
      </c>
      <c r="BG17" s="203">
        <f t="shared" si="18"/>
        <v>4</v>
      </c>
      <c r="BH17" s="203">
        <f t="shared" si="18"/>
        <v>5</v>
      </c>
      <c r="BI17" s="203">
        <f t="shared" si="18"/>
        <v>6</v>
      </c>
      <c r="BJ17" s="203">
        <f t="shared" si="18"/>
        <v>7</v>
      </c>
      <c r="BK17" s="203">
        <f t="shared" si="18"/>
        <v>8</v>
      </c>
      <c r="BL17" s="203">
        <f t="shared" si="18"/>
        <v>9</v>
      </c>
      <c r="BM17" s="203">
        <f t="shared" si="18"/>
        <v>10</v>
      </c>
      <c r="BN17" s="203">
        <f t="shared" si="18"/>
        <v>11</v>
      </c>
      <c r="BO17" s="203">
        <f t="shared" si="18"/>
        <v>12</v>
      </c>
      <c r="BP17" s="203">
        <f t="shared" si="18"/>
        <v>1</v>
      </c>
      <c r="BQ17" s="203">
        <f t="shared" si="18"/>
        <v>2</v>
      </c>
      <c r="BR17" s="203">
        <f t="shared" si="18"/>
        <v>3</v>
      </c>
      <c r="BS17" s="203">
        <f t="shared" si="18"/>
        <v>4</v>
      </c>
      <c r="BT17" s="203">
        <f t="shared" ref="BT17:DX17" si="19">MONTH(BT11)</f>
        <v>5</v>
      </c>
      <c r="BU17" s="203">
        <f t="shared" si="19"/>
        <v>6</v>
      </c>
      <c r="BV17" s="203">
        <f t="shared" si="19"/>
        <v>7</v>
      </c>
      <c r="BW17" s="203">
        <f t="shared" si="19"/>
        <v>8</v>
      </c>
      <c r="BX17" s="203">
        <f t="shared" si="19"/>
        <v>9</v>
      </c>
      <c r="BY17" s="203">
        <f t="shared" si="19"/>
        <v>10</v>
      </c>
      <c r="BZ17" s="203">
        <f t="shared" si="19"/>
        <v>11</v>
      </c>
      <c r="CA17" s="203">
        <f t="shared" si="19"/>
        <v>12</v>
      </c>
      <c r="CB17" s="203">
        <f t="shared" si="19"/>
        <v>1</v>
      </c>
      <c r="CC17" s="203">
        <f t="shared" si="19"/>
        <v>2</v>
      </c>
      <c r="CD17" s="203">
        <f t="shared" si="19"/>
        <v>3</v>
      </c>
      <c r="CE17" s="203">
        <f t="shared" si="19"/>
        <v>4</v>
      </c>
      <c r="CF17" s="203">
        <f t="shared" si="19"/>
        <v>5</v>
      </c>
      <c r="CG17" s="203">
        <f t="shared" si="19"/>
        <v>6</v>
      </c>
      <c r="CH17" s="203">
        <f t="shared" si="19"/>
        <v>7</v>
      </c>
      <c r="CI17" s="203">
        <f t="shared" si="19"/>
        <v>8</v>
      </c>
      <c r="CJ17" s="203">
        <f t="shared" si="19"/>
        <v>9</v>
      </c>
      <c r="CK17" s="203">
        <f t="shared" si="19"/>
        <v>10</v>
      </c>
      <c r="CL17" s="203">
        <f t="shared" si="19"/>
        <v>11</v>
      </c>
      <c r="CM17" s="203">
        <f t="shared" si="19"/>
        <v>12</v>
      </c>
      <c r="CN17" s="203">
        <f t="shared" si="19"/>
        <v>1</v>
      </c>
      <c r="CO17" s="203">
        <f t="shared" si="19"/>
        <v>2</v>
      </c>
      <c r="CP17" s="203">
        <f t="shared" si="19"/>
        <v>3</v>
      </c>
      <c r="CQ17" s="203">
        <f t="shared" si="19"/>
        <v>4</v>
      </c>
      <c r="CR17" s="203">
        <f t="shared" si="19"/>
        <v>5</v>
      </c>
      <c r="CS17" s="203">
        <f t="shared" si="19"/>
        <v>6</v>
      </c>
      <c r="CT17" s="203">
        <f t="shared" si="19"/>
        <v>7</v>
      </c>
      <c r="CU17" s="203">
        <f t="shared" si="19"/>
        <v>8</v>
      </c>
      <c r="CV17" s="203">
        <f t="shared" si="19"/>
        <v>9</v>
      </c>
      <c r="CW17" s="203">
        <f t="shared" si="19"/>
        <v>10</v>
      </c>
      <c r="CX17" s="203">
        <f t="shared" si="19"/>
        <v>11</v>
      </c>
      <c r="CY17" s="203">
        <f t="shared" si="19"/>
        <v>12</v>
      </c>
      <c r="CZ17" s="203">
        <f t="shared" si="19"/>
        <v>1</v>
      </c>
      <c r="DA17" s="203">
        <f t="shared" si="19"/>
        <v>2</v>
      </c>
      <c r="DB17" s="203">
        <f t="shared" si="19"/>
        <v>3</v>
      </c>
      <c r="DC17" s="203">
        <f t="shared" si="19"/>
        <v>4</v>
      </c>
      <c r="DD17" s="203">
        <f t="shared" si="19"/>
        <v>5</v>
      </c>
      <c r="DE17" s="203">
        <f t="shared" si="19"/>
        <v>6</v>
      </c>
      <c r="DF17" s="203">
        <f t="shared" si="19"/>
        <v>7</v>
      </c>
      <c r="DG17" s="203">
        <f t="shared" si="19"/>
        <v>8</v>
      </c>
      <c r="DH17" s="203">
        <f t="shared" si="19"/>
        <v>9</v>
      </c>
      <c r="DI17" s="203">
        <f t="shared" si="19"/>
        <v>10</v>
      </c>
      <c r="DJ17" s="203">
        <f t="shared" si="19"/>
        <v>11</v>
      </c>
      <c r="DK17" s="203">
        <f t="shared" si="19"/>
        <v>12</v>
      </c>
      <c r="DL17" s="203">
        <f t="shared" si="19"/>
        <v>1</v>
      </c>
      <c r="DM17" s="203">
        <f t="shared" si="19"/>
        <v>2</v>
      </c>
      <c r="DN17" s="203">
        <f t="shared" si="19"/>
        <v>3</v>
      </c>
      <c r="DO17" s="203">
        <f t="shared" si="19"/>
        <v>4</v>
      </c>
      <c r="DP17" s="203">
        <f t="shared" si="19"/>
        <v>5</v>
      </c>
      <c r="DQ17" s="203">
        <f t="shared" si="19"/>
        <v>6</v>
      </c>
      <c r="DR17" s="203">
        <f t="shared" si="19"/>
        <v>7</v>
      </c>
      <c r="DS17" s="203">
        <f t="shared" si="19"/>
        <v>8</v>
      </c>
      <c r="DT17" s="203">
        <f t="shared" si="19"/>
        <v>9</v>
      </c>
      <c r="DU17" s="203">
        <f t="shared" si="19"/>
        <v>10</v>
      </c>
      <c r="DV17" s="203">
        <f t="shared" si="19"/>
        <v>11</v>
      </c>
      <c r="DW17" s="203">
        <f t="shared" si="19"/>
        <v>12</v>
      </c>
      <c r="DX17" s="203">
        <f t="shared" si="19"/>
        <v>1</v>
      </c>
      <c r="DY17" s="88"/>
      <c r="DZ17" s="188" t="s">
        <v>397</v>
      </c>
      <c r="EB17" s="88"/>
    </row>
    <row r="18" spans="1:132" outlineLevel="1">
      <c r="A18" s="91" t="s">
        <v>162</v>
      </c>
      <c r="C18" s="185"/>
      <c r="D18" s="185"/>
      <c r="E18" s="185"/>
      <c r="F18" s="202" t="str">
        <f t="shared" ref="F18:AK18" si="20">INDEX(MonthListIn,MONTH(F11))</f>
        <v>November</v>
      </c>
      <c r="G18" s="205" t="str">
        <f t="shared" si="20"/>
        <v>December</v>
      </c>
      <c r="H18" s="205" t="str">
        <f t="shared" si="20"/>
        <v>January</v>
      </c>
      <c r="I18" s="205" t="str">
        <f t="shared" si="20"/>
        <v>February</v>
      </c>
      <c r="J18" s="205" t="str">
        <f t="shared" si="20"/>
        <v>March</v>
      </c>
      <c r="K18" s="205" t="str">
        <f t="shared" si="20"/>
        <v>April</v>
      </c>
      <c r="L18" s="205" t="str">
        <f t="shared" si="20"/>
        <v>May</v>
      </c>
      <c r="M18" s="205" t="str">
        <f t="shared" si="20"/>
        <v>June</v>
      </c>
      <c r="N18" s="205" t="str">
        <f t="shared" si="20"/>
        <v>July</v>
      </c>
      <c r="O18" s="205" t="str">
        <f t="shared" si="20"/>
        <v>August</v>
      </c>
      <c r="P18" s="205" t="str">
        <f t="shared" si="20"/>
        <v>September</v>
      </c>
      <c r="Q18" s="205" t="str">
        <f t="shared" si="20"/>
        <v>October</v>
      </c>
      <c r="R18" s="205" t="str">
        <f t="shared" si="20"/>
        <v>November</v>
      </c>
      <c r="S18" s="205" t="str">
        <f t="shared" si="20"/>
        <v>December</v>
      </c>
      <c r="T18" s="205" t="str">
        <f t="shared" si="20"/>
        <v>January</v>
      </c>
      <c r="U18" s="205" t="str">
        <f t="shared" si="20"/>
        <v>February</v>
      </c>
      <c r="V18" s="205" t="str">
        <f t="shared" si="20"/>
        <v>March</v>
      </c>
      <c r="W18" s="205" t="str">
        <f t="shared" si="20"/>
        <v>April</v>
      </c>
      <c r="X18" s="205" t="str">
        <f t="shared" si="20"/>
        <v>May</v>
      </c>
      <c r="Y18" s="205" t="str">
        <f t="shared" si="20"/>
        <v>June</v>
      </c>
      <c r="Z18" s="205" t="str">
        <f t="shared" si="20"/>
        <v>July</v>
      </c>
      <c r="AA18" s="205" t="str">
        <f t="shared" si="20"/>
        <v>August</v>
      </c>
      <c r="AB18" s="205" t="str">
        <f t="shared" si="20"/>
        <v>September</v>
      </c>
      <c r="AC18" s="205" t="str">
        <f t="shared" si="20"/>
        <v>October</v>
      </c>
      <c r="AD18" s="205" t="str">
        <f t="shared" si="20"/>
        <v>November</v>
      </c>
      <c r="AE18" s="205" t="str">
        <f t="shared" si="20"/>
        <v>December</v>
      </c>
      <c r="AF18" s="205" t="str">
        <f t="shared" si="20"/>
        <v>January</v>
      </c>
      <c r="AG18" s="205" t="str">
        <f t="shared" si="20"/>
        <v>February</v>
      </c>
      <c r="AH18" s="205" t="str">
        <f t="shared" si="20"/>
        <v>March</v>
      </c>
      <c r="AI18" s="205" t="str">
        <f t="shared" si="20"/>
        <v>April</v>
      </c>
      <c r="AJ18" s="205" t="str">
        <f t="shared" si="20"/>
        <v>May</v>
      </c>
      <c r="AK18" s="205" t="str">
        <f t="shared" si="20"/>
        <v>June</v>
      </c>
      <c r="AL18" s="205" t="str">
        <f t="shared" ref="AL18:BQ18" si="21">INDEX(MonthListIn,MONTH(AL11))</f>
        <v>July</v>
      </c>
      <c r="AM18" s="205" t="str">
        <f t="shared" si="21"/>
        <v>August</v>
      </c>
      <c r="AN18" s="205" t="str">
        <f t="shared" si="21"/>
        <v>September</v>
      </c>
      <c r="AO18" s="205" t="str">
        <f t="shared" si="21"/>
        <v>October</v>
      </c>
      <c r="AP18" s="205" t="str">
        <f t="shared" si="21"/>
        <v>November</v>
      </c>
      <c r="AQ18" s="205" t="str">
        <f t="shared" si="21"/>
        <v>December</v>
      </c>
      <c r="AR18" s="205" t="str">
        <f t="shared" si="21"/>
        <v>January</v>
      </c>
      <c r="AS18" s="205" t="str">
        <f t="shared" si="21"/>
        <v>February</v>
      </c>
      <c r="AT18" s="205" t="str">
        <f t="shared" si="21"/>
        <v>March</v>
      </c>
      <c r="AU18" s="205" t="str">
        <f t="shared" si="21"/>
        <v>April</v>
      </c>
      <c r="AV18" s="205" t="str">
        <f t="shared" si="21"/>
        <v>May</v>
      </c>
      <c r="AW18" s="205" t="str">
        <f t="shared" si="21"/>
        <v>June</v>
      </c>
      <c r="AX18" s="205" t="str">
        <f t="shared" si="21"/>
        <v>July</v>
      </c>
      <c r="AY18" s="205" t="str">
        <f t="shared" si="21"/>
        <v>August</v>
      </c>
      <c r="AZ18" s="205" t="str">
        <f t="shared" si="21"/>
        <v>September</v>
      </c>
      <c r="BA18" s="205" t="str">
        <f t="shared" si="21"/>
        <v>October</v>
      </c>
      <c r="BB18" s="205" t="str">
        <f t="shared" si="21"/>
        <v>November</v>
      </c>
      <c r="BC18" s="205" t="str">
        <f t="shared" si="21"/>
        <v>December</v>
      </c>
      <c r="BD18" s="205" t="str">
        <f t="shared" si="21"/>
        <v>January</v>
      </c>
      <c r="BE18" s="205" t="str">
        <f t="shared" si="21"/>
        <v>February</v>
      </c>
      <c r="BF18" s="205" t="str">
        <f t="shared" si="21"/>
        <v>March</v>
      </c>
      <c r="BG18" s="205" t="str">
        <f t="shared" si="21"/>
        <v>April</v>
      </c>
      <c r="BH18" s="205" t="str">
        <f t="shared" si="21"/>
        <v>May</v>
      </c>
      <c r="BI18" s="205" t="str">
        <f t="shared" si="21"/>
        <v>June</v>
      </c>
      <c r="BJ18" s="205" t="str">
        <f t="shared" si="21"/>
        <v>July</v>
      </c>
      <c r="BK18" s="205" t="str">
        <f t="shared" si="21"/>
        <v>August</v>
      </c>
      <c r="BL18" s="205" t="str">
        <f t="shared" si="21"/>
        <v>September</v>
      </c>
      <c r="BM18" s="205" t="str">
        <f t="shared" si="21"/>
        <v>October</v>
      </c>
      <c r="BN18" s="205" t="str">
        <f t="shared" si="21"/>
        <v>November</v>
      </c>
      <c r="BO18" s="205" t="str">
        <f t="shared" si="21"/>
        <v>December</v>
      </c>
      <c r="BP18" s="205" t="str">
        <f t="shared" si="21"/>
        <v>January</v>
      </c>
      <c r="BQ18" s="205" t="str">
        <f t="shared" si="21"/>
        <v>February</v>
      </c>
      <c r="BR18" s="205" t="str">
        <f t="shared" ref="BR18:CW18" si="22">INDEX(MonthListIn,MONTH(BR11))</f>
        <v>March</v>
      </c>
      <c r="BS18" s="205" t="str">
        <f t="shared" si="22"/>
        <v>April</v>
      </c>
      <c r="BT18" s="205" t="str">
        <f t="shared" si="22"/>
        <v>May</v>
      </c>
      <c r="BU18" s="205" t="str">
        <f t="shared" si="22"/>
        <v>June</v>
      </c>
      <c r="BV18" s="205" t="str">
        <f t="shared" si="22"/>
        <v>July</v>
      </c>
      <c r="BW18" s="205" t="str">
        <f t="shared" si="22"/>
        <v>August</v>
      </c>
      <c r="BX18" s="205" t="str">
        <f t="shared" si="22"/>
        <v>September</v>
      </c>
      <c r="BY18" s="205" t="str">
        <f t="shared" si="22"/>
        <v>October</v>
      </c>
      <c r="BZ18" s="205" t="str">
        <f t="shared" si="22"/>
        <v>November</v>
      </c>
      <c r="CA18" s="205" t="str">
        <f t="shared" si="22"/>
        <v>December</v>
      </c>
      <c r="CB18" s="205" t="str">
        <f t="shared" si="22"/>
        <v>January</v>
      </c>
      <c r="CC18" s="205" t="str">
        <f t="shared" si="22"/>
        <v>February</v>
      </c>
      <c r="CD18" s="205" t="str">
        <f t="shared" si="22"/>
        <v>March</v>
      </c>
      <c r="CE18" s="205" t="str">
        <f t="shared" si="22"/>
        <v>April</v>
      </c>
      <c r="CF18" s="205" t="str">
        <f t="shared" si="22"/>
        <v>May</v>
      </c>
      <c r="CG18" s="205" t="str">
        <f t="shared" si="22"/>
        <v>June</v>
      </c>
      <c r="CH18" s="205" t="str">
        <f t="shared" si="22"/>
        <v>July</v>
      </c>
      <c r="CI18" s="205" t="str">
        <f t="shared" si="22"/>
        <v>August</v>
      </c>
      <c r="CJ18" s="205" t="str">
        <f t="shared" si="22"/>
        <v>September</v>
      </c>
      <c r="CK18" s="205" t="str">
        <f t="shared" si="22"/>
        <v>October</v>
      </c>
      <c r="CL18" s="205" t="str">
        <f t="shared" si="22"/>
        <v>November</v>
      </c>
      <c r="CM18" s="205" t="str">
        <f t="shared" si="22"/>
        <v>December</v>
      </c>
      <c r="CN18" s="205" t="str">
        <f t="shared" si="22"/>
        <v>January</v>
      </c>
      <c r="CO18" s="205" t="str">
        <f t="shared" si="22"/>
        <v>February</v>
      </c>
      <c r="CP18" s="205" t="str">
        <f t="shared" si="22"/>
        <v>March</v>
      </c>
      <c r="CQ18" s="205" t="str">
        <f t="shared" si="22"/>
        <v>April</v>
      </c>
      <c r="CR18" s="205" t="str">
        <f t="shared" si="22"/>
        <v>May</v>
      </c>
      <c r="CS18" s="205" t="str">
        <f t="shared" si="22"/>
        <v>June</v>
      </c>
      <c r="CT18" s="205" t="str">
        <f t="shared" si="22"/>
        <v>July</v>
      </c>
      <c r="CU18" s="205" t="str">
        <f t="shared" si="22"/>
        <v>August</v>
      </c>
      <c r="CV18" s="205" t="str">
        <f t="shared" si="22"/>
        <v>September</v>
      </c>
      <c r="CW18" s="205" t="str">
        <f t="shared" si="22"/>
        <v>October</v>
      </c>
      <c r="CX18" s="205" t="str">
        <f t="shared" ref="CX18:DX18" si="23">INDEX(MonthListIn,MONTH(CX11))</f>
        <v>November</v>
      </c>
      <c r="CY18" s="205" t="str">
        <f t="shared" si="23"/>
        <v>December</v>
      </c>
      <c r="CZ18" s="205" t="str">
        <f t="shared" si="23"/>
        <v>January</v>
      </c>
      <c r="DA18" s="205" t="str">
        <f t="shared" si="23"/>
        <v>February</v>
      </c>
      <c r="DB18" s="205" t="str">
        <f t="shared" si="23"/>
        <v>March</v>
      </c>
      <c r="DC18" s="205" t="str">
        <f t="shared" si="23"/>
        <v>April</v>
      </c>
      <c r="DD18" s="205" t="str">
        <f t="shared" si="23"/>
        <v>May</v>
      </c>
      <c r="DE18" s="205" t="str">
        <f t="shared" si="23"/>
        <v>June</v>
      </c>
      <c r="DF18" s="205" t="str">
        <f t="shared" si="23"/>
        <v>July</v>
      </c>
      <c r="DG18" s="205" t="str">
        <f t="shared" si="23"/>
        <v>August</v>
      </c>
      <c r="DH18" s="205" t="str">
        <f t="shared" si="23"/>
        <v>September</v>
      </c>
      <c r="DI18" s="205" t="str">
        <f t="shared" si="23"/>
        <v>October</v>
      </c>
      <c r="DJ18" s="205" t="str">
        <f t="shared" si="23"/>
        <v>November</v>
      </c>
      <c r="DK18" s="205" t="str">
        <f t="shared" si="23"/>
        <v>December</v>
      </c>
      <c r="DL18" s="205" t="str">
        <f t="shared" si="23"/>
        <v>January</v>
      </c>
      <c r="DM18" s="205" t="str">
        <f t="shared" si="23"/>
        <v>February</v>
      </c>
      <c r="DN18" s="205" t="str">
        <f t="shared" si="23"/>
        <v>March</v>
      </c>
      <c r="DO18" s="205" t="str">
        <f t="shared" si="23"/>
        <v>April</v>
      </c>
      <c r="DP18" s="205" t="str">
        <f t="shared" si="23"/>
        <v>May</v>
      </c>
      <c r="DQ18" s="205" t="str">
        <f t="shared" si="23"/>
        <v>June</v>
      </c>
      <c r="DR18" s="205" t="str">
        <f t="shared" si="23"/>
        <v>July</v>
      </c>
      <c r="DS18" s="205" t="str">
        <f t="shared" si="23"/>
        <v>August</v>
      </c>
      <c r="DT18" s="205" t="str">
        <f t="shared" si="23"/>
        <v>September</v>
      </c>
      <c r="DU18" s="205" t="str">
        <f t="shared" si="23"/>
        <v>October</v>
      </c>
      <c r="DV18" s="205" t="str">
        <f t="shared" si="23"/>
        <v>November</v>
      </c>
      <c r="DW18" s="205" t="str">
        <f t="shared" si="23"/>
        <v>December</v>
      </c>
      <c r="DX18" s="205" t="str">
        <f t="shared" si="23"/>
        <v>January</v>
      </c>
      <c r="DY18" s="88"/>
      <c r="DZ18" s="188" t="s">
        <v>398</v>
      </c>
      <c r="EB18" s="88"/>
    </row>
    <row r="19" spans="1:132" outlineLevel="1">
      <c r="A19" s="91" t="s">
        <v>355</v>
      </c>
      <c r="C19" s="185"/>
      <c r="D19" s="185"/>
      <c r="E19" s="185"/>
      <c r="F19" s="206" t="str">
        <f t="shared" ref="F19:BQ19" si="24">IF(F15=0,"M"&amp;F14,"Y"&amp;F15&amp;"M"&amp;F16)</f>
        <v>M-3</v>
      </c>
      <c r="G19" s="207" t="str">
        <f t="shared" si="24"/>
        <v>M-2</v>
      </c>
      <c r="H19" s="207" t="str">
        <f t="shared" si="24"/>
        <v>M-1</v>
      </c>
      <c r="I19" s="207" t="str">
        <f t="shared" si="24"/>
        <v>Y1M1</v>
      </c>
      <c r="J19" s="207" t="str">
        <f t="shared" si="24"/>
        <v>Y1M2</v>
      </c>
      <c r="K19" s="207" t="str">
        <f t="shared" si="24"/>
        <v>Y1M3</v>
      </c>
      <c r="L19" s="207" t="str">
        <f t="shared" si="24"/>
        <v>Y1M4</v>
      </c>
      <c r="M19" s="207" t="str">
        <f t="shared" si="24"/>
        <v>Y1M5</v>
      </c>
      <c r="N19" s="207" t="str">
        <f t="shared" si="24"/>
        <v>Y1M6</v>
      </c>
      <c r="O19" s="207" t="str">
        <f t="shared" si="24"/>
        <v>Y1M7</v>
      </c>
      <c r="P19" s="207" t="str">
        <f t="shared" si="24"/>
        <v>Y1M8</v>
      </c>
      <c r="Q19" s="207" t="str">
        <f t="shared" si="24"/>
        <v>Y1M9</v>
      </c>
      <c r="R19" s="207" t="str">
        <f t="shared" si="24"/>
        <v>Y1M10</v>
      </c>
      <c r="S19" s="207" t="str">
        <f t="shared" si="24"/>
        <v>Y1M11</v>
      </c>
      <c r="T19" s="207" t="str">
        <f t="shared" si="24"/>
        <v>Y1M12</v>
      </c>
      <c r="U19" s="207" t="str">
        <f t="shared" si="24"/>
        <v>Y2M1</v>
      </c>
      <c r="V19" s="207" t="str">
        <f t="shared" si="24"/>
        <v>Y2M2</v>
      </c>
      <c r="W19" s="207" t="str">
        <f t="shared" si="24"/>
        <v>Y2M3</v>
      </c>
      <c r="X19" s="207" t="str">
        <f t="shared" si="24"/>
        <v>Y2M4</v>
      </c>
      <c r="Y19" s="207" t="str">
        <f t="shared" si="24"/>
        <v>Y2M5</v>
      </c>
      <c r="Z19" s="207" t="str">
        <f t="shared" si="24"/>
        <v>Y2M6</v>
      </c>
      <c r="AA19" s="207" t="str">
        <f t="shared" si="24"/>
        <v>Y2M7</v>
      </c>
      <c r="AB19" s="207" t="str">
        <f t="shared" si="24"/>
        <v>Y2M8</v>
      </c>
      <c r="AC19" s="207" t="str">
        <f t="shared" si="24"/>
        <v>Y2M9</v>
      </c>
      <c r="AD19" s="207" t="str">
        <f t="shared" si="24"/>
        <v>Y2M10</v>
      </c>
      <c r="AE19" s="207" t="str">
        <f t="shared" si="24"/>
        <v>Y2M11</v>
      </c>
      <c r="AF19" s="207" t="str">
        <f t="shared" si="24"/>
        <v>Y2M12</v>
      </c>
      <c r="AG19" s="207" t="str">
        <f t="shared" si="24"/>
        <v>Y3M1</v>
      </c>
      <c r="AH19" s="207" t="str">
        <f t="shared" si="24"/>
        <v>Y3M2</v>
      </c>
      <c r="AI19" s="207" t="str">
        <f t="shared" si="24"/>
        <v>Y3M3</v>
      </c>
      <c r="AJ19" s="207" t="str">
        <f t="shared" si="24"/>
        <v>Y3M4</v>
      </c>
      <c r="AK19" s="207" t="str">
        <f t="shared" si="24"/>
        <v>Y3M5</v>
      </c>
      <c r="AL19" s="207" t="str">
        <f t="shared" si="24"/>
        <v>Y3M6</v>
      </c>
      <c r="AM19" s="207" t="str">
        <f t="shared" si="24"/>
        <v>Y3M7</v>
      </c>
      <c r="AN19" s="207" t="str">
        <f t="shared" si="24"/>
        <v>Y3M8</v>
      </c>
      <c r="AO19" s="207" t="str">
        <f t="shared" si="24"/>
        <v>Y3M9</v>
      </c>
      <c r="AP19" s="207" t="str">
        <f t="shared" si="24"/>
        <v>Y3M10</v>
      </c>
      <c r="AQ19" s="207" t="str">
        <f t="shared" si="24"/>
        <v>Y3M11</v>
      </c>
      <c r="AR19" s="207" t="str">
        <f t="shared" si="24"/>
        <v>Y3M12</v>
      </c>
      <c r="AS19" s="207" t="str">
        <f t="shared" si="24"/>
        <v>Y4M1</v>
      </c>
      <c r="AT19" s="207" t="str">
        <f t="shared" si="24"/>
        <v>Y4M2</v>
      </c>
      <c r="AU19" s="207" t="str">
        <f t="shared" si="24"/>
        <v>Y4M3</v>
      </c>
      <c r="AV19" s="207" t="str">
        <f t="shared" si="24"/>
        <v>Y4M4</v>
      </c>
      <c r="AW19" s="207" t="str">
        <f t="shared" si="24"/>
        <v>Y4M5</v>
      </c>
      <c r="AX19" s="207" t="str">
        <f t="shared" si="24"/>
        <v>Y4M6</v>
      </c>
      <c r="AY19" s="207" t="str">
        <f t="shared" si="24"/>
        <v>Y4M7</v>
      </c>
      <c r="AZ19" s="207" t="str">
        <f t="shared" si="24"/>
        <v>Y4M8</v>
      </c>
      <c r="BA19" s="207" t="str">
        <f t="shared" si="24"/>
        <v>Y4M9</v>
      </c>
      <c r="BB19" s="207" t="str">
        <f t="shared" si="24"/>
        <v>Y4M10</v>
      </c>
      <c r="BC19" s="207" t="str">
        <f t="shared" si="24"/>
        <v>Y4M11</v>
      </c>
      <c r="BD19" s="207" t="str">
        <f t="shared" si="24"/>
        <v>Y4M12</v>
      </c>
      <c r="BE19" s="207" t="str">
        <f t="shared" si="24"/>
        <v>Y5M1</v>
      </c>
      <c r="BF19" s="207" t="str">
        <f t="shared" si="24"/>
        <v>Y5M2</v>
      </c>
      <c r="BG19" s="207" t="str">
        <f t="shared" si="24"/>
        <v>Y5M3</v>
      </c>
      <c r="BH19" s="207" t="str">
        <f t="shared" si="24"/>
        <v>Y5M4</v>
      </c>
      <c r="BI19" s="207" t="str">
        <f t="shared" si="24"/>
        <v>Y5M5</v>
      </c>
      <c r="BJ19" s="207" t="str">
        <f t="shared" si="24"/>
        <v>Y5M6</v>
      </c>
      <c r="BK19" s="207" t="str">
        <f t="shared" si="24"/>
        <v>Y5M7</v>
      </c>
      <c r="BL19" s="207" t="str">
        <f t="shared" si="24"/>
        <v>Y5M8</v>
      </c>
      <c r="BM19" s="207" t="str">
        <f t="shared" si="24"/>
        <v>Y5M9</v>
      </c>
      <c r="BN19" s="207" t="str">
        <f t="shared" si="24"/>
        <v>Y5M10</v>
      </c>
      <c r="BO19" s="207" t="str">
        <f t="shared" si="24"/>
        <v>Y5M11</v>
      </c>
      <c r="BP19" s="207" t="str">
        <f t="shared" si="24"/>
        <v>Y5M12</v>
      </c>
      <c r="BQ19" s="207" t="str">
        <f t="shared" si="24"/>
        <v>Y6M1</v>
      </c>
      <c r="BR19" s="207" t="str">
        <f t="shared" ref="BR19:DX19" si="25">IF(BR15=0,"M"&amp;BR14,"Y"&amp;BR15&amp;"M"&amp;BR16)</f>
        <v>Y6M2</v>
      </c>
      <c r="BS19" s="207" t="str">
        <f t="shared" si="25"/>
        <v>Y6M3</v>
      </c>
      <c r="BT19" s="207" t="str">
        <f t="shared" si="25"/>
        <v>Y6M4</v>
      </c>
      <c r="BU19" s="207" t="str">
        <f t="shared" si="25"/>
        <v>Y6M5</v>
      </c>
      <c r="BV19" s="207" t="str">
        <f t="shared" si="25"/>
        <v>Y6M6</v>
      </c>
      <c r="BW19" s="207" t="str">
        <f t="shared" si="25"/>
        <v>Y6M7</v>
      </c>
      <c r="BX19" s="207" t="str">
        <f t="shared" si="25"/>
        <v>Y6M8</v>
      </c>
      <c r="BY19" s="207" t="str">
        <f t="shared" si="25"/>
        <v>Y6M9</v>
      </c>
      <c r="BZ19" s="207" t="str">
        <f t="shared" si="25"/>
        <v>Y6M10</v>
      </c>
      <c r="CA19" s="207" t="str">
        <f t="shared" si="25"/>
        <v>Y6M11</v>
      </c>
      <c r="CB19" s="207" t="str">
        <f t="shared" si="25"/>
        <v>Y6M12</v>
      </c>
      <c r="CC19" s="207" t="str">
        <f t="shared" si="25"/>
        <v>Y7M1</v>
      </c>
      <c r="CD19" s="207" t="str">
        <f t="shared" si="25"/>
        <v>Y7M2</v>
      </c>
      <c r="CE19" s="207" t="str">
        <f t="shared" si="25"/>
        <v>Y7M3</v>
      </c>
      <c r="CF19" s="207" t="str">
        <f t="shared" si="25"/>
        <v>Y7M4</v>
      </c>
      <c r="CG19" s="207" t="str">
        <f t="shared" si="25"/>
        <v>Y7M5</v>
      </c>
      <c r="CH19" s="207" t="str">
        <f t="shared" si="25"/>
        <v>Y7M6</v>
      </c>
      <c r="CI19" s="207" t="str">
        <f t="shared" si="25"/>
        <v>Y7M7</v>
      </c>
      <c r="CJ19" s="207" t="str">
        <f t="shared" si="25"/>
        <v>Y7M8</v>
      </c>
      <c r="CK19" s="207" t="str">
        <f t="shared" si="25"/>
        <v>Y7M9</v>
      </c>
      <c r="CL19" s="207" t="str">
        <f t="shared" si="25"/>
        <v>Y7M10</v>
      </c>
      <c r="CM19" s="207" t="str">
        <f t="shared" si="25"/>
        <v>Y7M11</v>
      </c>
      <c r="CN19" s="207" t="str">
        <f t="shared" si="25"/>
        <v>Y7M12</v>
      </c>
      <c r="CO19" s="207" t="str">
        <f t="shared" si="25"/>
        <v>Y8M1</v>
      </c>
      <c r="CP19" s="207" t="str">
        <f t="shared" si="25"/>
        <v>Y8M2</v>
      </c>
      <c r="CQ19" s="207" t="str">
        <f t="shared" si="25"/>
        <v>Y8M3</v>
      </c>
      <c r="CR19" s="207" t="str">
        <f t="shared" si="25"/>
        <v>Y8M4</v>
      </c>
      <c r="CS19" s="207" t="str">
        <f t="shared" si="25"/>
        <v>Y8M5</v>
      </c>
      <c r="CT19" s="207" t="str">
        <f t="shared" si="25"/>
        <v>Y8M6</v>
      </c>
      <c r="CU19" s="207" t="str">
        <f t="shared" si="25"/>
        <v>Y8M7</v>
      </c>
      <c r="CV19" s="207" t="str">
        <f t="shared" si="25"/>
        <v>Y8M8</v>
      </c>
      <c r="CW19" s="207" t="str">
        <f t="shared" si="25"/>
        <v>Y8M9</v>
      </c>
      <c r="CX19" s="207" t="str">
        <f t="shared" si="25"/>
        <v>Y8M10</v>
      </c>
      <c r="CY19" s="207" t="str">
        <f t="shared" si="25"/>
        <v>Y8M11</v>
      </c>
      <c r="CZ19" s="207" t="str">
        <f t="shared" si="25"/>
        <v>Y8M12</v>
      </c>
      <c r="DA19" s="207" t="str">
        <f t="shared" si="25"/>
        <v>Y9M1</v>
      </c>
      <c r="DB19" s="207" t="str">
        <f t="shared" si="25"/>
        <v>Y9M2</v>
      </c>
      <c r="DC19" s="207" t="str">
        <f t="shared" si="25"/>
        <v>Y9M3</v>
      </c>
      <c r="DD19" s="207" t="str">
        <f t="shared" si="25"/>
        <v>Y9M4</v>
      </c>
      <c r="DE19" s="207" t="str">
        <f t="shared" si="25"/>
        <v>Y9M5</v>
      </c>
      <c r="DF19" s="207" t="str">
        <f t="shared" si="25"/>
        <v>Y9M6</v>
      </c>
      <c r="DG19" s="207" t="str">
        <f t="shared" si="25"/>
        <v>Y9M7</v>
      </c>
      <c r="DH19" s="207" t="str">
        <f t="shared" si="25"/>
        <v>Y9M8</v>
      </c>
      <c r="DI19" s="207" t="str">
        <f t="shared" si="25"/>
        <v>Y9M9</v>
      </c>
      <c r="DJ19" s="207" t="str">
        <f t="shared" si="25"/>
        <v>Y9M10</v>
      </c>
      <c r="DK19" s="207" t="str">
        <f t="shared" si="25"/>
        <v>Y9M11</v>
      </c>
      <c r="DL19" s="207" t="str">
        <f t="shared" si="25"/>
        <v>Y9M12</v>
      </c>
      <c r="DM19" s="207" t="str">
        <f t="shared" si="25"/>
        <v>Y10M1</v>
      </c>
      <c r="DN19" s="207" t="str">
        <f t="shared" si="25"/>
        <v>Y10M2</v>
      </c>
      <c r="DO19" s="207" t="str">
        <f t="shared" si="25"/>
        <v>Y10M3</v>
      </c>
      <c r="DP19" s="207" t="str">
        <f t="shared" si="25"/>
        <v>Y10M4</v>
      </c>
      <c r="DQ19" s="207" t="str">
        <f t="shared" si="25"/>
        <v>Y10M5</v>
      </c>
      <c r="DR19" s="207" t="str">
        <f t="shared" si="25"/>
        <v>Y10M6</v>
      </c>
      <c r="DS19" s="207" t="str">
        <f t="shared" si="25"/>
        <v>Y10M7</v>
      </c>
      <c r="DT19" s="207" t="str">
        <f t="shared" si="25"/>
        <v>Y10M8</v>
      </c>
      <c r="DU19" s="207" t="str">
        <f t="shared" si="25"/>
        <v>Y10M9</v>
      </c>
      <c r="DV19" s="207" t="str">
        <f t="shared" si="25"/>
        <v>Y10M10</v>
      </c>
      <c r="DW19" s="207" t="str">
        <f t="shared" si="25"/>
        <v>Y10M11</v>
      </c>
      <c r="DX19" s="207" t="str">
        <f t="shared" si="25"/>
        <v>Y10M12</v>
      </c>
      <c r="DY19" s="88"/>
      <c r="DZ19" s="188" t="s">
        <v>399</v>
      </c>
      <c r="EB19" s="88"/>
    </row>
    <row r="20" spans="1:132" outlineLevel="1">
      <c r="A20" s="91" t="s">
        <v>163</v>
      </c>
      <c r="C20" s="185"/>
      <c r="D20" s="185"/>
      <c r="E20" s="185"/>
      <c r="F20" s="206" t="str">
        <f t="shared" ref="F20:BQ20" si="26">IF(F14&lt;0,"Pre","Q"&amp;INT((F14-1)/3)+1)</f>
        <v>Pre</v>
      </c>
      <c r="G20" s="207" t="str">
        <f t="shared" si="26"/>
        <v>Pre</v>
      </c>
      <c r="H20" s="207" t="str">
        <f t="shared" si="26"/>
        <v>Pre</v>
      </c>
      <c r="I20" s="207" t="str">
        <f t="shared" si="26"/>
        <v>Q1</v>
      </c>
      <c r="J20" s="207" t="str">
        <f t="shared" si="26"/>
        <v>Q1</v>
      </c>
      <c r="K20" s="207" t="str">
        <f t="shared" si="26"/>
        <v>Q1</v>
      </c>
      <c r="L20" s="207" t="str">
        <f t="shared" si="26"/>
        <v>Q2</v>
      </c>
      <c r="M20" s="207" t="str">
        <f t="shared" si="26"/>
        <v>Q2</v>
      </c>
      <c r="N20" s="207" t="str">
        <f t="shared" si="26"/>
        <v>Q2</v>
      </c>
      <c r="O20" s="207" t="str">
        <f t="shared" si="26"/>
        <v>Q3</v>
      </c>
      <c r="P20" s="207" t="str">
        <f t="shared" si="26"/>
        <v>Q3</v>
      </c>
      <c r="Q20" s="207" t="str">
        <f t="shared" si="26"/>
        <v>Q3</v>
      </c>
      <c r="R20" s="207" t="str">
        <f t="shared" si="26"/>
        <v>Q4</v>
      </c>
      <c r="S20" s="207" t="str">
        <f t="shared" si="26"/>
        <v>Q4</v>
      </c>
      <c r="T20" s="207" t="str">
        <f t="shared" si="26"/>
        <v>Q4</v>
      </c>
      <c r="U20" s="207" t="str">
        <f t="shared" si="26"/>
        <v>Q5</v>
      </c>
      <c r="V20" s="207" t="str">
        <f t="shared" si="26"/>
        <v>Q5</v>
      </c>
      <c r="W20" s="207" t="str">
        <f t="shared" si="26"/>
        <v>Q5</v>
      </c>
      <c r="X20" s="207" t="str">
        <f t="shared" si="26"/>
        <v>Q6</v>
      </c>
      <c r="Y20" s="207" t="str">
        <f t="shared" si="26"/>
        <v>Q6</v>
      </c>
      <c r="Z20" s="207" t="str">
        <f t="shared" si="26"/>
        <v>Q6</v>
      </c>
      <c r="AA20" s="207" t="str">
        <f t="shared" si="26"/>
        <v>Q7</v>
      </c>
      <c r="AB20" s="207" t="str">
        <f t="shared" si="26"/>
        <v>Q7</v>
      </c>
      <c r="AC20" s="207" t="str">
        <f t="shared" si="26"/>
        <v>Q7</v>
      </c>
      <c r="AD20" s="207" t="str">
        <f t="shared" si="26"/>
        <v>Q8</v>
      </c>
      <c r="AE20" s="207" t="str">
        <f t="shared" si="26"/>
        <v>Q8</v>
      </c>
      <c r="AF20" s="207" t="str">
        <f t="shared" si="26"/>
        <v>Q8</v>
      </c>
      <c r="AG20" s="207" t="str">
        <f t="shared" si="26"/>
        <v>Q9</v>
      </c>
      <c r="AH20" s="207" t="str">
        <f t="shared" si="26"/>
        <v>Q9</v>
      </c>
      <c r="AI20" s="207" t="str">
        <f t="shared" si="26"/>
        <v>Q9</v>
      </c>
      <c r="AJ20" s="207" t="str">
        <f t="shared" si="26"/>
        <v>Q10</v>
      </c>
      <c r="AK20" s="207" t="str">
        <f t="shared" si="26"/>
        <v>Q10</v>
      </c>
      <c r="AL20" s="207" t="str">
        <f t="shared" si="26"/>
        <v>Q10</v>
      </c>
      <c r="AM20" s="207" t="str">
        <f t="shared" si="26"/>
        <v>Q11</v>
      </c>
      <c r="AN20" s="207" t="str">
        <f t="shared" si="26"/>
        <v>Q11</v>
      </c>
      <c r="AO20" s="207" t="str">
        <f t="shared" si="26"/>
        <v>Q11</v>
      </c>
      <c r="AP20" s="207" t="str">
        <f t="shared" si="26"/>
        <v>Q12</v>
      </c>
      <c r="AQ20" s="207" t="str">
        <f t="shared" si="26"/>
        <v>Q12</v>
      </c>
      <c r="AR20" s="207" t="str">
        <f t="shared" si="26"/>
        <v>Q12</v>
      </c>
      <c r="AS20" s="207" t="str">
        <f t="shared" si="26"/>
        <v>Q13</v>
      </c>
      <c r="AT20" s="207" t="str">
        <f t="shared" si="26"/>
        <v>Q13</v>
      </c>
      <c r="AU20" s="207" t="str">
        <f t="shared" si="26"/>
        <v>Q13</v>
      </c>
      <c r="AV20" s="207" t="str">
        <f t="shared" si="26"/>
        <v>Q14</v>
      </c>
      <c r="AW20" s="207" t="str">
        <f t="shared" si="26"/>
        <v>Q14</v>
      </c>
      <c r="AX20" s="207" t="str">
        <f t="shared" si="26"/>
        <v>Q14</v>
      </c>
      <c r="AY20" s="207" t="str">
        <f t="shared" si="26"/>
        <v>Q15</v>
      </c>
      <c r="AZ20" s="207" t="str">
        <f t="shared" si="26"/>
        <v>Q15</v>
      </c>
      <c r="BA20" s="207" t="str">
        <f t="shared" si="26"/>
        <v>Q15</v>
      </c>
      <c r="BB20" s="207" t="str">
        <f t="shared" si="26"/>
        <v>Q16</v>
      </c>
      <c r="BC20" s="207" t="str">
        <f t="shared" si="26"/>
        <v>Q16</v>
      </c>
      <c r="BD20" s="207" t="str">
        <f t="shared" si="26"/>
        <v>Q16</v>
      </c>
      <c r="BE20" s="207" t="str">
        <f t="shared" si="26"/>
        <v>Q17</v>
      </c>
      <c r="BF20" s="207" t="str">
        <f t="shared" si="26"/>
        <v>Q17</v>
      </c>
      <c r="BG20" s="207" t="str">
        <f t="shared" si="26"/>
        <v>Q17</v>
      </c>
      <c r="BH20" s="207" t="str">
        <f t="shared" si="26"/>
        <v>Q18</v>
      </c>
      <c r="BI20" s="207" t="str">
        <f t="shared" si="26"/>
        <v>Q18</v>
      </c>
      <c r="BJ20" s="207" t="str">
        <f t="shared" si="26"/>
        <v>Q18</v>
      </c>
      <c r="BK20" s="207" t="str">
        <f t="shared" si="26"/>
        <v>Q19</v>
      </c>
      <c r="BL20" s="207" t="str">
        <f t="shared" si="26"/>
        <v>Q19</v>
      </c>
      <c r="BM20" s="207" t="str">
        <f t="shared" si="26"/>
        <v>Q19</v>
      </c>
      <c r="BN20" s="207" t="str">
        <f t="shared" si="26"/>
        <v>Q20</v>
      </c>
      <c r="BO20" s="207" t="str">
        <f t="shared" si="26"/>
        <v>Q20</v>
      </c>
      <c r="BP20" s="207" t="str">
        <f t="shared" si="26"/>
        <v>Q20</v>
      </c>
      <c r="BQ20" s="207" t="str">
        <f t="shared" si="26"/>
        <v>Q21</v>
      </c>
      <c r="BR20" s="207" t="str">
        <f t="shared" ref="BR20:DX20" si="27">IF(BR14&lt;0,"Pre","Q"&amp;INT((BR14-1)/3)+1)</f>
        <v>Q21</v>
      </c>
      <c r="BS20" s="207" t="str">
        <f t="shared" si="27"/>
        <v>Q21</v>
      </c>
      <c r="BT20" s="207" t="str">
        <f t="shared" si="27"/>
        <v>Q22</v>
      </c>
      <c r="BU20" s="207" t="str">
        <f t="shared" si="27"/>
        <v>Q22</v>
      </c>
      <c r="BV20" s="207" t="str">
        <f t="shared" si="27"/>
        <v>Q22</v>
      </c>
      <c r="BW20" s="207" t="str">
        <f t="shared" si="27"/>
        <v>Q23</v>
      </c>
      <c r="BX20" s="207" t="str">
        <f t="shared" si="27"/>
        <v>Q23</v>
      </c>
      <c r="BY20" s="207" t="str">
        <f t="shared" si="27"/>
        <v>Q23</v>
      </c>
      <c r="BZ20" s="207" t="str">
        <f t="shared" si="27"/>
        <v>Q24</v>
      </c>
      <c r="CA20" s="207" t="str">
        <f t="shared" si="27"/>
        <v>Q24</v>
      </c>
      <c r="CB20" s="207" t="str">
        <f t="shared" si="27"/>
        <v>Q24</v>
      </c>
      <c r="CC20" s="207" t="str">
        <f t="shared" si="27"/>
        <v>Q25</v>
      </c>
      <c r="CD20" s="207" t="str">
        <f t="shared" si="27"/>
        <v>Q25</v>
      </c>
      <c r="CE20" s="207" t="str">
        <f t="shared" si="27"/>
        <v>Q25</v>
      </c>
      <c r="CF20" s="207" t="str">
        <f t="shared" si="27"/>
        <v>Q26</v>
      </c>
      <c r="CG20" s="207" t="str">
        <f t="shared" si="27"/>
        <v>Q26</v>
      </c>
      <c r="CH20" s="207" t="str">
        <f t="shared" si="27"/>
        <v>Q26</v>
      </c>
      <c r="CI20" s="207" t="str">
        <f t="shared" si="27"/>
        <v>Q27</v>
      </c>
      <c r="CJ20" s="207" t="str">
        <f t="shared" si="27"/>
        <v>Q27</v>
      </c>
      <c r="CK20" s="207" t="str">
        <f t="shared" si="27"/>
        <v>Q27</v>
      </c>
      <c r="CL20" s="207" t="str">
        <f t="shared" si="27"/>
        <v>Q28</v>
      </c>
      <c r="CM20" s="207" t="str">
        <f t="shared" si="27"/>
        <v>Q28</v>
      </c>
      <c r="CN20" s="207" t="str">
        <f t="shared" si="27"/>
        <v>Q28</v>
      </c>
      <c r="CO20" s="207" t="str">
        <f t="shared" si="27"/>
        <v>Q29</v>
      </c>
      <c r="CP20" s="207" t="str">
        <f t="shared" si="27"/>
        <v>Q29</v>
      </c>
      <c r="CQ20" s="207" t="str">
        <f t="shared" si="27"/>
        <v>Q29</v>
      </c>
      <c r="CR20" s="207" t="str">
        <f t="shared" si="27"/>
        <v>Q30</v>
      </c>
      <c r="CS20" s="207" t="str">
        <f t="shared" si="27"/>
        <v>Q30</v>
      </c>
      <c r="CT20" s="207" t="str">
        <f t="shared" si="27"/>
        <v>Q30</v>
      </c>
      <c r="CU20" s="207" t="str">
        <f t="shared" si="27"/>
        <v>Q31</v>
      </c>
      <c r="CV20" s="207" t="str">
        <f t="shared" si="27"/>
        <v>Q31</v>
      </c>
      <c r="CW20" s="207" t="str">
        <f t="shared" si="27"/>
        <v>Q31</v>
      </c>
      <c r="CX20" s="207" t="str">
        <f t="shared" si="27"/>
        <v>Q32</v>
      </c>
      <c r="CY20" s="207" t="str">
        <f t="shared" si="27"/>
        <v>Q32</v>
      </c>
      <c r="CZ20" s="207" t="str">
        <f t="shared" si="27"/>
        <v>Q32</v>
      </c>
      <c r="DA20" s="207" t="str">
        <f t="shared" si="27"/>
        <v>Q33</v>
      </c>
      <c r="DB20" s="207" t="str">
        <f t="shared" si="27"/>
        <v>Q33</v>
      </c>
      <c r="DC20" s="207" t="str">
        <f t="shared" si="27"/>
        <v>Q33</v>
      </c>
      <c r="DD20" s="207" t="str">
        <f t="shared" si="27"/>
        <v>Q34</v>
      </c>
      <c r="DE20" s="207" t="str">
        <f t="shared" si="27"/>
        <v>Q34</v>
      </c>
      <c r="DF20" s="207" t="str">
        <f t="shared" si="27"/>
        <v>Q34</v>
      </c>
      <c r="DG20" s="207" t="str">
        <f t="shared" si="27"/>
        <v>Q35</v>
      </c>
      <c r="DH20" s="207" t="str">
        <f t="shared" si="27"/>
        <v>Q35</v>
      </c>
      <c r="DI20" s="207" t="str">
        <f t="shared" si="27"/>
        <v>Q35</v>
      </c>
      <c r="DJ20" s="207" t="str">
        <f t="shared" si="27"/>
        <v>Q36</v>
      </c>
      <c r="DK20" s="207" t="str">
        <f t="shared" si="27"/>
        <v>Q36</v>
      </c>
      <c r="DL20" s="207" t="str">
        <f t="shared" si="27"/>
        <v>Q36</v>
      </c>
      <c r="DM20" s="207" t="str">
        <f t="shared" si="27"/>
        <v>Q37</v>
      </c>
      <c r="DN20" s="207" t="str">
        <f t="shared" si="27"/>
        <v>Q37</v>
      </c>
      <c r="DO20" s="207" t="str">
        <f t="shared" si="27"/>
        <v>Q37</v>
      </c>
      <c r="DP20" s="207" t="str">
        <f t="shared" si="27"/>
        <v>Q38</v>
      </c>
      <c r="DQ20" s="207" t="str">
        <f t="shared" si="27"/>
        <v>Q38</v>
      </c>
      <c r="DR20" s="207" t="str">
        <f t="shared" si="27"/>
        <v>Q38</v>
      </c>
      <c r="DS20" s="207" t="str">
        <f t="shared" si="27"/>
        <v>Q39</v>
      </c>
      <c r="DT20" s="207" t="str">
        <f t="shared" si="27"/>
        <v>Q39</v>
      </c>
      <c r="DU20" s="207" t="str">
        <f t="shared" si="27"/>
        <v>Q39</v>
      </c>
      <c r="DV20" s="207" t="str">
        <f t="shared" si="27"/>
        <v>Q40</v>
      </c>
      <c r="DW20" s="207" t="str">
        <f t="shared" si="27"/>
        <v>Q40</v>
      </c>
      <c r="DX20" s="207" t="str">
        <f t="shared" si="27"/>
        <v>Q40</v>
      </c>
      <c r="DY20" s="88"/>
      <c r="DZ20" s="188" t="s">
        <v>400</v>
      </c>
      <c r="EB20" s="88"/>
    </row>
    <row r="21" spans="1:132" outlineLevel="1">
      <c r="A21" s="91" t="s">
        <v>164</v>
      </c>
      <c r="C21" s="185"/>
      <c r="D21" s="185"/>
      <c r="E21" s="185"/>
      <c r="F21" s="202">
        <f t="shared" ref="F21:AK21" si="28">IF(AND(PreContractStartDateIn&lt;=DateToMth,DateToMth&lt;=ContractEndDateIn),1,0)</f>
        <v>0</v>
      </c>
      <c r="G21" s="203">
        <f t="shared" si="28"/>
        <v>0</v>
      </c>
      <c r="H21" s="203">
        <f t="shared" si="28"/>
        <v>0</v>
      </c>
      <c r="I21" s="203">
        <f t="shared" si="28"/>
        <v>0</v>
      </c>
      <c r="J21" s="203">
        <f t="shared" si="28"/>
        <v>0</v>
      </c>
      <c r="K21" s="203">
        <f t="shared" si="28"/>
        <v>0</v>
      </c>
      <c r="L21" s="203">
        <f t="shared" si="28"/>
        <v>0</v>
      </c>
      <c r="M21" s="203">
        <f t="shared" si="28"/>
        <v>0</v>
      </c>
      <c r="N21" s="203">
        <f t="shared" si="28"/>
        <v>0</v>
      </c>
      <c r="O21" s="203">
        <f t="shared" si="28"/>
        <v>0</v>
      </c>
      <c r="P21" s="203">
        <f t="shared" si="28"/>
        <v>0</v>
      </c>
      <c r="Q21" s="203">
        <f t="shared" si="28"/>
        <v>0</v>
      </c>
      <c r="R21" s="203">
        <f t="shared" si="28"/>
        <v>0</v>
      </c>
      <c r="S21" s="203">
        <f t="shared" si="28"/>
        <v>0</v>
      </c>
      <c r="T21" s="203">
        <f t="shared" si="28"/>
        <v>0</v>
      </c>
      <c r="U21" s="203">
        <f t="shared" si="28"/>
        <v>0</v>
      </c>
      <c r="V21" s="203">
        <f t="shared" si="28"/>
        <v>0</v>
      </c>
      <c r="W21" s="203">
        <f t="shared" si="28"/>
        <v>0</v>
      </c>
      <c r="X21" s="203">
        <f t="shared" si="28"/>
        <v>0</v>
      </c>
      <c r="Y21" s="203">
        <f t="shared" si="28"/>
        <v>0</v>
      </c>
      <c r="Z21" s="203">
        <f t="shared" si="28"/>
        <v>0</v>
      </c>
      <c r="AA21" s="203">
        <f t="shared" si="28"/>
        <v>0</v>
      </c>
      <c r="AB21" s="203">
        <f t="shared" si="28"/>
        <v>0</v>
      </c>
      <c r="AC21" s="203">
        <f t="shared" si="28"/>
        <v>0</v>
      </c>
      <c r="AD21" s="203">
        <f t="shared" si="28"/>
        <v>0</v>
      </c>
      <c r="AE21" s="203">
        <f t="shared" si="28"/>
        <v>0</v>
      </c>
      <c r="AF21" s="203">
        <f t="shared" si="28"/>
        <v>0</v>
      </c>
      <c r="AG21" s="203">
        <f t="shared" si="28"/>
        <v>0</v>
      </c>
      <c r="AH21" s="203">
        <f t="shared" si="28"/>
        <v>0</v>
      </c>
      <c r="AI21" s="203">
        <f t="shared" si="28"/>
        <v>0</v>
      </c>
      <c r="AJ21" s="203">
        <f t="shared" si="28"/>
        <v>0</v>
      </c>
      <c r="AK21" s="203">
        <f t="shared" si="28"/>
        <v>0</v>
      </c>
      <c r="AL21" s="203">
        <f t="shared" ref="AL21:BQ21" si="29">IF(AND(PreContractStartDateIn&lt;=DateToMth,DateToMth&lt;=ContractEndDateIn),1,0)</f>
        <v>0</v>
      </c>
      <c r="AM21" s="203">
        <f t="shared" si="29"/>
        <v>0</v>
      </c>
      <c r="AN21" s="203">
        <f t="shared" si="29"/>
        <v>0</v>
      </c>
      <c r="AO21" s="203">
        <f t="shared" si="29"/>
        <v>0</v>
      </c>
      <c r="AP21" s="203">
        <f t="shared" si="29"/>
        <v>0</v>
      </c>
      <c r="AQ21" s="203">
        <f t="shared" si="29"/>
        <v>0</v>
      </c>
      <c r="AR21" s="203">
        <f t="shared" si="29"/>
        <v>0</v>
      </c>
      <c r="AS21" s="203">
        <f t="shared" si="29"/>
        <v>0</v>
      </c>
      <c r="AT21" s="203">
        <f t="shared" si="29"/>
        <v>0</v>
      </c>
      <c r="AU21" s="203">
        <f t="shared" si="29"/>
        <v>0</v>
      </c>
      <c r="AV21" s="203">
        <f t="shared" si="29"/>
        <v>0</v>
      </c>
      <c r="AW21" s="203">
        <f t="shared" si="29"/>
        <v>0</v>
      </c>
      <c r="AX21" s="203">
        <f t="shared" si="29"/>
        <v>0</v>
      </c>
      <c r="AY21" s="203">
        <f t="shared" si="29"/>
        <v>0</v>
      </c>
      <c r="AZ21" s="203">
        <f t="shared" si="29"/>
        <v>0</v>
      </c>
      <c r="BA21" s="203">
        <f t="shared" si="29"/>
        <v>0</v>
      </c>
      <c r="BB21" s="203">
        <f t="shared" si="29"/>
        <v>0</v>
      </c>
      <c r="BC21" s="203">
        <f t="shared" si="29"/>
        <v>0</v>
      </c>
      <c r="BD21" s="203">
        <f t="shared" si="29"/>
        <v>0</v>
      </c>
      <c r="BE21" s="203">
        <f t="shared" si="29"/>
        <v>0</v>
      </c>
      <c r="BF21" s="203">
        <f t="shared" si="29"/>
        <v>0</v>
      </c>
      <c r="BG21" s="203">
        <f t="shared" si="29"/>
        <v>0</v>
      </c>
      <c r="BH21" s="203">
        <f t="shared" si="29"/>
        <v>0</v>
      </c>
      <c r="BI21" s="203">
        <f t="shared" si="29"/>
        <v>0</v>
      </c>
      <c r="BJ21" s="203">
        <f t="shared" si="29"/>
        <v>0</v>
      </c>
      <c r="BK21" s="203">
        <f t="shared" si="29"/>
        <v>0</v>
      </c>
      <c r="BL21" s="203">
        <f t="shared" si="29"/>
        <v>0</v>
      </c>
      <c r="BM21" s="203">
        <f t="shared" si="29"/>
        <v>0</v>
      </c>
      <c r="BN21" s="203">
        <f t="shared" si="29"/>
        <v>0</v>
      </c>
      <c r="BO21" s="203">
        <f t="shared" si="29"/>
        <v>0</v>
      </c>
      <c r="BP21" s="203">
        <f t="shared" si="29"/>
        <v>0</v>
      </c>
      <c r="BQ21" s="203">
        <f t="shared" si="29"/>
        <v>0</v>
      </c>
      <c r="BR21" s="203">
        <f t="shared" ref="BR21:CW21" si="30">IF(AND(PreContractStartDateIn&lt;=DateToMth,DateToMth&lt;=ContractEndDateIn),1,0)</f>
        <v>0</v>
      </c>
      <c r="BS21" s="203">
        <f t="shared" si="30"/>
        <v>0</v>
      </c>
      <c r="BT21" s="203">
        <f t="shared" si="30"/>
        <v>0</v>
      </c>
      <c r="BU21" s="203">
        <f t="shared" si="30"/>
        <v>0</v>
      </c>
      <c r="BV21" s="203">
        <f t="shared" si="30"/>
        <v>0</v>
      </c>
      <c r="BW21" s="203">
        <f t="shared" si="30"/>
        <v>0</v>
      </c>
      <c r="BX21" s="203">
        <f t="shared" si="30"/>
        <v>0</v>
      </c>
      <c r="BY21" s="203">
        <f t="shared" si="30"/>
        <v>0</v>
      </c>
      <c r="BZ21" s="203">
        <f t="shared" si="30"/>
        <v>0</v>
      </c>
      <c r="CA21" s="203">
        <f t="shared" si="30"/>
        <v>0</v>
      </c>
      <c r="CB21" s="203">
        <f t="shared" si="30"/>
        <v>0</v>
      </c>
      <c r="CC21" s="203">
        <f t="shared" si="30"/>
        <v>0</v>
      </c>
      <c r="CD21" s="203">
        <f t="shared" si="30"/>
        <v>0</v>
      </c>
      <c r="CE21" s="203">
        <f t="shared" si="30"/>
        <v>0</v>
      </c>
      <c r="CF21" s="203">
        <f t="shared" si="30"/>
        <v>0</v>
      </c>
      <c r="CG21" s="203">
        <f t="shared" si="30"/>
        <v>0</v>
      </c>
      <c r="CH21" s="203">
        <f t="shared" si="30"/>
        <v>0</v>
      </c>
      <c r="CI21" s="203">
        <f t="shared" si="30"/>
        <v>0</v>
      </c>
      <c r="CJ21" s="203">
        <f t="shared" si="30"/>
        <v>0</v>
      </c>
      <c r="CK21" s="203">
        <f t="shared" si="30"/>
        <v>0</v>
      </c>
      <c r="CL21" s="203">
        <f t="shared" si="30"/>
        <v>0</v>
      </c>
      <c r="CM21" s="203">
        <f t="shared" si="30"/>
        <v>0</v>
      </c>
      <c r="CN21" s="203">
        <f t="shared" si="30"/>
        <v>0</v>
      </c>
      <c r="CO21" s="203">
        <f t="shared" si="30"/>
        <v>0</v>
      </c>
      <c r="CP21" s="203">
        <f t="shared" si="30"/>
        <v>0</v>
      </c>
      <c r="CQ21" s="203">
        <f t="shared" si="30"/>
        <v>0</v>
      </c>
      <c r="CR21" s="203">
        <f t="shared" si="30"/>
        <v>0</v>
      </c>
      <c r="CS21" s="203">
        <f t="shared" si="30"/>
        <v>0</v>
      </c>
      <c r="CT21" s="203">
        <f t="shared" si="30"/>
        <v>0</v>
      </c>
      <c r="CU21" s="203">
        <f t="shared" si="30"/>
        <v>0</v>
      </c>
      <c r="CV21" s="203">
        <f t="shared" si="30"/>
        <v>0</v>
      </c>
      <c r="CW21" s="203">
        <f t="shared" si="30"/>
        <v>0</v>
      </c>
      <c r="CX21" s="203">
        <f t="shared" ref="CX21:DX21" si="31">IF(AND(PreContractStartDateIn&lt;=DateToMth,DateToMth&lt;=ContractEndDateIn),1,0)</f>
        <v>0</v>
      </c>
      <c r="CY21" s="203">
        <f t="shared" si="31"/>
        <v>0</v>
      </c>
      <c r="CZ21" s="203">
        <f t="shared" si="31"/>
        <v>0</v>
      </c>
      <c r="DA21" s="203">
        <f t="shared" si="31"/>
        <v>0</v>
      </c>
      <c r="DB21" s="203">
        <f t="shared" si="31"/>
        <v>0</v>
      </c>
      <c r="DC21" s="203">
        <f t="shared" si="31"/>
        <v>0</v>
      </c>
      <c r="DD21" s="203">
        <f t="shared" si="31"/>
        <v>0</v>
      </c>
      <c r="DE21" s="203">
        <f t="shared" si="31"/>
        <v>0</v>
      </c>
      <c r="DF21" s="203">
        <f t="shared" si="31"/>
        <v>0</v>
      </c>
      <c r="DG21" s="203">
        <f t="shared" si="31"/>
        <v>0</v>
      </c>
      <c r="DH21" s="203">
        <f t="shared" si="31"/>
        <v>0</v>
      </c>
      <c r="DI21" s="203">
        <f t="shared" si="31"/>
        <v>0</v>
      </c>
      <c r="DJ21" s="203">
        <f t="shared" si="31"/>
        <v>0</v>
      </c>
      <c r="DK21" s="203">
        <f t="shared" si="31"/>
        <v>0</v>
      </c>
      <c r="DL21" s="203">
        <f t="shared" si="31"/>
        <v>0</v>
      </c>
      <c r="DM21" s="203">
        <f t="shared" si="31"/>
        <v>0</v>
      </c>
      <c r="DN21" s="203">
        <f t="shared" si="31"/>
        <v>0</v>
      </c>
      <c r="DO21" s="203">
        <f t="shared" si="31"/>
        <v>0</v>
      </c>
      <c r="DP21" s="203">
        <f t="shared" si="31"/>
        <v>0</v>
      </c>
      <c r="DQ21" s="203">
        <f t="shared" si="31"/>
        <v>0</v>
      </c>
      <c r="DR21" s="203">
        <f t="shared" si="31"/>
        <v>0</v>
      </c>
      <c r="DS21" s="203">
        <f t="shared" si="31"/>
        <v>0</v>
      </c>
      <c r="DT21" s="203">
        <f t="shared" si="31"/>
        <v>0</v>
      </c>
      <c r="DU21" s="203">
        <f t="shared" si="31"/>
        <v>0</v>
      </c>
      <c r="DV21" s="203">
        <f t="shared" si="31"/>
        <v>0</v>
      </c>
      <c r="DW21" s="203">
        <f t="shared" si="31"/>
        <v>0</v>
      </c>
      <c r="DX21" s="203">
        <f t="shared" si="31"/>
        <v>0</v>
      </c>
      <c r="DY21" s="88"/>
      <c r="DZ21" s="188" t="s">
        <v>401</v>
      </c>
      <c r="EB21" s="88"/>
    </row>
    <row r="22" spans="1:132" outlineLevel="1">
      <c r="A22" s="91" t="s">
        <v>165</v>
      </c>
      <c r="C22" s="185"/>
      <c r="D22" s="185"/>
      <c r="E22" s="185"/>
      <c r="F22" s="202">
        <f>SUM(ActivePeriodFlag)</f>
        <v>0</v>
      </c>
      <c r="G22" s="203">
        <f>IF(F22&gt;0,F22-1,0)</f>
        <v>0</v>
      </c>
      <c r="H22" s="203">
        <f t="shared" ref="H22:BS22" si="32">IF(G22&gt;0,G22-1,0)</f>
        <v>0</v>
      </c>
      <c r="I22" s="203">
        <f t="shared" si="32"/>
        <v>0</v>
      </c>
      <c r="J22" s="203">
        <f t="shared" si="32"/>
        <v>0</v>
      </c>
      <c r="K22" s="203">
        <f t="shared" si="32"/>
        <v>0</v>
      </c>
      <c r="L22" s="203">
        <f t="shared" si="32"/>
        <v>0</v>
      </c>
      <c r="M22" s="203">
        <f t="shared" si="32"/>
        <v>0</v>
      </c>
      <c r="N22" s="203">
        <f t="shared" si="32"/>
        <v>0</v>
      </c>
      <c r="O22" s="203">
        <f t="shared" si="32"/>
        <v>0</v>
      </c>
      <c r="P22" s="203">
        <f t="shared" si="32"/>
        <v>0</v>
      </c>
      <c r="Q22" s="203">
        <f t="shared" si="32"/>
        <v>0</v>
      </c>
      <c r="R22" s="203">
        <f t="shared" si="32"/>
        <v>0</v>
      </c>
      <c r="S22" s="203">
        <f t="shared" si="32"/>
        <v>0</v>
      </c>
      <c r="T22" s="203">
        <f t="shared" si="32"/>
        <v>0</v>
      </c>
      <c r="U22" s="203">
        <f t="shared" si="32"/>
        <v>0</v>
      </c>
      <c r="V22" s="203">
        <f t="shared" si="32"/>
        <v>0</v>
      </c>
      <c r="W22" s="203">
        <f t="shared" si="32"/>
        <v>0</v>
      </c>
      <c r="X22" s="203">
        <f t="shared" si="32"/>
        <v>0</v>
      </c>
      <c r="Y22" s="203">
        <f t="shared" si="32"/>
        <v>0</v>
      </c>
      <c r="Z22" s="203">
        <f t="shared" si="32"/>
        <v>0</v>
      </c>
      <c r="AA22" s="203">
        <f t="shared" si="32"/>
        <v>0</v>
      </c>
      <c r="AB22" s="203">
        <f t="shared" si="32"/>
        <v>0</v>
      </c>
      <c r="AC22" s="203">
        <f t="shared" si="32"/>
        <v>0</v>
      </c>
      <c r="AD22" s="203">
        <f t="shared" si="32"/>
        <v>0</v>
      </c>
      <c r="AE22" s="203">
        <f t="shared" si="32"/>
        <v>0</v>
      </c>
      <c r="AF22" s="203">
        <f t="shared" si="32"/>
        <v>0</v>
      </c>
      <c r="AG22" s="203">
        <f t="shared" si="32"/>
        <v>0</v>
      </c>
      <c r="AH22" s="203">
        <f t="shared" si="32"/>
        <v>0</v>
      </c>
      <c r="AI22" s="203">
        <f t="shared" si="32"/>
        <v>0</v>
      </c>
      <c r="AJ22" s="203">
        <f t="shared" si="32"/>
        <v>0</v>
      </c>
      <c r="AK22" s="203">
        <f t="shared" si="32"/>
        <v>0</v>
      </c>
      <c r="AL22" s="203">
        <f t="shared" si="32"/>
        <v>0</v>
      </c>
      <c r="AM22" s="203">
        <f t="shared" si="32"/>
        <v>0</v>
      </c>
      <c r="AN22" s="203">
        <f t="shared" si="32"/>
        <v>0</v>
      </c>
      <c r="AO22" s="203">
        <f t="shared" si="32"/>
        <v>0</v>
      </c>
      <c r="AP22" s="203">
        <f t="shared" si="32"/>
        <v>0</v>
      </c>
      <c r="AQ22" s="203">
        <f t="shared" si="32"/>
        <v>0</v>
      </c>
      <c r="AR22" s="203">
        <f t="shared" si="32"/>
        <v>0</v>
      </c>
      <c r="AS22" s="203">
        <f t="shared" si="32"/>
        <v>0</v>
      </c>
      <c r="AT22" s="203">
        <f t="shared" si="32"/>
        <v>0</v>
      </c>
      <c r="AU22" s="203">
        <f t="shared" si="32"/>
        <v>0</v>
      </c>
      <c r="AV22" s="203">
        <f t="shared" si="32"/>
        <v>0</v>
      </c>
      <c r="AW22" s="203">
        <f t="shared" si="32"/>
        <v>0</v>
      </c>
      <c r="AX22" s="203">
        <f t="shared" si="32"/>
        <v>0</v>
      </c>
      <c r="AY22" s="203">
        <f t="shared" si="32"/>
        <v>0</v>
      </c>
      <c r="AZ22" s="203">
        <f t="shared" si="32"/>
        <v>0</v>
      </c>
      <c r="BA22" s="203">
        <f t="shared" si="32"/>
        <v>0</v>
      </c>
      <c r="BB22" s="203">
        <f t="shared" si="32"/>
        <v>0</v>
      </c>
      <c r="BC22" s="203">
        <f t="shared" si="32"/>
        <v>0</v>
      </c>
      <c r="BD22" s="203">
        <f t="shared" si="32"/>
        <v>0</v>
      </c>
      <c r="BE22" s="203">
        <f t="shared" si="32"/>
        <v>0</v>
      </c>
      <c r="BF22" s="203">
        <f t="shared" si="32"/>
        <v>0</v>
      </c>
      <c r="BG22" s="203">
        <f t="shared" si="32"/>
        <v>0</v>
      </c>
      <c r="BH22" s="203">
        <f t="shared" si="32"/>
        <v>0</v>
      </c>
      <c r="BI22" s="203">
        <f t="shared" si="32"/>
        <v>0</v>
      </c>
      <c r="BJ22" s="203">
        <f t="shared" si="32"/>
        <v>0</v>
      </c>
      <c r="BK22" s="203">
        <f t="shared" si="32"/>
        <v>0</v>
      </c>
      <c r="BL22" s="203">
        <f t="shared" si="32"/>
        <v>0</v>
      </c>
      <c r="BM22" s="203">
        <f t="shared" si="32"/>
        <v>0</v>
      </c>
      <c r="BN22" s="203">
        <f t="shared" si="32"/>
        <v>0</v>
      </c>
      <c r="BO22" s="203">
        <f t="shared" si="32"/>
        <v>0</v>
      </c>
      <c r="BP22" s="203">
        <f t="shared" si="32"/>
        <v>0</v>
      </c>
      <c r="BQ22" s="203">
        <f t="shared" si="32"/>
        <v>0</v>
      </c>
      <c r="BR22" s="203">
        <f t="shared" si="32"/>
        <v>0</v>
      </c>
      <c r="BS22" s="203">
        <f t="shared" si="32"/>
        <v>0</v>
      </c>
      <c r="BT22" s="203">
        <f t="shared" ref="BT22:DX22" si="33">IF(BS22&gt;0,BS22-1,0)</f>
        <v>0</v>
      </c>
      <c r="BU22" s="203">
        <f t="shared" si="33"/>
        <v>0</v>
      </c>
      <c r="BV22" s="203">
        <f t="shared" si="33"/>
        <v>0</v>
      </c>
      <c r="BW22" s="203">
        <f t="shared" si="33"/>
        <v>0</v>
      </c>
      <c r="BX22" s="203">
        <f t="shared" si="33"/>
        <v>0</v>
      </c>
      <c r="BY22" s="203">
        <f t="shared" si="33"/>
        <v>0</v>
      </c>
      <c r="BZ22" s="203">
        <f t="shared" si="33"/>
        <v>0</v>
      </c>
      <c r="CA22" s="203">
        <f t="shared" si="33"/>
        <v>0</v>
      </c>
      <c r="CB22" s="203">
        <f t="shared" si="33"/>
        <v>0</v>
      </c>
      <c r="CC22" s="203">
        <f t="shared" si="33"/>
        <v>0</v>
      </c>
      <c r="CD22" s="203">
        <f t="shared" si="33"/>
        <v>0</v>
      </c>
      <c r="CE22" s="203">
        <f t="shared" si="33"/>
        <v>0</v>
      </c>
      <c r="CF22" s="203">
        <f t="shared" si="33"/>
        <v>0</v>
      </c>
      <c r="CG22" s="203">
        <f t="shared" si="33"/>
        <v>0</v>
      </c>
      <c r="CH22" s="203">
        <f t="shared" si="33"/>
        <v>0</v>
      </c>
      <c r="CI22" s="203">
        <f t="shared" si="33"/>
        <v>0</v>
      </c>
      <c r="CJ22" s="203">
        <f t="shared" si="33"/>
        <v>0</v>
      </c>
      <c r="CK22" s="203">
        <f t="shared" si="33"/>
        <v>0</v>
      </c>
      <c r="CL22" s="203">
        <f t="shared" si="33"/>
        <v>0</v>
      </c>
      <c r="CM22" s="203">
        <f t="shared" si="33"/>
        <v>0</v>
      </c>
      <c r="CN22" s="203">
        <f t="shared" si="33"/>
        <v>0</v>
      </c>
      <c r="CO22" s="203">
        <f t="shared" si="33"/>
        <v>0</v>
      </c>
      <c r="CP22" s="203">
        <f t="shared" si="33"/>
        <v>0</v>
      </c>
      <c r="CQ22" s="203">
        <f t="shared" si="33"/>
        <v>0</v>
      </c>
      <c r="CR22" s="203">
        <f t="shared" si="33"/>
        <v>0</v>
      </c>
      <c r="CS22" s="203">
        <f t="shared" si="33"/>
        <v>0</v>
      </c>
      <c r="CT22" s="203">
        <f t="shared" si="33"/>
        <v>0</v>
      </c>
      <c r="CU22" s="203">
        <f t="shared" si="33"/>
        <v>0</v>
      </c>
      <c r="CV22" s="203">
        <f t="shared" si="33"/>
        <v>0</v>
      </c>
      <c r="CW22" s="203">
        <f t="shared" si="33"/>
        <v>0</v>
      </c>
      <c r="CX22" s="203">
        <f t="shared" si="33"/>
        <v>0</v>
      </c>
      <c r="CY22" s="203">
        <f t="shared" si="33"/>
        <v>0</v>
      </c>
      <c r="CZ22" s="203">
        <f t="shared" si="33"/>
        <v>0</v>
      </c>
      <c r="DA22" s="203">
        <f t="shared" si="33"/>
        <v>0</v>
      </c>
      <c r="DB22" s="203">
        <f t="shared" si="33"/>
        <v>0</v>
      </c>
      <c r="DC22" s="203">
        <f t="shared" si="33"/>
        <v>0</v>
      </c>
      <c r="DD22" s="203">
        <f t="shared" si="33"/>
        <v>0</v>
      </c>
      <c r="DE22" s="203">
        <f t="shared" si="33"/>
        <v>0</v>
      </c>
      <c r="DF22" s="203">
        <f t="shared" si="33"/>
        <v>0</v>
      </c>
      <c r="DG22" s="203">
        <f t="shared" si="33"/>
        <v>0</v>
      </c>
      <c r="DH22" s="203">
        <f t="shared" si="33"/>
        <v>0</v>
      </c>
      <c r="DI22" s="203">
        <f t="shared" si="33"/>
        <v>0</v>
      </c>
      <c r="DJ22" s="203">
        <f t="shared" si="33"/>
        <v>0</v>
      </c>
      <c r="DK22" s="203">
        <f t="shared" si="33"/>
        <v>0</v>
      </c>
      <c r="DL22" s="203">
        <f t="shared" si="33"/>
        <v>0</v>
      </c>
      <c r="DM22" s="203">
        <f t="shared" si="33"/>
        <v>0</v>
      </c>
      <c r="DN22" s="203">
        <f t="shared" si="33"/>
        <v>0</v>
      </c>
      <c r="DO22" s="203">
        <f t="shared" si="33"/>
        <v>0</v>
      </c>
      <c r="DP22" s="203">
        <f t="shared" si="33"/>
        <v>0</v>
      </c>
      <c r="DQ22" s="203">
        <f t="shared" si="33"/>
        <v>0</v>
      </c>
      <c r="DR22" s="203">
        <f t="shared" si="33"/>
        <v>0</v>
      </c>
      <c r="DS22" s="203">
        <f t="shared" si="33"/>
        <v>0</v>
      </c>
      <c r="DT22" s="203">
        <f t="shared" si="33"/>
        <v>0</v>
      </c>
      <c r="DU22" s="203">
        <f t="shared" si="33"/>
        <v>0</v>
      </c>
      <c r="DV22" s="203">
        <f t="shared" si="33"/>
        <v>0</v>
      </c>
      <c r="DW22" s="203">
        <f t="shared" si="33"/>
        <v>0</v>
      </c>
      <c r="DX22" s="203">
        <f t="shared" si="33"/>
        <v>0</v>
      </c>
      <c r="DY22" s="88"/>
      <c r="DZ22" s="188" t="s">
        <v>402</v>
      </c>
      <c r="EB22" s="88"/>
    </row>
    <row r="23" spans="1:132" outlineLevel="1">
      <c r="A23" s="91" t="s">
        <v>166</v>
      </c>
      <c r="C23" s="185"/>
      <c r="D23" s="185"/>
      <c r="E23" s="195"/>
      <c r="F23" s="202" t="str">
        <f>YEAR(CompanyYearStartDateIn)&amp;"/"&amp;RIGHT(YEAR(CompanyYearStartDateIn)+1,1)</f>
        <v>2008/9</v>
      </c>
      <c r="G23" s="203" t="str">
        <f t="shared" ref="G23:U23" si="34">IF(MONTH(G11)=4,YEAR(G11)&amp;"/"&amp;RIGHT(YEAR(G11)+1,IF(YEAR(G11)&gt;2008,2,1)),F23)</f>
        <v>2008/9</v>
      </c>
      <c r="H23" s="203" t="str">
        <f t="shared" si="34"/>
        <v>2008/9</v>
      </c>
      <c r="I23" s="203" t="str">
        <f t="shared" si="34"/>
        <v>2008/9</v>
      </c>
      <c r="J23" s="203" t="str">
        <f t="shared" si="34"/>
        <v>2008/9</v>
      </c>
      <c r="K23" s="203" t="str">
        <f t="shared" si="34"/>
        <v>2015/16</v>
      </c>
      <c r="L23" s="203" t="str">
        <f t="shared" si="34"/>
        <v>2015/16</v>
      </c>
      <c r="M23" s="203" t="str">
        <f t="shared" si="34"/>
        <v>2015/16</v>
      </c>
      <c r="N23" s="203" t="str">
        <f t="shared" si="34"/>
        <v>2015/16</v>
      </c>
      <c r="O23" s="203" t="str">
        <f t="shared" si="34"/>
        <v>2015/16</v>
      </c>
      <c r="P23" s="203" t="str">
        <f t="shared" si="34"/>
        <v>2015/16</v>
      </c>
      <c r="Q23" s="203" t="str">
        <f t="shared" si="34"/>
        <v>2015/16</v>
      </c>
      <c r="R23" s="203" t="str">
        <f t="shared" si="34"/>
        <v>2015/16</v>
      </c>
      <c r="S23" s="203" t="str">
        <f t="shared" si="34"/>
        <v>2015/16</v>
      </c>
      <c r="T23" s="203" t="str">
        <f t="shared" si="34"/>
        <v>2015/16</v>
      </c>
      <c r="U23" s="203" t="str">
        <f t="shared" si="34"/>
        <v>2015/16</v>
      </c>
      <c r="V23" s="203" t="str">
        <f>IF(MONTH(V11)=4,YEAR(V11)&amp;"/"&amp;RIGHT(YEAR(V11)+1,IF(YEAR(V11)&gt;2008,2,1)),U23)</f>
        <v>2015/16</v>
      </c>
      <c r="W23" s="203" t="str">
        <f t="shared" ref="W23:CH23" si="35">IF(MONTH(W11)=4,YEAR(W11)&amp;"/"&amp;RIGHT(YEAR(W11)+1,IF(YEAR(W11)&gt;2009,2,1)),V23)</f>
        <v>2016/17</v>
      </c>
      <c r="X23" s="203" t="str">
        <f t="shared" si="35"/>
        <v>2016/17</v>
      </c>
      <c r="Y23" s="203" t="str">
        <f t="shared" si="35"/>
        <v>2016/17</v>
      </c>
      <c r="Z23" s="203" t="str">
        <f t="shared" si="35"/>
        <v>2016/17</v>
      </c>
      <c r="AA23" s="203" t="str">
        <f t="shared" si="35"/>
        <v>2016/17</v>
      </c>
      <c r="AB23" s="203" t="str">
        <f t="shared" si="35"/>
        <v>2016/17</v>
      </c>
      <c r="AC23" s="203" t="str">
        <f t="shared" si="35"/>
        <v>2016/17</v>
      </c>
      <c r="AD23" s="203" t="str">
        <f t="shared" si="35"/>
        <v>2016/17</v>
      </c>
      <c r="AE23" s="203" t="str">
        <f t="shared" si="35"/>
        <v>2016/17</v>
      </c>
      <c r="AF23" s="203" t="str">
        <f t="shared" si="35"/>
        <v>2016/17</v>
      </c>
      <c r="AG23" s="203" t="str">
        <f t="shared" si="35"/>
        <v>2016/17</v>
      </c>
      <c r="AH23" s="203" t="str">
        <f t="shared" si="35"/>
        <v>2016/17</v>
      </c>
      <c r="AI23" s="203" t="str">
        <f t="shared" si="35"/>
        <v>2017/18</v>
      </c>
      <c r="AJ23" s="203" t="str">
        <f t="shared" si="35"/>
        <v>2017/18</v>
      </c>
      <c r="AK23" s="203" t="str">
        <f t="shared" si="35"/>
        <v>2017/18</v>
      </c>
      <c r="AL23" s="203" t="str">
        <f t="shared" si="35"/>
        <v>2017/18</v>
      </c>
      <c r="AM23" s="203" t="str">
        <f t="shared" si="35"/>
        <v>2017/18</v>
      </c>
      <c r="AN23" s="203" t="str">
        <f t="shared" si="35"/>
        <v>2017/18</v>
      </c>
      <c r="AO23" s="203" t="str">
        <f t="shared" si="35"/>
        <v>2017/18</v>
      </c>
      <c r="AP23" s="203" t="str">
        <f t="shared" si="35"/>
        <v>2017/18</v>
      </c>
      <c r="AQ23" s="203" t="str">
        <f t="shared" si="35"/>
        <v>2017/18</v>
      </c>
      <c r="AR23" s="203" t="str">
        <f t="shared" si="35"/>
        <v>2017/18</v>
      </c>
      <c r="AS23" s="203" t="str">
        <f t="shared" si="35"/>
        <v>2017/18</v>
      </c>
      <c r="AT23" s="203" t="str">
        <f t="shared" si="35"/>
        <v>2017/18</v>
      </c>
      <c r="AU23" s="203" t="str">
        <f t="shared" si="35"/>
        <v>2018/19</v>
      </c>
      <c r="AV23" s="203" t="str">
        <f t="shared" si="35"/>
        <v>2018/19</v>
      </c>
      <c r="AW23" s="203" t="str">
        <f t="shared" si="35"/>
        <v>2018/19</v>
      </c>
      <c r="AX23" s="203" t="str">
        <f t="shared" si="35"/>
        <v>2018/19</v>
      </c>
      <c r="AY23" s="203" t="str">
        <f t="shared" si="35"/>
        <v>2018/19</v>
      </c>
      <c r="AZ23" s="203" t="str">
        <f t="shared" si="35"/>
        <v>2018/19</v>
      </c>
      <c r="BA23" s="203" t="str">
        <f t="shared" si="35"/>
        <v>2018/19</v>
      </c>
      <c r="BB23" s="203" t="str">
        <f t="shared" si="35"/>
        <v>2018/19</v>
      </c>
      <c r="BC23" s="203" t="str">
        <f t="shared" si="35"/>
        <v>2018/19</v>
      </c>
      <c r="BD23" s="203" t="str">
        <f t="shared" si="35"/>
        <v>2018/19</v>
      </c>
      <c r="BE23" s="203" t="str">
        <f t="shared" si="35"/>
        <v>2018/19</v>
      </c>
      <c r="BF23" s="203" t="str">
        <f t="shared" si="35"/>
        <v>2018/19</v>
      </c>
      <c r="BG23" s="203" t="str">
        <f t="shared" si="35"/>
        <v>2019/20</v>
      </c>
      <c r="BH23" s="203" t="str">
        <f t="shared" si="35"/>
        <v>2019/20</v>
      </c>
      <c r="BI23" s="203" t="str">
        <f t="shared" si="35"/>
        <v>2019/20</v>
      </c>
      <c r="BJ23" s="203" t="str">
        <f t="shared" si="35"/>
        <v>2019/20</v>
      </c>
      <c r="BK23" s="203" t="str">
        <f t="shared" si="35"/>
        <v>2019/20</v>
      </c>
      <c r="BL23" s="203" t="str">
        <f t="shared" si="35"/>
        <v>2019/20</v>
      </c>
      <c r="BM23" s="203" t="str">
        <f t="shared" si="35"/>
        <v>2019/20</v>
      </c>
      <c r="BN23" s="203" t="str">
        <f t="shared" si="35"/>
        <v>2019/20</v>
      </c>
      <c r="BO23" s="203" t="str">
        <f t="shared" si="35"/>
        <v>2019/20</v>
      </c>
      <c r="BP23" s="203" t="str">
        <f t="shared" si="35"/>
        <v>2019/20</v>
      </c>
      <c r="BQ23" s="203" t="str">
        <f t="shared" si="35"/>
        <v>2019/20</v>
      </c>
      <c r="BR23" s="203" t="str">
        <f t="shared" si="35"/>
        <v>2019/20</v>
      </c>
      <c r="BS23" s="203" t="str">
        <f t="shared" si="35"/>
        <v>2020/21</v>
      </c>
      <c r="BT23" s="203" t="str">
        <f t="shared" si="35"/>
        <v>2020/21</v>
      </c>
      <c r="BU23" s="203" t="str">
        <f t="shared" si="35"/>
        <v>2020/21</v>
      </c>
      <c r="BV23" s="203" t="str">
        <f t="shared" si="35"/>
        <v>2020/21</v>
      </c>
      <c r="BW23" s="203" t="str">
        <f t="shared" si="35"/>
        <v>2020/21</v>
      </c>
      <c r="BX23" s="203" t="str">
        <f t="shared" si="35"/>
        <v>2020/21</v>
      </c>
      <c r="BY23" s="203" t="str">
        <f t="shared" si="35"/>
        <v>2020/21</v>
      </c>
      <c r="BZ23" s="203" t="str">
        <f t="shared" si="35"/>
        <v>2020/21</v>
      </c>
      <c r="CA23" s="203" t="str">
        <f t="shared" si="35"/>
        <v>2020/21</v>
      </c>
      <c r="CB23" s="203" t="str">
        <f t="shared" si="35"/>
        <v>2020/21</v>
      </c>
      <c r="CC23" s="203" t="str">
        <f t="shared" si="35"/>
        <v>2020/21</v>
      </c>
      <c r="CD23" s="203" t="str">
        <f t="shared" si="35"/>
        <v>2020/21</v>
      </c>
      <c r="CE23" s="203" t="str">
        <f t="shared" si="35"/>
        <v>2021/22</v>
      </c>
      <c r="CF23" s="203" t="str">
        <f t="shared" si="35"/>
        <v>2021/22</v>
      </c>
      <c r="CG23" s="203" t="str">
        <f t="shared" si="35"/>
        <v>2021/22</v>
      </c>
      <c r="CH23" s="203" t="str">
        <f t="shared" si="35"/>
        <v>2021/22</v>
      </c>
      <c r="CI23" s="203" t="str">
        <f t="shared" ref="CI23:DX23" si="36">IF(MONTH(CI11)=4,YEAR(CI11)&amp;"/"&amp;RIGHT(YEAR(CI11)+1,IF(YEAR(CI11)&gt;2009,2,1)),CH23)</f>
        <v>2021/22</v>
      </c>
      <c r="CJ23" s="203" t="str">
        <f t="shared" si="36"/>
        <v>2021/22</v>
      </c>
      <c r="CK23" s="203" t="str">
        <f t="shared" si="36"/>
        <v>2021/22</v>
      </c>
      <c r="CL23" s="203" t="str">
        <f t="shared" si="36"/>
        <v>2021/22</v>
      </c>
      <c r="CM23" s="203" t="str">
        <f t="shared" si="36"/>
        <v>2021/22</v>
      </c>
      <c r="CN23" s="203" t="str">
        <f t="shared" si="36"/>
        <v>2021/22</v>
      </c>
      <c r="CO23" s="203" t="str">
        <f t="shared" si="36"/>
        <v>2021/22</v>
      </c>
      <c r="CP23" s="203" t="str">
        <f t="shared" si="36"/>
        <v>2021/22</v>
      </c>
      <c r="CQ23" s="203" t="str">
        <f t="shared" si="36"/>
        <v>2022/23</v>
      </c>
      <c r="CR23" s="203" t="str">
        <f t="shared" si="36"/>
        <v>2022/23</v>
      </c>
      <c r="CS23" s="203" t="str">
        <f t="shared" si="36"/>
        <v>2022/23</v>
      </c>
      <c r="CT23" s="203" t="str">
        <f t="shared" si="36"/>
        <v>2022/23</v>
      </c>
      <c r="CU23" s="203" t="str">
        <f t="shared" si="36"/>
        <v>2022/23</v>
      </c>
      <c r="CV23" s="203" t="str">
        <f t="shared" si="36"/>
        <v>2022/23</v>
      </c>
      <c r="CW23" s="203" t="str">
        <f t="shared" si="36"/>
        <v>2022/23</v>
      </c>
      <c r="CX23" s="203" t="str">
        <f t="shared" si="36"/>
        <v>2022/23</v>
      </c>
      <c r="CY23" s="203" t="str">
        <f t="shared" si="36"/>
        <v>2022/23</v>
      </c>
      <c r="CZ23" s="203" t="str">
        <f t="shared" si="36"/>
        <v>2022/23</v>
      </c>
      <c r="DA23" s="203" t="str">
        <f t="shared" si="36"/>
        <v>2022/23</v>
      </c>
      <c r="DB23" s="203" t="str">
        <f t="shared" si="36"/>
        <v>2022/23</v>
      </c>
      <c r="DC23" s="203" t="str">
        <f t="shared" si="36"/>
        <v>2023/24</v>
      </c>
      <c r="DD23" s="203" t="str">
        <f t="shared" si="36"/>
        <v>2023/24</v>
      </c>
      <c r="DE23" s="203" t="str">
        <f t="shared" si="36"/>
        <v>2023/24</v>
      </c>
      <c r="DF23" s="203" t="str">
        <f t="shared" si="36"/>
        <v>2023/24</v>
      </c>
      <c r="DG23" s="203" t="str">
        <f t="shared" si="36"/>
        <v>2023/24</v>
      </c>
      <c r="DH23" s="203" t="str">
        <f t="shared" si="36"/>
        <v>2023/24</v>
      </c>
      <c r="DI23" s="203" t="str">
        <f t="shared" si="36"/>
        <v>2023/24</v>
      </c>
      <c r="DJ23" s="203" t="str">
        <f t="shared" si="36"/>
        <v>2023/24</v>
      </c>
      <c r="DK23" s="203" t="str">
        <f t="shared" si="36"/>
        <v>2023/24</v>
      </c>
      <c r="DL23" s="203" t="str">
        <f t="shared" si="36"/>
        <v>2023/24</v>
      </c>
      <c r="DM23" s="203" t="str">
        <f t="shared" si="36"/>
        <v>2023/24</v>
      </c>
      <c r="DN23" s="203" t="str">
        <f t="shared" si="36"/>
        <v>2023/24</v>
      </c>
      <c r="DO23" s="203" t="str">
        <f t="shared" si="36"/>
        <v>2024/25</v>
      </c>
      <c r="DP23" s="203" t="str">
        <f t="shared" si="36"/>
        <v>2024/25</v>
      </c>
      <c r="DQ23" s="203" t="str">
        <f t="shared" si="36"/>
        <v>2024/25</v>
      </c>
      <c r="DR23" s="203" t="str">
        <f t="shared" si="36"/>
        <v>2024/25</v>
      </c>
      <c r="DS23" s="203" t="str">
        <f t="shared" si="36"/>
        <v>2024/25</v>
      </c>
      <c r="DT23" s="203" t="str">
        <f t="shared" si="36"/>
        <v>2024/25</v>
      </c>
      <c r="DU23" s="203" t="str">
        <f t="shared" si="36"/>
        <v>2024/25</v>
      </c>
      <c r="DV23" s="203" t="str">
        <f t="shared" si="36"/>
        <v>2024/25</v>
      </c>
      <c r="DW23" s="203" t="str">
        <f t="shared" si="36"/>
        <v>2024/25</v>
      </c>
      <c r="DX23" s="203" t="str">
        <f t="shared" si="36"/>
        <v>2024/25</v>
      </c>
      <c r="DY23" s="88"/>
      <c r="DZ23" s="188" t="s">
        <v>403</v>
      </c>
      <c r="EB23" s="88"/>
    </row>
    <row r="24" spans="1:132" outlineLevel="1">
      <c r="A24" s="91" t="s">
        <v>167</v>
      </c>
      <c r="C24" s="185"/>
      <c r="D24" s="185"/>
      <c r="E24" s="185"/>
      <c r="F24" s="202">
        <f>MONTH(F11)-3</f>
        <v>8</v>
      </c>
      <c r="G24" s="203">
        <f>IF(F24=12,1,F24+1)</f>
        <v>9</v>
      </c>
      <c r="H24" s="203">
        <f>IF(G24=12,1,G24+1)</f>
        <v>10</v>
      </c>
      <c r="I24" s="203">
        <f>IF(H24=12,1,H24+1)</f>
        <v>11</v>
      </c>
      <c r="J24" s="203">
        <f>IF(I24=12,1,I24+1)</f>
        <v>12</v>
      </c>
      <c r="K24" s="203">
        <f t="shared" ref="K24:BV24" si="37">IF(J24=12,1,J24+1)</f>
        <v>1</v>
      </c>
      <c r="L24" s="203">
        <f t="shared" si="37"/>
        <v>2</v>
      </c>
      <c r="M24" s="203">
        <f t="shared" si="37"/>
        <v>3</v>
      </c>
      <c r="N24" s="203">
        <f t="shared" si="37"/>
        <v>4</v>
      </c>
      <c r="O24" s="203">
        <f t="shared" si="37"/>
        <v>5</v>
      </c>
      <c r="P24" s="203">
        <f t="shared" si="37"/>
        <v>6</v>
      </c>
      <c r="Q24" s="203">
        <f t="shared" si="37"/>
        <v>7</v>
      </c>
      <c r="R24" s="203">
        <f t="shared" si="37"/>
        <v>8</v>
      </c>
      <c r="S24" s="203">
        <f t="shared" si="37"/>
        <v>9</v>
      </c>
      <c r="T24" s="203">
        <f t="shared" si="37"/>
        <v>10</v>
      </c>
      <c r="U24" s="203">
        <f t="shared" si="37"/>
        <v>11</v>
      </c>
      <c r="V24" s="203">
        <f t="shared" si="37"/>
        <v>12</v>
      </c>
      <c r="W24" s="203">
        <f t="shared" si="37"/>
        <v>1</v>
      </c>
      <c r="X24" s="203">
        <f t="shared" si="37"/>
        <v>2</v>
      </c>
      <c r="Y24" s="203">
        <f t="shared" si="37"/>
        <v>3</v>
      </c>
      <c r="Z24" s="203">
        <f t="shared" si="37"/>
        <v>4</v>
      </c>
      <c r="AA24" s="203">
        <f t="shared" si="37"/>
        <v>5</v>
      </c>
      <c r="AB24" s="203">
        <f t="shared" si="37"/>
        <v>6</v>
      </c>
      <c r="AC24" s="203">
        <f t="shared" si="37"/>
        <v>7</v>
      </c>
      <c r="AD24" s="203">
        <f t="shared" si="37"/>
        <v>8</v>
      </c>
      <c r="AE24" s="203">
        <f t="shared" si="37"/>
        <v>9</v>
      </c>
      <c r="AF24" s="203">
        <f t="shared" si="37"/>
        <v>10</v>
      </c>
      <c r="AG24" s="203">
        <f t="shared" si="37"/>
        <v>11</v>
      </c>
      <c r="AH24" s="203">
        <f t="shared" si="37"/>
        <v>12</v>
      </c>
      <c r="AI24" s="203">
        <f t="shared" si="37"/>
        <v>1</v>
      </c>
      <c r="AJ24" s="203">
        <f t="shared" si="37"/>
        <v>2</v>
      </c>
      <c r="AK24" s="203">
        <f t="shared" si="37"/>
        <v>3</v>
      </c>
      <c r="AL24" s="203">
        <f t="shared" si="37"/>
        <v>4</v>
      </c>
      <c r="AM24" s="203">
        <f t="shared" si="37"/>
        <v>5</v>
      </c>
      <c r="AN24" s="203">
        <f t="shared" si="37"/>
        <v>6</v>
      </c>
      <c r="AO24" s="203">
        <f t="shared" si="37"/>
        <v>7</v>
      </c>
      <c r="AP24" s="203">
        <f t="shared" si="37"/>
        <v>8</v>
      </c>
      <c r="AQ24" s="203">
        <f t="shared" si="37"/>
        <v>9</v>
      </c>
      <c r="AR24" s="203">
        <f t="shared" si="37"/>
        <v>10</v>
      </c>
      <c r="AS24" s="203">
        <f t="shared" si="37"/>
        <v>11</v>
      </c>
      <c r="AT24" s="203">
        <f t="shared" si="37"/>
        <v>12</v>
      </c>
      <c r="AU24" s="203">
        <f t="shared" si="37"/>
        <v>1</v>
      </c>
      <c r="AV24" s="203">
        <f t="shared" si="37"/>
        <v>2</v>
      </c>
      <c r="AW24" s="203">
        <f t="shared" si="37"/>
        <v>3</v>
      </c>
      <c r="AX24" s="203">
        <f t="shared" si="37"/>
        <v>4</v>
      </c>
      <c r="AY24" s="203">
        <f t="shared" si="37"/>
        <v>5</v>
      </c>
      <c r="AZ24" s="203">
        <f t="shared" si="37"/>
        <v>6</v>
      </c>
      <c r="BA24" s="203">
        <f t="shared" si="37"/>
        <v>7</v>
      </c>
      <c r="BB24" s="203">
        <f t="shared" si="37"/>
        <v>8</v>
      </c>
      <c r="BC24" s="203">
        <f t="shared" si="37"/>
        <v>9</v>
      </c>
      <c r="BD24" s="203">
        <f t="shared" si="37"/>
        <v>10</v>
      </c>
      <c r="BE24" s="203">
        <f t="shared" si="37"/>
        <v>11</v>
      </c>
      <c r="BF24" s="203">
        <f t="shared" si="37"/>
        <v>12</v>
      </c>
      <c r="BG24" s="203">
        <f t="shared" si="37"/>
        <v>1</v>
      </c>
      <c r="BH24" s="203">
        <f t="shared" si="37"/>
        <v>2</v>
      </c>
      <c r="BI24" s="203">
        <f t="shared" si="37"/>
        <v>3</v>
      </c>
      <c r="BJ24" s="203">
        <f t="shared" si="37"/>
        <v>4</v>
      </c>
      <c r="BK24" s="203">
        <f t="shared" si="37"/>
        <v>5</v>
      </c>
      <c r="BL24" s="203">
        <f t="shared" si="37"/>
        <v>6</v>
      </c>
      <c r="BM24" s="203">
        <f t="shared" si="37"/>
        <v>7</v>
      </c>
      <c r="BN24" s="203">
        <f t="shared" si="37"/>
        <v>8</v>
      </c>
      <c r="BO24" s="203">
        <f t="shared" si="37"/>
        <v>9</v>
      </c>
      <c r="BP24" s="203">
        <f t="shared" si="37"/>
        <v>10</v>
      </c>
      <c r="BQ24" s="203">
        <f t="shared" si="37"/>
        <v>11</v>
      </c>
      <c r="BR24" s="203">
        <f t="shared" si="37"/>
        <v>12</v>
      </c>
      <c r="BS24" s="203">
        <f t="shared" si="37"/>
        <v>1</v>
      </c>
      <c r="BT24" s="203">
        <f t="shared" si="37"/>
        <v>2</v>
      </c>
      <c r="BU24" s="203">
        <f t="shared" si="37"/>
        <v>3</v>
      </c>
      <c r="BV24" s="203">
        <f t="shared" si="37"/>
        <v>4</v>
      </c>
      <c r="BW24" s="203">
        <f t="shared" ref="BW24:DX24" si="38">IF(BV24=12,1,BV24+1)</f>
        <v>5</v>
      </c>
      <c r="BX24" s="203">
        <f t="shared" si="38"/>
        <v>6</v>
      </c>
      <c r="BY24" s="203">
        <f t="shared" si="38"/>
        <v>7</v>
      </c>
      <c r="BZ24" s="203">
        <f t="shared" si="38"/>
        <v>8</v>
      </c>
      <c r="CA24" s="203">
        <f t="shared" si="38"/>
        <v>9</v>
      </c>
      <c r="CB24" s="203">
        <f t="shared" si="38"/>
        <v>10</v>
      </c>
      <c r="CC24" s="203">
        <f t="shared" si="38"/>
        <v>11</v>
      </c>
      <c r="CD24" s="203">
        <f t="shared" si="38"/>
        <v>12</v>
      </c>
      <c r="CE24" s="203">
        <f t="shared" si="38"/>
        <v>1</v>
      </c>
      <c r="CF24" s="203">
        <f t="shared" si="38"/>
        <v>2</v>
      </c>
      <c r="CG24" s="203">
        <f t="shared" si="38"/>
        <v>3</v>
      </c>
      <c r="CH24" s="203">
        <f t="shared" si="38"/>
        <v>4</v>
      </c>
      <c r="CI24" s="203">
        <f t="shared" si="38"/>
        <v>5</v>
      </c>
      <c r="CJ24" s="203">
        <f t="shared" si="38"/>
        <v>6</v>
      </c>
      <c r="CK24" s="203">
        <f t="shared" si="38"/>
        <v>7</v>
      </c>
      <c r="CL24" s="203">
        <f t="shared" si="38"/>
        <v>8</v>
      </c>
      <c r="CM24" s="203">
        <f t="shared" si="38"/>
        <v>9</v>
      </c>
      <c r="CN24" s="203">
        <f t="shared" si="38"/>
        <v>10</v>
      </c>
      <c r="CO24" s="203">
        <f t="shared" si="38"/>
        <v>11</v>
      </c>
      <c r="CP24" s="203">
        <f t="shared" si="38"/>
        <v>12</v>
      </c>
      <c r="CQ24" s="203">
        <f t="shared" si="38"/>
        <v>1</v>
      </c>
      <c r="CR24" s="203">
        <f t="shared" si="38"/>
        <v>2</v>
      </c>
      <c r="CS24" s="203">
        <f t="shared" si="38"/>
        <v>3</v>
      </c>
      <c r="CT24" s="203">
        <f t="shared" si="38"/>
        <v>4</v>
      </c>
      <c r="CU24" s="203">
        <f t="shared" si="38"/>
        <v>5</v>
      </c>
      <c r="CV24" s="203">
        <f t="shared" si="38"/>
        <v>6</v>
      </c>
      <c r="CW24" s="203">
        <f t="shared" si="38"/>
        <v>7</v>
      </c>
      <c r="CX24" s="203">
        <f t="shared" si="38"/>
        <v>8</v>
      </c>
      <c r="CY24" s="203">
        <f t="shared" si="38"/>
        <v>9</v>
      </c>
      <c r="CZ24" s="203">
        <f t="shared" si="38"/>
        <v>10</v>
      </c>
      <c r="DA24" s="203">
        <f t="shared" si="38"/>
        <v>11</v>
      </c>
      <c r="DB24" s="203">
        <f t="shared" si="38"/>
        <v>12</v>
      </c>
      <c r="DC24" s="203">
        <f t="shared" si="38"/>
        <v>1</v>
      </c>
      <c r="DD24" s="203">
        <f t="shared" si="38"/>
        <v>2</v>
      </c>
      <c r="DE24" s="203">
        <f t="shared" si="38"/>
        <v>3</v>
      </c>
      <c r="DF24" s="203">
        <f t="shared" si="38"/>
        <v>4</v>
      </c>
      <c r="DG24" s="203">
        <f t="shared" si="38"/>
        <v>5</v>
      </c>
      <c r="DH24" s="203">
        <f t="shared" si="38"/>
        <v>6</v>
      </c>
      <c r="DI24" s="203">
        <f t="shared" si="38"/>
        <v>7</v>
      </c>
      <c r="DJ24" s="203">
        <f t="shared" si="38"/>
        <v>8</v>
      </c>
      <c r="DK24" s="203">
        <f t="shared" si="38"/>
        <v>9</v>
      </c>
      <c r="DL24" s="203">
        <f t="shared" si="38"/>
        <v>10</v>
      </c>
      <c r="DM24" s="203">
        <f t="shared" si="38"/>
        <v>11</v>
      </c>
      <c r="DN24" s="203">
        <f t="shared" si="38"/>
        <v>12</v>
      </c>
      <c r="DO24" s="203">
        <f t="shared" si="38"/>
        <v>1</v>
      </c>
      <c r="DP24" s="203">
        <f t="shared" si="38"/>
        <v>2</v>
      </c>
      <c r="DQ24" s="203">
        <f t="shared" si="38"/>
        <v>3</v>
      </c>
      <c r="DR24" s="203">
        <f t="shared" si="38"/>
        <v>4</v>
      </c>
      <c r="DS24" s="203">
        <f t="shared" si="38"/>
        <v>5</v>
      </c>
      <c r="DT24" s="203">
        <f t="shared" si="38"/>
        <v>6</v>
      </c>
      <c r="DU24" s="203">
        <f t="shared" si="38"/>
        <v>7</v>
      </c>
      <c r="DV24" s="203">
        <f t="shared" si="38"/>
        <v>8</v>
      </c>
      <c r="DW24" s="203">
        <f t="shared" si="38"/>
        <v>9</v>
      </c>
      <c r="DX24" s="203">
        <f t="shared" si="38"/>
        <v>10</v>
      </c>
      <c r="DY24" s="88"/>
      <c r="DZ24" s="188" t="s">
        <v>404</v>
      </c>
      <c r="EB24" s="88"/>
    </row>
    <row r="25" spans="1:132">
      <c r="A25" s="185"/>
      <c r="B25" s="185"/>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5"/>
      <c r="CU25" s="185"/>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2"/>
      <c r="EB25" s="182"/>
    </row>
    <row r="26" spans="1:132" s="179" customFormat="1">
      <c r="A26" s="208" t="s">
        <v>405</v>
      </c>
      <c r="B26" s="209"/>
      <c r="C26" s="209"/>
      <c r="D26" s="209"/>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09"/>
      <c r="BC26" s="209"/>
      <c r="BD26" s="209"/>
      <c r="BE26" s="209"/>
      <c r="BF26" s="209"/>
      <c r="BG26" s="209"/>
      <c r="BH26" s="209"/>
      <c r="BI26" s="209"/>
      <c r="BJ26" s="209"/>
      <c r="BK26" s="209"/>
      <c r="BL26" s="209"/>
      <c r="BM26" s="209"/>
      <c r="BN26" s="209"/>
      <c r="BO26" s="209"/>
      <c r="BP26" s="209"/>
      <c r="BQ26" s="209"/>
      <c r="BR26" s="209"/>
      <c r="BS26" s="209"/>
      <c r="BT26" s="209"/>
      <c r="BU26" s="209"/>
      <c r="BV26" s="209"/>
      <c r="BW26" s="209"/>
      <c r="BX26" s="209"/>
      <c r="BY26" s="209"/>
      <c r="BZ26" s="209"/>
      <c r="CA26" s="209"/>
      <c r="CB26" s="209"/>
      <c r="CC26" s="209"/>
      <c r="CD26" s="209"/>
      <c r="CE26" s="209"/>
      <c r="CF26" s="209"/>
      <c r="CG26" s="209"/>
      <c r="CH26" s="209"/>
      <c r="CI26" s="209"/>
      <c r="CJ26" s="209"/>
      <c r="CK26" s="209"/>
      <c r="CL26" s="209"/>
      <c r="CM26" s="209"/>
      <c r="CN26" s="209"/>
      <c r="CO26" s="209"/>
      <c r="CP26" s="209"/>
      <c r="CQ26" s="209"/>
      <c r="CR26" s="209"/>
      <c r="CS26" s="209"/>
      <c r="CT26" s="209"/>
      <c r="CU26" s="209"/>
      <c r="CV26" s="209"/>
      <c r="CW26" s="209"/>
      <c r="CX26" s="209"/>
      <c r="CY26" s="209"/>
      <c r="CZ26" s="209"/>
      <c r="DA26" s="209"/>
      <c r="DB26" s="209"/>
      <c r="DC26" s="209"/>
      <c r="DD26" s="209"/>
      <c r="DE26" s="209"/>
      <c r="DF26" s="209"/>
      <c r="DG26" s="209"/>
      <c r="DH26" s="209"/>
      <c r="DI26" s="209"/>
      <c r="DJ26" s="209"/>
      <c r="DK26" s="209"/>
      <c r="DL26" s="209"/>
      <c r="DM26" s="209"/>
      <c r="DN26" s="209"/>
      <c r="DO26" s="209"/>
      <c r="DP26" s="209"/>
      <c r="DQ26" s="209"/>
      <c r="DR26" s="209"/>
      <c r="DS26" s="209"/>
      <c r="DT26" s="209"/>
      <c r="DU26" s="209"/>
      <c r="DV26" s="209"/>
      <c r="DW26" s="209"/>
      <c r="DX26" s="209"/>
      <c r="DY26" s="209"/>
      <c r="DZ26" s="209"/>
      <c r="EA26" s="209"/>
      <c r="EB26" s="209"/>
    </row>
    <row r="27" spans="1:132" outlineLevel="1">
      <c r="A27" s="185"/>
      <c r="B27" s="185"/>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K27" s="185"/>
      <c r="BL27" s="185"/>
      <c r="BM27" s="185"/>
      <c r="BN27" s="185"/>
      <c r="BO27" s="185"/>
      <c r="BP27" s="185"/>
      <c r="BQ27" s="185"/>
      <c r="BR27" s="185"/>
      <c r="BS27" s="185"/>
      <c r="BT27" s="185"/>
      <c r="BU27" s="185"/>
      <c r="BV27" s="185"/>
      <c r="BW27" s="185"/>
      <c r="BX27" s="185"/>
      <c r="BY27" s="185"/>
      <c r="BZ27" s="185"/>
      <c r="CA27" s="185"/>
      <c r="CB27" s="185"/>
      <c r="CC27" s="185"/>
      <c r="CD27" s="185"/>
      <c r="CE27" s="185"/>
      <c r="CF27" s="185"/>
      <c r="CG27" s="185"/>
      <c r="CH27" s="185"/>
      <c r="CI27" s="185"/>
      <c r="CJ27" s="185"/>
      <c r="CK27" s="185"/>
      <c r="CL27" s="185"/>
      <c r="CM27" s="185"/>
      <c r="CN27" s="185"/>
      <c r="CO27" s="185"/>
      <c r="CP27" s="185"/>
      <c r="CQ27" s="185"/>
      <c r="CR27" s="185"/>
      <c r="CS27" s="185"/>
      <c r="CT27" s="185"/>
      <c r="CU27" s="185"/>
      <c r="CV27" s="185"/>
      <c r="CW27" s="185"/>
      <c r="CX27" s="185"/>
      <c r="CY27" s="185"/>
      <c r="CZ27" s="185"/>
      <c r="DA27" s="185"/>
      <c r="DB27" s="185"/>
      <c r="DC27" s="185"/>
      <c r="DD27" s="185"/>
      <c r="DE27" s="185"/>
      <c r="DF27" s="185"/>
      <c r="DG27" s="185"/>
      <c r="DH27" s="185"/>
      <c r="DI27" s="185"/>
      <c r="DJ27" s="185"/>
      <c r="DK27" s="185"/>
      <c r="DL27" s="185"/>
      <c r="DM27" s="185"/>
      <c r="DN27" s="185"/>
      <c r="DO27" s="185"/>
      <c r="DP27" s="185"/>
      <c r="DQ27" s="185"/>
      <c r="DR27" s="185"/>
      <c r="DS27" s="185"/>
      <c r="DT27" s="185"/>
      <c r="DU27" s="185"/>
      <c r="DV27" s="185"/>
      <c r="DW27" s="185"/>
      <c r="DX27" s="185"/>
      <c r="DY27" s="186"/>
      <c r="EB27" s="186"/>
    </row>
    <row r="28" spans="1:132" hidden="1"/>
    <row r="29" spans="1:132" hidden="1"/>
    <row r="30" spans="1:132" hidden="1"/>
    <row r="31" spans="1:132" hidden="1"/>
    <row r="32" spans="1:1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spans="1:1" hidden="1"/>
    <row r="162" spans="1:1" hidden="1"/>
    <row r="163" spans="1:1" hidden="1">
      <c r="A163" s="24"/>
    </row>
    <row r="164" spans="1:1" hidden="1">
      <c r="A164" s="24"/>
    </row>
    <row r="165" spans="1:1" ht="12.75" hidden="1" customHeight="1"/>
    <row r="166" spans="1:1" ht="12.75" hidden="1" customHeight="1"/>
    <row r="167" spans="1:1" ht="12.75" hidden="1" customHeight="1"/>
    <row r="168" spans="1:1" ht="12.75" hidden="1" customHeight="1"/>
    <row r="169" spans="1:1" ht="12.75" hidden="1" customHeight="1"/>
    <row r="170" spans="1:1" ht="12.75" hidden="1" customHeight="1"/>
    <row r="171" spans="1:1" ht="12.75" hidden="1" customHeight="1"/>
    <row r="172" spans="1:1" ht="12.75" hidden="1" customHeight="1"/>
    <row r="173" spans="1:1" ht="12.75" hidden="1" customHeight="1"/>
    <row r="174" spans="1:1" ht="12.75" hidden="1" customHeight="1"/>
    <row r="175" spans="1:1" ht="12.75" hidden="1" customHeight="1"/>
    <row r="176" spans="1:1" ht="12.75" hidden="1" customHeight="1"/>
    <row r="177" ht="12.75" hidden="1" customHeight="1"/>
    <row r="178" ht="12.75" hidden="1" customHeight="1"/>
    <row r="179" ht="12.75" hidden="1" customHeight="1"/>
    <row r="180" ht="12.75" hidden="1" customHeight="1"/>
    <row r="181" ht="12.75" hidden="1" customHeight="1"/>
    <row r="182" ht="12.75" hidden="1" customHeight="1"/>
    <row r="183" ht="12.75" hidden="1" customHeight="1"/>
    <row r="184" ht="12.75" hidden="1" customHeight="1"/>
    <row r="185" ht="12.75" hidden="1" customHeight="1"/>
    <row r="186" ht="12.75" hidden="1" customHeight="1"/>
    <row r="187" ht="12.75" hidden="1" customHeight="1"/>
    <row r="188" ht="12.75" hidden="1" customHeight="1"/>
    <row r="189" ht="12.75" hidden="1" customHeight="1"/>
    <row r="190" ht="12.75" hidden="1" customHeight="1"/>
    <row r="191" ht="12.75" hidden="1" customHeight="1"/>
    <row r="192" ht="12.75" hidden="1" customHeight="1"/>
    <row r="193" ht="12.75" hidden="1" customHeight="1"/>
    <row r="194" ht="12.75" hidden="1" customHeight="1"/>
    <row r="195" ht="12.75" hidden="1" customHeight="1"/>
    <row r="196" ht="12.75" hidden="1" customHeight="1"/>
    <row r="197" ht="12.75" hidden="1" customHeight="1"/>
    <row r="198" ht="12.75" hidden="1" customHeight="1"/>
    <row r="199" ht="12.75" hidden="1" customHeight="1"/>
    <row r="200" ht="12.75" hidden="1" customHeight="1"/>
    <row r="201" ht="12.75" hidden="1" customHeight="1"/>
    <row r="202" ht="12.75" hidden="1" customHeight="1"/>
    <row r="203" ht="12.75" customHeight="1"/>
    <row r="204" ht="12.75" customHeight="1"/>
    <row r="205" ht="12.75" customHeight="1"/>
    <row r="206" ht="12.75" customHeight="1"/>
    <row r="207" ht="12.75" customHeight="1"/>
  </sheetData>
  <sheetProtection autoFilter="0"/>
  <conditionalFormatting sqref="F11:DX11">
    <cfRule type="cellIs" dxfId="135" priority="11" stopIfTrue="1" operator="between">
      <formula>PreContractStartDateIn</formula>
      <formula>ContractEndDateIn</formula>
    </cfRule>
  </conditionalFormatting>
  <conditionalFormatting sqref="E1">
    <cfRule type="cellIs" dxfId="134" priority="12" stopIfTrue="1" operator="greaterThan">
      <formula>0</formula>
    </cfRule>
    <cfRule type="cellIs" dxfId="133" priority="13" stopIfTrue="1" operator="lessThan">
      <formula>0</formula>
    </cfRule>
  </conditionalFormatting>
  <conditionalFormatting sqref="F1:EB1 B5:EB5 B9:DY9">
    <cfRule type="expression" dxfId="132" priority="1" stopIfTrue="1">
      <formula>ErrorsPresent&gt;0</formula>
    </cfRule>
    <cfRule type="expression" dxfId="131" priority="2" stopIfTrue="1">
      <formula>ErrorsPresent&lt;0</formula>
    </cfRule>
  </conditionalFormatting>
  <conditionalFormatting sqref="A1:B1">
    <cfRule type="expression" dxfId="130" priority="9" stopIfTrue="1">
      <formula>ErrorsPresent&gt;0</formula>
    </cfRule>
    <cfRule type="expression" dxfId="129" priority="10" stopIfTrue="1">
      <formula>ErrorsPresent&lt;0</formula>
    </cfRule>
  </conditionalFormatting>
  <conditionalFormatting sqref="A9">
    <cfRule type="expression" dxfId="128" priority="7" stopIfTrue="1">
      <formula>ErrorsPresent&gt;0</formula>
    </cfRule>
    <cfRule type="expression" dxfId="127" priority="8" stopIfTrue="1">
      <formula>ErrorsPresent&lt;0</formula>
    </cfRule>
  </conditionalFormatting>
  <conditionalFormatting sqref="C1:D1">
    <cfRule type="expression" dxfId="126" priority="5" stopIfTrue="1">
      <formula>ErrorsPresent&gt;0</formula>
    </cfRule>
    <cfRule type="expression" dxfId="125" priority="6" stopIfTrue="1">
      <formula>ErrorsPresent&lt;0</formula>
    </cfRule>
  </conditionalFormatting>
  <conditionalFormatting sqref="A5">
    <cfRule type="expression" dxfId="124" priority="3" stopIfTrue="1">
      <formula>ErrorsPresent&gt;0</formula>
    </cfRule>
    <cfRule type="expression" dxfId="123" priority="4" stopIfTrue="1">
      <formula>ErrorsPresent&lt;0</formula>
    </cfRule>
  </conditionalFormatting>
  <conditionalFormatting sqref="F12:DX24">
    <cfRule type="expression" dxfId="122" priority="14" stopIfTrue="1">
      <formula>#REF!&lt;&gt;""</formula>
    </cfRule>
  </conditionalFormatting>
  <hyperlinks>
    <hyperlink ref="E1" location="PLA5A" tooltip="Hyperlink to &quot;Error Checks&quot; sheet" display="PLA5A"/>
  </hyperlinks>
  <pageMargins left="0.4" right="0.4" top="1" bottom="1" header="0.5" footer="0.5"/>
  <pageSetup scale="53" orientation="landscape" r:id="rId1"/>
  <headerFooter alignWithMargins="0">
    <oddHeader>&amp;LFUJITSU SERVICES&amp;RCOMMERCIAL IN CONFIDENCE</oddHeader>
    <oddFooter>&amp;L&amp;"Arial,Italic"&amp;F&amp;C&amp;"Arial,Italic"Printed on &amp;D at &amp;T&amp;R&amp;"Arial,Italic"Page &amp;P of &amp;N</oddFooter>
  </headerFooter>
  <colBreaks count="1" manualBreakCount="1">
    <brk id="17" min="4" max="139"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outlinePr summaryBelow="0" summaryRight="0"/>
    <pageSetUpPr autoPageBreaks="0"/>
  </sheetPr>
  <dimension ref="A1:XAJ207"/>
  <sheetViews>
    <sheetView showGridLines="0" zoomScale="90" zoomScaleNormal="90" workbookViewId="0">
      <selection activeCell="F19" sqref="F19"/>
    </sheetView>
  </sheetViews>
  <sheetFormatPr defaultColWidth="0" defaultRowHeight="12.75" customHeight="1" zeroHeight="1" outlineLevelRow="1" outlineLevelCol="1"/>
  <cols>
    <col min="1" max="3" width="9.140625" style="94" customWidth="1"/>
    <col min="4" max="4" width="11.140625" style="94" customWidth="1"/>
    <col min="5" max="5" width="9.28515625" style="94" customWidth="1"/>
    <col min="6" max="128" width="11.7109375" style="94" customWidth="1"/>
    <col min="129" max="129" width="1.7109375" style="94" customWidth="1" collapsed="1"/>
    <col min="130" max="131" width="0" style="94" hidden="1" customWidth="1" outlineLevel="1"/>
    <col min="132" max="132" width="1.7109375" style="94" customWidth="1"/>
    <col min="133" max="158" width="0" style="94" hidden="1"/>
    <col min="159" max="230" width="9.140625" style="94" hidden="1"/>
    <col min="231" max="233" width="9.140625" style="94" customWidth="1"/>
    <col min="234" max="234" width="11.140625" style="94" customWidth="1"/>
    <col min="235" max="235" width="9.140625" style="94" customWidth="1"/>
    <col min="236" max="236" width="9.28515625" style="94" customWidth="1"/>
    <col min="237" max="237" width="10.85546875" style="94" customWidth="1"/>
    <col min="238" max="257" width="9.140625" style="94" hidden="1" customWidth="1"/>
    <col min="258" max="258" width="7.28515625" style="94" customWidth="1"/>
    <col min="259" max="260" width="9.140625" style="94" customWidth="1"/>
    <col min="261" max="261" width="12" style="94" customWidth="1"/>
    <col min="262" max="384" width="11.7109375" style="94" customWidth="1"/>
    <col min="385" max="385" width="1.7109375" style="94" customWidth="1"/>
    <col min="386" max="387" width="9.140625" style="94" hidden="1" customWidth="1"/>
    <col min="388" max="388" width="1.7109375" style="94" customWidth="1"/>
    <col min="389" max="486" width="9.140625" style="94" hidden="1"/>
    <col min="487" max="489" width="9.140625" style="94" customWidth="1"/>
    <col min="490" max="490" width="11.140625" style="94" customWidth="1"/>
    <col min="491" max="491" width="9.140625" style="94" customWidth="1"/>
    <col min="492" max="492" width="9.28515625" style="94" customWidth="1"/>
    <col min="493" max="493" width="10.85546875" style="94" customWidth="1"/>
    <col min="494" max="513" width="9.140625" style="94" hidden="1" customWidth="1"/>
    <col min="514" max="514" width="7.28515625" style="94" customWidth="1"/>
    <col min="515" max="516" width="9.140625" style="94" customWidth="1"/>
    <col min="517" max="517" width="12" style="94" customWidth="1"/>
    <col min="518" max="640" width="11.7109375" style="94" customWidth="1"/>
    <col min="641" max="641" width="1.7109375" style="94" customWidth="1"/>
    <col min="642" max="643" width="9.140625" style="94" hidden="1" customWidth="1"/>
    <col min="644" max="644" width="1.7109375" style="94" customWidth="1"/>
    <col min="645" max="742" width="9.140625" style="94" hidden="1"/>
    <col min="743" max="745" width="9.140625" style="94" customWidth="1"/>
    <col min="746" max="746" width="11.140625" style="94" customWidth="1"/>
    <col min="747" max="747" width="9.140625" style="94" customWidth="1"/>
    <col min="748" max="748" width="9.28515625" style="94" customWidth="1"/>
    <col min="749" max="749" width="10.85546875" style="94" customWidth="1"/>
    <col min="750" max="769" width="9.140625" style="94" hidden="1" customWidth="1"/>
    <col min="770" max="770" width="7.28515625" style="94" customWidth="1"/>
    <col min="771" max="772" width="9.140625" style="94" customWidth="1"/>
    <col min="773" max="773" width="12" style="94" customWidth="1"/>
    <col min="774" max="896" width="11.7109375" style="94" customWidth="1"/>
    <col min="897" max="897" width="1.7109375" style="94" customWidth="1"/>
    <col min="898" max="899" width="9.140625" style="94" hidden="1" customWidth="1"/>
    <col min="900" max="900" width="1.7109375" style="94" customWidth="1"/>
    <col min="901" max="998" width="9.140625" style="94" hidden="1"/>
    <col min="999" max="1001" width="9.140625" style="94" customWidth="1"/>
    <col min="1002" max="1002" width="11.140625" style="94" customWidth="1"/>
    <col min="1003" max="1003" width="9.140625" style="94" customWidth="1"/>
    <col min="1004" max="1004" width="9.28515625" style="94" customWidth="1"/>
    <col min="1005" max="1005" width="10.85546875" style="94" customWidth="1"/>
    <col min="1006" max="1025" width="9.140625" style="94" hidden="1" customWidth="1"/>
    <col min="1026" max="1026" width="7.28515625" style="94" customWidth="1"/>
    <col min="1027" max="1028" width="9.140625" style="94" customWidth="1"/>
    <col min="1029" max="1029" width="12" style="94" customWidth="1"/>
    <col min="1030" max="1152" width="11.7109375" style="94" customWidth="1"/>
    <col min="1153" max="1153" width="1.7109375" style="94" customWidth="1"/>
    <col min="1154" max="1155" width="9.140625" style="94" hidden="1" customWidth="1"/>
    <col min="1156" max="1156" width="1.7109375" style="94" customWidth="1"/>
    <col min="1157" max="1254" width="9.140625" style="94" hidden="1"/>
    <col min="1255" max="1257" width="9.140625" style="94" customWidth="1"/>
    <col min="1258" max="1258" width="11.140625" style="94" customWidth="1"/>
    <col min="1259" max="1259" width="9.140625" style="94" customWidth="1"/>
    <col min="1260" max="1260" width="9.28515625" style="94" customWidth="1"/>
    <col min="1261" max="1261" width="10.85546875" style="94" customWidth="1"/>
    <col min="1262" max="1281" width="9.140625" style="94" hidden="1" customWidth="1"/>
    <col min="1282" max="1282" width="7.28515625" style="94" customWidth="1"/>
    <col min="1283" max="1284" width="9.140625" style="94" customWidth="1"/>
    <col min="1285" max="1285" width="12" style="94" customWidth="1"/>
    <col min="1286" max="1408" width="11.7109375" style="94" customWidth="1"/>
    <col min="1409" max="1409" width="1.7109375" style="94" customWidth="1"/>
    <col min="1410" max="1411" width="9.140625" style="94" hidden="1" customWidth="1"/>
    <col min="1412" max="1412" width="1.7109375" style="94" customWidth="1"/>
    <col min="1413" max="1510" width="9.140625" style="94" hidden="1"/>
    <col min="1511" max="1513" width="9.140625" style="94" customWidth="1"/>
    <col min="1514" max="1514" width="11.140625" style="94" customWidth="1"/>
    <col min="1515" max="1515" width="9.140625" style="94" customWidth="1"/>
    <col min="1516" max="1516" width="9.28515625" style="94" customWidth="1"/>
    <col min="1517" max="1517" width="10.85546875" style="94" customWidth="1"/>
    <col min="1518" max="1537" width="9.140625" style="94" hidden="1" customWidth="1"/>
    <col min="1538" max="1538" width="7.28515625" style="94" customWidth="1"/>
    <col min="1539" max="1540" width="9.140625" style="94" customWidth="1"/>
    <col min="1541" max="1541" width="12" style="94" customWidth="1"/>
    <col min="1542" max="1664" width="11.7109375" style="94" customWidth="1"/>
    <col min="1665" max="1665" width="1.7109375" style="94" customWidth="1"/>
    <col min="1666" max="1667" width="9.140625" style="94" hidden="1" customWidth="1"/>
    <col min="1668" max="1668" width="1.7109375" style="94" customWidth="1"/>
    <col min="1669" max="1766" width="9.140625" style="94" hidden="1"/>
    <col min="1767" max="1769" width="9.140625" style="94" customWidth="1"/>
    <col min="1770" max="1770" width="11.140625" style="94" customWidth="1"/>
    <col min="1771" max="1771" width="9.140625" style="94" customWidth="1"/>
    <col min="1772" max="1772" width="9.28515625" style="94" customWidth="1"/>
    <col min="1773" max="1773" width="10.85546875" style="94" customWidth="1"/>
    <col min="1774" max="1793" width="9.140625" style="94" hidden="1" customWidth="1"/>
    <col min="1794" max="1794" width="7.28515625" style="94" customWidth="1"/>
    <col min="1795" max="1796" width="9.140625" style="94" customWidth="1"/>
    <col min="1797" max="1797" width="12" style="94" customWidth="1"/>
    <col min="1798" max="1920" width="11.7109375" style="94" customWidth="1"/>
    <col min="1921" max="1921" width="1.7109375" style="94" customWidth="1"/>
    <col min="1922" max="1923" width="9.140625" style="94" hidden="1" customWidth="1"/>
    <col min="1924" max="1924" width="1.7109375" style="94" customWidth="1"/>
    <col min="1925" max="2022" width="9.140625" style="94" hidden="1"/>
    <col min="2023" max="2025" width="9.140625" style="94" customWidth="1"/>
    <col min="2026" max="2026" width="11.140625" style="94" customWidth="1"/>
    <col min="2027" max="2027" width="9.140625" style="94" customWidth="1"/>
    <col min="2028" max="2028" width="9.28515625" style="94" customWidth="1"/>
    <col min="2029" max="2029" width="10.85546875" style="94" customWidth="1"/>
    <col min="2030" max="2049" width="9.140625" style="94" hidden="1" customWidth="1"/>
    <col min="2050" max="2050" width="7.28515625" style="94" customWidth="1"/>
    <col min="2051" max="2052" width="9.140625" style="94" customWidth="1"/>
    <col min="2053" max="2053" width="12" style="94" customWidth="1"/>
    <col min="2054" max="2176" width="11.7109375" style="94" customWidth="1"/>
    <col min="2177" max="2177" width="1.7109375" style="94" customWidth="1"/>
    <col min="2178" max="2179" width="9.140625" style="94" hidden="1" customWidth="1"/>
    <col min="2180" max="2180" width="1.7109375" style="94" customWidth="1"/>
    <col min="2181" max="2278" width="9.140625" style="94" hidden="1"/>
    <col min="2279" max="2281" width="9.140625" style="94" customWidth="1"/>
    <col min="2282" max="2282" width="11.140625" style="94" customWidth="1"/>
    <col min="2283" max="2283" width="9.140625" style="94" customWidth="1"/>
    <col min="2284" max="2284" width="9.28515625" style="94" customWidth="1"/>
    <col min="2285" max="2285" width="10.85546875" style="94" customWidth="1"/>
    <col min="2286" max="2305" width="9.140625" style="94" hidden="1" customWidth="1"/>
    <col min="2306" max="2306" width="7.28515625" style="94" customWidth="1"/>
    <col min="2307" max="2308" width="9.140625" style="94" customWidth="1"/>
    <col min="2309" max="2309" width="12" style="94" customWidth="1"/>
    <col min="2310" max="2432" width="11.7109375" style="94" customWidth="1"/>
    <col min="2433" max="2433" width="1.7109375" style="94" customWidth="1"/>
    <col min="2434" max="2435" width="9.140625" style="94" hidden="1" customWidth="1"/>
    <col min="2436" max="2436" width="1.7109375" style="94" customWidth="1"/>
    <col min="2437" max="2534" width="9.140625" style="94" hidden="1"/>
    <col min="2535" max="2537" width="9.140625" style="94" customWidth="1"/>
    <col min="2538" max="2538" width="11.140625" style="94" customWidth="1"/>
    <col min="2539" max="2539" width="9.140625" style="94" customWidth="1"/>
    <col min="2540" max="2540" width="9.28515625" style="94" customWidth="1"/>
    <col min="2541" max="2541" width="10.85546875" style="94" customWidth="1"/>
    <col min="2542" max="2561" width="9.140625" style="94" hidden="1" customWidth="1"/>
    <col min="2562" max="2562" width="7.28515625" style="94" customWidth="1"/>
    <col min="2563" max="2564" width="9.140625" style="94" customWidth="1"/>
    <col min="2565" max="2565" width="12" style="94" customWidth="1"/>
    <col min="2566" max="2688" width="11.7109375" style="94" customWidth="1"/>
    <col min="2689" max="2689" width="1.7109375" style="94" customWidth="1"/>
    <col min="2690" max="2691" width="9.140625" style="94" hidden="1" customWidth="1"/>
    <col min="2692" max="2692" width="1.7109375" style="94" customWidth="1"/>
    <col min="2693" max="2790" width="9.140625" style="94" hidden="1"/>
    <col min="2791" max="2793" width="9.140625" style="94" customWidth="1"/>
    <col min="2794" max="2794" width="11.140625" style="94" customWidth="1"/>
    <col min="2795" max="2795" width="9.140625" style="94" customWidth="1"/>
    <col min="2796" max="2796" width="9.28515625" style="94" customWidth="1"/>
    <col min="2797" max="2797" width="10.85546875" style="94" customWidth="1"/>
    <col min="2798" max="2817" width="9.140625" style="94" hidden="1" customWidth="1"/>
    <col min="2818" max="2818" width="7.28515625" style="94" customWidth="1"/>
    <col min="2819" max="2820" width="9.140625" style="94" customWidth="1"/>
    <col min="2821" max="2821" width="12" style="94" customWidth="1"/>
    <col min="2822" max="2944" width="11.7109375" style="94" customWidth="1"/>
    <col min="2945" max="2945" width="1.7109375" style="94" customWidth="1"/>
    <col min="2946" max="2947" width="9.140625" style="94" hidden="1" customWidth="1"/>
    <col min="2948" max="2948" width="1.7109375" style="94" customWidth="1"/>
    <col min="2949" max="3046" width="9.140625" style="94" hidden="1"/>
    <col min="3047" max="3049" width="9.140625" style="94" customWidth="1"/>
    <col min="3050" max="3050" width="11.140625" style="94" customWidth="1"/>
    <col min="3051" max="3051" width="9.140625" style="94" customWidth="1"/>
    <col min="3052" max="3052" width="9.28515625" style="94" customWidth="1"/>
    <col min="3053" max="3053" width="10.85546875" style="94" customWidth="1"/>
    <col min="3054" max="3073" width="9.140625" style="94" hidden="1" customWidth="1"/>
    <col min="3074" max="3074" width="7.28515625" style="94" customWidth="1"/>
    <col min="3075" max="3076" width="9.140625" style="94" customWidth="1"/>
    <col min="3077" max="3077" width="12" style="94" customWidth="1"/>
    <col min="3078" max="3200" width="11.7109375" style="94" customWidth="1"/>
    <col min="3201" max="3201" width="1.7109375" style="94" customWidth="1"/>
    <col min="3202" max="3203" width="9.140625" style="94" hidden="1" customWidth="1"/>
    <col min="3204" max="3204" width="1.7109375" style="94" customWidth="1"/>
    <col min="3205" max="3302" width="9.140625" style="94" hidden="1"/>
    <col min="3303" max="3305" width="9.140625" style="94" customWidth="1"/>
    <col min="3306" max="3306" width="11.140625" style="94" customWidth="1"/>
    <col min="3307" max="3307" width="9.140625" style="94" customWidth="1"/>
    <col min="3308" max="3308" width="9.28515625" style="94" customWidth="1"/>
    <col min="3309" max="3309" width="10.85546875" style="94" customWidth="1"/>
    <col min="3310" max="3329" width="9.140625" style="94" hidden="1" customWidth="1"/>
    <col min="3330" max="3330" width="7.28515625" style="94" customWidth="1"/>
    <col min="3331" max="3332" width="9.140625" style="94" customWidth="1"/>
    <col min="3333" max="3333" width="12" style="94" customWidth="1"/>
    <col min="3334" max="3456" width="11.7109375" style="94" customWidth="1"/>
    <col min="3457" max="3457" width="1.7109375" style="94" customWidth="1"/>
    <col min="3458" max="3459" width="9.140625" style="94" hidden="1" customWidth="1"/>
    <col min="3460" max="3460" width="1.7109375" style="94" customWidth="1"/>
    <col min="3461" max="3558" width="9.140625" style="94" hidden="1"/>
    <col min="3559" max="3561" width="9.140625" style="94" customWidth="1"/>
    <col min="3562" max="3562" width="11.140625" style="94" customWidth="1"/>
    <col min="3563" max="3563" width="9.140625" style="94" customWidth="1"/>
    <col min="3564" max="3564" width="9.28515625" style="94" customWidth="1"/>
    <col min="3565" max="3565" width="10.85546875" style="94" customWidth="1"/>
    <col min="3566" max="3585" width="9.140625" style="94" hidden="1" customWidth="1"/>
    <col min="3586" max="3586" width="7.28515625" style="94" customWidth="1"/>
    <col min="3587" max="3588" width="9.140625" style="94" customWidth="1"/>
    <col min="3589" max="3589" width="12" style="94" customWidth="1"/>
    <col min="3590" max="3712" width="11.7109375" style="94" customWidth="1"/>
    <col min="3713" max="3713" width="1.7109375" style="94" customWidth="1"/>
    <col min="3714" max="3715" width="9.140625" style="94" hidden="1" customWidth="1"/>
    <col min="3716" max="3716" width="1.7109375" style="94" customWidth="1"/>
    <col min="3717" max="3814" width="9.140625" style="94" hidden="1"/>
    <col min="3815" max="3817" width="9.140625" style="94" customWidth="1"/>
    <col min="3818" max="3818" width="11.140625" style="94" customWidth="1"/>
    <col min="3819" max="3819" width="9.140625" style="94" customWidth="1"/>
    <col min="3820" max="3820" width="9.28515625" style="94" customWidth="1"/>
    <col min="3821" max="3821" width="10.85546875" style="94" customWidth="1"/>
    <col min="3822" max="3841" width="9.140625" style="94" hidden="1" customWidth="1"/>
    <col min="3842" max="3842" width="7.28515625" style="94" customWidth="1"/>
    <col min="3843" max="3844" width="9.140625" style="94" customWidth="1"/>
    <col min="3845" max="3845" width="12" style="94" customWidth="1"/>
    <col min="3846" max="3968" width="11.7109375" style="94" customWidth="1"/>
    <col min="3969" max="3969" width="1.7109375" style="94" customWidth="1"/>
    <col min="3970" max="3971" width="9.140625" style="94" hidden="1" customWidth="1"/>
    <col min="3972" max="3972" width="1.7109375" style="94" customWidth="1"/>
    <col min="3973" max="4070" width="9.140625" style="94" hidden="1"/>
    <col min="4071" max="4073" width="9.140625" style="94" customWidth="1"/>
    <col min="4074" max="4074" width="11.140625" style="94" customWidth="1"/>
    <col min="4075" max="4075" width="9.140625" style="94" customWidth="1"/>
    <col min="4076" max="4076" width="9.28515625" style="94" customWidth="1"/>
    <col min="4077" max="4077" width="10.85546875" style="94" customWidth="1"/>
    <col min="4078" max="4097" width="9.140625" style="94" hidden="1" customWidth="1"/>
    <col min="4098" max="4098" width="7.28515625" style="94" customWidth="1"/>
    <col min="4099" max="4100" width="9.140625" style="94" customWidth="1"/>
    <col min="4101" max="4101" width="12" style="94" customWidth="1"/>
    <col min="4102" max="4224" width="11.7109375" style="94" customWidth="1"/>
    <col min="4225" max="4225" width="1.7109375" style="94" customWidth="1"/>
    <col min="4226" max="4227" width="9.140625" style="94" hidden="1" customWidth="1"/>
    <col min="4228" max="4228" width="1.7109375" style="94" customWidth="1"/>
    <col min="4229" max="4326" width="9.140625" style="94" hidden="1"/>
    <col min="4327" max="4329" width="9.140625" style="94" customWidth="1"/>
    <col min="4330" max="4330" width="11.140625" style="94" customWidth="1"/>
    <col min="4331" max="4331" width="9.140625" style="94" customWidth="1"/>
    <col min="4332" max="4332" width="9.28515625" style="94" customWidth="1"/>
    <col min="4333" max="4333" width="10.85546875" style="94" customWidth="1"/>
    <col min="4334" max="4353" width="9.140625" style="94" hidden="1" customWidth="1"/>
    <col min="4354" max="4354" width="7.28515625" style="94" customWidth="1"/>
    <col min="4355" max="4356" width="9.140625" style="94" customWidth="1"/>
    <col min="4357" max="4357" width="12" style="94" customWidth="1"/>
    <col min="4358" max="4480" width="11.7109375" style="94" customWidth="1"/>
    <col min="4481" max="4481" width="1.7109375" style="94" customWidth="1"/>
    <col min="4482" max="4483" width="9.140625" style="94" hidden="1" customWidth="1"/>
    <col min="4484" max="4484" width="1.7109375" style="94" customWidth="1"/>
    <col min="4485" max="4582" width="9.140625" style="94" hidden="1"/>
    <col min="4583" max="4585" width="9.140625" style="94" customWidth="1"/>
    <col min="4586" max="4586" width="11.140625" style="94" customWidth="1"/>
    <col min="4587" max="4587" width="9.140625" style="94" customWidth="1"/>
    <col min="4588" max="4588" width="9.28515625" style="94" customWidth="1"/>
    <col min="4589" max="4589" width="10.85546875" style="94" customWidth="1"/>
    <col min="4590" max="4609" width="9.140625" style="94" hidden="1" customWidth="1"/>
    <col min="4610" max="4610" width="7.28515625" style="94" customWidth="1"/>
    <col min="4611" max="4612" width="9.140625" style="94" customWidth="1"/>
    <col min="4613" max="4613" width="12" style="94" customWidth="1"/>
    <col min="4614" max="4736" width="11.7109375" style="94" customWidth="1"/>
    <col min="4737" max="4737" width="1.7109375" style="94" customWidth="1"/>
    <col min="4738" max="4739" width="9.140625" style="94" hidden="1" customWidth="1"/>
    <col min="4740" max="4740" width="1.7109375" style="94" customWidth="1"/>
    <col min="4741" max="4838" width="9.140625" style="94" hidden="1"/>
    <col min="4839" max="4841" width="9.140625" style="94" customWidth="1"/>
    <col min="4842" max="4842" width="11.140625" style="94" customWidth="1"/>
    <col min="4843" max="4843" width="9.140625" style="94" customWidth="1"/>
    <col min="4844" max="4844" width="9.28515625" style="94" customWidth="1"/>
    <col min="4845" max="4845" width="10.85546875" style="94" customWidth="1"/>
    <col min="4846" max="4865" width="9.140625" style="94" hidden="1" customWidth="1"/>
    <col min="4866" max="4866" width="7.28515625" style="94" customWidth="1"/>
    <col min="4867" max="4868" width="9.140625" style="94" customWidth="1"/>
    <col min="4869" max="4869" width="12" style="94" customWidth="1"/>
    <col min="4870" max="4992" width="11.7109375" style="94" customWidth="1"/>
    <col min="4993" max="4993" width="1.7109375" style="94" customWidth="1"/>
    <col min="4994" max="4995" width="9.140625" style="94" hidden="1" customWidth="1"/>
    <col min="4996" max="4996" width="1.7109375" style="94" customWidth="1"/>
    <col min="4997" max="5094" width="9.140625" style="94" hidden="1"/>
    <col min="5095" max="5097" width="9.140625" style="94" customWidth="1"/>
    <col min="5098" max="5098" width="11.140625" style="94" customWidth="1"/>
    <col min="5099" max="5099" width="9.140625" style="94" customWidth="1"/>
    <col min="5100" max="5100" width="9.28515625" style="94" customWidth="1"/>
    <col min="5101" max="5101" width="10.85546875" style="94" customWidth="1"/>
    <col min="5102" max="5121" width="9.140625" style="94" hidden="1" customWidth="1"/>
    <col min="5122" max="5122" width="7.28515625" style="94" customWidth="1"/>
    <col min="5123" max="5124" width="9.140625" style="94" customWidth="1"/>
    <col min="5125" max="5125" width="12" style="94" customWidth="1"/>
    <col min="5126" max="5248" width="11.7109375" style="94" customWidth="1"/>
    <col min="5249" max="5249" width="1.7109375" style="94" customWidth="1"/>
    <col min="5250" max="5251" width="9.140625" style="94" hidden="1" customWidth="1"/>
    <col min="5252" max="5252" width="1.7109375" style="94" customWidth="1"/>
    <col min="5253" max="5350" width="9.140625" style="94" hidden="1"/>
    <col min="5351" max="5353" width="9.140625" style="94" customWidth="1"/>
    <col min="5354" max="5354" width="11.140625" style="94" customWidth="1"/>
    <col min="5355" max="5355" width="9.140625" style="94" customWidth="1"/>
    <col min="5356" max="5356" width="9.28515625" style="94" customWidth="1"/>
    <col min="5357" max="5357" width="10.85546875" style="94" customWidth="1"/>
    <col min="5358" max="5377" width="9.140625" style="94" hidden="1" customWidth="1"/>
    <col min="5378" max="5378" width="7.28515625" style="94" customWidth="1"/>
    <col min="5379" max="5380" width="9.140625" style="94" customWidth="1"/>
    <col min="5381" max="5381" width="12" style="94" customWidth="1"/>
    <col min="5382" max="5504" width="11.7109375" style="94" customWidth="1"/>
    <col min="5505" max="5505" width="1.7109375" style="94" customWidth="1"/>
    <col min="5506" max="5507" width="9.140625" style="94" hidden="1" customWidth="1"/>
    <col min="5508" max="5508" width="1.7109375" style="94" customWidth="1"/>
    <col min="5509" max="5606" width="9.140625" style="94" hidden="1"/>
    <col min="5607" max="5609" width="9.140625" style="94" customWidth="1"/>
    <col min="5610" max="5610" width="11.140625" style="94" customWidth="1"/>
    <col min="5611" max="5611" width="9.140625" style="94" customWidth="1"/>
    <col min="5612" max="5612" width="9.28515625" style="94" customWidth="1"/>
    <col min="5613" max="5613" width="10.85546875" style="94" customWidth="1"/>
    <col min="5614" max="5633" width="9.140625" style="94" hidden="1" customWidth="1"/>
    <col min="5634" max="5634" width="7.28515625" style="94" customWidth="1"/>
    <col min="5635" max="5636" width="9.140625" style="94" customWidth="1"/>
    <col min="5637" max="5637" width="12" style="94" customWidth="1"/>
    <col min="5638" max="5760" width="11.7109375" style="94" customWidth="1"/>
    <col min="5761" max="5761" width="1.7109375" style="94" customWidth="1"/>
    <col min="5762" max="5763" width="9.140625" style="94" hidden="1" customWidth="1"/>
    <col min="5764" max="5764" width="1.7109375" style="94" customWidth="1"/>
    <col min="5765" max="5862" width="9.140625" style="94" hidden="1"/>
    <col min="5863" max="5865" width="9.140625" style="94" customWidth="1"/>
    <col min="5866" max="5866" width="11.140625" style="94" customWidth="1"/>
    <col min="5867" max="5867" width="9.140625" style="94" customWidth="1"/>
    <col min="5868" max="5868" width="9.28515625" style="94" customWidth="1"/>
    <col min="5869" max="5869" width="10.85546875" style="94" customWidth="1"/>
    <col min="5870" max="5889" width="9.140625" style="94" hidden="1" customWidth="1"/>
    <col min="5890" max="5890" width="7.28515625" style="94" customWidth="1"/>
    <col min="5891" max="5892" width="9.140625" style="94" customWidth="1"/>
    <col min="5893" max="5893" width="12" style="94" customWidth="1"/>
    <col min="5894" max="6016" width="11.7109375" style="94" customWidth="1"/>
    <col min="6017" max="6017" width="1.7109375" style="94" customWidth="1"/>
    <col min="6018" max="6019" width="9.140625" style="94" hidden="1" customWidth="1"/>
    <col min="6020" max="6020" width="1.7109375" style="94" customWidth="1"/>
    <col min="6021" max="6118" width="9.140625" style="94" hidden="1"/>
    <col min="6119" max="6121" width="9.140625" style="94" customWidth="1"/>
    <col min="6122" max="6122" width="11.140625" style="94" customWidth="1"/>
    <col min="6123" max="6123" width="9.140625" style="94" customWidth="1"/>
    <col min="6124" max="6124" width="9.28515625" style="94" customWidth="1"/>
    <col min="6125" max="6125" width="10.85546875" style="94" customWidth="1"/>
    <col min="6126" max="6145" width="9.140625" style="94" hidden="1" customWidth="1"/>
    <col min="6146" max="6146" width="7.28515625" style="94" customWidth="1"/>
    <col min="6147" max="6148" width="9.140625" style="94" customWidth="1"/>
    <col min="6149" max="6149" width="12" style="94" customWidth="1"/>
    <col min="6150" max="6272" width="11.7109375" style="94" customWidth="1"/>
    <col min="6273" max="6273" width="1.7109375" style="94" customWidth="1"/>
    <col min="6274" max="6275" width="9.140625" style="94" hidden="1" customWidth="1"/>
    <col min="6276" max="6276" width="1.7109375" style="94" customWidth="1"/>
    <col min="6277" max="6374" width="9.140625" style="94" hidden="1"/>
    <col min="6375" max="6377" width="9.140625" style="94" customWidth="1"/>
    <col min="6378" max="6378" width="11.140625" style="94" customWidth="1"/>
    <col min="6379" max="6379" width="9.140625" style="94" customWidth="1"/>
    <col min="6380" max="6380" width="9.28515625" style="94" customWidth="1"/>
    <col min="6381" max="6381" width="10.85546875" style="94" customWidth="1"/>
    <col min="6382" max="6401" width="9.140625" style="94" hidden="1" customWidth="1"/>
    <col min="6402" max="6402" width="7.28515625" style="94" customWidth="1"/>
    <col min="6403" max="6404" width="9.140625" style="94" customWidth="1"/>
    <col min="6405" max="6405" width="12" style="94" customWidth="1"/>
    <col min="6406" max="6528" width="11.7109375" style="94" customWidth="1"/>
    <col min="6529" max="6529" width="1.7109375" style="94" customWidth="1"/>
    <col min="6530" max="6531" width="9.140625" style="94" hidden="1" customWidth="1"/>
    <col min="6532" max="6532" width="1.7109375" style="94" customWidth="1"/>
    <col min="6533" max="6630" width="9.140625" style="94" hidden="1"/>
    <col min="6631" max="6633" width="9.140625" style="94" customWidth="1"/>
    <col min="6634" max="6634" width="11.140625" style="94" customWidth="1"/>
    <col min="6635" max="6635" width="9.140625" style="94" customWidth="1"/>
    <col min="6636" max="6636" width="9.28515625" style="94" customWidth="1"/>
    <col min="6637" max="6637" width="10.85546875" style="94" customWidth="1"/>
    <col min="6638" max="6657" width="9.140625" style="94" hidden="1" customWidth="1"/>
    <col min="6658" max="6658" width="7.28515625" style="94" customWidth="1"/>
    <col min="6659" max="6660" width="9.140625" style="94" customWidth="1"/>
    <col min="6661" max="6661" width="12" style="94" customWidth="1"/>
    <col min="6662" max="6784" width="11.7109375" style="94" customWidth="1"/>
    <col min="6785" max="6785" width="1.7109375" style="94" customWidth="1"/>
    <col min="6786" max="6787" width="9.140625" style="94" hidden="1" customWidth="1"/>
    <col min="6788" max="6788" width="1.7109375" style="94" customWidth="1"/>
    <col min="6789" max="6886" width="9.140625" style="94" hidden="1"/>
    <col min="6887" max="6889" width="9.140625" style="94" customWidth="1"/>
    <col min="6890" max="6890" width="11.140625" style="94" customWidth="1"/>
    <col min="6891" max="6891" width="9.140625" style="94" customWidth="1"/>
    <col min="6892" max="6892" width="9.28515625" style="94" customWidth="1"/>
    <col min="6893" max="6893" width="10.85546875" style="94" customWidth="1"/>
    <col min="6894" max="6913" width="9.140625" style="94" hidden="1" customWidth="1"/>
    <col min="6914" max="6914" width="7.28515625" style="94" customWidth="1"/>
    <col min="6915" max="6916" width="9.140625" style="94" customWidth="1"/>
    <col min="6917" max="6917" width="12" style="94" customWidth="1"/>
    <col min="6918" max="7040" width="11.7109375" style="94" customWidth="1"/>
    <col min="7041" max="7041" width="1.7109375" style="94" customWidth="1"/>
    <col min="7042" max="7043" width="9.140625" style="94" hidden="1" customWidth="1"/>
    <col min="7044" max="7044" width="1.7109375" style="94" customWidth="1"/>
    <col min="7045" max="7142" width="9.140625" style="94" hidden="1"/>
    <col min="7143" max="7145" width="9.140625" style="94" customWidth="1"/>
    <col min="7146" max="7146" width="11.140625" style="94" customWidth="1"/>
    <col min="7147" max="7147" width="9.140625" style="94" customWidth="1"/>
    <col min="7148" max="7148" width="9.28515625" style="94" customWidth="1"/>
    <col min="7149" max="7149" width="10.85546875" style="94" customWidth="1"/>
    <col min="7150" max="7169" width="9.140625" style="94" hidden="1" customWidth="1"/>
    <col min="7170" max="7170" width="7.28515625" style="94" customWidth="1"/>
    <col min="7171" max="7172" width="9.140625" style="94" customWidth="1"/>
    <col min="7173" max="7173" width="12" style="94" customWidth="1"/>
    <col min="7174" max="7296" width="11.7109375" style="94" customWidth="1"/>
    <col min="7297" max="7297" width="1.7109375" style="94" customWidth="1"/>
    <col min="7298" max="7299" width="9.140625" style="94" hidden="1" customWidth="1"/>
    <col min="7300" max="7300" width="1.7109375" style="94" customWidth="1"/>
    <col min="7301" max="7398" width="9.140625" style="94" hidden="1"/>
    <col min="7399" max="7401" width="9.140625" style="94" customWidth="1"/>
    <col min="7402" max="7402" width="11.140625" style="94" customWidth="1"/>
    <col min="7403" max="7403" width="9.140625" style="94" customWidth="1"/>
    <col min="7404" max="7404" width="9.28515625" style="94" customWidth="1"/>
    <col min="7405" max="7405" width="10.85546875" style="94" customWidth="1"/>
    <col min="7406" max="7425" width="9.140625" style="94" hidden="1" customWidth="1"/>
    <col min="7426" max="7426" width="7.28515625" style="94" customWidth="1"/>
    <col min="7427" max="7428" width="9.140625" style="94" customWidth="1"/>
    <col min="7429" max="7429" width="12" style="94" customWidth="1"/>
    <col min="7430" max="7552" width="11.7109375" style="94" customWidth="1"/>
    <col min="7553" max="7553" width="1.7109375" style="94" customWidth="1"/>
    <col min="7554" max="7555" width="9.140625" style="94" hidden="1" customWidth="1"/>
    <col min="7556" max="7556" width="1.7109375" style="94" customWidth="1"/>
    <col min="7557" max="7654" width="9.140625" style="94" hidden="1"/>
    <col min="7655" max="7657" width="9.140625" style="94" customWidth="1"/>
    <col min="7658" max="7658" width="11.140625" style="94" customWidth="1"/>
    <col min="7659" max="7659" width="9.140625" style="94" customWidth="1"/>
    <col min="7660" max="7660" width="9.28515625" style="94" customWidth="1"/>
    <col min="7661" max="7661" width="10.85546875" style="94" customWidth="1"/>
    <col min="7662" max="7681" width="9.140625" style="94" hidden="1" customWidth="1"/>
    <col min="7682" max="7682" width="7.28515625" style="94" customWidth="1"/>
    <col min="7683" max="7684" width="9.140625" style="94" customWidth="1"/>
    <col min="7685" max="7685" width="12" style="94" customWidth="1"/>
    <col min="7686" max="7808" width="11.7109375" style="94" customWidth="1"/>
    <col min="7809" max="7809" width="1.7109375" style="94" customWidth="1"/>
    <col min="7810" max="7811" width="9.140625" style="94" hidden="1" customWidth="1"/>
    <col min="7812" max="7812" width="1.7109375" style="94" customWidth="1"/>
    <col min="7813" max="7910" width="9.140625" style="94" hidden="1"/>
    <col min="7911" max="7913" width="9.140625" style="94" customWidth="1"/>
    <col min="7914" max="7914" width="11.140625" style="94" customWidth="1"/>
    <col min="7915" max="7915" width="9.140625" style="94" customWidth="1"/>
    <col min="7916" max="7916" width="9.28515625" style="94" customWidth="1"/>
    <col min="7917" max="7917" width="10.85546875" style="94" customWidth="1"/>
    <col min="7918" max="7937" width="9.140625" style="94" hidden="1" customWidth="1"/>
    <col min="7938" max="7938" width="7.28515625" style="94" customWidth="1"/>
    <col min="7939" max="7940" width="9.140625" style="94" customWidth="1"/>
    <col min="7941" max="7941" width="12" style="94" customWidth="1"/>
    <col min="7942" max="8064" width="11.7109375" style="94" customWidth="1"/>
    <col min="8065" max="8065" width="1.7109375" style="94" customWidth="1"/>
    <col min="8066" max="8067" width="9.140625" style="94" hidden="1" customWidth="1"/>
    <col min="8068" max="8068" width="1.7109375" style="94" customWidth="1"/>
    <col min="8069" max="8166" width="9.140625" style="94" hidden="1"/>
    <col min="8167" max="8169" width="9.140625" style="94" customWidth="1"/>
    <col min="8170" max="8170" width="11.140625" style="94" customWidth="1"/>
    <col min="8171" max="8171" width="9.140625" style="94" customWidth="1"/>
    <col min="8172" max="8172" width="9.28515625" style="94" customWidth="1"/>
    <col min="8173" max="8173" width="10.85546875" style="94" customWidth="1"/>
    <col min="8174" max="8193" width="9.140625" style="94" hidden="1" customWidth="1"/>
    <col min="8194" max="8194" width="7.28515625" style="94" customWidth="1"/>
    <col min="8195" max="8196" width="9.140625" style="94" customWidth="1"/>
    <col min="8197" max="8197" width="12" style="94" customWidth="1"/>
    <col min="8198" max="8320" width="11.7109375" style="94" customWidth="1"/>
    <col min="8321" max="8321" width="1.7109375" style="94" customWidth="1"/>
    <col min="8322" max="8323" width="9.140625" style="94" hidden="1" customWidth="1"/>
    <col min="8324" max="8324" width="1.7109375" style="94" customWidth="1"/>
    <col min="8325" max="8422" width="9.140625" style="94" hidden="1"/>
    <col min="8423" max="8425" width="9.140625" style="94" customWidth="1"/>
    <col min="8426" max="8426" width="11.140625" style="94" customWidth="1"/>
    <col min="8427" max="8427" width="9.140625" style="94" customWidth="1"/>
    <col min="8428" max="8428" width="9.28515625" style="94" customWidth="1"/>
    <col min="8429" max="8429" width="10.85546875" style="94" customWidth="1"/>
    <col min="8430" max="8449" width="9.140625" style="94" hidden="1" customWidth="1"/>
    <col min="8450" max="8450" width="7.28515625" style="94" customWidth="1"/>
    <col min="8451" max="8452" width="9.140625" style="94" customWidth="1"/>
    <col min="8453" max="8453" width="12" style="94" customWidth="1"/>
    <col min="8454" max="8576" width="11.7109375" style="94" customWidth="1"/>
    <col min="8577" max="8577" width="1.7109375" style="94" customWidth="1"/>
    <col min="8578" max="8579" width="9.140625" style="94" hidden="1" customWidth="1"/>
    <col min="8580" max="8580" width="1.7109375" style="94" customWidth="1"/>
    <col min="8581" max="8678" width="9.140625" style="94" hidden="1"/>
    <col min="8679" max="8681" width="9.140625" style="94" customWidth="1"/>
    <col min="8682" max="8682" width="11.140625" style="94" customWidth="1"/>
    <col min="8683" max="8683" width="9.140625" style="94" customWidth="1"/>
    <col min="8684" max="8684" width="9.28515625" style="94" customWidth="1"/>
    <col min="8685" max="8685" width="10.85546875" style="94" customWidth="1"/>
    <col min="8686" max="8705" width="9.140625" style="94" hidden="1" customWidth="1"/>
    <col min="8706" max="8706" width="7.28515625" style="94" customWidth="1"/>
    <col min="8707" max="8708" width="9.140625" style="94" customWidth="1"/>
    <col min="8709" max="8709" width="12" style="94" customWidth="1"/>
    <col min="8710" max="8832" width="11.7109375" style="94" customWidth="1"/>
    <col min="8833" max="8833" width="1.7109375" style="94" customWidth="1"/>
    <col min="8834" max="8835" width="9.140625" style="94" hidden="1" customWidth="1"/>
    <col min="8836" max="8836" width="1.7109375" style="94" customWidth="1"/>
    <col min="8837" max="8934" width="9.140625" style="94" hidden="1"/>
    <col min="8935" max="8937" width="9.140625" style="94" customWidth="1"/>
    <col min="8938" max="8938" width="11.140625" style="94" customWidth="1"/>
    <col min="8939" max="8939" width="9.140625" style="94" customWidth="1"/>
    <col min="8940" max="8940" width="9.28515625" style="94" customWidth="1"/>
    <col min="8941" max="8941" width="10.85546875" style="94" customWidth="1"/>
    <col min="8942" max="8961" width="9.140625" style="94" hidden="1" customWidth="1"/>
    <col min="8962" max="8962" width="7.28515625" style="94" customWidth="1"/>
    <col min="8963" max="8964" width="9.140625" style="94" customWidth="1"/>
    <col min="8965" max="8965" width="12" style="94" customWidth="1"/>
    <col min="8966" max="9088" width="11.7109375" style="94" customWidth="1"/>
    <col min="9089" max="9089" width="1.7109375" style="94" customWidth="1"/>
    <col min="9090" max="9091" width="9.140625" style="94" hidden="1" customWidth="1"/>
    <col min="9092" max="9092" width="1.7109375" style="94" customWidth="1"/>
    <col min="9093" max="9190" width="9.140625" style="94" hidden="1"/>
    <col min="9191" max="9193" width="9.140625" style="94" customWidth="1"/>
    <col min="9194" max="9194" width="11.140625" style="94" customWidth="1"/>
    <col min="9195" max="9195" width="9.140625" style="94" customWidth="1"/>
    <col min="9196" max="9196" width="9.28515625" style="94" customWidth="1"/>
    <col min="9197" max="9197" width="10.85546875" style="94" customWidth="1"/>
    <col min="9198" max="9217" width="9.140625" style="94" hidden="1" customWidth="1"/>
    <col min="9218" max="9218" width="7.28515625" style="94" customWidth="1"/>
    <col min="9219" max="9220" width="9.140625" style="94" customWidth="1"/>
    <col min="9221" max="9221" width="12" style="94" customWidth="1"/>
    <col min="9222" max="9344" width="11.7109375" style="94" customWidth="1"/>
    <col min="9345" max="9345" width="1.7109375" style="94" customWidth="1"/>
    <col min="9346" max="9347" width="9.140625" style="94" hidden="1" customWidth="1"/>
    <col min="9348" max="9348" width="1.7109375" style="94" customWidth="1"/>
    <col min="9349" max="9446" width="9.140625" style="94" hidden="1"/>
    <col min="9447" max="9449" width="9.140625" style="94" customWidth="1"/>
    <col min="9450" max="9450" width="11.140625" style="94" customWidth="1"/>
    <col min="9451" max="9451" width="9.140625" style="94" customWidth="1"/>
    <col min="9452" max="9452" width="9.28515625" style="94" customWidth="1"/>
    <col min="9453" max="9453" width="10.85546875" style="94" customWidth="1"/>
    <col min="9454" max="9473" width="9.140625" style="94" hidden="1" customWidth="1"/>
    <col min="9474" max="9474" width="7.28515625" style="94" customWidth="1"/>
    <col min="9475" max="9476" width="9.140625" style="94" customWidth="1"/>
    <col min="9477" max="9477" width="12" style="94" customWidth="1"/>
    <col min="9478" max="9600" width="11.7109375" style="94" customWidth="1"/>
    <col min="9601" max="9601" width="1.7109375" style="94" customWidth="1"/>
    <col min="9602" max="9603" width="9.140625" style="94" hidden="1" customWidth="1"/>
    <col min="9604" max="9604" width="1.7109375" style="94" customWidth="1"/>
    <col min="9605" max="9702" width="9.140625" style="94" hidden="1"/>
    <col min="9703" max="9705" width="9.140625" style="94" customWidth="1"/>
    <col min="9706" max="9706" width="11.140625" style="94" customWidth="1"/>
    <col min="9707" max="9707" width="9.140625" style="94" customWidth="1"/>
    <col min="9708" max="9708" width="9.28515625" style="94" customWidth="1"/>
    <col min="9709" max="9709" width="10.85546875" style="94" customWidth="1"/>
    <col min="9710" max="9729" width="9.140625" style="94" hidden="1" customWidth="1"/>
    <col min="9730" max="9730" width="7.28515625" style="94" customWidth="1"/>
    <col min="9731" max="9732" width="9.140625" style="94" customWidth="1"/>
    <col min="9733" max="9733" width="12" style="94" customWidth="1"/>
    <col min="9734" max="9856" width="11.7109375" style="94" customWidth="1"/>
    <col min="9857" max="9857" width="1.7109375" style="94" customWidth="1"/>
    <col min="9858" max="9859" width="9.140625" style="94" hidden="1" customWidth="1"/>
    <col min="9860" max="9860" width="1.7109375" style="94" customWidth="1"/>
    <col min="9861" max="9958" width="9.140625" style="94" hidden="1"/>
    <col min="9959" max="9961" width="9.140625" style="94" customWidth="1"/>
    <col min="9962" max="9962" width="11.140625" style="94" customWidth="1"/>
    <col min="9963" max="9963" width="9.140625" style="94" customWidth="1"/>
    <col min="9964" max="9964" width="9.28515625" style="94" customWidth="1"/>
    <col min="9965" max="9965" width="10.85546875" style="94" customWidth="1"/>
    <col min="9966" max="9985" width="9.140625" style="94" hidden="1" customWidth="1"/>
    <col min="9986" max="9986" width="7.28515625" style="94" customWidth="1"/>
    <col min="9987" max="9988" width="9.140625" style="94" customWidth="1"/>
    <col min="9989" max="9989" width="12" style="94" customWidth="1"/>
    <col min="9990" max="10112" width="11.7109375" style="94" customWidth="1"/>
    <col min="10113" max="10113" width="1.7109375" style="94" customWidth="1"/>
    <col min="10114" max="10115" width="9.140625" style="94" hidden="1" customWidth="1"/>
    <col min="10116" max="10116" width="1.7109375" style="94" customWidth="1"/>
    <col min="10117" max="10214" width="9.140625" style="94" hidden="1"/>
    <col min="10215" max="10217" width="9.140625" style="94" customWidth="1"/>
    <col min="10218" max="10218" width="11.140625" style="94" customWidth="1"/>
    <col min="10219" max="10219" width="9.140625" style="94" customWidth="1"/>
    <col min="10220" max="10220" width="9.28515625" style="94" customWidth="1"/>
    <col min="10221" max="10221" width="10.85546875" style="94" customWidth="1"/>
    <col min="10222" max="10241" width="9.140625" style="94" hidden="1" customWidth="1"/>
    <col min="10242" max="10242" width="7.28515625" style="94" customWidth="1"/>
    <col min="10243" max="10244" width="9.140625" style="94" customWidth="1"/>
    <col min="10245" max="10245" width="12" style="94" customWidth="1"/>
    <col min="10246" max="10368" width="11.7109375" style="94" customWidth="1"/>
    <col min="10369" max="10369" width="1.7109375" style="94" customWidth="1"/>
    <col min="10370" max="10371" width="9.140625" style="94" hidden="1" customWidth="1"/>
    <col min="10372" max="10372" width="1.7109375" style="94" customWidth="1"/>
    <col min="10373" max="10470" width="9.140625" style="94" hidden="1"/>
    <col min="10471" max="10473" width="9.140625" style="94" customWidth="1"/>
    <col min="10474" max="10474" width="11.140625" style="94" customWidth="1"/>
    <col min="10475" max="10475" width="9.140625" style="94" customWidth="1"/>
    <col min="10476" max="10476" width="9.28515625" style="94" customWidth="1"/>
    <col min="10477" max="10477" width="10.85546875" style="94" customWidth="1"/>
    <col min="10478" max="10497" width="9.140625" style="94" hidden="1" customWidth="1"/>
    <col min="10498" max="10498" width="7.28515625" style="94" customWidth="1"/>
    <col min="10499" max="10500" width="9.140625" style="94" customWidth="1"/>
    <col min="10501" max="10501" width="12" style="94" customWidth="1"/>
    <col min="10502" max="10624" width="11.7109375" style="94" customWidth="1"/>
    <col min="10625" max="10625" width="1.7109375" style="94" customWidth="1"/>
    <col min="10626" max="10627" width="9.140625" style="94" hidden="1" customWidth="1"/>
    <col min="10628" max="10628" width="1.7109375" style="94" customWidth="1"/>
    <col min="10629" max="10726" width="9.140625" style="94" hidden="1"/>
    <col min="10727" max="10729" width="9.140625" style="94" customWidth="1"/>
    <col min="10730" max="10730" width="11.140625" style="94" customWidth="1"/>
    <col min="10731" max="10731" width="9.140625" style="94" customWidth="1"/>
    <col min="10732" max="10732" width="9.28515625" style="94" customWidth="1"/>
    <col min="10733" max="10733" width="10.85546875" style="94" customWidth="1"/>
    <col min="10734" max="10753" width="9.140625" style="94" hidden="1" customWidth="1"/>
    <col min="10754" max="10754" width="7.28515625" style="94" customWidth="1"/>
    <col min="10755" max="10756" width="9.140625" style="94" customWidth="1"/>
    <col min="10757" max="10757" width="12" style="94" customWidth="1"/>
    <col min="10758" max="10880" width="11.7109375" style="94" customWidth="1"/>
    <col min="10881" max="10881" width="1.7109375" style="94" customWidth="1"/>
    <col min="10882" max="10883" width="9.140625" style="94" hidden="1" customWidth="1"/>
    <col min="10884" max="10884" width="1.7109375" style="94" customWidth="1"/>
    <col min="10885" max="10982" width="9.140625" style="94" hidden="1"/>
    <col min="10983" max="10985" width="9.140625" style="94" customWidth="1"/>
    <col min="10986" max="10986" width="11.140625" style="94" customWidth="1"/>
    <col min="10987" max="10987" width="9.140625" style="94" customWidth="1"/>
    <col min="10988" max="10988" width="9.28515625" style="94" customWidth="1"/>
    <col min="10989" max="10989" width="10.85546875" style="94" customWidth="1"/>
    <col min="10990" max="11009" width="9.140625" style="94" hidden="1" customWidth="1"/>
    <col min="11010" max="11010" width="7.28515625" style="94" customWidth="1"/>
    <col min="11011" max="11012" width="9.140625" style="94" customWidth="1"/>
    <col min="11013" max="11013" width="12" style="94" customWidth="1"/>
    <col min="11014" max="11136" width="11.7109375" style="94" customWidth="1"/>
    <col min="11137" max="11137" width="1.7109375" style="94" customWidth="1"/>
    <col min="11138" max="11139" width="9.140625" style="94" hidden="1" customWidth="1"/>
    <col min="11140" max="11140" width="1.7109375" style="94" customWidth="1"/>
    <col min="11141" max="11238" width="9.140625" style="94" hidden="1"/>
    <col min="11239" max="11241" width="9.140625" style="94" customWidth="1"/>
    <col min="11242" max="11242" width="11.140625" style="94" customWidth="1"/>
    <col min="11243" max="11243" width="9.140625" style="94" customWidth="1"/>
    <col min="11244" max="11244" width="9.28515625" style="94" customWidth="1"/>
    <col min="11245" max="11245" width="10.85546875" style="94" customWidth="1"/>
    <col min="11246" max="11265" width="9.140625" style="94" hidden="1" customWidth="1"/>
    <col min="11266" max="11266" width="7.28515625" style="94" customWidth="1"/>
    <col min="11267" max="11268" width="9.140625" style="94" customWidth="1"/>
    <col min="11269" max="11269" width="12" style="94" customWidth="1"/>
    <col min="11270" max="11392" width="11.7109375" style="94" customWidth="1"/>
    <col min="11393" max="11393" width="1.7109375" style="94" customWidth="1"/>
    <col min="11394" max="11395" width="9.140625" style="94" hidden="1" customWidth="1"/>
    <col min="11396" max="11396" width="1.7109375" style="94" customWidth="1"/>
    <col min="11397" max="11494" width="9.140625" style="94" hidden="1"/>
    <col min="11495" max="11497" width="9.140625" style="94" customWidth="1"/>
    <col min="11498" max="11498" width="11.140625" style="94" customWidth="1"/>
    <col min="11499" max="11499" width="9.140625" style="94" customWidth="1"/>
    <col min="11500" max="11500" width="9.28515625" style="94" customWidth="1"/>
    <col min="11501" max="11501" width="10.85546875" style="94" customWidth="1"/>
    <col min="11502" max="11521" width="9.140625" style="94" hidden="1" customWidth="1"/>
    <col min="11522" max="11522" width="7.28515625" style="94" customWidth="1"/>
    <col min="11523" max="11524" width="9.140625" style="94" customWidth="1"/>
    <col min="11525" max="11525" width="12" style="94" customWidth="1"/>
    <col min="11526" max="11648" width="11.7109375" style="94" customWidth="1"/>
    <col min="11649" max="11649" width="1.7109375" style="94" customWidth="1"/>
    <col min="11650" max="11651" width="9.140625" style="94" hidden="1" customWidth="1"/>
    <col min="11652" max="11652" width="1.7109375" style="94" customWidth="1"/>
    <col min="11653" max="11750" width="9.140625" style="94" hidden="1"/>
    <col min="11751" max="11753" width="9.140625" style="94" customWidth="1"/>
    <col min="11754" max="11754" width="11.140625" style="94" customWidth="1"/>
    <col min="11755" max="11755" width="9.140625" style="94" customWidth="1"/>
    <col min="11756" max="11756" width="9.28515625" style="94" customWidth="1"/>
    <col min="11757" max="11757" width="10.85546875" style="94" customWidth="1"/>
    <col min="11758" max="11777" width="9.140625" style="94" hidden="1" customWidth="1"/>
    <col min="11778" max="11778" width="7.28515625" style="94" customWidth="1"/>
    <col min="11779" max="11780" width="9.140625" style="94" customWidth="1"/>
    <col min="11781" max="11781" width="12" style="94" customWidth="1"/>
    <col min="11782" max="11904" width="11.7109375" style="94" customWidth="1"/>
    <col min="11905" max="11905" width="1.7109375" style="94" customWidth="1"/>
    <col min="11906" max="11907" width="9.140625" style="94" hidden="1" customWidth="1"/>
    <col min="11908" max="11908" width="1.7109375" style="94" customWidth="1"/>
    <col min="11909" max="12006" width="9.140625" style="94" hidden="1"/>
    <col min="12007" max="12009" width="9.140625" style="94" customWidth="1"/>
    <col min="12010" max="12010" width="11.140625" style="94" customWidth="1"/>
    <col min="12011" max="12011" width="9.140625" style="94" customWidth="1"/>
    <col min="12012" max="12012" width="9.28515625" style="94" customWidth="1"/>
    <col min="12013" max="12013" width="10.85546875" style="94" customWidth="1"/>
    <col min="12014" max="12033" width="9.140625" style="94" hidden="1" customWidth="1"/>
    <col min="12034" max="12034" width="7.28515625" style="94" customWidth="1"/>
    <col min="12035" max="12036" width="9.140625" style="94" customWidth="1"/>
    <col min="12037" max="12037" width="12" style="94" customWidth="1"/>
    <col min="12038" max="12160" width="11.7109375" style="94" customWidth="1"/>
    <col min="12161" max="12161" width="1.7109375" style="94" customWidth="1"/>
    <col min="12162" max="12163" width="9.140625" style="94" hidden="1" customWidth="1"/>
    <col min="12164" max="12164" width="1.7109375" style="94" customWidth="1"/>
    <col min="12165" max="12262" width="9.140625" style="94" hidden="1"/>
    <col min="12263" max="12265" width="9.140625" style="94" customWidth="1"/>
    <col min="12266" max="12266" width="11.140625" style="94" customWidth="1"/>
    <col min="12267" max="12267" width="9.140625" style="94" customWidth="1"/>
    <col min="12268" max="12268" width="9.28515625" style="94" customWidth="1"/>
    <col min="12269" max="12269" width="10.85546875" style="94" customWidth="1"/>
    <col min="12270" max="12289" width="9.140625" style="94" hidden="1" customWidth="1"/>
    <col min="12290" max="12290" width="7.28515625" style="94" customWidth="1"/>
    <col min="12291" max="12292" width="9.140625" style="94" customWidth="1"/>
    <col min="12293" max="12293" width="12" style="94" customWidth="1"/>
    <col min="12294" max="12416" width="11.7109375" style="94" customWidth="1"/>
    <col min="12417" max="12417" width="1.7109375" style="94" customWidth="1"/>
    <col min="12418" max="12419" width="9.140625" style="94" hidden="1" customWidth="1"/>
    <col min="12420" max="12420" width="1.7109375" style="94" customWidth="1"/>
    <col min="12421" max="12518" width="9.140625" style="94" hidden="1"/>
    <col min="12519" max="12521" width="9.140625" style="94" customWidth="1"/>
    <col min="12522" max="12522" width="11.140625" style="94" customWidth="1"/>
    <col min="12523" max="12523" width="9.140625" style="94" customWidth="1"/>
    <col min="12524" max="12524" width="9.28515625" style="94" customWidth="1"/>
    <col min="12525" max="12525" width="10.85546875" style="94" customWidth="1"/>
    <col min="12526" max="12545" width="9.140625" style="94" hidden="1" customWidth="1"/>
    <col min="12546" max="12546" width="7.28515625" style="94" customWidth="1"/>
    <col min="12547" max="12548" width="9.140625" style="94" customWidth="1"/>
    <col min="12549" max="12549" width="12" style="94" customWidth="1"/>
    <col min="12550" max="12672" width="11.7109375" style="94" customWidth="1"/>
    <col min="12673" max="12673" width="1.7109375" style="94" customWidth="1"/>
    <col min="12674" max="12675" width="9.140625" style="94" hidden="1" customWidth="1"/>
    <col min="12676" max="12676" width="1.7109375" style="94" customWidth="1"/>
    <col min="12677" max="12774" width="9.140625" style="94" hidden="1"/>
    <col min="12775" max="12777" width="9.140625" style="94" customWidth="1"/>
    <col min="12778" max="12778" width="11.140625" style="94" customWidth="1"/>
    <col min="12779" max="12779" width="9.140625" style="94" customWidth="1"/>
    <col min="12780" max="12780" width="9.28515625" style="94" customWidth="1"/>
    <col min="12781" max="12781" width="10.85546875" style="94" customWidth="1"/>
    <col min="12782" max="12801" width="9.140625" style="94" hidden="1" customWidth="1"/>
    <col min="12802" max="12802" width="7.28515625" style="94" customWidth="1"/>
    <col min="12803" max="12804" width="9.140625" style="94" customWidth="1"/>
    <col min="12805" max="12805" width="12" style="94" customWidth="1"/>
    <col min="12806" max="12928" width="11.7109375" style="94" customWidth="1"/>
    <col min="12929" max="12929" width="1.7109375" style="94" customWidth="1"/>
    <col min="12930" max="12931" width="9.140625" style="94" hidden="1" customWidth="1"/>
    <col min="12932" max="12932" width="1.7109375" style="94" customWidth="1"/>
    <col min="12933" max="13030" width="9.140625" style="94" hidden="1"/>
    <col min="13031" max="13033" width="9.140625" style="94" customWidth="1"/>
    <col min="13034" max="13034" width="11.140625" style="94" customWidth="1"/>
    <col min="13035" max="13035" width="9.140625" style="94" customWidth="1"/>
    <col min="13036" max="13036" width="9.28515625" style="94" customWidth="1"/>
    <col min="13037" max="13037" width="10.85546875" style="94" customWidth="1"/>
    <col min="13038" max="13057" width="9.140625" style="94" hidden="1" customWidth="1"/>
    <col min="13058" max="13058" width="7.28515625" style="94" customWidth="1"/>
    <col min="13059" max="13060" width="9.140625" style="94" customWidth="1"/>
    <col min="13061" max="13061" width="12" style="94" customWidth="1"/>
    <col min="13062" max="13184" width="11.7109375" style="94" customWidth="1"/>
    <col min="13185" max="13185" width="1.7109375" style="94" customWidth="1"/>
    <col min="13186" max="13187" width="9.140625" style="94" hidden="1" customWidth="1"/>
    <col min="13188" max="13188" width="1.7109375" style="94" customWidth="1"/>
    <col min="13189" max="13286" width="9.140625" style="94" hidden="1"/>
    <col min="13287" max="13289" width="9.140625" style="94" customWidth="1"/>
    <col min="13290" max="13290" width="11.140625" style="94" customWidth="1"/>
    <col min="13291" max="13291" width="9.140625" style="94" customWidth="1"/>
    <col min="13292" max="13292" width="9.28515625" style="94" customWidth="1"/>
    <col min="13293" max="13293" width="10.85546875" style="94" customWidth="1"/>
    <col min="13294" max="13313" width="9.140625" style="94" hidden="1" customWidth="1"/>
    <col min="13314" max="13314" width="7.28515625" style="94" customWidth="1"/>
    <col min="13315" max="13316" width="9.140625" style="94" customWidth="1"/>
    <col min="13317" max="13317" width="12" style="94" customWidth="1"/>
    <col min="13318" max="13440" width="11.7109375" style="94" customWidth="1"/>
    <col min="13441" max="13441" width="1.7109375" style="94" customWidth="1"/>
    <col min="13442" max="13443" width="9.140625" style="94" hidden="1" customWidth="1"/>
    <col min="13444" max="13444" width="1.7109375" style="94" customWidth="1"/>
    <col min="13445" max="13542" width="9.140625" style="94" hidden="1"/>
    <col min="13543" max="13545" width="9.140625" style="94" customWidth="1"/>
    <col min="13546" max="13546" width="11.140625" style="94" customWidth="1"/>
    <col min="13547" max="13547" width="9.140625" style="94" customWidth="1"/>
    <col min="13548" max="13548" width="9.28515625" style="94" customWidth="1"/>
    <col min="13549" max="13549" width="10.85546875" style="94" customWidth="1"/>
    <col min="13550" max="13569" width="9.140625" style="94" hidden="1" customWidth="1"/>
    <col min="13570" max="13570" width="7.28515625" style="94" customWidth="1"/>
    <col min="13571" max="13572" width="9.140625" style="94" customWidth="1"/>
    <col min="13573" max="13573" width="12" style="94" customWidth="1"/>
    <col min="13574" max="13696" width="11.7109375" style="94" customWidth="1"/>
    <col min="13697" max="13697" width="1.7109375" style="94" customWidth="1"/>
    <col min="13698" max="13699" width="9.140625" style="94" hidden="1" customWidth="1"/>
    <col min="13700" max="13700" width="1.7109375" style="94" customWidth="1"/>
    <col min="13701" max="13798" width="9.140625" style="94" hidden="1"/>
    <col min="13799" max="13801" width="9.140625" style="94" customWidth="1"/>
    <col min="13802" max="13802" width="11.140625" style="94" customWidth="1"/>
    <col min="13803" max="13803" width="9.140625" style="94" customWidth="1"/>
    <col min="13804" max="13804" width="9.28515625" style="94" customWidth="1"/>
    <col min="13805" max="13805" width="10.85546875" style="94" customWidth="1"/>
    <col min="13806" max="13825" width="9.140625" style="94" hidden="1" customWidth="1"/>
    <col min="13826" max="13826" width="7.28515625" style="94" customWidth="1"/>
    <col min="13827" max="13828" width="9.140625" style="94" customWidth="1"/>
    <col min="13829" max="13829" width="12" style="94" customWidth="1"/>
    <col min="13830" max="13952" width="11.7109375" style="94" customWidth="1"/>
    <col min="13953" max="13953" width="1.7109375" style="94" customWidth="1"/>
    <col min="13954" max="13955" width="9.140625" style="94" hidden="1" customWidth="1"/>
    <col min="13956" max="13956" width="1.7109375" style="94" customWidth="1"/>
    <col min="13957" max="14054" width="9.140625" style="94" hidden="1"/>
    <col min="14055" max="14057" width="9.140625" style="94" customWidth="1"/>
    <col min="14058" max="14058" width="11.140625" style="94" customWidth="1"/>
    <col min="14059" max="14059" width="9.140625" style="94" customWidth="1"/>
    <col min="14060" max="14060" width="9.28515625" style="94" customWidth="1"/>
    <col min="14061" max="14061" width="10.85546875" style="94" customWidth="1"/>
    <col min="14062" max="14081" width="9.140625" style="94" hidden="1" customWidth="1"/>
    <col min="14082" max="14082" width="7.28515625" style="94" customWidth="1"/>
    <col min="14083" max="14084" width="9.140625" style="94" customWidth="1"/>
    <col min="14085" max="14085" width="12" style="94" customWidth="1"/>
    <col min="14086" max="14208" width="11.7109375" style="94" customWidth="1"/>
    <col min="14209" max="14209" width="1.7109375" style="94" customWidth="1"/>
    <col min="14210" max="14211" width="9.140625" style="94" hidden="1" customWidth="1"/>
    <col min="14212" max="14212" width="1.7109375" style="94" customWidth="1"/>
    <col min="14213" max="14310" width="9.140625" style="94" hidden="1"/>
    <col min="14311" max="14313" width="9.140625" style="94" customWidth="1"/>
    <col min="14314" max="14314" width="11.140625" style="94" customWidth="1"/>
    <col min="14315" max="14315" width="9.140625" style="94" customWidth="1"/>
    <col min="14316" max="14316" width="9.28515625" style="94" customWidth="1"/>
    <col min="14317" max="14317" width="10.85546875" style="94" customWidth="1"/>
    <col min="14318" max="14337" width="9.140625" style="94" hidden="1" customWidth="1"/>
    <col min="14338" max="14338" width="7.28515625" style="94" customWidth="1"/>
    <col min="14339" max="14340" width="9.140625" style="94" customWidth="1"/>
    <col min="14341" max="14341" width="12" style="94" customWidth="1"/>
    <col min="14342" max="14464" width="11.7109375" style="94" customWidth="1"/>
    <col min="14465" max="14465" width="1.7109375" style="94" customWidth="1"/>
    <col min="14466" max="14467" width="9.140625" style="94" hidden="1" customWidth="1"/>
    <col min="14468" max="14468" width="1.7109375" style="94" customWidth="1"/>
    <col min="14469" max="14566" width="9.140625" style="94" hidden="1"/>
    <col min="14567" max="14569" width="9.140625" style="94" customWidth="1"/>
    <col min="14570" max="14570" width="11.140625" style="94" customWidth="1"/>
    <col min="14571" max="14571" width="9.140625" style="94" customWidth="1"/>
    <col min="14572" max="14572" width="9.28515625" style="94" customWidth="1"/>
    <col min="14573" max="14573" width="10.85546875" style="94" customWidth="1"/>
    <col min="14574" max="14593" width="9.140625" style="94" hidden="1" customWidth="1"/>
    <col min="14594" max="14594" width="7.28515625" style="94" customWidth="1"/>
    <col min="14595" max="14596" width="9.140625" style="94" customWidth="1"/>
    <col min="14597" max="14597" width="12" style="94" customWidth="1"/>
    <col min="14598" max="14720" width="11.7109375" style="94" customWidth="1"/>
    <col min="14721" max="14721" width="1.7109375" style="94" customWidth="1"/>
    <col min="14722" max="14723" width="9.140625" style="94" hidden="1" customWidth="1"/>
    <col min="14724" max="14724" width="1.7109375" style="94" customWidth="1"/>
    <col min="14725" max="14822" width="9.140625" style="94" hidden="1"/>
    <col min="14823" max="14825" width="9.140625" style="94" customWidth="1"/>
    <col min="14826" max="14826" width="11.140625" style="94" customWidth="1"/>
    <col min="14827" max="14827" width="9.140625" style="94" customWidth="1"/>
    <col min="14828" max="14828" width="9.28515625" style="94" customWidth="1"/>
    <col min="14829" max="14829" width="10.85546875" style="94" customWidth="1"/>
    <col min="14830" max="14849" width="9.140625" style="94" hidden="1" customWidth="1"/>
    <col min="14850" max="14850" width="7.28515625" style="94" customWidth="1"/>
    <col min="14851" max="14852" width="9.140625" style="94" customWidth="1"/>
    <col min="14853" max="14853" width="12" style="94" customWidth="1"/>
    <col min="14854" max="14976" width="11.7109375" style="94" customWidth="1"/>
    <col min="14977" max="14977" width="1.7109375" style="94" customWidth="1"/>
    <col min="14978" max="14979" width="9.140625" style="94" hidden="1" customWidth="1"/>
    <col min="14980" max="14980" width="1.7109375" style="94" customWidth="1"/>
    <col min="14981" max="15078" width="9.140625" style="94" hidden="1"/>
    <col min="15079" max="15081" width="9.140625" style="94" customWidth="1"/>
    <col min="15082" max="15082" width="11.140625" style="94" customWidth="1"/>
    <col min="15083" max="15083" width="9.140625" style="94" customWidth="1"/>
    <col min="15084" max="15084" width="9.28515625" style="94" customWidth="1"/>
    <col min="15085" max="15085" width="10.85546875" style="94" customWidth="1"/>
    <col min="15086" max="15105" width="9.140625" style="94" hidden="1" customWidth="1"/>
    <col min="15106" max="15106" width="7.28515625" style="94" customWidth="1"/>
    <col min="15107" max="15108" width="9.140625" style="94" customWidth="1"/>
    <col min="15109" max="15109" width="12" style="94" customWidth="1"/>
    <col min="15110" max="15232" width="11.7109375" style="94" customWidth="1"/>
    <col min="15233" max="15233" width="1.7109375" style="94" customWidth="1"/>
    <col min="15234" max="15235" width="9.140625" style="94" hidden="1" customWidth="1"/>
    <col min="15236" max="15236" width="1.7109375" style="94" customWidth="1"/>
    <col min="15237" max="15334" width="9.140625" style="94" hidden="1"/>
    <col min="15335" max="15337" width="9.140625" style="94" customWidth="1"/>
    <col min="15338" max="15338" width="11.140625" style="94" customWidth="1"/>
    <col min="15339" max="15339" width="9.140625" style="94" customWidth="1"/>
    <col min="15340" max="15340" width="9.28515625" style="94" customWidth="1"/>
    <col min="15341" max="15341" width="10.85546875" style="94" customWidth="1"/>
    <col min="15342" max="15361" width="9.140625" style="94" hidden="1" customWidth="1"/>
    <col min="15362" max="15362" width="7.28515625" style="94" customWidth="1"/>
    <col min="15363" max="15364" width="9.140625" style="94" customWidth="1"/>
    <col min="15365" max="15365" width="12" style="94" customWidth="1"/>
    <col min="15366" max="15488" width="11.7109375" style="94" customWidth="1"/>
    <col min="15489" max="15489" width="1.7109375" style="94" customWidth="1"/>
    <col min="15490" max="15491" width="9.140625" style="94" hidden="1" customWidth="1"/>
    <col min="15492" max="15492" width="1.7109375" style="94" customWidth="1"/>
    <col min="15493" max="15590" width="9.140625" style="94" hidden="1"/>
    <col min="15591" max="15593" width="9.140625" style="94" customWidth="1"/>
    <col min="15594" max="15594" width="11.140625" style="94" customWidth="1"/>
    <col min="15595" max="15595" width="9.140625" style="94" customWidth="1"/>
    <col min="15596" max="15596" width="9.28515625" style="94" customWidth="1"/>
    <col min="15597" max="15597" width="10.85546875" style="94" customWidth="1"/>
    <col min="15598" max="15617" width="9.140625" style="94" hidden="1" customWidth="1"/>
    <col min="15618" max="15618" width="7.28515625" style="94" customWidth="1"/>
    <col min="15619" max="15620" width="9.140625" style="94" customWidth="1"/>
    <col min="15621" max="15621" width="12" style="94" customWidth="1"/>
    <col min="15622" max="15744" width="11.7109375" style="94" customWidth="1"/>
    <col min="15745" max="15745" width="1.7109375" style="94" customWidth="1"/>
    <col min="15746" max="15747" width="9.140625" style="94" hidden="1" customWidth="1"/>
    <col min="15748" max="15748" width="1.7109375" style="94" customWidth="1"/>
    <col min="15749" max="15846" width="9.140625" style="94" hidden="1"/>
    <col min="15847" max="15849" width="9.140625" style="94" customWidth="1"/>
    <col min="15850" max="15850" width="11.140625" style="94" customWidth="1"/>
    <col min="15851" max="15851" width="9.140625" style="94" customWidth="1"/>
    <col min="15852" max="15852" width="9.28515625" style="94" customWidth="1"/>
    <col min="15853" max="15853" width="10.85546875" style="94" customWidth="1"/>
    <col min="15854" max="15873" width="9.140625" style="94" hidden="1" customWidth="1"/>
    <col min="15874" max="15874" width="7.28515625" style="94" customWidth="1"/>
    <col min="15875" max="15876" width="9.140625" style="94" customWidth="1"/>
    <col min="15877" max="15877" width="12" style="94" customWidth="1"/>
    <col min="15878" max="16000" width="11.7109375" style="94" customWidth="1"/>
    <col min="16001" max="16001" width="1.7109375" style="94" customWidth="1"/>
    <col min="16002" max="16003" width="9.140625" style="94" hidden="1" customWidth="1"/>
    <col min="16004" max="16004" width="1.7109375" style="94" customWidth="1"/>
    <col min="16005" max="16102" width="9.140625" style="94" hidden="1"/>
    <col min="16103" max="16105" width="9.140625" style="94" customWidth="1"/>
    <col min="16106" max="16106" width="11.140625" style="94" customWidth="1"/>
    <col min="16107" max="16107" width="9.140625" style="94" customWidth="1"/>
    <col min="16108" max="16108" width="9.28515625" style="94" customWidth="1"/>
    <col min="16109" max="16109" width="10.85546875" style="94" customWidth="1"/>
    <col min="16110" max="16129" width="9.140625" style="94" hidden="1" customWidth="1"/>
    <col min="16130" max="16130" width="7.28515625" style="94" customWidth="1"/>
    <col min="16131" max="16132" width="9.140625" style="94" customWidth="1"/>
    <col min="16133" max="16133" width="12" style="94" customWidth="1"/>
    <col min="16134" max="16256" width="11.7109375" style="94" customWidth="1"/>
    <col min="16257" max="16257" width="1.7109375" style="94" customWidth="1"/>
    <col min="16258" max="16259" width="9.140625" style="94" hidden="1" customWidth="1"/>
    <col min="16260" max="16260" width="1.7109375" style="94" customWidth="1"/>
    <col min="16261" max="16384" width="9.140625" style="94" hidden="1"/>
  </cols>
  <sheetData>
    <row r="1" spans="1:132" s="179" customFormat="1">
      <c r="A1" s="83" t="s">
        <v>206</v>
      </c>
      <c r="B1" s="23"/>
      <c r="C1" s="83"/>
      <c r="D1" s="83"/>
      <c r="E1" s="178">
        <f>IF(OR(([2]Constants!D508+PLA7C)&gt;0,SUM(DY:EB)&gt;ErrTol),1,0)</f>
        <v>0</v>
      </c>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row>
    <row r="2" spans="1:132" ht="15.75">
      <c r="A2" s="25" t="s">
        <v>355</v>
      </c>
      <c r="B2" s="85"/>
      <c r="C2" s="180"/>
      <c r="D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88"/>
      <c r="EB2" s="88"/>
    </row>
    <row r="3" spans="1:132">
      <c r="A3" s="181"/>
      <c r="B3" s="180"/>
      <c r="C3" s="180"/>
      <c r="D3" s="180"/>
      <c r="F3" s="180"/>
      <c r="G3" s="180"/>
      <c r="H3" s="180"/>
      <c r="I3" s="180"/>
      <c r="J3" s="180"/>
      <c r="K3" s="180"/>
      <c r="L3" s="180"/>
      <c r="M3" s="180"/>
      <c r="N3" s="180"/>
      <c r="O3" s="180"/>
      <c r="P3" s="180"/>
      <c r="Q3" s="210">
        <v>41944</v>
      </c>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88"/>
      <c r="EB3" s="88"/>
    </row>
    <row r="4" spans="1:132">
      <c r="A4" s="180"/>
      <c r="B4" s="180"/>
      <c r="C4" s="180"/>
      <c r="D4" s="180"/>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c r="BM4" s="180"/>
      <c r="BN4" s="180"/>
      <c r="BO4" s="180"/>
      <c r="BP4" s="180"/>
      <c r="BQ4" s="180"/>
      <c r="BR4" s="180"/>
      <c r="BS4" s="180"/>
      <c r="BT4" s="180"/>
      <c r="BU4" s="180"/>
      <c r="BV4" s="180"/>
      <c r="BW4" s="180"/>
      <c r="BX4" s="180"/>
      <c r="BY4" s="180"/>
      <c r="BZ4" s="180"/>
      <c r="CA4" s="180"/>
      <c r="CB4" s="180"/>
      <c r="CC4" s="180"/>
      <c r="CD4" s="180"/>
      <c r="CE4" s="180"/>
      <c r="CF4" s="180"/>
      <c r="CG4" s="180"/>
      <c r="CH4" s="180"/>
      <c r="CI4" s="180"/>
      <c r="CJ4" s="180"/>
      <c r="CK4" s="180"/>
      <c r="CL4" s="180"/>
      <c r="CM4" s="180"/>
      <c r="CN4" s="180"/>
      <c r="CO4" s="180"/>
      <c r="CP4" s="180"/>
      <c r="CQ4" s="180"/>
      <c r="CR4" s="180"/>
      <c r="CS4" s="180"/>
      <c r="CT4" s="180"/>
      <c r="CU4" s="180"/>
      <c r="CV4" s="180"/>
      <c r="CW4" s="180"/>
      <c r="CX4" s="180"/>
      <c r="CY4" s="180"/>
      <c r="CZ4" s="180"/>
      <c r="DA4" s="180"/>
      <c r="DB4" s="180"/>
      <c r="DC4" s="180"/>
      <c r="DD4" s="180"/>
      <c r="DE4" s="180"/>
      <c r="DF4" s="180"/>
      <c r="DG4" s="180"/>
      <c r="DH4" s="180"/>
      <c r="DI4" s="180"/>
      <c r="DJ4" s="180"/>
      <c r="DK4" s="180"/>
      <c r="DL4" s="180"/>
      <c r="DM4" s="180"/>
      <c r="DN4" s="180"/>
      <c r="DO4" s="180"/>
      <c r="DP4" s="180"/>
      <c r="DQ4" s="180"/>
      <c r="DR4" s="180"/>
      <c r="DS4" s="180"/>
      <c r="DT4" s="180"/>
      <c r="DU4" s="180"/>
      <c r="DV4" s="180"/>
      <c r="DW4" s="180"/>
      <c r="DX4" s="180"/>
      <c r="DY4" s="88"/>
      <c r="EB4" s="88"/>
    </row>
    <row r="5" spans="1:132" s="179" customFormat="1" collapsed="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row>
    <row r="6" spans="1:132" s="189" customFormat="1" hidden="1" outlineLevel="1">
      <c r="A6" s="180" t="s">
        <v>388</v>
      </c>
      <c r="B6" s="180"/>
      <c r="C6" s="180"/>
      <c r="D6" s="187">
        <f>PreContractPeriodDurationIn</f>
        <v>3</v>
      </c>
      <c r="E6" s="188"/>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88"/>
      <c r="EB6" s="88"/>
    </row>
    <row r="7" spans="1:132" s="189" customFormat="1" hidden="1" outlineLevel="1">
      <c r="A7" s="180" t="s">
        <v>389</v>
      </c>
      <c r="B7" s="180"/>
      <c r="C7" s="180"/>
      <c r="D7" s="180"/>
      <c r="E7" s="180"/>
      <c r="F7" s="190" t="s">
        <v>142</v>
      </c>
      <c r="G7" s="190" t="s">
        <v>143</v>
      </c>
      <c r="H7" s="190" t="s">
        <v>144</v>
      </c>
      <c r="I7" s="190" t="s">
        <v>145</v>
      </c>
      <c r="J7" s="190" t="s">
        <v>146</v>
      </c>
      <c r="K7" s="190" t="s">
        <v>147</v>
      </c>
      <c r="L7" s="190" t="s">
        <v>148</v>
      </c>
      <c r="M7" s="190" t="s">
        <v>149</v>
      </c>
      <c r="N7" s="190" t="s">
        <v>150</v>
      </c>
      <c r="O7" s="190" t="s">
        <v>151</v>
      </c>
      <c r="P7" s="190" t="s">
        <v>152</v>
      </c>
      <c r="Q7" s="190" t="s">
        <v>153</v>
      </c>
      <c r="R7" s="191" t="s">
        <v>390</v>
      </c>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92"/>
      <c r="CU7" s="192"/>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80"/>
      <c r="DY7" s="88"/>
      <c r="EB7" s="88"/>
    </row>
    <row r="8" spans="1:132">
      <c r="A8" s="185"/>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2"/>
      <c r="EB8" s="182"/>
    </row>
    <row r="9" spans="1:132" s="179" customFormat="1" ht="15">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184"/>
      <c r="EA9" s="183"/>
      <c r="EB9" s="184"/>
    </row>
    <row r="10" spans="1:132" outlineLevel="1">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6"/>
      <c r="EB10" s="186"/>
    </row>
    <row r="11" spans="1:132" outlineLevel="1">
      <c r="A11" s="91" t="s">
        <v>155</v>
      </c>
      <c r="C11" s="180"/>
      <c r="D11" s="180"/>
      <c r="E11" s="180"/>
      <c r="F11" s="196">
        <f>Q3</f>
        <v>41944</v>
      </c>
      <c r="G11" s="197">
        <f t="shared" ref="G11:BR11" si="0">F12+1</f>
        <v>41974</v>
      </c>
      <c r="H11" s="198">
        <f t="shared" si="0"/>
        <v>42005</v>
      </c>
      <c r="I11" s="198">
        <f t="shared" si="0"/>
        <v>42036</v>
      </c>
      <c r="J11" s="198">
        <f t="shared" si="0"/>
        <v>42064</v>
      </c>
      <c r="K11" s="198">
        <f t="shared" si="0"/>
        <v>42095</v>
      </c>
      <c r="L11" s="198">
        <f t="shared" si="0"/>
        <v>42125</v>
      </c>
      <c r="M11" s="198">
        <f t="shared" si="0"/>
        <v>42156</v>
      </c>
      <c r="N11" s="198">
        <f t="shared" si="0"/>
        <v>42186</v>
      </c>
      <c r="O11" s="198">
        <f t="shared" si="0"/>
        <v>42217</v>
      </c>
      <c r="P11" s="198">
        <f t="shared" si="0"/>
        <v>42248</v>
      </c>
      <c r="Q11" s="198">
        <f t="shared" si="0"/>
        <v>42278</v>
      </c>
      <c r="R11" s="198">
        <f t="shared" si="0"/>
        <v>42309</v>
      </c>
      <c r="S11" s="198">
        <f t="shared" si="0"/>
        <v>42339</v>
      </c>
      <c r="T11" s="198">
        <f t="shared" si="0"/>
        <v>42370</v>
      </c>
      <c r="U11" s="198">
        <f t="shared" si="0"/>
        <v>42401</v>
      </c>
      <c r="V11" s="198">
        <f t="shared" si="0"/>
        <v>42430</v>
      </c>
      <c r="W11" s="198">
        <f t="shared" si="0"/>
        <v>42461</v>
      </c>
      <c r="X11" s="198">
        <f t="shared" si="0"/>
        <v>42491</v>
      </c>
      <c r="Y11" s="198">
        <f t="shared" si="0"/>
        <v>42522</v>
      </c>
      <c r="Z11" s="198">
        <f t="shared" si="0"/>
        <v>42552</v>
      </c>
      <c r="AA11" s="198">
        <f t="shared" si="0"/>
        <v>42583</v>
      </c>
      <c r="AB11" s="198">
        <f t="shared" si="0"/>
        <v>42614</v>
      </c>
      <c r="AC11" s="198">
        <f t="shared" si="0"/>
        <v>42644</v>
      </c>
      <c r="AD11" s="198">
        <f t="shared" si="0"/>
        <v>42675</v>
      </c>
      <c r="AE11" s="198">
        <f t="shared" si="0"/>
        <v>42705</v>
      </c>
      <c r="AF11" s="198">
        <f t="shared" si="0"/>
        <v>42736</v>
      </c>
      <c r="AG11" s="198">
        <f t="shared" si="0"/>
        <v>42767</v>
      </c>
      <c r="AH11" s="198">
        <f t="shared" si="0"/>
        <v>42795</v>
      </c>
      <c r="AI11" s="198">
        <f t="shared" si="0"/>
        <v>42826</v>
      </c>
      <c r="AJ11" s="198">
        <f t="shared" si="0"/>
        <v>42856</v>
      </c>
      <c r="AK11" s="198">
        <f t="shared" si="0"/>
        <v>42887</v>
      </c>
      <c r="AL11" s="198">
        <f t="shared" si="0"/>
        <v>42917</v>
      </c>
      <c r="AM11" s="198">
        <f t="shared" si="0"/>
        <v>42948</v>
      </c>
      <c r="AN11" s="198">
        <f t="shared" si="0"/>
        <v>42979</v>
      </c>
      <c r="AO11" s="198">
        <f t="shared" si="0"/>
        <v>43009</v>
      </c>
      <c r="AP11" s="198">
        <f t="shared" si="0"/>
        <v>43040</v>
      </c>
      <c r="AQ11" s="198">
        <f t="shared" si="0"/>
        <v>43070</v>
      </c>
      <c r="AR11" s="198">
        <f t="shared" si="0"/>
        <v>43101</v>
      </c>
      <c r="AS11" s="198">
        <f t="shared" si="0"/>
        <v>43132</v>
      </c>
      <c r="AT11" s="198">
        <f t="shared" si="0"/>
        <v>43160</v>
      </c>
      <c r="AU11" s="198">
        <f t="shared" si="0"/>
        <v>43191</v>
      </c>
      <c r="AV11" s="198">
        <f t="shared" si="0"/>
        <v>43221</v>
      </c>
      <c r="AW11" s="198">
        <f t="shared" si="0"/>
        <v>43252</v>
      </c>
      <c r="AX11" s="198">
        <f t="shared" si="0"/>
        <v>43282</v>
      </c>
      <c r="AY11" s="198">
        <f t="shared" si="0"/>
        <v>43313</v>
      </c>
      <c r="AZ11" s="198">
        <f t="shared" si="0"/>
        <v>43344</v>
      </c>
      <c r="BA11" s="198">
        <f t="shared" si="0"/>
        <v>43374</v>
      </c>
      <c r="BB11" s="198">
        <f t="shared" si="0"/>
        <v>43405</v>
      </c>
      <c r="BC11" s="198">
        <f t="shared" si="0"/>
        <v>43435</v>
      </c>
      <c r="BD11" s="198">
        <f t="shared" si="0"/>
        <v>43466</v>
      </c>
      <c r="BE11" s="198">
        <f t="shared" si="0"/>
        <v>43497</v>
      </c>
      <c r="BF11" s="198">
        <f t="shared" si="0"/>
        <v>43525</v>
      </c>
      <c r="BG11" s="198">
        <f t="shared" si="0"/>
        <v>43556</v>
      </c>
      <c r="BH11" s="198">
        <f t="shared" si="0"/>
        <v>43586</v>
      </c>
      <c r="BI11" s="198">
        <f t="shared" si="0"/>
        <v>43617</v>
      </c>
      <c r="BJ11" s="198">
        <f t="shared" si="0"/>
        <v>43647</v>
      </c>
      <c r="BK11" s="198">
        <f t="shared" si="0"/>
        <v>43678</v>
      </c>
      <c r="BL11" s="198">
        <f t="shared" si="0"/>
        <v>43709</v>
      </c>
      <c r="BM11" s="198">
        <f t="shared" si="0"/>
        <v>43739</v>
      </c>
      <c r="BN11" s="198">
        <f t="shared" si="0"/>
        <v>43770</v>
      </c>
      <c r="BO11" s="198">
        <f t="shared" si="0"/>
        <v>43800</v>
      </c>
      <c r="BP11" s="198">
        <f t="shared" si="0"/>
        <v>43831</v>
      </c>
      <c r="BQ11" s="198">
        <f t="shared" si="0"/>
        <v>43862</v>
      </c>
      <c r="BR11" s="198">
        <f t="shared" si="0"/>
        <v>43891</v>
      </c>
      <c r="BS11" s="198">
        <f t="shared" ref="BS11:DX11" si="1">BR12+1</f>
        <v>43922</v>
      </c>
      <c r="BT11" s="198">
        <f t="shared" si="1"/>
        <v>43952</v>
      </c>
      <c r="BU11" s="198">
        <f t="shared" si="1"/>
        <v>43983</v>
      </c>
      <c r="BV11" s="198">
        <f t="shared" si="1"/>
        <v>44013</v>
      </c>
      <c r="BW11" s="198">
        <f t="shared" si="1"/>
        <v>44044</v>
      </c>
      <c r="BX11" s="198">
        <f t="shared" si="1"/>
        <v>44075</v>
      </c>
      <c r="BY11" s="198">
        <f t="shared" si="1"/>
        <v>44105</v>
      </c>
      <c r="BZ11" s="198">
        <f t="shared" si="1"/>
        <v>44136</v>
      </c>
      <c r="CA11" s="198">
        <f t="shared" si="1"/>
        <v>44166</v>
      </c>
      <c r="CB11" s="198">
        <f t="shared" si="1"/>
        <v>44197</v>
      </c>
      <c r="CC11" s="198">
        <f t="shared" si="1"/>
        <v>44228</v>
      </c>
      <c r="CD11" s="198">
        <f t="shared" si="1"/>
        <v>44256</v>
      </c>
      <c r="CE11" s="198">
        <f t="shared" si="1"/>
        <v>44287</v>
      </c>
      <c r="CF11" s="198">
        <f t="shared" si="1"/>
        <v>44317</v>
      </c>
      <c r="CG11" s="198">
        <f t="shared" si="1"/>
        <v>44348</v>
      </c>
      <c r="CH11" s="198">
        <f t="shared" si="1"/>
        <v>44378</v>
      </c>
      <c r="CI11" s="198">
        <f t="shared" si="1"/>
        <v>44409</v>
      </c>
      <c r="CJ11" s="198">
        <f t="shared" si="1"/>
        <v>44440</v>
      </c>
      <c r="CK11" s="198">
        <f t="shared" si="1"/>
        <v>44470</v>
      </c>
      <c r="CL11" s="198">
        <f t="shared" si="1"/>
        <v>44501</v>
      </c>
      <c r="CM11" s="198">
        <f t="shared" si="1"/>
        <v>44531</v>
      </c>
      <c r="CN11" s="198">
        <f t="shared" si="1"/>
        <v>44562</v>
      </c>
      <c r="CO11" s="198">
        <f t="shared" si="1"/>
        <v>44593</v>
      </c>
      <c r="CP11" s="198">
        <f t="shared" si="1"/>
        <v>44621</v>
      </c>
      <c r="CQ11" s="198">
        <f t="shared" si="1"/>
        <v>44652</v>
      </c>
      <c r="CR11" s="198">
        <f t="shared" si="1"/>
        <v>44682</v>
      </c>
      <c r="CS11" s="198">
        <f t="shared" si="1"/>
        <v>44713</v>
      </c>
      <c r="CT11" s="198">
        <f t="shared" si="1"/>
        <v>44743</v>
      </c>
      <c r="CU11" s="198">
        <f t="shared" si="1"/>
        <v>44774</v>
      </c>
      <c r="CV11" s="198">
        <f t="shared" si="1"/>
        <v>44805</v>
      </c>
      <c r="CW11" s="198">
        <f t="shared" si="1"/>
        <v>44835</v>
      </c>
      <c r="CX11" s="198">
        <f t="shared" si="1"/>
        <v>44866</v>
      </c>
      <c r="CY11" s="198">
        <f t="shared" si="1"/>
        <v>44896</v>
      </c>
      <c r="CZ11" s="198">
        <f t="shared" si="1"/>
        <v>44927</v>
      </c>
      <c r="DA11" s="198">
        <f t="shared" si="1"/>
        <v>44958</v>
      </c>
      <c r="DB11" s="198">
        <f t="shared" si="1"/>
        <v>44986</v>
      </c>
      <c r="DC11" s="198">
        <f t="shared" si="1"/>
        <v>45017</v>
      </c>
      <c r="DD11" s="198">
        <f t="shared" si="1"/>
        <v>45047</v>
      </c>
      <c r="DE11" s="198">
        <f t="shared" si="1"/>
        <v>45078</v>
      </c>
      <c r="DF11" s="198">
        <f t="shared" si="1"/>
        <v>45108</v>
      </c>
      <c r="DG11" s="198">
        <f t="shared" si="1"/>
        <v>45139</v>
      </c>
      <c r="DH11" s="198">
        <f t="shared" si="1"/>
        <v>45170</v>
      </c>
      <c r="DI11" s="198">
        <f t="shared" si="1"/>
        <v>45200</v>
      </c>
      <c r="DJ11" s="198">
        <f t="shared" si="1"/>
        <v>45231</v>
      </c>
      <c r="DK11" s="198">
        <f t="shared" si="1"/>
        <v>45261</v>
      </c>
      <c r="DL11" s="198">
        <f t="shared" si="1"/>
        <v>45292</v>
      </c>
      <c r="DM11" s="198">
        <f t="shared" si="1"/>
        <v>45323</v>
      </c>
      <c r="DN11" s="198">
        <f t="shared" si="1"/>
        <v>45352</v>
      </c>
      <c r="DO11" s="198">
        <f t="shared" si="1"/>
        <v>45383</v>
      </c>
      <c r="DP11" s="198">
        <f t="shared" si="1"/>
        <v>45413</v>
      </c>
      <c r="DQ11" s="198">
        <f t="shared" si="1"/>
        <v>45444</v>
      </c>
      <c r="DR11" s="198">
        <f t="shared" si="1"/>
        <v>45474</v>
      </c>
      <c r="DS11" s="198">
        <f t="shared" si="1"/>
        <v>45505</v>
      </c>
      <c r="DT11" s="198">
        <f t="shared" si="1"/>
        <v>45536</v>
      </c>
      <c r="DU11" s="198">
        <f t="shared" si="1"/>
        <v>45566</v>
      </c>
      <c r="DV11" s="198">
        <f t="shared" si="1"/>
        <v>45597</v>
      </c>
      <c r="DW11" s="198">
        <f t="shared" si="1"/>
        <v>45627</v>
      </c>
      <c r="DX11" s="198">
        <f t="shared" si="1"/>
        <v>45658</v>
      </c>
      <c r="DY11" s="88"/>
      <c r="DZ11" s="193" t="s">
        <v>391</v>
      </c>
      <c r="EB11" s="88"/>
    </row>
    <row r="12" spans="1:132" outlineLevel="1">
      <c r="A12" s="91" t="s">
        <v>156</v>
      </c>
      <c r="C12" s="180"/>
      <c r="D12" s="180"/>
      <c r="E12" s="180"/>
      <c r="F12" s="199">
        <f t="shared" ref="F12:BQ12" si="2">DATE(YEAR(F11),MONTH(F11)+1,DAY(F11)-1)</f>
        <v>41973</v>
      </c>
      <c r="G12" s="200">
        <f t="shared" si="2"/>
        <v>42004</v>
      </c>
      <c r="H12" s="200">
        <f t="shared" si="2"/>
        <v>42035</v>
      </c>
      <c r="I12" s="200">
        <f t="shared" si="2"/>
        <v>42063</v>
      </c>
      <c r="J12" s="200">
        <f t="shared" si="2"/>
        <v>42094</v>
      </c>
      <c r="K12" s="200">
        <f t="shared" si="2"/>
        <v>42124</v>
      </c>
      <c r="L12" s="200">
        <f t="shared" si="2"/>
        <v>42155</v>
      </c>
      <c r="M12" s="200">
        <f t="shared" si="2"/>
        <v>42185</v>
      </c>
      <c r="N12" s="200">
        <f t="shared" si="2"/>
        <v>42216</v>
      </c>
      <c r="O12" s="200">
        <f t="shared" si="2"/>
        <v>42247</v>
      </c>
      <c r="P12" s="200">
        <f t="shared" si="2"/>
        <v>42277</v>
      </c>
      <c r="Q12" s="200">
        <f t="shared" si="2"/>
        <v>42308</v>
      </c>
      <c r="R12" s="200">
        <f t="shared" si="2"/>
        <v>42338</v>
      </c>
      <c r="S12" s="200">
        <f t="shared" si="2"/>
        <v>42369</v>
      </c>
      <c r="T12" s="200">
        <f t="shared" si="2"/>
        <v>42400</v>
      </c>
      <c r="U12" s="200">
        <f t="shared" si="2"/>
        <v>42429</v>
      </c>
      <c r="V12" s="200">
        <f t="shared" si="2"/>
        <v>42460</v>
      </c>
      <c r="W12" s="200">
        <f t="shared" si="2"/>
        <v>42490</v>
      </c>
      <c r="X12" s="200">
        <f t="shared" si="2"/>
        <v>42521</v>
      </c>
      <c r="Y12" s="200">
        <f t="shared" si="2"/>
        <v>42551</v>
      </c>
      <c r="Z12" s="200">
        <f t="shared" si="2"/>
        <v>42582</v>
      </c>
      <c r="AA12" s="200">
        <f t="shared" si="2"/>
        <v>42613</v>
      </c>
      <c r="AB12" s="200">
        <f t="shared" si="2"/>
        <v>42643</v>
      </c>
      <c r="AC12" s="200">
        <f t="shared" si="2"/>
        <v>42674</v>
      </c>
      <c r="AD12" s="200">
        <f t="shared" si="2"/>
        <v>42704</v>
      </c>
      <c r="AE12" s="200">
        <f t="shared" si="2"/>
        <v>42735</v>
      </c>
      <c r="AF12" s="200">
        <f t="shared" si="2"/>
        <v>42766</v>
      </c>
      <c r="AG12" s="200">
        <f t="shared" si="2"/>
        <v>42794</v>
      </c>
      <c r="AH12" s="200">
        <f t="shared" si="2"/>
        <v>42825</v>
      </c>
      <c r="AI12" s="200">
        <f t="shared" si="2"/>
        <v>42855</v>
      </c>
      <c r="AJ12" s="200">
        <f t="shared" si="2"/>
        <v>42886</v>
      </c>
      <c r="AK12" s="200">
        <f t="shared" si="2"/>
        <v>42916</v>
      </c>
      <c r="AL12" s="200">
        <f t="shared" si="2"/>
        <v>42947</v>
      </c>
      <c r="AM12" s="200">
        <f t="shared" si="2"/>
        <v>42978</v>
      </c>
      <c r="AN12" s="200">
        <f t="shared" si="2"/>
        <v>43008</v>
      </c>
      <c r="AO12" s="200">
        <f t="shared" si="2"/>
        <v>43039</v>
      </c>
      <c r="AP12" s="200">
        <f t="shared" si="2"/>
        <v>43069</v>
      </c>
      <c r="AQ12" s="200">
        <f t="shared" si="2"/>
        <v>43100</v>
      </c>
      <c r="AR12" s="200">
        <f t="shared" si="2"/>
        <v>43131</v>
      </c>
      <c r="AS12" s="200">
        <f t="shared" si="2"/>
        <v>43159</v>
      </c>
      <c r="AT12" s="200">
        <f t="shared" si="2"/>
        <v>43190</v>
      </c>
      <c r="AU12" s="200">
        <f t="shared" si="2"/>
        <v>43220</v>
      </c>
      <c r="AV12" s="200">
        <f t="shared" si="2"/>
        <v>43251</v>
      </c>
      <c r="AW12" s="200">
        <f t="shared" si="2"/>
        <v>43281</v>
      </c>
      <c r="AX12" s="200">
        <f t="shared" si="2"/>
        <v>43312</v>
      </c>
      <c r="AY12" s="200">
        <f t="shared" si="2"/>
        <v>43343</v>
      </c>
      <c r="AZ12" s="200">
        <f t="shared" si="2"/>
        <v>43373</v>
      </c>
      <c r="BA12" s="200">
        <f t="shared" si="2"/>
        <v>43404</v>
      </c>
      <c r="BB12" s="200">
        <f t="shared" si="2"/>
        <v>43434</v>
      </c>
      <c r="BC12" s="200">
        <f t="shared" si="2"/>
        <v>43465</v>
      </c>
      <c r="BD12" s="200">
        <f t="shared" si="2"/>
        <v>43496</v>
      </c>
      <c r="BE12" s="200">
        <f t="shared" si="2"/>
        <v>43524</v>
      </c>
      <c r="BF12" s="200">
        <f t="shared" si="2"/>
        <v>43555</v>
      </c>
      <c r="BG12" s="200">
        <f t="shared" si="2"/>
        <v>43585</v>
      </c>
      <c r="BH12" s="200">
        <f t="shared" si="2"/>
        <v>43616</v>
      </c>
      <c r="BI12" s="200">
        <f t="shared" si="2"/>
        <v>43646</v>
      </c>
      <c r="BJ12" s="200">
        <f t="shared" si="2"/>
        <v>43677</v>
      </c>
      <c r="BK12" s="200">
        <f t="shared" si="2"/>
        <v>43708</v>
      </c>
      <c r="BL12" s="200">
        <f t="shared" si="2"/>
        <v>43738</v>
      </c>
      <c r="BM12" s="200">
        <f t="shared" si="2"/>
        <v>43769</v>
      </c>
      <c r="BN12" s="200">
        <f t="shared" si="2"/>
        <v>43799</v>
      </c>
      <c r="BO12" s="200">
        <f t="shared" si="2"/>
        <v>43830</v>
      </c>
      <c r="BP12" s="200">
        <f t="shared" si="2"/>
        <v>43861</v>
      </c>
      <c r="BQ12" s="200">
        <f t="shared" si="2"/>
        <v>43890</v>
      </c>
      <c r="BR12" s="200">
        <f t="shared" ref="BR12:DX12" si="3">DATE(YEAR(BR11),MONTH(BR11)+1,DAY(BR11)-1)</f>
        <v>43921</v>
      </c>
      <c r="BS12" s="200">
        <f t="shared" si="3"/>
        <v>43951</v>
      </c>
      <c r="BT12" s="200">
        <f t="shared" si="3"/>
        <v>43982</v>
      </c>
      <c r="BU12" s="200">
        <f t="shared" si="3"/>
        <v>44012</v>
      </c>
      <c r="BV12" s="200">
        <f t="shared" si="3"/>
        <v>44043</v>
      </c>
      <c r="BW12" s="200">
        <f t="shared" si="3"/>
        <v>44074</v>
      </c>
      <c r="BX12" s="200">
        <f t="shared" si="3"/>
        <v>44104</v>
      </c>
      <c r="BY12" s="200">
        <f t="shared" si="3"/>
        <v>44135</v>
      </c>
      <c r="BZ12" s="200">
        <f t="shared" si="3"/>
        <v>44165</v>
      </c>
      <c r="CA12" s="200">
        <f t="shared" si="3"/>
        <v>44196</v>
      </c>
      <c r="CB12" s="200">
        <f t="shared" si="3"/>
        <v>44227</v>
      </c>
      <c r="CC12" s="200">
        <f t="shared" si="3"/>
        <v>44255</v>
      </c>
      <c r="CD12" s="200">
        <f t="shared" si="3"/>
        <v>44286</v>
      </c>
      <c r="CE12" s="200">
        <f t="shared" si="3"/>
        <v>44316</v>
      </c>
      <c r="CF12" s="200">
        <f t="shared" si="3"/>
        <v>44347</v>
      </c>
      <c r="CG12" s="200">
        <f t="shared" si="3"/>
        <v>44377</v>
      </c>
      <c r="CH12" s="200">
        <f t="shared" si="3"/>
        <v>44408</v>
      </c>
      <c r="CI12" s="200">
        <f t="shared" si="3"/>
        <v>44439</v>
      </c>
      <c r="CJ12" s="200">
        <f t="shared" si="3"/>
        <v>44469</v>
      </c>
      <c r="CK12" s="200">
        <f t="shared" si="3"/>
        <v>44500</v>
      </c>
      <c r="CL12" s="200">
        <f t="shared" si="3"/>
        <v>44530</v>
      </c>
      <c r="CM12" s="200">
        <f t="shared" si="3"/>
        <v>44561</v>
      </c>
      <c r="CN12" s="200">
        <f t="shared" si="3"/>
        <v>44592</v>
      </c>
      <c r="CO12" s="200">
        <f t="shared" si="3"/>
        <v>44620</v>
      </c>
      <c r="CP12" s="200">
        <f t="shared" si="3"/>
        <v>44651</v>
      </c>
      <c r="CQ12" s="200">
        <f t="shared" si="3"/>
        <v>44681</v>
      </c>
      <c r="CR12" s="200">
        <f t="shared" si="3"/>
        <v>44712</v>
      </c>
      <c r="CS12" s="200">
        <f t="shared" si="3"/>
        <v>44742</v>
      </c>
      <c r="CT12" s="200">
        <f t="shared" si="3"/>
        <v>44773</v>
      </c>
      <c r="CU12" s="200">
        <f t="shared" si="3"/>
        <v>44804</v>
      </c>
      <c r="CV12" s="200">
        <f t="shared" si="3"/>
        <v>44834</v>
      </c>
      <c r="CW12" s="200">
        <f t="shared" si="3"/>
        <v>44865</v>
      </c>
      <c r="CX12" s="200">
        <f t="shared" si="3"/>
        <v>44895</v>
      </c>
      <c r="CY12" s="200">
        <f t="shared" si="3"/>
        <v>44926</v>
      </c>
      <c r="CZ12" s="200">
        <f t="shared" si="3"/>
        <v>44957</v>
      </c>
      <c r="DA12" s="200">
        <f t="shared" si="3"/>
        <v>44985</v>
      </c>
      <c r="DB12" s="200">
        <f t="shared" si="3"/>
        <v>45016</v>
      </c>
      <c r="DC12" s="200">
        <f t="shared" si="3"/>
        <v>45046</v>
      </c>
      <c r="DD12" s="200">
        <f t="shared" si="3"/>
        <v>45077</v>
      </c>
      <c r="DE12" s="200">
        <f t="shared" si="3"/>
        <v>45107</v>
      </c>
      <c r="DF12" s="200">
        <f t="shared" si="3"/>
        <v>45138</v>
      </c>
      <c r="DG12" s="200">
        <f t="shared" si="3"/>
        <v>45169</v>
      </c>
      <c r="DH12" s="200">
        <f t="shared" si="3"/>
        <v>45199</v>
      </c>
      <c r="DI12" s="200">
        <f t="shared" si="3"/>
        <v>45230</v>
      </c>
      <c r="DJ12" s="200">
        <f t="shared" si="3"/>
        <v>45260</v>
      </c>
      <c r="DK12" s="200">
        <f t="shared" si="3"/>
        <v>45291</v>
      </c>
      <c r="DL12" s="200">
        <f t="shared" si="3"/>
        <v>45322</v>
      </c>
      <c r="DM12" s="200">
        <f t="shared" si="3"/>
        <v>45351</v>
      </c>
      <c r="DN12" s="200">
        <f t="shared" si="3"/>
        <v>45382</v>
      </c>
      <c r="DO12" s="200">
        <f t="shared" si="3"/>
        <v>45412</v>
      </c>
      <c r="DP12" s="200">
        <f t="shared" si="3"/>
        <v>45443</v>
      </c>
      <c r="DQ12" s="200">
        <f t="shared" si="3"/>
        <v>45473</v>
      </c>
      <c r="DR12" s="200">
        <f t="shared" si="3"/>
        <v>45504</v>
      </c>
      <c r="DS12" s="200">
        <f t="shared" si="3"/>
        <v>45535</v>
      </c>
      <c r="DT12" s="200">
        <f t="shared" si="3"/>
        <v>45565</v>
      </c>
      <c r="DU12" s="200">
        <f t="shared" si="3"/>
        <v>45596</v>
      </c>
      <c r="DV12" s="200">
        <f t="shared" si="3"/>
        <v>45626</v>
      </c>
      <c r="DW12" s="200">
        <f t="shared" si="3"/>
        <v>45657</v>
      </c>
      <c r="DX12" s="200">
        <f t="shared" si="3"/>
        <v>45688</v>
      </c>
      <c r="DY12" s="88"/>
      <c r="DZ12" s="193" t="s">
        <v>392</v>
      </c>
      <c r="EB12" s="88"/>
    </row>
    <row r="13" spans="1:132" outlineLevel="1">
      <c r="A13" s="91" t="s">
        <v>157</v>
      </c>
      <c r="C13" s="180"/>
      <c r="D13" s="180"/>
      <c r="E13" s="180"/>
      <c r="F13" s="201">
        <v>1</v>
      </c>
      <c r="G13" s="202">
        <f t="shared" ref="G13:BR13" si="4">F13+1</f>
        <v>2</v>
      </c>
      <c r="H13" s="203">
        <f t="shared" si="4"/>
        <v>3</v>
      </c>
      <c r="I13" s="203">
        <f t="shared" si="4"/>
        <v>4</v>
      </c>
      <c r="J13" s="203">
        <f t="shared" si="4"/>
        <v>5</v>
      </c>
      <c r="K13" s="203">
        <f t="shared" si="4"/>
        <v>6</v>
      </c>
      <c r="L13" s="203">
        <f t="shared" si="4"/>
        <v>7</v>
      </c>
      <c r="M13" s="203">
        <f t="shared" si="4"/>
        <v>8</v>
      </c>
      <c r="N13" s="203">
        <f t="shared" si="4"/>
        <v>9</v>
      </c>
      <c r="O13" s="203">
        <f t="shared" si="4"/>
        <v>10</v>
      </c>
      <c r="P13" s="203">
        <f t="shared" si="4"/>
        <v>11</v>
      </c>
      <c r="Q13" s="203">
        <f t="shared" si="4"/>
        <v>12</v>
      </c>
      <c r="R13" s="203">
        <f t="shared" si="4"/>
        <v>13</v>
      </c>
      <c r="S13" s="203">
        <f t="shared" si="4"/>
        <v>14</v>
      </c>
      <c r="T13" s="203">
        <f t="shared" si="4"/>
        <v>15</v>
      </c>
      <c r="U13" s="203">
        <f t="shared" si="4"/>
        <v>16</v>
      </c>
      <c r="V13" s="203">
        <f t="shared" si="4"/>
        <v>17</v>
      </c>
      <c r="W13" s="203">
        <f t="shared" si="4"/>
        <v>18</v>
      </c>
      <c r="X13" s="203">
        <f t="shared" si="4"/>
        <v>19</v>
      </c>
      <c r="Y13" s="203">
        <f t="shared" si="4"/>
        <v>20</v>
      </c>
      <c r="Z13" s="203">
        <f t="shared" si="4"/>
        <v>21</v>
      </c>
      <c r="AA13" s="203">
        <f t="shared" si="4"/>
        <v>22</v>
      </c>
      <c r="AB13" s="203">
        <f t="shared" si="4"/>
        <v>23</v>
      </c>
      <c r="AC13" s="203">
        <f t="shared" si="4"/>
        <v>24</v>
      </c>
      <c r="AD13" s="203">
        <f t="shared" si="4"/>
        <v>25</v>
      </c>
      <c r="AE13" s="203">
        <f t="shared" si="4"/>
        <v>26</v>
      </c>
      <c r="AF13" s="203">
        <f t="shared" si="4"/>
        <v>27</v>
      </c>
      <c r="AG13" s="203">
        <f t="shared" si="4"/>
        <v>28</v>
      </c>
      <c r="AH13" s="203">
        <f t="shared" si="4"/>
        <v>29</v>
      </c>
      <c r="AI13" s="203">
        <f t="shared" si="4"/>
        <v>30</v>
      </c>
      <c r="AJ13" s="203">
        <f t="shared" si="4"/>
        <v>31</v>
      </c>
      <c r="AK13" s="203">
        <f t="shared" si="4"/>
        <v>32</v>
      </c>
      <c r="AL13" s="203">
        <f t="shared" si="4"/>
        <v>33</v>
      </c>
      <c r="AM13" s="203">
        <f t="shared" si="4"/>
        <v>34</v>
      </c>
      <c r="AN13" s="203">
        <f t="shared" si="4"/>
        <v>35</v>
      </c>
      <c r="AO13" s="203">
        <f t="shared" si="4"/>
        <v>36</v>
      </c>
      <c r="AP13" s="203">
        <f t="shared" si="4"/>
        <v>37</v>
      </c>
      <c r="AQ13" s="203">
        <f t="shared" si="4"/>
        <v>38</v>
      </c>
      <c r="AR13" s="203">
        <f t="shared" si="4"/>
        <v>39</v>
      </c>
      <c r="AS13" s="203">
        <f t="shared" si="4"/>
        <v>40</v>
      </c>
      <c r="AT13" s="203">
        <f t="shared" si="4"/>
        <v>41</v>
      </c>
      <c r="AU13" s="203">
        <f t="shared" si="4"/>
        <v>42</v>
      </c>
      <c r="AV13" s="203">
        <f t="shared" si="4"/>
        <v>43</v>
      </c>
      <c r="AW13" s="203">
        <f t="shared" si="4"/>
        <v>44</v>
      </c>
      <c r="AX13" s="203">
        <f t="shared" si="4"/>
        <v>45</v>
      </c>
      <c r="AY13" s="203">
        <f t="shared" si="4"/>
        <v>46</v>
      </c>
      <c r="AZ13" s="203">
        <f t="shared" si="4"/>
        <v>47</v>
      </c>
      <c r="BA13" s="203">
        <f t="shared" si="4"/>
        <v>48</v>
      </c>
      <c r="BB13" s="203">
        <f t="shared" si="4"/>
        <v>49</v>
      </c>
      <c r="BC13" s="203">
        <f t="shared" si="4"/>
        <v>50</v>
      </c>
      <c r="BD13" s="203">
        <f t="shared" si="4"/>
        <v>51</v>
      </c>
      <c r="BE13" s="203">
        <f t="shared" si="4"/>
        <v>52</v>
      </c>
      <c r="BF13" s="203">
        <f t="shared" si="4"/>
        <v>53</v>
      </c>
      <c r="BG13" s="203">
        <f t="shared" si="4"/>
        <v>54</v>
      </c>
      <c r="BH13" s="203">
        <f t="shared" si="4"/>
        <v>55</v>
      </c>
      <c r="BI13" s="203">
        <f t="shared" si="4"/>
        <v>56</v>
      </c>
      <c r="BJ13" s="203">
        <f t="shared" si="4"/>
        <v>57</v>
      </c>
      <c r="BK13" s="203">
        <f t="shared" si="4"/>
        <v>58</v>
      </c>
      <c r="BL13" s="203">
        <f t="shared" si="4"/>
        <v>59</v>
      </c>
      <c r="BM13" s="203">
        <f t="shared" si="4"/>
        <v>60</v>
      </c>
      <c r="BN13" s="203">
        <f t="shared" si="4"/>
        <v>61</v>
      </c>
      <c r="BO13" s="203">
        <f t="shared" si="4"/>
        <v>62</v>
      </c>
      <c r="BP13" s="203">
        <f t="shared" si="4"/>
        <v>63</v>
      </c>
      <c r="BQ13" s="203">
        <f t="shared" si="4"/>
        <v>64</v>
      </c>
      <c r="BR13" s="203">
        <f t="shared" si="4"/>
        <v>65</v>
      </c>
      <c r="BS13" s="203">
        <f t="shared" ref="BS13:DX13" si="5">BR13+1</f>
        <v>66</v>
      </c>
      <c r="BT13" s="203">
        <f t="shared" si="5"/>
        <v>67</v>
      </c>
      <c r="BU13" s="203">
        <f t="shared" si="5"/>
        <v>68</v>
      </c>
      <c r="BV13" s="203">
        <f t="shared" si="5"/>
        <v>69</v>
      </c>
      <c r="BW13" s="203">
        <f t="shared" si="5"/>
        <v>70</v>
      </c>
      <c r="BX13" s="203">
        <f t="shared" si="5"/>
        <v>71</v>
      </c>
      <c r="BY13" s="203">
        <f t="shared" si="5"/>
        <v>72</v>
      </c>
      <c r="BZ13" s="203">
        <f t="shared" si="5"/>
        <v>73</v>
      </c>
      <c r="CA13" s="203">
        <f t="shared" si="5"/>
        <v>74</v>
      </c>
      <c r="CB13" s="203">
        <f t="shared" si="5"/>
        <v>75</v>
      </c>
      <c r="CC13" s="203">
        <f t="shared" si="5"/>
        <v>76</v>
      </c>
      <c r="CD13" s="203">
        <f t="shared" si="5"/>
        <v>77</v>
      </c>
      <c r="CE13" s="203">
        <f t="shared" si="5"/>
        <v>78</v>
      </c>
      <c r="CF13" s="203">
        <f t="shared" si="5"/>
        <v>79</v>
      </c>
      <c r="CG13" s="203">
        <f t="shared" si="5"/>
        <v>80</v>
      </c>
      <c r="CH13" s="203">
        <f t="shared" si="5"/>
        <v>81</v>
      </c>
      <c r="CI13" s="203">
        <f t="shared" si="5"/>
        <v>82</v>
      </c>
      <c r="CJ13" s="203">
        <f t="shared" si="5"/>
        <v>83</v>
      </c>
      <c r="CK13" s="203">
        <f t="shared" si="5"/>
        <v>84</v>
      </c>
      <c r="CL13" s="203">
        <f t="shared" si="5"/>
        <v>85</v>
      </c>
      <c r="CM13" s="203">
        <f t="shared" si="5"/>
        <v>86</v>
      </c>
      <c r="CN13" s="203">
        <f t="shared" si="5"/>
        <v>87</v>
      </c>
      <c r="CO13" s="203">
        <f t="shared" si="5"/>
        <v>88</v>
      </c>
      <c r="CP13" s="203">
        <f t="shared" si="5"/>
        <v>89</v>
      </c>
      <c r="CQ13" s="203">
        <f t="shared" si="5"/>
        <v>90</v>
      </c>
      <c r="CR13" s="203">
        <f t="shared" si="5"/>
        <v>91</v>
      </c>
      <c r="CS13" s="203">
        <f t="shared" si="5"/>
        <v>92</v>
      </c>
      <c r="CT13" s="203">
        <f t="shared" si="5"/>
        <v>93</v>
      </c>
      <c r="CU13" s="203">
        <f t="shared" si="5"/>
        <v>94</v>
      </c>
      <c r="CV13" s="203">
        <f t="shared" si="5"/>
        <v>95</v>
      </c>
      <c r="CW13" s="203">
        <f t="shared" si="5"/>
        <v>96</v>
      </c>
      <c r="CX13" s="203">
        <f t="shared" si="5"/>
        <v>97</v>
      </c>
      <c r="CY13" s="203">
        <f t="shared" si="5"/>
        <v>98</v>
      </c>
      <c r="CZ13" s="203">
        <f t="shared" si="5"/>
        <v>99</v>
      </c>
      <c r="DA13" s="203">
        <f t="shared" si="5"/>
        <v>100</v>
      </c>
      <c r="DB13" s="203">
        <f t="shared" si="5"/>
        <v>101</v>
      </c>
      <c r="DC13" s="203">
        <f t="shared" si="5"/>
        <v>102</v>
      </c>
      <c r="DD13" s="203">
        <f t="shared" si="5"/>
        <v>103</v>
      </c>
      <c r="DE13" s="203">
        <f t="shared" si="5"/>
        <v>104</v>
      </c>
      <c r="DF13" s="203">
        <f t="shared" si="5"/>
        <v>105</v>
      </c>
      <c r="DG13" s="203">
        <f t="shared" si="5"/>
        <v>106</v>
      </c>
      <c r="DH13" s="203">
        <f t="shared" si="5"/>
        <v>107</v>
      </c>
      <c r="DI13" s="203">
        <f t="shared" si="5"/>
        <v>108</v>
      </c>
      <c r="DJ13" s="203">
        <f t="shared" si="5"/>
        <v>109</v>
      </c>
      <c r="DK13" s="203">
        <f t="shared" si="5"/>
        <v>110</v>
      </c>
      <c r="DL13" s="203">
        <f t="shared" si="5"/>
        <v>111</v>
      </c>
      <c r="DM13" s="203">
        <f t="shared" si="5"/>
        <v>112</v>
      </c>
      <c r="DN13" s="203">
        <f t="shared" si="5"/>
        <v>113</v>
      </c>
      <c r="DO13" s="203">
        <f t="shared" si="5"/>
        <v>114</v>
      </c>
      <c r="DP13" s="203">
        <f t="shared" si="5"/>
        <v>115</v>
      </c>
      <c r="DQ13" s="203">
        <f t="shared" si="5"/>
        <v>116</v>
      </c>
      <c r="DR13" s="203">
        <f t="shared" si="5"/>
        <v>117</v>
      </c>
      <c r="DS13" s="203">
        <f t="shared" si="5"/>
        <v>118</v>
      </c>
      <c r="DT13" s="203">
        <f t="shared" si="5"/>
        <v>119</v>
      </c>
      <c r="DU13" s="203">
        <f t="shared" si="5"/>
        <v>120</v>
      </c>
      <c r="DV13" s="203">
        <f t="shared" si="5"/>
        <v>121</v>
      </c>
      <c r="DW13" s="203">
        <f t="shared" si="5"/>
        <v>122</v>
      </c>
      <c r="DX13" s="203">
        <f t="shared" si="5"/>
        <v>123</v>
      </c>
      <c r="DY13" s="88"/>
      <c r="DZ13" s="188" t="s">
        <v>393</v>
      </c>
      <c r="EB13" s="88"/>
    </row>
    <row r="14" spans="1:132" outlineLevel="1">
      <c r="A14" s="91" t="s">
        <v>158</v>
      </c>
      <c r="C14" s="180"/>
      <c r="D14" s="180"/>
      <c r="E14" s="180"/>
      <c r="F14" s="202">
        <f t="shared" ref="F14:AK14" si="6">IF(PeriodNoMth&lt;=PreContractPeriodDuration,-1-PreContractPeriodDuration+F13,PeriodNoMth-PreContractPeriodDuration)</f>
        <v>-3</v>
      </c>
      <c r="G14" s="203">
        <f t="shared" si="6"/>
        <v>-2</v>
      </c>
      <c r="H14" s="203">
        <f t="shared" si="6"/>
        <v>-1</v>
      </c>
      <c r="I14" s="203">
        <f t="shared" si="6"/>
        <v>1</v>
      </c>
      <c r="J14" s="203">
        <f t="shared" si="6"/>
        <v>2</v>
      </c>
      <c r="K14" s="203">
        <f t="shared" si="6"/>
        <v>3</v>
      </c>
      <c r="L14" s="203">
        <f t="shared" si="6"/>
        <v>4</v>
      </c>
      <c r="M14" s="203">
        <f t="shared" si="6"/>
        <v>5</v>
      </c>
      <c r="N14" s="203">
        <f t="shared" si="6"/>
        <v>6</v>
      </c>
      <c r="O14" s="203">
        <f t="shared" si="6"/>
        <v>7</v>
      </c>
      <c r="P14" s="203">
        <f t="shared" si="6"/>
        <v>8</v>
      </c>
      <c r="Q14" s="203">
        <f t="shared" si="6"/>
        <v>9</v>
      </c>
      <c r="R14" s="203">
        <f t="shared" si="6"/>
        <v>10</v>
      </c>
      <c r="S14" s="203">
        <f t="shared" si="6"/>
        <v>11</v>
      </c>
      <c r="T14" s="203">
        <f t="shared" si="6"/>
        <v>12</v>
      </c>
      <c r="U14" s="203">
        <f t="shared" si="6"/>
        <v>13</v>
      </c>
      <c r="V14" s="203">
        <f t="shared" si="6"/>
        <v>14</v>
      </c>
      <c r="W14" s="203">
        <f t="shared" si="6"/>
        <v>15</v>
      </c>
      <c r="X14" s="203">
        <f t="shared" si="6"/>
        <v>16</v>
      </c>
      <c r="Y14" s="203">
        <f t="shared" si="6"/>
        <v>17</v>
      </c>
      <c r="Z14" s="203">
        <f t="shared" si="6"/>
        <v>18</v>
      </c>
      <c r="AA14" s="203">
        <f t="shared" si="6"/>
        <v>19</v>
      </c>
      <c r="AB14" s="203">
        <f t="shared" si="6"/>
        <v>20</v>
      </c>
      <c r="AC14" s="203">
        <f t="shared" si="6"/>
        <v>21</v>
      </c>
      <c r="AD14" s="203">
        <f t="shared" si="6"/>
        <v>22</v>
      </c>
      <c r="AE14" s="203">
        <f t="shared" si="6"/>
        <v>23</v>
      </c>
      <c r="AF14" s="203">
        <f t="shared" si="6"/>
        <v>24</v>
      </c>
      <c r="AG14" s="203">
        <f t="shared" si="6"/>
        <v>25</v>
      </c>
      <c r="AH14" s="203">
        <f t="shared" si="6"/>
        <v>26</v>
      </c>
      <c r="AI14" s="203">
        <f t="shared" si="6"/>
        <v>27</v>
      </c>
      <c r="AJ14" s="203">
        <f t="shared" si="6"/>
        <v>28</v>
      </c>
      <c r="AK14" s="203">
        <f t="shared" si="6"/>
        <v>29</v>
      </c>
      <c r="AL14" s="203">
        <f t="shared" ref="AL14:BQ14" si="7">IF(PeriodNoMth&lt;=PreContractPeriodDuration,-1-PreContractPeriodDuration+AL13,PeriodNoMth-PreContractPeriodDuration)</f>
        <v>30</v>
      </c>
      <c r="AM14" s="203">
        <f t="shared" si="7"/>
        <v>31</v>
      </c>
      <c r="AN14" s="203">
        <f t="shared" si="7"/>
        <v>32</v>
      </c>
      <c r="AO14" s="203">
        <f t="shared" si="7"/>
        <v>33</v>
      </c>
      <c r="AP14" s="203">
        <f t="shared" si="7"/>
        <v>34</v>
      </c>
      <c r="AQ14" s="203">
        <f t="shared" si="7"/>
        <v>35</v>
      </c>
      <c r="AR14" s="203">
        <f t="shared" si="7"/>
        <v>36</v>
      </c>
      <c r="AS14" s="203">
        <f t="shared" si="7"/>
        <v>37</v>
      </c>
      <c r="AT14" s="203">
        <f t="shared" si="7"/>
        <v>38</v>
      </c>
      <c r="AU14" s="203">
        <f t="shared" si="7"/>
        <v>39</v>
      </c>
      <c r="AV14" s="203">
        <f t="shared" si="7"/>
        <v>40</v>
      </c>
      <c r="AW14" s="203">
        <f t="shared" si="7"/>
        <v>41</v>
      </c>
      <c r="AX14" s="203">
        <f t="shared" si="7"/>
        <v>42</v>
      </c>
      <c r="AY14" s="203">
        <f t="shared" si="7"/>
        <v>43</v>
      </c>
      <c r="AZ14" s="203">
        <f t="shared" si="7"/>
        <v>44</v>
      </c>
      <c r="BA14" s="203">
        <f t="shared" si="7"/>
        <v>45</v>
      </c>
      <c r="BB14" s="203">
        <f t="shared" si="7"/>
        <v>46</v>
      </c>
      <c r="BC14" s="203">
        <f t="shared" si="7"/>
        <v>47</v>
      </c>
      <c r="BD14" s="203">
        <f t="shared" si="7"/>
        <v>48</v>
      </c>
      <c r="BE14" s="203">
        <f t="shared" si="7"/>
        <v>49</v>
      </c>
      <c r="BF14" s="203">
        <f t="shared" si="7"/>
        <v>50</v>
      </c>
      <c r="BG14" s="203">
        <f t="shared" si="7"/>
        <v>51</v>
      </c>
      <c r="BH14" s="203">
        <f t="shared" si="7"/>
        <v>52</v>
      </c>
      <c r="BI14" s="203">
        <f t="shared" si="7"/>
        <v>53</v>
      </c>
      <c r="BJ14" s="203">
        <f t="shared" si="7"/>
        <v>54</v>
      </c>
      <c r="BK14" s="203">
        <f t="shared" si="7"/>
        <v>55</v>
      </c>
      <c r="BL14" s="203">
        <f t="shared" si="7"/>
        <v>56</v>
      </c>
      <c r="BM14" s="203">
        <f t="shared" si="7"/>
        <v>57</v>
      </c>
      <c r="BN14" s="203">
        <f t="shared" si="7"/>
        <v>58</v>
      </c>
      <c r="BO14" s="203">
        <f t="shared" si="7"/>
        <v>59</v>
      </c>
      <c r="BP14" s="203">
        <f t="shared" si="7"/>
        <v>60</v>
      </c>
      <c r="BQ14" s="203">
        <f t="shared" si="7"/>
        <v>61</v>
      </c>
      <c r="BR14" s="203">
        <f t="shared" ref="BR14:CW14" si="8">IF(PeriodNoMth&lt;=PreContractPeriodDuration,-1-PreContractPeriodDuration+BR13,PeriodNoMth-PreContractPeriodDuration)</f>
        <v>62</v>
      </c>
      <c r="BS14" s="203">
        <f t="shared" si="8"/>
        <v>63</v>
      </c>
      <c r="BT14" s="203">
        <f t="shared" si="8"/>
        <v>64</v>
      </c>
      <c r="BU14" s="203">
        <f t="shared" si="8"/>
        <v>65</v>
      </c>
      <c r="BV14" s="203">
        <f t="shared" si="8"/>
        <v>66</v>
      </c>
      <c r="BW14" s="203">
        <f t="shared" si="8"/>
        <v>67</v>
      </c>
      <c r="BX14" s="203">
        <f t="shared" si="8"/>
        <v>68</v>
      </c>
      <c r="BY14" s="203">
        <f t="shared" si="8"/>
        <v>69</v>
      </c>
      <c r="BZ14" s="203">
        <f t="shared" si="8"/>
        <v>70</v>
      </c>
      <c r="CA14" s="203">
        <f t="shared" si="8"/>
        <v>71</v>
      </c>
      <c r="CB14" s="203">
        <f t="shared" si="8"/>
        <v>72</v>
      </c>
      <c r="CC14" s="203">
        <f t="shared" si="8"/>
        <v>73</v>
      </c>
      <c r="CD14" s="203">
        <f t="shared" si="8"/>
        <v>74</v>
      </c>
      <c r="CE14" s="203">
        <f t="shared" si="8"/>
        <v>75</v>
      </c>
      <c r="CF14" s="203">
        <f t="shared" si="8"/>
        <v>76</v>
      </c>
      <c r="CG14" s="203">
        <f t="shared" si="8"/>
        <v>77</v>
      </c>
      <c r="CH14" s="203">
        <f t="shared" si="8"/>
        <v>78</v>
      </c>
      <c r="CI14" s="203">
        <f t="shared" si="8"/>
        <v>79</v>
      </c>
      <c r="CJ14" s="203">
        <f t="shared" si="8"/>
        <v>80</v>
      </c>
      <c r="CK14" s="203">
        <f t="shared" si="8"/>
        <v>81</v>
      </c>
      <c r="CL14" s="203">
        <f t="shared" si="8"/>
        <v>82</v>
      </c>
      <c r="CM14" s="203">
        <f t="shared" si="8"/>
        <v>83</v>
      </c>
      <c r="CN14" s="203">
        <f t="shared" si="8"/>
        <v>84</v>
      </c>
      <c r="CO14" s="203">
        <f t="shared" si="8"/>
        <v>85</v>
      </c>
      <c r="CP14" s="203">
        <f t="shared" si="8"/>
        <v>86</v>
      </c>
      <c r="CQ14" s="203">
        <f t="shared" si="8"/>
        <v>87</v>
      </c>
      <c r="CR14" s="203">
        <f t="shared" si="8"/>
        <v>88</v>
      </c>
      <c r="CS14" s="203">
        <f t="shared" si="8"/>
        <v>89</v>
      </c>
      <c r="CT14" s="203">
        <f t="shared" si="8"/>
        <v>90</v>
      </c>
      <c r="CU14" s="203">
        <f t="shared" si="8"/>
        <v>91</v>
      </c>
      <c r="CV14" s="203">
        <f t="shared" si="8"/>
        <v>92</v>
      </c>
      <c r="CW14" s="203">
        <f t="shared" si="8"/>
        <v>93</v>
      </c>
      <c r="CX14" s="203">
        <f t="shared" ref="CX14:DX14" si="9">IF(PeriodNoMth&lt;=PreContractPeriodDuration,-1-PreContractPeriodDuration+CX13,PeriodNoMth-PreContractPeriodDuration)</f>
        <v>94</v>
      </c>
      <c r="CY14" s="203">
        <f t="shared" si="9"/>
        <v>95</v>
      </c>
      <c r="CZ14" s="203">
        <f t="shared" si="9"/>
        <v>96</v>
      </c>
      <c r="DA14" s="203">
        <f t="shared" si="9"/>
        <v>97</v>
      </c>
      <c r="DB14" s="203">
        <f t="shared" si="9"/>
        <v>98</v>
      </c>
      <c r="DC14" s="203">
        <f t="shared" si="9"/>
        <v>99</v>
      </c>
      <c r="DD14" s="203">
        <f t="shared" si="9"/>
        <v>100</v>
      </c>
      <c r="DE14" s="203">
        <f t="shared" si="9"/>
        <v>101</v>
      </c>
      <c r="DF14" s="203">
        <f t="shared" si="9"/>
        <v>102</v>
      </c>
      <c r="DG14" s="203">
        <f t="shared" si="9"/>
        <v>103</v>
      </c>
      <c r="DH14" s="203">
        <f t="shared" si="9"/>
        <v>104</v>
      </c>
      <c r="DI14" s="203">
        <f t="shared" si="9"/>
        <v>105</v>
      </c>
      <c r="DJ14" s="203">
        <f t="shared" si="9"/>
        <v>106</v>
      </c>
      <c r="DK14" s="203">
        <f t="shared" si="9"/>
        <v>107</v>
      </c>
      <c r="DL14" s="203">
        <f t="shared" si="9"/>
        <v>108</v>
      </c>
      <c r="DM14" s="203">
        <f t="shared" si="9"/>
        <v>109</v>
      </c>
      <c r="DN14" s="203">
        <f t="shared" si="9"/>
        <v>110</v>
      </c>
      <c r="DO14" s="203">
        <f t="shared" si="9"/>
        <v>111</v>
      </c>
      <c r="DP14" s="203">
        <f t="shared" si="9"/>
        <v>112</v>
      </c>
      <c r="DQ14" s="203">
        <f t="shared" si="9"/>
        <v>113</v>
      </c>
      <c r="DR14" s="203">
        <f t="shared" si="9"/>
        <v>114</v>
      </c>
      <c r="DS14" s="203">
        <f t="shared" si="9"/>
        <v>115</v>
      </c>
      <c r="DT14" s="203">
        <f t="shared" si="9"/>
        <v>116</v>
      </c>
      <c r="DU14" s="203">
        <f t="shared" si="9"/>
        <v>117</v>
      </c>
      <c r="DV14" s="203">
        <f t="shared" si="9"/>
        <v>118</v>
      </c>
      <c r="DW14" s="203">
        <f t="shared" si="9"/>
        <v>119</v>
      </c>
      <c r="DX14" s="203">
        <f t="shared" si="9"/>
        <v>120</v>
      </c>
      <c r="DY14" s="88"/>
      <c r="DZ14" s="188" t="s">
        <v>394</v>
      </c>
      <c r="EB14" s="88"/>
    </row>
    <row r="15" spans="1:132" outlineLevel="1">
      <c r="A15" s="91" t="s">
        <v>159</v>
      </c>
      <c r="C15" s="180"/>
      <c r="D15" s="180"/>
      <c r="E15" s="180"/>
      <c r="F15" s="202">
        <f t="shared" ref="F15:AK15" si="10">IF(PeriodNoMth&lt;=PreContractPeriodDuration,0,INT((PeriodCounter-1)/MinY)+1)</f>
        <v>0</v>
      </c>
      <c r="G15" s="203">
        <f t="shared" si="10"/>
        <v>0</v>
      </c>
      <c r="H15" s="203">
        <f t="shared" si="10"/>
        <v>0</v>
      </c>
      <c r="I15" s="203">
        <f t="shared" si="10"/>
        <v>1</v>
      </c>
      <c r="J15" s="203">
        <f t="shared" si="10"/>
        <v>1</v>
      </c>
      <c r="K15" s="203">
        <f t="shared" si="10"/>
        <v>1</v>
      </c>
      <c r="L15" s="203">
        <f t="shared" si="10"/>
        <v>1</v>
      </c>
      <c r="M15" s="203">
        <f t="shared" si="10"/>
        <v>1</v>
      </c>
      <c r="N15" s="203">
        <f t="shared" si="10"/>
        <v>1</v>
      </c>
      <c r="O15" s="203">
        <f t="shared" si="10"/>
        <v>1</v>
      </c>
      <c r="P15" s="203">
        <f t="shared" si="10"/>
        <v>1</v>
      </c>
      <c r="Q15" s="203">
        <f t="shared" si="10"/>
        <v>1</v>
      </c>
      <c r="R15" s="203">
        <f t="shared" si="10"/>
        <v>1</v>
      </c>
      <c r="S15" s="203">
        <f t="shared" si="10"/>
        <v>1</v>
      </c>
      <c r="T15" s="203">
        <f t="shared" si="10"/>
        <v>1</v>
      </c>
      <c r="U15" s="203">
        <f t="shared" si="10"/>
        <v>2</v>
      </c>
      <c r="V15" s="203">
        <f t="shared" si="10"/>
        <v>2</v>
      </c>
      <c r="W15" s="203">
        <f t="shared" si="10"/>
        <v>2</v>
      </c>
      <c r="X15" s="203">
        <f t="shared" si="10"/>
        <v>2</v>
      </c>
      <c r="Y15" s="203">
        <f t="shared" si="10"/>
        <v>2</v>
      </c>
      <c r="Z15" s="203">
        <f t="shared" si="10"/>
        <v>2</v>
      </c>
      <c r="AA15" s="203">
        <f t="shared" si="10"/>
        <v>2</v>
      </c>
      <c r="AB15" s="203">
        <f t="shared" si="10"/>
        <v>2</v>
      </c>
      <c r="AC15" s="203">
        <f t="shared" si="10"/>
        <v>2</v>
      </c>
      <c r="AD15" s="203">
        <f t="shared" si="10"/>
        <v>2</v>
      </c>
      <c r="AE15" s="203">
        <f t="shared" si="10"/>
        <v>2</v>
      </c>
      <c r="AF15" s="203">
        <f t="shared" si="10"/>
        <v>2</v>
      </c>
      <c r="AG15" s="203">
        <f t="shared" si="10"/>
        <v>3</v>
      </c>
      <c r="AH15" s="203">
        <f t="shared" si="10"/>
        <v>3</v>
      </c>
      <c r="AI15" s="203">
        <f t="shared" si="10"/>
        <v>3</v>
      </c>
      <c r="AJ15" s="203">
        <f t="shared" si="10"/>
        <v>3</v>
      </c>
      <c r="AK15" s="203">
        <f t="shared" si="10"/>
        <v>3</v>
      </c>
      <c r="AL15" s="203">
        <f t="shared" ref="AL15:BQ15" si="11">IF(PeriodNoMth&lt;=PreContractPeriodDuration,0,INT((PeriodCounter-1)/MinY)+1)</f>
        <v>3</v>
      </c>
      <c r="AM15" s="203">
        <f t="shared" si="11"/>
        <v>3</v>
      </c>
      <c r="AN15" s="203">
        <f t="shared" si="11"/>
        <v>3</v>
      </c>
      <c r="AO15" s="203">
        <f t="shared" si="11"/>
        <v>3</v>
      </c>
      <c r="AP15" s="203">
        <f t="shared" si="11"/>
        <v>3</v>
      </c>
      <c r="AQ15" s="203">
        <f t="shared" si="11"/>
        <v>3</v>
      </c>
      <c r="AR15" s="203">
        <f t="shared" si="11"/>
        <v>3</v>
      </c>
      <c r="AS15" s="203">
        <f t="shared" si="11"/>
        <v>4</v>
      </c>
      <c r="AT15" s="203">
        <f t="shared" si="11"/>
        <v>4</v>
      </c>
      <c r="AU15" s="203">
        <f t="shared" si="11"/>
        <v>4</v>
      </c>
      <c r="AV15" s="203">
        <f t="shared" si="11"/>
        <v>4</v>
      </c>
      <c r="AW15" s="203">
        <f t="shared" si="11"/>
        <v>4</v>
      </c>
      <c r="AX15" s="203">
        <f t="shared" si="11"/>
        <v>4</v>
      </c>
      <c r="AY15" s="203">
        <f t="shared" si="11"/>
        <v>4</v>
      </c>
      <c r="AZ15" s="203">
        <f t="shared" si="11"/>
        <v>4</v>
      </c>
      <c r="BA15" s="203">
        <f t="shared" si="11"/>
        <v>4</v>
      </c>
      <c r="BB15" s="203">
        <f t="shared" si="11"/>
        <v>4</v>
      </c>
      <c r="BC15" s="203">
        <f t="shared" si="11"/>
        <v>4</v>
      </c>
      <c r="BD15" s="203">
        <f t="shared" si="11"/>
        <v>4</v>
      </c>
      <c r="BE15" s="203">
        <f t="shared" si="11"/>
        <v>5</v>
      </c>
      <c r="BF15" s="203">
        <f t="shared" si="11"/>
        <v>5</v>
      </c>
      <c r="BG15" s="203">
        <f t="shared" si="11"/>
        <v>5</v>
      </c>
      <c r="BH15" s="203">
        <f t="shared" si="11"/>
        <v>5</v>
      </c>
      <c r="BI15" s="203">
        <f t="shared" si="11"/>
        <v>5</v>
      </c>
      <c r="BJ15" s="203">
        <f t="shared" si="11"/>
        <v>5</v>
      </c>
      <c r="BK15" s="203">
        <f t="shared" si="11"/>
        <v>5</v>
      </c>
      <c r="BL15" s="203">
        <f t="shared" si="11"/>
        <v>5</v>
      </c>
      <c r="BM15" s="203">
        <f t="shared" si="11"/>
        <v>5</v>
      </c>
      <c r="BN15" s="203">
        <f t="shared" si="11"/>
        <v>5</v>
      </c>
      <c r="BO15" s="203">
        <f t="shared" si="11"/>
        <v>5</v>
      </c>
      <c r="BP15" s="203">
        <f t="shared" si="11"/>
        <v>5</v>
      </c>
      <c r="BQ15" s="203">
        <f t="shared" si="11"/>
        <v>6</v>
      </c>
      <c r="BR15" s="203">
        <f t="shared" ref="BR15:CW15" si="12">IF(PeriodNoMth&lt;=PreContractPeriodDuration,0,INT((PeriodCounter-1)/MinY)+1)</f>
        <v>6</v>
      </c>
      <c r="BS15" s="203">
        <f t="shared" si="12"/>
        <v>6</v>
      </c>
      <c r="BT15" s="203">
        <f t="shared" si="12"/>
        <v>6</v>
      </c>
      <c r="BU15" s="203">
        <f t="shared" si="12"/>
        <v>6</v>
      </c>
      <c r="BV15" s="203">
        <f t="shared" si="12"/>
        <v>6</v>
      </c>
      <c r="BW15" s="203">
        <f t="shared" si="12"/>
        <v>6</v>
      </c>
      <c r="BX15" s="203">
        <f t="shared" si="12"/>
        <v>6</v>
      </c>
      <c r="BY15" s="203">
        <f t="shared" si="12"/>
        <v>6</v>
      </c>
      <c r="BZ15" s="203">
        <f t="shared" si="12"/>
        <v>6</v>
      </c>
      <c r="CA15" s="203">
        <f t="shared" si="12"/>
        <v>6</v>
      </c>
      <c r="CB15" s="203">
        <f t="shared" si="12"/>
        <v>6</v>
      </c>
      <c r="CC15" s="203">
        <f t="shared" si="12"/>
        <v>7</v>
      </c>
      <c r="CD15" s="203">
        <f t="shared" si="12"/>
        <v>7</v>
      </c>
      <c r="CE15" s="203">
        <f t="shared" si="12"/>
        <v>7</v>
      </c>
      <c r="CF15" s="203">
        <f t="shared" si="12"/>
        <v>7</v>
      </c>
      <c r="CG15" s="203">
        <f t="shared" si="12"/>
        <v>7</v>
      </c>
      <c r="CH15" s="203">
        <f t="shared" si="12"/>
        <v>7</v>
      </c>
      <c r="CI15" s="203">
        <f t="shared" si="12"/>
        <v>7</v>
      </c>
      <c r="CJ15" s="203">
        <f t="shared" si="12"/>
        <v>7</v>
      </c>
      <c r="CK15" s="203">
        <f t="shared" si="12"/>
        <v>7</v>
      </c>
      <c r="CL15" s="203">
        <f t="shared" si="12"/>
        <v>7</v>
      </c>
      <c r="CM15" s="203">
        <f t="shared" si="12"/>
        <v>7</v>
      </c>
      <c r="CN15" s="203">
        <f t="shared" si="12"/>
        <v>7</v>
      </c>
      <c r="CO15" s="203">
        <f t="shared" si="12"/>
        <v>8</v>
      </c>
      <c r="CP15" s="203">
        <f t="shared" si="12"/>
        <v>8</v>
      </c>
      <c r="CQ15" s="203">
        <f t="shared" si="12"/>
        <v>8</v>
      </c>
      <c r="CR15" s="203">
        <f t="shared" si="12"/>
        <v>8</v>
      </c>
      <c r="CS15" s="203">
        <f t="shared" si="12"/>
        <v>8</v>
      </c>
      <c r="CT15" s="203">
        <f t="shared" si="12"/>
        <v>8</v>
      </c>
      <c r="CU15" s="203">
        <f t="shared" si="12"/>
        <v>8</v>
      </c>
      <c r="CV15" s="203">
        <f t="shared" si="12"/>
        <v>8</v>
      </c>
      <c r="CW15" s="203">
        <f t="shared" si="12"/>
        <v>8</v>
      </c>
      <c r="CX15" s="203">
        <f t="shared" ref="CX15:DX15" si="13">IF(PeriodNoMth&lt;=PreContractPeriodDuration,0,INT((PeriodCounter-1)/MinY)+1)</f>
        <v>8</v>
      </c>
      <c r="CY15" s="203">
        <f t="shared" si="13"/>
        <v>8</v>
      </c>
      <c r="CZ15" s="203">
        <f t="shared" si="13"/>
        <v>8</v>
      </c>
      <c r="DA15" s="203">
        <f t="shared" si="13"/>
        <v>9</v>
      </c>
      <c r="DB15" s="203">
        <f t="shared" si="13"/>
        <v>9</v>
      </c>
      <c r="DC15" s="203">
        <f t="shared" si="13"/>
        <v>9</v>
      </c>
      <c r="DD15" s="203">
        <f t="shared" si="13"/>
        <v>9</v>
      </c>
      <c r="DE15" s="203">
        <f t="shared" si="13"/>
        <v>9</v>
      </c>
      <c r="DF15" s="203">
        <f t="shared" si="13"/>
        <v>9</v>
      </c>
      <c r="DG15" s="203">
        <f t="shared" si="13"/>
        <v>9</v>
      </c>
      <c r="DH15" s="203">
        <f t="shared" si="13"/>
        <v>9</v>
      </c>
      <c r="DI15" s="203">
        <f t="shared" si="13"/>
        <v>9</v>
      </c>
      <c r="DJ15" s="203">
        <f t="shared" si="13"/>
        <v>9</v>
      </c>
      <c r="DK15" s="203">
        <f t="shared" si="13"/>
        <v>9</v>
      </c>
      <c r="DL15" s="203">
        <f t="shared" si="13"/>
        <v>9</v>
      </c>
      <c r="DM15" s="203">
        <f t="shared" si="13"/>
        <v>10</v>
      </c>
      <c r="DN15" s="203">
        <f t="shared" si="13"/>
        <v>10</v>
      </c>
      <c r="DO15" s="203">
        <f t="shared" si="13"/>
        <v>10</v>
      </c>
      <c r="DP15" s="203">
        <f t="shared" si="13"/>
        <v>10</v>
      </c>
      <c r="DQ15" s="203">
        <f t="shared" si="13"/>
        <v>10</v>
      </c>
      <c r="DR15" s="203">
        <f t="shared" si="13"/>
        <v>10</v>
      </c>
      <c r="DS15" s="203">
        <f t="shared" si="13"/>
        <v>10</v>
      </c>
      <c r="DT15" s="203">
        <f t="shared" si="13"/>
        <v>10</v>
      </c>
      <c r="DU15" s="203">
        <f t="shared" si="13"/>
        <v>10</v>
      </c>
      <c r="DV15" s="203">
        <f t="shared" si="13"/>
        <v>10</v>
      </c>
      <c r="DW15" s="203">
        <f t="shared" si="13"/>
        <v>10</v>
      </c>
      <c r="DX15" s="203">
        <f t="shared" si="13"/>
        <v>10</v>
      </c>
      <c r="DY15" s="88"/>
      <c r="DZ15" s="188" t="s">
        <v>395</v>
      </c>
      <c r="EB15" s="88"/>
    </row>
    <row r="16" spans="1:132" outlineLevel="1">
      <c r="A16" s="91" t="s">
        <v>160</v>
      </c>
      <c r="C16" s="185"/>
      <c r="D16" s="185"/>
      <c r="E16" s="194"/>
      <c r="F16" s="202">
        <f t="shared" ref="F16:AK16" si="14">IF(MOD(F14,MinY)=0,MinY,MOD(F14,MinY))</f>
        <v>9</v>
      </c>
      <c r="G16" s="204">
        <f t="shared" si="14"/>
        <v>10</v>
      </c>
      <c r="H16" s="204">
        <f t="shared" si="14"/>
        <v>11</v>
      </c>
      <c r="I16" s="204">
        <f t="shared" si="14"/>
        <v>1</v>
      </c>
      <c r="J16" s="203">
        <f t="shared" si="14"/>
        <v>2</v>
      </c>
      <c r="K16" s="203">
        <f t="shared" si="14"/>
        <v>3</v>
      </c>
      <c r="L16" s="203">
        <f t="shared" si="14"/>
        <v>4</v>
      </c>
      <c r="M16" s="203">
        <f t="shared" si="14"/>
        <v>5</v>
      </c>
      <c r="N16" s="203">
        <f t="shared" si="14"/>
        <v>6</v>
      </c>
      <c r="O16" s="203">
        <f t="shared" si="14"/>
        <v>7</v>
      </c>
      <c r="P16" s="203">
        <f t="shared" si="14"/>
        <v>8</v>
      </c>
      <c r="Q16" s="203">
        <f t="shared" si="14"/>
        <v>9</v>
      </c>
      <c r="R16" s="203">
        <f t="shared" si="14"/>
        <v>10</v>
      </c>
      <c r="S16" s="203">
        <f t="shared" si="14"/>
        <v>11</v>
      </c>
      <c r="T16" s="203">
        <f t="shared" si="14"/>
        <v>12</v>
      </c>
      <c r="U16" s="203">
        <f t="shared" si="14"/>
        <v>1</v>
      </c>
      <c r="V16" s="203">
        <f t="shared" si="14"/>
        <v>2</v>
      </c>
      <c r="W16" s="203">
        <f t="shared" si="14"/>
        <v>3</v>
      </c>
      <c r="X16" s="203">
        <f t="shared" si="14"/>
        <v>4</v>
      </c>
      <c r="Y16" s="203">
        <f t="shared" si="14"/>
        <v>5</v>
      </c>
      <c r="Z16" s="203">
        <f t="shared" si="14"/>
        <v>6</v>
      </c>
      <c r="AA16" s="203">
        <f t="shared" si="14"/>
        <v>7</v>
      </c>
      <c r="AB16" s="203">
        <f t="shared" si="14"/>
        <v>8</v>
      </c>
      <c r="AC16" s="203">
        <f t="shared" si="14"/>
        <v>9</v>
      </c>
      <c r="AD16" s="203">
        <f t="shared" si="14"/>
        <v>10</v>
      </c>
      <c r="AE16" s="203">
        <f t="shared" si="14"/>
        <v>11</v>
      </c>
      <c r="AF16" s="203">
        <f t="shared" si="14"/>
        <v>12</v>
      </c>
      <c r="AG16" s="203">
        <f t="shared" si="14"/>
        <v>1</v>
      </c>
      <c r="AH16" s="203">
        <f t="shared" si="14"/>
        <v>2</v>
      </c>
      <c r="AI16" s="203">
        <f t="shared" si="14"/>
        <v>3</v>
      </c>
      <c r="AJ16" s="203">
        <f t="shared" si="14"/>
        <v>4</v>
      </c>
      <c r="AK16" s="203">
        <f t="shared" si="14"/>
        <v>5</v>
      </c>
      <c r="AL16" s="203">
        <f t="shared" ref="AL16:BQ16" si="15">IF(MOD(AL14,MinY)=0,MinY,MOD(AL14,MinY))</f>
        <v>6</v>
      </c>
      <c r="AM16" s="203">
        <f t="shared" si="15"/>
        <v>7</v>
      </c>
      <c r="AN16" s="203">
        <f t="shared" si="15"/>
        <v>8</v>
      </c>
      <c r="AO16" s="203">
        <f t="shared" si="15"/>
        <v>9</v>
      </c>
      <c r="AP16" s="203">
        <f t="shared" si="15"/>
        <v>10</v>
      </c>
      <c r="AQ16" s="203">
        <f t="shared" si="15"/>
        <v>11</v>
      </c>
      <c r="AR16" s="203">
        <f t="shared" si="15"/>
        <v>12</v>
      </c>
      <c r="AS16" s="203">
        <f t="shared" si="15"/>
        <v>1</v>
      </c>
      <c r="AT16" s="203">
        <f t="shared" si="15"/>
        <v>2</v>
      </c>
      <c r="AU16" s="203">
        <f t="shared" si="15"/>
        <v>3</v>
      </c>
      <c r="AV16" s="203">
        <f t="shared" si="15"/>
        <v>4</v>
      </c>
      <c r="AW16" s="203">
        <f t="shared" si="15"/>
        <v>5</v>
      </c>
      <c r="AX16" s="203">
        <f t="shared" si="15"/>
        <v>6</v>
      </c>
      <c r="AY16" s="203">
        <f t="shared" si="15"/>
        <v>7</v>
      </c>
      <c r="AZ16" s="203">
        <f t="shared" si="15"/>
        <v>8</v>
      </c>
      <c r="BA16" s="203">
        <f t="shared" si="15"/>
        <v>9</v>
      </c>
      <c r="BB16" s="203">
        <f t="shared" si="15"/>
        <v>10</v>
      </c>
      <c r="BC16" s="203">
        <f t="shared" si="15"/>
        <v>11</v>
      </c>
      <c r="BD16" s="203">
        <f t="shared" si="15"/>
        <v>12</v>
      </c>
      <c r="BE16" s="203">
        <f t="shared" si="15"/>
        <v>1</v>
      </c>
      <c r="BF16" s="203">
        <f t="shared" si="15"/>
        <v>2</v>
      </c>
      <c r="BG16" s="203">
        <f t="shared" si="15"/>
        <v>3</v>
      </c>
      <c r="BH16" s="203">
        <f t="shared" si="15"/>
        <v>4</v>
      </c>
      <c r="BI16" s="203">
        <f t="shared" si="15"/>
        <v>5</v>
      </c>
      <c r="BJ16" s="203">
        <f t="shared" si="15"/>
        <v>6</v>
      </c>
      <c r="BK16" s="203">
        <f t="shared" si="15"/>
        <v>7</v>
      </c>
      <c r="BL16" s="203">
        <f t="shared" si="15"/>
        <v>8</v>
      </c>
      <c r="BM16" s="203">
        <f t="shared" si="15"/>
        <v>9</v>
      </c>
      <c r="BN16" s="203">
        <f t="shared" si="15"/>
        <v>10</v>
      </c>
      <c r="BO16" s="203">
        <f t="shared" si="15"/>
        <v>11</v>
      </c>
      <c r="BP16" s="203">
        <f t="shared" si="15"/>
        <v>12</v>
      </c>
      <c r="BQ16" s="203">
        <f t="shared" si="15"/>
        <v>1</v>
      </c>
      <c r="BR16" s="203">
        <f t="shared" ref="BR16:CW16" si="16">IF(MOD(BR14,MinY)=0,MinY,MOD(BR14,MinY))</f>
        <v>2</v>
      </c>
      <c r="BS16" s="203">
        <f t="shared" si="16"/>
        <v>3</v>
      </c>
      <c r="BT16" s="203">
        <f t="shared" si="16"/>
        <v>4</v>
      </c>
      <c r="BU16" s="203">
        <f t="shared" si="16"/>
        <v>5</v>
      </c>
      <c r="BV16" s="203">
        <f t="shared" si="16"/>
        <v>6</v>
      </c>
      <c r="BW16" s="203">
        <f t="shared" si="16"/>
        <v>7</v>
      </c>
      <c r="BX16" s="203">
        <f t="shared" si="16"/>
        <v>8</v>
      </c>
      <c r="BY16" s="203">
        <f t="shared" si="16"/>
        <v>9</v>
      </c>
      <c r="BZ16" s="203">
        <f t="shared" si="16"/>
        <v>10</v>
      </c>
      <c r="CA16" s="203">
        <f t="shared" si="16"/>
        <v>11</v>
      </c>
      <c r="CB16" s="203">
        <f t="shared" si="16"/>
        <v>12</v>
      </c>
      <c r="CC16" s="203">
        <f t="shared" si="16"/>
        <v>1</v>
      </c>
      <c r="CD16" s="203">
        <f t="shared" si="16"/>
        <v>2</v>
      </c>
      <c r="CE16" s="203">
        <f t="shared" si="16"/>
        <v>3</v>
      </c>
      <c r="CF16" s="203">
        <f t="shared" si="16"/>
        <v>4</v>
      </c>
      <c r="CG16" s="203">
        <f t="shared" si="16"/>
        <v>5</v>
      </c>
      <c r="CH16" s="203">
        <f t="shared" si="16"/>
        <v>6</v>
      </c>
      <c r="CI16" s="203">
        <f t="shared" si="16"/>
        <v>7</v>
      </c>
      <c r="CJ16" s="203">
        <f t="shared" si="16"/>
        <v>8</v>
      </c>
      <c r="CK16" s="203">
        <f t="shared" si="16"/>
        <v>9</v>
      </c>
      <c r="CL16" s="203">
        <f t="shared" si="16"/>
        <v>10</v>
      </c>
      <c r="CM16" s="203">
        <f t="shared" si="16"/>
        <v>11</v>
      </c>
      <c r="CN16" s="203">
        <f t="shared" si="16"/>
        <v>12</v>
      </c>
      <c r="CO16" s="203">
        <f t="shared" si="16"/>
        <v>1</v>
      </c>
      <c r="CP16" s="203">
        <f t="shared" si="16"/>
        <v>2</v>
      </c>
      <c r="CQ16" s="203">
        <f t="shared" si="16"/>
        <v>3</v>
      </c>
      <c r="CR16" s="203">
        <f t="shared" si="16"/>
        <v>4</v>
      </c>
      <c r="CS16" s="203">
        <f t="shared" si="16"/>
        <v>5</v>
      </c>
      <c r="CT16" s="203">
        <f t="shared" si="16"/>
        <v>6</v>
      </c>
      <c r="CU16" s="203">
        <f t="shared" si="16"/>
        <v>7</v>
      </c>
      <c r="CV16" s="203">
        <f t="shared" si="16"/>
        <v>8</v>
      </c>
      <c r="CW16" s="203">
        <f t="shared" si="16"/>
        <v>9</v>
      </c>
      <c r="CX16" s="203">
        <f t="shared" ref="CX16:DX16" si="17">IF(MOD(CX14,MinY)=0,MinY,MOD(CX14,MinY))</f>
        <v>10</v>
      </c>
      <c r="CY16" s="203">
        <f t="shared" si="17"/>
        <v>11</v>
      </c>
      <c r="CZ16" s="203">
        <f t="shared" si="17"/>
        <v>12</v>
      </c>
      <c r="DA16" s="203">
        <f t="shared" si="17"/>
        <v>1</v>
      </c>
      <c r="DB16" s="203">
        <f t="shared" si="17"/>
        <v>2</v>
      </c>
      <c r="DC16" s="203">
        <f t="shared" si="17"/>
        <v>3</v>
      </c>
      <c r="DD16" s="203">
        <f t="shared" si="17"/>
        <v>4</v>
      </c>
      <c r="DE16" s="203">
        <f t="shared" si="17"/>
        <v>5</v>
      </c>
      <c r="DF16" s="203">
        <f t="shared" si="17"/>
        <v>6</v>
      </c>
      <c r="DG16" s="203">
        <f t="shared" si="17"/>
        <v>7</v>
      </c>
      <c r="DH16" s="203">
        <f t="shared" si="17"/>
        <v>8</v>
      </c>
      <c r="DI16" s="203">
        <f t="shared" si="17"/>
        <v>9</v>
      </c>
      <c r="DJ16" s="203">
        <f t="shared" si="17"/>
        <v>10</v>
      </c>
      <c r="DK16" s="203">
        <f t="shared" si="17"/>
        <v>11</v>
      </c>
      <c r="DL16" s="203">
        <f t="shared" si="17"/>
        <v>12</v>
      </c>
      <c r="DM16" s="203">
        <f t="shared" si="17"/>
        <v>1</v>
      </c>
      <c r="DN16" s="203">
        <f t="shared" si="17"/>
        <v>2</v>
      </c>
      <c r="DO16" s="203">
        <f t="shared" si="17"/>
        <v>3</v>
      </c>
      <c r="DP16" s="203">
        <f t="shared" si="17"/>
        <v>4</v>
      </c>
      <c r="DQ16" s="203">
        <f t="shared" si="17"/>
        <v>5</v>
      </c>
      <c r="DR16" s="203">
        <f t="shared" si="17"/>
        <v>6</v>
      </c>
      <c r="DS16" s="203">
        <f t="shared" si="17"/>
        <v>7</v>
      </c>
      <c r="DT16" s="203">
        <f t="shared" si="17"/>
        <v>8</v>
      </c>
      <c r="DU16" s="203">
        <f t="shared" si="17"/>
        <v>9</v>
      </c>
      <c r="DV16" s="203">
        <f t="shared" si="17"/>
        <v>10</v>
      </c>
      <c r="DW16" s="203">
        <f t="shared" si="17"/>
        <v>11</v>
      </c>
      <c r="DX16" s="203">
        <f t="shared" si="17"/>
        <v>12</v>
      </c>
      <c r="DY16" s="88"/>
      <c r="DZ16" s="188" t="s">
        <v>396</v>
      </c>
      <c r="EB16" s="88"/>
    </row>
    <row r="17" spans="1:132" outlineLevel="1">
      <c r="A17" s="91" t="s">
        <v>161</v>
      </c>
      <c r="C17" s="185"/>
      <c r="D17" s="185"/>
      <c r="E17" s="185"/>
      <c r="F17" s="202">
        <f>MONTH(F11)</f>
        <v>11</v>
      </c>
      <c r="G17" s="204">
        <f>MONTH(G11)</f>
        <v>12</v>
      </c>
      <c r="H17" s="204">
        <f t="shared" ref="H17:BS17" si="18">MONTH(H11)</f>
        <v>1</v>
      </c>
      <c r="I17" s="204">
        <f t="shared" si="18"/>
        <v>2</v>
      </c>
      <c r="J17" s="203">
        <f t="shared" si="18"/>
        <v>3</v>
      </c>
      <c r="K17" s="203">
        <f t="shared" si="18"/>
        <v>4</v>
      </c>
      <c r="L17" s="203">
        <f t="shared" si="18"/>
        <v>5</v>
      </c>
      <c r="M17" s="203">
        <f t="shared" si="18"/>
        <v>6</v>
      </c>
      <c r="N17" s="203">
        <f t="shared" si="18"/>
        <v>7</v>
      </c>
      <c r="O17" s="203">
        <f t="shared" si="18"/>
        <v>8</v>
      </c>
      <c r="P17" s="203">
        <f t="shared" si="18"/>
        <v>9</v>
      </c>
      <c r="Q17" s="203">
        <f t="shared" si="18"/>
        <v>10</v>
      </c>
      <c r="R17" s="203">
        <f t="shared" si="18"/>
        <v>11</v>
      </c>
      <c r="S17" s="203">
        <f t="shared" si="18"/>
        <v>12</v>
      </c>
      <c r="T17" s="203">
        <f t="shared" si="18"/>
        <v>1</v>
      </c>
      <c r="U17" s="203">
        <f t="shared" si="18"/>
        <v>2</v>
      </c>
      <c r="V17" s="203">
        <f t="shared" si="18"/>
        <v>3</v>
      </c>
      <c r="W17" s="203">
        <f t="shared" si="18"/>
        <v>4</v>
      </c>
      <c r="X17" s="203">
        <f t="shared" si="18"/>
        <v>5</v>
      </c>
      <c r="Y17" s="203">
        <f t="shared" si="18"/>
        <v>6</v>
      </c>
      <c r="Z17" s="203">
        <f t="shared" si="18"/>
        <v>7</v>
      </c>
      <c r="AA17" s="203">
        <f t="shared" si="18"/>
        <v>8</v>
      </c>
      <c r="AB17" s="203">
        <f t="shared" si="18"/>
        <v>9</v>
      </c>
      <c r="AC17" s="203">
        <f t="shared" si="18"/>
        <v>10</v>
      </c>
      <c r="AD17" s="203">
        <f t="shared" si="18"/>
        <v>11</v>
      </c>
      <c r="AE17" s="203">
        <f t="shared" si="18"/>
        <v>12</v>
      </c>
      <c r="AF17" s="203">
        <f t="shared" si="18"/>
        <v>1</v>
      </c>
      <c r="AG17" s="203">
        <f t="shared" si="18"/>
        <v>2</v>
      </c>
      <c r="AH17" s="203">
        <f t="shared" si="18"/>
        <v>3</v>
      </c>
      <c r="AI17" s="203">
        <f t="shared" si="18"/>
        <v>4</v>
      </c>
      <c r="AJ17" s="203">
        <f t="shared" si="18"/>
        <v>5</v>
      </c>
      <c r="AK17" s="203">
        <f t="shared" si="18"/>
        <v>6</v>
      </c>
      <c r="AL17" s="203">
        <f t="shared" si="18"/>
        <v>7</v>
      </c>
      <c r="AM17" s="203">
        <f t="shared" si="18"/>
        <v>8</v>
      </c>
      <c r="AN17" s="203">
        <f t="shared" si="18"/>
        <v>9</v>
      </c>
      <c r="AO17" s="203">
        <f t="shared" si="18"/>
        <v>10</v>
      </c>
      <c r="AP17" s="203">
        <f t="shared" si="18"/>
        <v>11</v>
      </c>
      <c r="AQ17" s="203">
        <f t="shared" si="18"/>
        <v>12</v>
      </c>
      <c r="AR17" s="203">
        <f t="shared" si="18"/>
        <v>1</v>
      </c>
      <c r="AS17" s="203">
        <f t="shared" si="18"/>
        <v>2</v>
      </c>
      <c r="AT17" s="203">
        <f t="shared" si="18"/>
        <v>3</v>
      </c>
      <c r="AU17" s="203">
        <f t="shared" si="18"/>
        <v>4</v>
      </c>
      <c r="AV17" s="203">
        <f t="shared" si="18"/>
        <v>5</v>
      </c>
      <c r="AW17" s="203">
        <f t="shared" si="18"/>
        <v>6</v>
      </c>
      <c r="AX17" s="203">
        <f t="shared" si="18"/>
        <v>7</v>
      </c>
      <c r="AY17" s="203">
        <f t="shared" si="18"/>
        <v>8</v>
      </c>
      <c r="AZ17" s="203">
        <f t="shared" si="18"/>
        <v>9</v>
      </c>
      <c r="BA17" s="203">
        <f t="shared" si="18"/>
        <v>10</v>
      </c>
      <c r="BB17" s="203">
        <f t="shared" si="18"/>
        <v>11</v>
      </c>
      <c r="BC17" s="203">
        <f t="shared" si="18"/>
        <v>12</v>
      </c>
      <c r="BD17" s="203">
        <f t="shared" si="18"/>
        <v>1</v>
      </c>
      <c r="BE17" s="203">
        <f t="shared" si="18"/>
        <v>2</v>
      </c>
      <c r="BF17" s="203">
        <f t="shared" si="18"/>
        <v>3</v>
      </c>
      <c r="BG17" s="203">
        <f t="shared" si="18"/>
        <v>4</v>
      </c>
      <c r="BH17" s="203">
        <f t="shared" si="18"/>
        <v>5</v>
      </c>
      <c r="BI17" s="203">
        <f t="shared" si="18"/>
        <v>6</v>
      </c>
      <c r="BJ17" s="203">
        <f t="shared" si="18"/>
        <v>7</v>
      </c>
      <c r="BK17" s="203">
        <f t="shared" si="18"/>
        <v>8</v>
      </c>
      <c r="BL17" s="203">
        <f t="shared" si="18"/>
        <v>9</v>
      </c>
      <c r="BM17" s="203">
        <f t="shared" si="18"/>
        <v>10</v>
      </c>
      <c r="BN17" s="203">
        <f t="shared" si="18"/>
        <v>11</v>
      </c>
      <c r="BO17" s="203">
        <f t="shared" si="18"/>
        <v>12</v>
      </c>
      <c r="BP17" s="203">
        <f t="shared" si="18"/>
        <v>1</v>
      </c>
      <c r="BQ17" s="203">
        <f t="shared" si="18"/>
        <v>2</v>
      </c>
      <c r="BR17" s="203">
        <f t="shared" si="18"/>
        <v>3</v>
      </c>
      <c r="BS17" s="203">
        <f t="shared" si="18"/>
        <v>4</v>
      </c>
      <c r="BT17" s="203">
        <f t="shared" ref="BT17:DX17" si="19">MONTH(BT11)</f>
        <v>5</v>
      </c>
      <c r="BU17" s="203">
        <f t="shared" si="19"/>
        <v>6</v>
      </c>
      <c r="BV17" s="203">
        <f t="shared" si="19"/>
        <v>7</v>
      </c>
      <c r="BW17" s="203">
        <f t="shared" si="19"/>
        <v>8</v>
      </c>
      <c r="BX17" s="203">
        <f t="shared" si="19"/>
        <v>9</v>
      </c>
      <c r="BY17" s="203">
        <f t="shared" si="19"/>
        <v>10</v>
      </c>
      <c r="BZ17" s="203">
        <f t="shared" si="19"/>
        <v>11</v>
      </c>
      <c r="CA17" s="203">
        <f t="shared" si="19"/>
        <v>12</v>
      </c>
      <c r="CB17" s="203">
        <f t="shared" si="19"/>
        <v>1</v>
      </c>
      <c r="CC17" s="203">
        <f t="shared" si="19"/>
        <v>2</v>
      </c>
      <c r="CD17" s="203">
        <f t="shared" si="19"/>
        <v>3</v>
      </c>
      <c r="CE17" s="203">
        <f t="shared" si="19"/>
        <v>4</v>
      </c>
      <c r="CF17" s="203">
        <f t="shared" si="19"/>
        <v>5</v>
      </c>
      <c r="CG17" s="203">
        <f t="shared" si="19"/>
        <v>6</v>
      </c>
      <c r="CH17" s="203">
        <f t="shared" si="19"/>
        <v>7</v>
      </c>
      <c r="CI17" s="203">
        <f t="shared" si="19"/>
        <v>8</v>
      </c>
      <c r="CJ17" s="203">
        <f t="shared" si="19"/>
        <v>9</v>
      </c>
      <c r="CK17" s="203">
        <f t="shared" si="19"/>
        <v>10</v>
      </c>
      <c r="CL17" s="203">
        <f t="shared" si="19"/>
        <v>11</v>
      </c>
      <c r="CM17" s="203">
        <f t="shared" si="19"/>
        <v>12</v>
      </c>
      <c r="CN17" s="203">
        <f t="shared" si="19"/>
        <v>1</v>
      </c>
      <c r="CO17" s="203">
        <f t="shared" si="19"/>
        <v>2</v>
      </c>
      <c r="CP17" s="203">
        <f t="shared" si="19"/>
        <v>3</v>
      </c>
      <c r="CQ17" s="203">
        <f t="shared" si="19"/>
        <v>4</v>
      </c>
      <c r="CR17" s="203">
        <f t="shared" si="19"/>
        <v>5</v>
      </c>
      <c r="CS17" s="203">
        <f t="shared" si="19"/>
        <v>6</v>
      </c>
      <c r="CT17" s="203">
        <f t="shared" si="19"/>
        <v>7</v>
      </c>
      <c r="CU17" s="203">
        <f t="shared" si="19"/>
        <v>8</v>
      </c>
      <c r="CV17" s="203">
        <f t="shared" si="19"/>
        <v>9</v>
      </c>
      <c r="CW17" s="203">
        <f t="shared" si="19"/>
        <v>10</v>
      </c>
      <c r="CX17" s="203">
        <f t="shared" si="19"/>
        <v>11</v>
      </c>
      <c r="CY17" s="203">
        <f t="shared" si="19"/>
        <v>12</v>
      </c>
      <c r="CZ17" s="203">
        <f t="shared" si="19"/>
        <v>1</v>
      </c>
      <c r="DA17" s="203">
        <f t="shared" si="19"/>
        <v>2</v>
      </c>
      <c r="DB17" s="203">
        <f t="shared" si="19"/>
        <v>3</v>
      </c>
      <c r="DC17" s="203">
        <f t="shared" si="19"/>
        <v>4</v>
      </c>
      <c r="DD17" s="203">
        <f t="shared" si="19"/>
        <v>5</v>
      </c>
      <c r="DE17" s="203">
        <f t="shared" si="19"/>
        <v>6</v>
      </c>
      <c r="DF17" s="203">
        <f t="shared" si="19"/>
        <v>7</v>
      </c>
      <c r="DG17" s="203">
        <f t="shared" si="19"/>
        <v>8</v>
      </c>
      <c r="DH17" s="203">
        <f t="shared" si="19"/>
        <v>9</v>
      </c>
      <c r="DI17" s="203">
        <f t="shared" si="19"/>
        <v>10</v>
      </c>
      <c r="DJ17" s="203">
        <f t="shared" si="19"/>
        <v>11</v>
      </c>
      <c r="DK17" s="203">
        <f t="shared" si="19"/>
        <v>12</v>
      </c>
      <c r="DL17" s="203">
        <f t="shared" si="19"/>
        <v>1</v>
      </c>
      <c r="DM17" s="203">
        <f t="shared" si="19"/>
        <v>2</v>
      </c>
      <c r="DN17" s="203">
        <f t="shared" si="19"/>
        <v>3</v>
      </c>
      <c r="DO17" s="203">
        <f t="shared" si="19"/>
        <v>4</v>
      </c>
      <c r="DP17" s="203">
        <f t="shared" si="19"/>
        <v>5</v>
      </c>
      <c r="DQ17" s="203">
        <f t="shared" si="19"/>
        <v>6</v>
      </c>
      <c r="DR17" s="203">
        <f t="shared" si="19"/>
        <v>7</v>
      </c>
      <c r="DS17" s="203">
        <f t="shared" si="19"/>
        <v>8</v>
      </c>
      <c r="DT17" s="203">
        <f t="shared" si="19"/>
        <v>9</v>
      </c>
      <c r="DU17" s="203">
        <f t="shared" si="19"/>
        <v>10</v>
      </c>
      <c r="DV17" s="203">
        <f t="shared" si="19"/>
        <v>11</v>
      </c>
      <c r="DW17" s="203">
        <f t="shared" si="19"/>
        <v>12</v>
      </c>
      <c r="DX17" s="203">
        <f t="shared" si="19"/>
        <v>1</v>
      </c>
      <c r="DY17" s="88"/>
      <c r="DZ17" s="188" t="s">
        <v>397</v>
      </c>
      <c r="EB17" s="88"/>
    </row>
    <row r="18" spans="1:132" outlineLevel="1">
      <c r="A18" s="91" t="s">
        <v>162</v>
      </c>
      <c r="C18" s="185"/>
      <c r="D18" s="185"/>
      <c r="E18" s="185"/>
      <c r="F18" s="202" t="str">
        <f t="shared" ref="F18:AK18" si="20">INDEX(MonthListIn,MONTH(F11))</f>
        <v>November</v>
      </c>
      <c r="G18" s="205" t="str">
        <f t="shared" si="20"/>
        <v>December</v>
      </c>
      <c r="H18" s="205" t="str">
        <f t="shared" si="20"/>
        <v>January</v>
      </c>
      <c r="I18" s="205" t="str">
        <f t="shared" si="20"/>
        <v>February</v>
      </c>
      <c r="J18" s="205" t="str">
        <f t="shared" si="20"/>
        <v>March</v>
      </c>
      <c r="K18" s="205" t="str">
        <f t="shared" si="20"/>
        <v>April</v>
      </c>
      <c r="L18" s="205" t="str">
        <f t="shared" si="20"/>
        <v>May</v>
      </c>
      <c r="M18" s="205" t="str">
        <f t="shared" si="20"/>
        <v>June</v>
      </c>
      <c r="N18" s="205" t="str">
        <f t="shared" si="20"/>
        <v>July</v>
      </c>
      <c r="O18" s="205" t="str">
        <f t="shared" si="20"/>
        <v>August</v>
      </c>
      <c r="P18" s="205" t="str">
        <f t="shared" si="20"/>
        <v>September</v>
      </c>
      <c r="Q18" s="205" t="str">
        <f t="shared" si="20"/>
        <v>October</v>
      </c>
      <c r="R18" s="205" t="str">
        <f t="shared" si="20"/>
        <v>November</v>
      </c>
      <c r="S18" s="205" t="str">
        <f t="shared" si="20"/>
        <v>December</v>
      </c>
      <c r="T18" s="205" t="str">
        <f t="shared" si="20"/>
        <v>January</v>
      </c>
      <c r="U18" s="205" t="str">
        <f t="shared" si="20"/>
        <v>February</v>
      </c>
      <c r="V18" s="205" t="str">
        <f t="shared" si="20"/>
        <v>March</v>
      </c>
      <c r="W18" s="205" t="str">
        <f t="shared" si="20"/>
        <v>April</v>
      </c>
      <c r="X18" s="205" t="str">
        <f t="shared" si="20"/>
        <v>May</v>
      </c>
      <c r="Y18" s="205" t="str">
        <f t="shared" si="20"/>
        <v>June</v>
      </c>
      <c r="Z18" s="205" t="str">
        <f t="shared" si="20"/>
        <v>July</v>
      </c>
      <c r="AA18" s="205" t="str">
        <f t="shared" si="20"/>
        <v>August</v>
      </c>
      <c r="AB18" s="205" t="str">
        <f t="shared" si="20"/>
        <v>September</v>
      </c>
      <c r="AC18" s="205" t="str">
        <f t="shared" si="20"/>
        <v>October</v>
      </c>
      <c r="AD18" s="205" t="str">
        <f t="shared" si="20"/>
        <v>November</v>
      </c>
      <c r="AE18" s="205" t="str">
        <f t="shared" si="20"/>
        <v>December</v>
      </c>
      <c r="AF18" s="205" t="str">
        <f t="shared" si="20"/>
        <v>January</v>
      </c>
      <c r="AG18" s="205" t="str">
        <f t="shared" si="20"/>
        <v>February</v>
      </c>
      <c r="AH18" s="205" t="str">
        <f t="shared" si="20"/>
        <v>March</v>
      </c>
      <c r="AI18" s="205" t="str">
        <f t="shared" si="20"/>
        <v>April</v>
      </c>
      <c r="AJ18" s="205" t="str">
        <f t="shared" si="20"/>
        <v>May</v>
      </c>
      <c r="AK18" s="205" t="str">
        <f t="shared" si="20"/>
        <v>June</v>
      </c>
      <c r="AL18" s="205" t="str">
        <f t="shared" ref="AL18:BQ18" si="21">INDEX(MonthListIn,MONTH(AL11))</f>
        <v>July</v>
      </c>
      <c r="AM18" s="205" t="str">
        <f t="shared" si="21"/>
        <v>August</v>
      </c>
      <c r="AN18" s="205" t="str">
        <f t="shared" si="21"/>
        <v>September</v>
      </c>
      <c r="AO18" s="205" t="str">
        <f t="shared" si="21"/>
        <v>October</v>
      </c>
      <c r="AP18" s="205" t="str">
        <f t="shared" si="21"/>
        <v>November</v>
      </c>
      <c r="AQ18" s="205" t="str">
        <f t="shared" si="21"/>
        <v>December</v>
      </c>
      <c r="AR18" s="205" t="str">
        <f t="shared" si="21"/>
        <v>January</v>
      </c>
      <c r="AS18" s="205" t="str">
        <f t="shared" si="21"/>
        <v>February</v>
      </c>
      <c r="AT18" s="205" t="str">
        <f t="shared" si="21"/>
        <v>March</v>
      </c>
      <c r="AU18" s="205" t="str">
        <f t="shared" si="21"/>
        <v>April</v>
      </c>
      <c r="AV18" s="205" t="str">
        <f t="shared" si="21"/>
        <v>May</v>
      </c>
      <c r="AW18" s="205" t="str">
        <f t="shared" si="21"/>
        <v>June</v>
      </c>
      <c r="AX18" s="205" t="str">
        <f t="shared" si="21"/>
        <v>July</v>
      </c>
      <c r="AY18" s="205" t="str">
        <f t="shared" si="21"/>
        <v>August</v>
      </c>
      <c r="AZ18" s="205" t="str">
        <f t="shared" si="21"/>
        <v>September</v>
      </c>
      <c r="BA18" s="205" t="str">
        <f t="shared" si="21"/>
        <v>October</v>
      </c>
      <c r="BB18" s="205" t="str">
        <f t="shared" si="21"/>
        <v>November</v>
      </c>
      <c r="BC18" s="205" t="str">
        <f t="shared" si="21"/>
        <v>December</v>
      </c>
      <c r="BD18" s="205" t="str">
        <f t="shared" si="21"/>
        <v>January</v>
      </c>
      <c r="BE18" s="205" t="str">
        <f t="shared" si="21"/>
        <v>February</v>
      </c>
      <c r="BF18" s="205" t="str">
        <f t="shared" si="21"/>
        <v>March</v>
      </c>
      <c r="BG18" s="205" t="str">
        <f t="shared" si="21"/>
        <v>April</v>
      </c>
      <c r="BH18" s="205" t="str">
        <f t="shared" si="21"/>
        <v>May</v>
      </c>
      <c r="BI18" s="205" t="str">
        <f t="shared" si="21"/>
        <v>June</v>
      </c>
      <c r="BJ18" s="205" t="str">
        <f t="shared" si="21"/>
        <v>July</v>
      </c>
      <c r="BK18" s="205" t="str">
        <f t="shared" si="21"/>
        <v>August</v>
      </c>
      <c r="BL18" s="205" t="str">
        <f t="shared" si="21"/>
        <v>September</v>
      </c>
      <c r="BM18" s="205" t="str">
        <f t="shared" si="21"/>
        <v>October</v>
      </c>
      <c r="BN18" s="205" t="str">
        <f t="shared" si="21"/>
        <v>November</v>
      </c>
      <c r="BO18" s="205" t="str">
        <f t="shared" si="21"/>
        <v>December</v>
      </c>
      <c r="BP18" s="205" t="str">
        <f t="shared" si="21"/>
        <v>January</v>
      </c>
      <c r="BQ18" s="205" t="str">
        <f t="shared" si="21"/>
        <v>February</v>
      </c>
      <c r="BR18" s="205" t="str">
        <f t="shared" ref="BR18:CW18" si="22">INDEX(MonthListIn,MONTH(BR11))</f>
        <v>March</v>
      </c>
      <c r="BS18" s="205" t="str">
        <f t="shared" si="22"/>
        <v>April</v>
      </c>
      <c r="BT18" s="205" t="str">
        <f t="shared" si="22"/>
        <v>May</v>
      </c>
      <c r="BU18" s="205" t="str">
        <f t="shared" si="22"/>
        <v>June</v>
      </c>
      <c r="BV18" s="205" t="str">
        <f t="shared" si="22"/>
        <v>July</v>
      </c>
      <c r="BW18" s="205" t="str">
        <f t="shared" si="22"/>
        <v>August</v>
      </c>
      <c r="BX18" s="205" t="str">
        <f t="shared" si="22"/>
        <v>September</v>
      </c>
      <c r="BY18" s="205" t="str">
        <f t="shared" si="22"/>
        <v>October</v>
      </c>
      <c r="BZ18" s="205" t="str">
        <f t="shared" si="22"/>
        <v>November</v>
      </c>
      <c r="CA18" s="205" t="str">
        <f t="shared" si="22"/>
        <v>December</v>
      </c>
      <c r="CB18" s="205" t="str">
        <f t="shared" si="22"/>
        <v>January</v>
      </c>
      <c r="CC18" s="205" t="str">
        <f t="shared" si="22"/>
        <v>February</v>
      </c>
      <c r="CD18" s="205" t="str">
        <f t="shared" si="22"/>
        <v>March</v>
      </c>
      <c r="CE18" s="205" t="str">
        <f t="shared" si="22"/>
        <v>April</v>
      </c>
      <c r="CF18" s="205" t="str">
        <f t="shared" si="22"/>
        <v>May</v>
      </c>
      <c r="CG18" s="205" t="str">
        <f t="shared" si="22"/>
        <v>June</v>
      </c>
      <c r="CH18" s="205" t="str">
        <f t="shared" si="22"/>
        <v>July</v>
      </c>
      <c r="CI18" s="205" t="str">
        <f t="shared" si="22"/>
        <v>August</v>
      </c>
      <c r="CJ18" s="205" t="str">
        <f t="shared" si="22"/>
        <v>September</v>
      </c>
      <c r="CK18" s="205" t="str">
        <f t="shared" si="22"/>
        <v>October</v>
      </c>
      <c r="CL18" s="205" t="str">
        <f t="shared" si="22"/>
        <v>November</v>
      </c>
      <c r="CM18" s="205" t="str">
        <f t="shared" si="22"/>
        <v>December</v>
      </c>
      <c r="CN18" s="205" t="str">
        <f t="shared" si="22"/>
        <v>January</v>
      </c>
      <c r="CO18" s="205" t="str">
        <f t="shared" si="22"/>
        <v>February</v>
      </c>
      <c r="CP18" s="205" t="str">
        <f t="shared" si="22"/>
        <v>March</v>
      </c>
      <c r="CQ18" s="205" t="str">
        <f t="shared" si="22"/>
        <v>April</v>
      </c>
      <c r="CR18" s="205" t="str">
        <f t="shared" si="22"/>
        <v>May</v>
      </c>
      <c r="CS18" s="205" t="str">
        <f t="shared" si="22"/>
        <v>June</v>
      </c>
      <c r="CT18" s="205" t="str">
        <f t="shared" si="22"/>
        <v>July</v>
      </c>
      <c r="CU18" s="205" t="str">
        <f t="shared" si="22"/>
        <v>August</v>
      </c>
      <c r="CV18" s="205" t="str">
        <f t="shared" si="22"/>
        <v>September</v>
      </c>
      <c r="CW18" s="205" t="str">
        <f t="shared" si="22"/>
        <v>October</v>
      </c>
      <c r="CX18" s="205" t="str">
        <f t="shared" ref="CX18:DX18" si="23">INDEX(MonthListIn,MONTH(CX11))</f>
        <v>November</v>
      </c>
      <c r="CY18" s="205" t="str">
        <f t="shared" si="23"/>
        <v>December</v>
      </c>
      <c r="CZ18" s="205" t="str">
        <f t="shared" si="23"/>
        <v>January</v>
      </c>
      <c r="DA18" s="205" t="str">
        <f t="shared" si="23"/>
        <v>February</v>
      </c>
      <c r="DB18" s="205" t="str">
        <f t="shared" si="23"/>
        <v>March</v>
      </c>
      <c r="DC18" s="205" t="str">
        <f t="shared" si="23"/>
        <v>April</v>
      </c>
      <c r="DD18" s="205" t="str">
        <f t="shared" si="23"/>
        <v>May</v>
      </c>
      <c r="DE18" s="205" t="str">
        <f t="shared" si="23"/>
        <v>June</v>
      </c>
      <c r="DF18" s="205" t="str">
        <f t="shared" si="23"/>
        <v>July</v>
      </c>
      <c r="DG18" s="205" t="str">
        <f t="shared" si="23"/>
        <v>August</v>
      </c>
      <c r="DH18" s="205" t="str">
        <f t="shared" si="23"/>
        <v>September</v>
      </c>
      <c r="DI18" s="205" t="str">
        <f t="shared" si="23"/>
        <v>October</v>
      </c>
      <c r="DJ18" s="205" t="str">
        <f t="shared" si="23"/>
        <v>November</v>
      </c>
      <c r="DK18" s="205" t="str">
        <f t="shared" si="23"/>
        <v>December</v>
      </c>
      <c r="DL18" s="205" t="str">
        <f t="shared" si="23"/>
        <v>January</v>
      </c>
      <c r="DM18" s="205" t="str">
        <f t="shared" si="23"/>
        <v>February</v>
      </c>
      <c r="DN18" s="205" t="str">
        <f t="shared" si="23"/>
        <v>March</v>
      </c>
      <c r="DO18" s="205" t="str">
        <f t="shared" si="23"/>
        <v>April</v>
      </c>
      <c r="DP18" s="205" t="str">
        <f t="shared" si="23"/>
        <v>May</v>
      </c>
      <c r="DQ18" s="205" t="str">
        <f t="shared" si="23"/>
        <v>June</v>
      </c>
      <c r="DR18" s="205" t="str">
        <f t="shared" si="23"/>
        <v>July</v>
      </c>
      <c r="DS18" s="205" t="str">
        <f t="shared" si="23"/>
        <v>August</v>
      </c>
      <c r="DT18" s="205" t="str">
        <f t="shared" si="23"/>
        <v>September</v>
      </c>
      <c r="DU18" s="205" t="str">
        <f t="shared" si="23"/>
        <v>October</v>
      </c>
      <c r="DV18" s="205" t="str">
        <f t="shared" si="23"/>
        <v>November</v>
      </c>
      <c r="DW18" s="205" t="str">
        <f t="shared" si="23"/>
        <v>December</v>
      </c>
      <c r="DX18" s="205" t="str">
        <f t="shared" si="23"/>
        <v>January</v>
      </c>
      <c r="DY18" s="88"/>
      <c r="DZ18" s="188" t="s">
        <v>398</v>
      </c>
      <c r="EB18" s="88"/>
    </row>
    <row r="19" spans="1:132" outlineLevel="1">
      <c r="A19" s="91" t="s">
        <v>355</v>
      </c>
      <c r="C19" s="185"/>
      <c r="D19" s="185"/>
      <c r="E19" s="185"/>
      <c r="F19" s="206" t="str">
        <f t="shared" ref="F19:BQ19" si="24">IF(F15=0,"M"&amp;F14,"Y"&amp;F15&amp;"M"&amp;F16)</f>
        <v>M-3</v>
      </c>
      <c r="G19" s="207" t="str">
        <f t="shared" si="24"/>
        <v>M-2</v>
      </c>
      <c r="H19" s="207" t="str">
        <f t="shared" si="24"/>
        <v>M-1</v>
      </c>
      <c r="I19" s="207" t="str">
        <f t="shared" si="24"/>
        <v>Y1M1</v>
      </c>
      <c r="J19" s="207" t="str">
        <f t="shared" si="24"/>
        <v>Y1M2</v>
      </c>
      <c r="K19" s="207" t="str">
        <f t="shared" si="24"/>
        <v>Y1M3</v>
      </c>
      <c r="L19" s="207" t="str">
        <f t="shared" si="24"/>
        <v>Y1M4</v>
      </c>
      <c r="M19" s="207" t="str">
        <f t="shared" si="24"/>
        <v>Y1M5</v>
      </c>
      <c r="N19" s="207" t="str">
        <f t="shared" si="24"/>
        <v>Y1M6</v>
      </c>
      <c r="O19" s="207" t="str">
        <f t="shared" si="24"/>
        <v>Y1M7</v>
      </c>
      <c r="P19" s="207" t="str">
        <f t="shared" si="24"/>
        <v>Y1M8</v>
      </c>
      <c r="Q19" s="207" t="str">
        <f t="shared" si="24"/>
        <v>Y1M9</v>
      </c>
      <c r="R19" s="207" t="str">
        <f t="shared" si="24"/>
        <v>Y1M10</v>
      </c>
      <c r="S19" s="207" t="str">
        <f t="shared" si="24"/>
        <v>Y1M11</v>
      </c>
      <c r="T19" s="207" t="str">
        <f t="shared" si="24"/>
        <v>Y1M12</v>
      </c>
      <c r="U19" s="207" t="str">
        <f t="shared" si="24"/>
        <v>Y2M1</v>
      </c>
      <c r="V19" s="207" t="str">
        <f t="shared" si="24"/>
        <v>Y2M2</v>
      </c>
      <c r="W19" s="207" t="str">
        <f t="shared" si="24"/>
        <v>Y2M3</v>
      </c>
      <c r="X19" s="207" t="str">
        <f t="shared" si="24"/>
        <v>Y2M4</v>
      </c>
      <c r="Y19" s="207" t="str">
        <f t="shared" si="24"/>
        <v>Y2M5</v>
      </c>
      <c r="Z19" s="207" t="str">
        <f t="shared" si="24"/>
        <v>Y2M6</v>
      </c>
      <c r="AA19" s="207" t="str">
        <f t="shared" si="24"/>
        <v>Y2M7</v>
      </c>
      <c r="AB19" s="207" t="str">
        <f t="shared" si="24"/>
        <v>Y2M8</v>
      </c>
      <c r="AC19" s="207" t="str">
        <f t="shared" si="24"/>
        <v>Y2M9</v>
      </c>
      <c r="AD19" s="207" t="str">
        <f t="shared" si="24"/>
        <v>Y2M10</v>
      </c>
      <c r="AE19" s="207" t="str">
        <f t="shared" si="24"/>
        <v>Y2M11</v>
      </c>
      <c r="AF19" s="207" t="str">
        <f t="shared" si="24"/>
        <v>Y2M12</v>
      </c>
      <c r="AG19" s="207" t="str">
        <f t="shared" si="24"/>
        <v>Y3M1</v>
      </c>
      <c r="AH19" s="207" t="str">
        <f t="shared" si="24"/>
        <v>Y3M2</v>
      </c>
      <c r="AI19" s="207" t="str">
        <f t="shared" si="24"/>
        <v>Y3M3</v>
      </c>
      <c r="AJ19" s="207" t="str">
        <f t="shared" si="24"/>
        <v>Y3M4</v>
      </c>
      <c r="AK19" s="207" t="str">
        <f t="shared" si="24"/>
        <v>Y3M5</v>
      </c>
      <c r="AL19" s="207" t="str">
        <f t="shared" si="24"/>
        <v>Y3M6</v>
      </c>
      <c r="AM19" s="207" t="str">
        <f t="shared" si="24"/>
        <v>Y3M7</v>
      </c>
      <c r="AN19" s="207" t="str">
        <f t="shared" si="24"/>
        <v>Y3M8</v>
      </c>
      <c r="AO19" s="207" t="str">
        <f t="shared" si="24"/>
        <v>Y3M9</v>
      </c>
      <c r="AP19" s="207" t="str">
        <f t="shared" si="24"/>
        <v>Y3M10</v>
      </c>
      <c r="AQ19" s="207" t="str">
        <f t="shared" si="24"/>
        <v>Y3M11</v>
      </c>
      <c r="AR19" s="207" t="str">
        <f t="shared" si="24"/>
        <v>Y3M12</v>
      </c>
      <c r="AS19" s="207" t="str">
        <f t="shared" si="24"/>
        <v>Y4M1</v>
      </c>
      <c r="AT19" s="207" t="str">
        <f t="shared" si="24"/>
        <v>Y4M2</v>
      </c>
      <c r="AU19" s="207" t="str">
        <f t="shared" si="24"/>
        <v>Y4M3</v>
      </c>
      <c r="AV19" s="207" t="str">
        <f t="shared" si="24"/>
        <v>Y4M4</v>
      </c>
      <c r="AW19" s="207" t="str">
        <f t="shared" si="24"/>
        <v>Y4M5</v>
      </c>
      <c r="AX19" s="207" t="str">
        <f t="shared" si="24"/>
        <v>Y4M6</v>
      </c>
      <c r="AY19" s="207" t="str">
        <f t="shared" si="24"/>
        <v>Y4M7</v>
      </c>
      <c r="AZ19" s="207" t="str">
        <f t="shared" si="24"/>
        <v>Y4M8</v>
      </c>
      <c r="BA19" s="207" t="str">
        <f t="shared" si="24"/>
        <v>Y4M9</v>
      </c>
      <c r="BB19" s="207" t="str">
        <f t="shared" si="24"/>
        <v>Y4M10</v>
      </c>
      <c r="BC19" s="207" t="str">
        <f t="shared" si="24"/>
        <v>Y4M11</v>
      </c>
      <c r="BD19" s="207" t="str">
        <f t="shared" si="24"/>
        <v>Y4M12</v>
      </c>
      <c r="BE19" s="207" t="str">
        <f t="shared" si="24"/>
        <v>Y5M1</v>
      </c>
      <c r="BF19" s="207" t="str">
        <f t="shared" si="24"/>
        <v>Y5M2</v>
      </c>
      <c r="BG19" s="207" t="str">
        <f t="shared" si="24"/>
        <v>Y5M3</v>
      </c>
      <c r="BH19" s="207" t="str">
        <f t="shared" si="24"/>
        <v>Y5M4</v>
      </c>
      <c r="BI19" s="207" t="str">
        <f t="shared" si="24"/>
        <v>Y5M5</v>
      </c>
      <c r="BJ19" s="207" t="str">
        <f t="shared" si="24"/>
        <v>Y5M6</v>
      </c>
      <c r="BK19" s="207" t="str">
        <f t="shared" si="24"/>
        <v>Y5M7</v>
      </c>
      <c r="BL19" s="207" t="str">
        <f t="shared" si="24"/>
        <v>Y5M8</v>
      </c>
      <c r="BM19" s="207" t="str">
        <f t="shared" si="24"/>
        <v>Y5M9</v>
      </c>
      <c r="BN19" s="207" t="str">
        <f t="shared" si="24"/>
        <v>Y5M10</v>
      </c>
      <c r="BO19" s="207" t="str">
        <f t="shared" si="24"/>
        <v>Y5M11</v>
      </c>
      <c r="BP19" s="207" t="str">
        <f t="shared" si="24"/>
        <v>Y5M12</v>
      </c>
      <c r="BQ19" s="207" t="str">
        <f t="shared" si="24"/>
        <v>Y6M1</v>
      </c>
      <c r="BR19" s="207" t="str">
        <f t="shared" ref="BR19:DX19" si="25">IF(BR15=0,"M"&amp;BR14,"Y"&amp;BR15&amp;"M"&amp;BR16)</f>
        <v>Y6M2</v>
      </c>
      <c r="BS19" s="207" t="str">
        <f t="shared" si="25"/>
        <v>Y6M3</v>
      </c>
      <c r="BT19" s="207" t="str">
        <f t="shared" si="25"/>
        <v>Y6M4</v>
      </c>
      <c r="BU19" s="207" t="str">
        <f t="shared" si="25"/>
        <v>Y6M5</v>
      </c>
      <c r="BV19" s="207" t="str">
        <f t="shared" si="25"/>
        <v>Y6M6</v>
      </c>
      <c r="BW19" s="207" t="str">
        <f t="shared" si="25"/>
        <v>Y6M7</v>
      </c>
      <c r="BX19" s="207" t="str">
        <f t="shared" si="25"/>
        <v>Y6M8</v>
      </c>
      <c r="BY19" s="207" t="str">
        <f t="shared" si="25"/>
        <v>Y6M9</v>
      </c>
      <c r="BZ19" s="207" t="str">
        <f t="shared" si="25"/>
        <v>Y6M10</v>
      </c>
      <c r="CA19" s="207" t="str">
        <f t="shared" si="25"/>
        <v>Y6M11</v>
      </c>
      <c r="CB19" s="207" t="str">
        <f t="shared" si="25"/>
        <v>Y6M12</v>
      </c>
      <c r="CC19" s="207" t="str">
        <f t="shared" si="25"/>
        <v>Y7M1</v>
      </c>
      <c r="CD19" s="207" t="str">
        <f t="shared" si="25"/>
        <v>Y7M2</v>
      </c>
      <c r="CE19" s="207" t="str">
        <f t="shared" si="25"/>
        <v>Y7M3</v>
      </c>
      <c r="CF19" s="207" t="str">
        <f t="shared" si="25"/>
        <v>Y7M4</v>
      </c>
      <c r="CG19" s="207" t="str">
        <f t="shared" si="25"/>
        <v>Y7M5</v>
      </c>
      <c r="CH19" s="207" t="str">
        <f t="shared" si="25"/>
        <v>Y7M6</v>
      </c>
      <c r="CI19" s="207" t="str">
        <f t="shared" si="25"/>
        <v>Y7M7</v>
      </c>
      <c r="CJ19" s="207" t="str">
        <f t="shared" si="25"/>
        <v>Y7M8</v>
      </c>
      <c r="CK19" s="207" t="str">
        <f t="shared" si="25"/>
        <v>Y7M9</v>
      </c>
      <c r="CL19" s="207" t="str">
        <f t="shared" si="25"/>
        <v>Y7M10</v>
      </c>
      <c r="CM19" s="207" t="str">
        <f t="shared" si="25"/>
        <v>Y7M11</v>
      </c>
      <c r="CN19" s="207" t="str">
        <f t="shared" si="25"/>
        <v>Y7M12</v>
      </c>
      <c r="CO19" s="207" t="str">
        <f t="shared" si="25"/>
        <v>Y8M1</v>
      </c>
      <c r="CP19" s="207" t="str">
        <f t="shared" si="25"/>
        <v>Y8M2</v>
      </c>
      <c r="CQ19" s="207" t="str">
        <f t="shared" si="25"/>
        <v>Y8M3</v>
      </c>
      <c r="CR19" s="207" t="str">
        <f t="shared" si="25"/>
        <v>Y8M4</v>
      </c>
      <c r="CS19" s="207" t="str">
        <f t="shared" si="25"/>
        <v>Y8M5</v>
      </c>
      <c r="CT19" s="207" t="str">
        <f t="shared" si="25"/>
        <v>Y8M6</v>
      </c>
      <c r="CU19" s="207" t="str">
        <f t="shared" si="25"/>
        <v>Y8M7</v>
      </c>
      <c r="CV19" s="207" t="str">
        <f t="shared" si="25"/>
        <v>Y8M8</v>
      </c>
      <c r="CW19" s="207" t="str">
        <f t="shared" si="25"/>
        <v>Y8M9</v>
      </c>
      <c r="CX19" s="207" t="str">
        <f t="shared" si="25"/>
        <v>Y8M10</v>
      </c>
      <c r="CY19" s="207" t="str">
        <f t="shared" si="25"/>
        <v>Y8M11</v>
      </c>
      <c r="CZ19" s="207" t="str">
        <f t="shared" si="25"/>
        <v>Y8M12</v>
      </c>
      <c r="DA19" s="207" t="str">
        <f t="shared" si="25"/>
        <v>Y9M1</v>
      </c>
      <c r="DB19" s="207" t="str">
        <f t="shared" si="25"/>
        <v>Y9M2</v>
      </c>
      <c r="DC19" s="207" t="str">
        <f t="shared" si="25"/>
        <v>Y9M3</v>
      </c>
      <c r="DD19" s="207" t="str">
        <f t="shared" si="25"/>
        <v>Y9M4</v>
      </c>
      <c r="DE19" s="207" t="str">
        <f t="shared" si="25"/>
        <v>Y9M5</v>
      </c>
      <c r="DF19" s="207" t="str">
        <f t="shared" si="25"/>
        <v>Y9M6</v>
      </c>
      <c r="DG19" s="207" t="str">
        <f t="shared" si="25"/>
        <v>Y9M7</v>
      </c>
      <c r="DH19" s="207" t="str">
        <f t="shared" si="25"/>
        <v>Y9M8</v>
      </c>
      <c r="DI19" s="207" t="str">
        <f t="shared" si="25"/>
        <v>Y9M9</v>
      </c>
      <c r="DJ19" s="207" t="str">
        <f t="shared" si="25"/>
        <v>Y9M10</v>
      </c>
      <c r="DK19" s="207" t="str">
        <f t="shared" si="25"/>
        <v>Y9M11</v>
      </c>
      <c r="DL19" s="207" t="str">
        <f t="shared" si="25"/>
        <v>Y9M12</v>
      </c>
      <c r="DM19" s="207" t="str">
        <f t="shared" si="25"/>
        <v>Y10M1</v>
      </c>
      <c r="DN19" s="207" t="str">
        <f t="shared" si="25"/>
        <v>Y10M2</v>
      </c>
      <c r="DO19" s="207" t="str">
        <f t="shared" si="25"/>
        <v>Y10M3</v>
      </c>
      <c r="DP19" s="207" t="str">
        <f t="shared" si="25"/>
        <v>Y10M4</v>
      </c>
      <c r="DQ19" s="207" t="str">
        <f t="shared" si="25"/>
        <v>Y10M5</v>
      </c>
      <c r="DR19" s="207" t="str">
        <f t="shared" si="25"/>
        <v>Y10M6</v>
      </c>
      <c r="DS19" s="207" t="str">
        <f t="shared" si="25"/>
        <v>Y10M7</v>
      </c>
      <c r="DT19" s="207" t="str">
        <f t="shared" si="25"/>
        <v>Y10M8</v>
      </c>
      <c r="DU19" s="207" t="str">
        <f t="shared" si="25"/>
        <v>Y10M9</v>
      </c>
      <c r="DV19" s="207" t="str">
        <f t="shared" si="25"/>
        <v>Y10M10</v>
      </c>
      <c r="DW19" s="207" t="str">
        <f t="shared" si="25"/>
        <v>Y10M11</v>
      </c>
      <c r="DX19" s="207" t="str">
        <f t="shared" si="25"/>
        <v>Y10M12</v>
      </c>
      <c r="DY19" s="88"/>
      <c r="DZ19" s="188" t="s">
        <v>399</v>
      </c>
      <c r="EB19" s="88"/>
    </row>
    <row r="20" spans="1:132" outlineLevel="1">
      <c r="A20" s="91" t="s">
        <v>163</v>
      </c>
      <c r="C20" s="185"/>
      <c r="D20" s="185"/>
      <c r="E20" s="185"/>
      <c r="F20" s="206" t="str">
        <f t="shared" ref="F20:BQ20" si="26">IF(F14&lt;0,"Pre","Q"&amp;INT((F14-1)/3)+1)</f>
        <v>Pre</v>
      </c>
      <c r="G20" s="207" t="str">
        <f t="shared" si="26"/>
        <v>Pre</v>
      </c>
      <c r="H20" s="207" t="str">
        <f t="shared" si="26"/>
        <v>Pre</v>
      </c>
      <c r="I20" s="207" t="str">
        <f t="shared" si="26"/>
        <v>Q1</v>
      </c>
      <c r="J20" s="207" t="str">
        <f t="shared" si="26"/>
        <v>Q1</v>
      </c>
      <c r="K20" s="207" t="str">
        <f t="shared" si="26"/>
        <v>Q1</v>
      </c>
      <c r="L20" s="207" t="str">
        <f t="shared" si="26"/>
        <v>Q2</v>
      </c>
      <c r="M20" s="207" t="str">
        <f t="shared" si="26"/>
        <v>Q2</v>
      </c>
      <c r="N20" s="207" t="str">
        <f t="shared" si="26"/>
        <v>Q2</v>
      </c>
      <c r="O20" s="207" t="str">
        <f t="shared" si="26"/>
        <v>Q3</v>
      </c>
      <c r="P20" s="207" t="str">
        <f t="shared" si="26"/>
        <v>Q3</v>
      </c>
      <c r="Q20" s="207" t="str">
        <f t="shared" si="26"/>
        <v>Q3</v>
      </c>
      <c r="R20" s="207" t="str">
        <f t="shared" si="26"/>
        <v>Q4</v>
      </c>
      <c r="S20" s="207" t="str">
        <f t="shared" si="26"/>
        <v>Q4</v>
      </c>
      <c r="T20" s="207" t="str">
        <f t="shared" si="26"/>
        <v>Q4</v>
      </c>
      <c r="U20" s="207" t="str">
        <f t="shared" si="26"/>
        <v>Q5</v>
      </c>
      <c r="V20" s="207" t="str">
        <f t="shared" si="26"/>
        <v>Q5</v>
      </c>
      <c r="W20" s="207" t="str">
        <f t="shared" si="26"/>
        <v>Q5</v>
      </c>
      <c r="X20" s="207" t="str">
        <f t="shared" si="26"/>
        <v>Q6</v>
      </c>
      <c r="Y20" s="207" t="str">
        <f t="shared" si="26"/>
        <v>Q6</v>
      </c>
      <c r="Z20" s="207" t="str">
        <f t="shared" si="26"/>
        <v>Q6</v>
      </c>
      <c r="AA20" s="207" t="str">
        <f t="shared" si="26"/>
        <v>Q7</v>
      </c>
      <c r="AB20" s="207" t="str">
        <f t="shared" si="26"/>
        <v>Q7</v>
      </c>
      <c r="AC20" s="207" t="str">
        <f t="shared" si="26"/>
        <v>Q7</v>
      </c>
      <c r="AD20" s="207" t="str">
        <f t="shared" si="26"/>
        <v>Q8</v>
      </c>
      <c r="AE20" s="207" t="str">
        <f t="shared" si="26"/>
        <v>Q8</v>
      </c>
      <c r="AF20" s="207" t="str">
        <f t="shared" si="26"/>
        <v>Q8</v>
      </c>
      <c r="AG20" s="207" t="str">
        <f t="shared" si="26"/>
        <v>Q9</v>
      </c>
      <c r="AH20" s="207" t="str">
        <f t="shared" si="26"/>
        <v>Q9</v>
      </c>
      <c r="AI20" s="207" t="str">
        <f t="shared" si="26"/>
        <v>Q9</v>
      </c>
      <c r="AJ20" s="207" t="str">
        <f t="shared" si="26"/>
        <v>Q10</v>
      </c>
      <c r="AK20" s="207" t="str">
        <f t="shared" si="26"/>
        <v>Q10</v>
      </c>
      <c r="AL20" s="207" t="str">
        <f t="shared" si="26"/>
        <v>Q10</v>
      </c>
      <c r="AM20" s="207" t="str">
        <f t="shared" si="26"/>
        <v>Q11</v>
      </c>
      <c r="AN20" s="207" t="str">
        <f t="shared" si="26"/>
        <v>Q11</v>
      </c>
      <c r="AO20" s="207" t="str">
        <f t="shared" si="26"/>
        <v>Q11</v>
      </c>
      <c r="AP20" s="207" t="str">
        <f t="shared" si="26"/>
        <v>Q12</v>
      </c>
      <c r="AQ20" s="207" t="str">
        <f t="shared" si="26"/>
        <v>Q12</v>
      </c>
      <c r="AR20" s="207" t="str">
        <f t="shared" si="26"/>
        <v>Q12</v>
      </c>
      <c r="AS20" s="207" t="str">
        <f t="shared" si="26"/>
        <v>Q13</v>
      </c>
      <c r="AT20" s="207" t="str">
        <f t="shared" si="26"/>
        <v>Q13</v>
      </c>
      <c r="AU20" s="207" t="str">
        <f t="shared" si="26"/>
        <v>Q13</v>
      </c>
      <c r="AV20" s="207" t="str">
        <f t="shared" si="26"/>
        <v>Q14</v>
      </c>
      <c r="AW20" s="207" t="str">
        <f t="shared" si="26"/>
        <v>Q14</v>
      </c>
      <c r="AX20" s="207" t="str">
        <f t="shared" si="26"/>
        <v>Q14</v>
      </c>
      <c r="AY20" s="207" t="str">
        <f t="shared" si="26"/>
        <v>Q15</v>
      </c>
      <c r="AZ20" s="207" t="str">
        <f t="shared" si="26"/>
        <v>Q15</v>
      </c>
      <c r="BA20" s="207" t="str">
        <f t="shared" si="26"/>
        <v>Q15</v>
      </c>
      <c r="BB20" s="207" t="str">
        <f t="shared" si="26"/>
        <v>Q16</v>
      </c>
      <c r="BC20" s="207" t="str">
        <f t="shared" si="26"/>
        <v>Q16</v>
      </c>
      <c r="BD20" s="207" t="str">
        <f t="shared" si="26"/>
        <v>Q16</v>
      </c>
      <c r="BE20" s="207" t="str">
        <f t="shared" si="26"/>
        <v>Q17</v>
      </c>
      <c r="BF20" s="207" t="str">
        <f t="shared" si="26"/>
        <v>Q17</v>
      </c>
      <c r="BG20" s="207" t="str">
        <f t="shared" si="26"/>
        <v>Q17</v>
      </c>
      <c r="BH20" s="207" t="str">
        <f t="shared" si="26"/>
        <v>Q18</v>
      </c>
      <c r="BI20" s="207" t="str">
        <f t="shared" si="26"/>
        <v>Q18</v>
      </c>
      <c r="BJ20" s="207" t="str">
        <f t="shared" si="26"/>
        <v>Q18</v>
      </c>
      <c r="BK20" s="207" t="str">
        <f t="shared" si="26"/>
        <v>Q19</v>
      </c>
      <c r="BL20" s="207" t="str">
        <f t="shared" si="26"/>
        <v>Q19</v>
      </c>
      <c r="BM20" s="207" t="str">
        <f t="shared" si="26"/>
        <v>Q19</v>
      </c>
      <c r="BN20" s="207" t="str">
        <f t="shared" si="26"/>
        <v>Q20</v>
      </c>
      <c r="BO20" s="207" t="str">
        <f t="shared" si="26"/>
        <v>Q20</v>
      </c>
      <c r="BP20" s="207" t="str">
        <f t="shared" si="26"/>
        <v>Q20</v>
      </c>
      <c r="BQ20" s="207" t="str">
        <f t="shared" si="26"/>
        <v>Q21</v>
      </c>
      <c r="BR20" s="207" t="str">
        <f t="shared" ref="BR20:DX20" si="27">IF(BR14&lt;0,"Pre","Q"&amp;INT((BR14-1)/3)+1)</f>
        <v>Q21</v>
      </c>
      <c r="BS20" s="207" t="str">
        <f t="shared" si="27"/>
        <v>Q21</v>
      </c>
      <c r="BT20" s="207" t="str">
        <f t="shared" si="27"/>
        <v>Q22</v>
      </c>
      <c r="BU20" s="207" t="str">
        <f t="shared" si="27"/>
        <v>Q22</v>
      </c>
      <c r="BV20" s="207" t="str">
        <f t="shared" si="27"/>
        <v>Q22</v>
      </c>
      <c r="BW20" s="207" t="str">
        <f t="shared" si="27"/>
        <v>Q23</v>
      </c>
      <c r="BX20" s="207" t="str">
        <f t="shared" si="27"/>
        <v>Q23</v>
      </c>
      <c r="BY20" s="207" t="str">
        <f t="shared" si="27"/>
        <v>Q23</v>
      </c>
      <c r="BZ20" s="207" t="str">
        <f t="shared" si="27"/>
        <v>Q24</v>
      </c>
      <c r="CA20" s="207" t="str">
        <f t="shared" si="27"/>
        <v>Q24</v>
      </c>
      <c r="CB20" s="207" t="str">
        <f t="shared" si="27"/>
        <v>Q24</v>
      </c>
      <c r="CC20" s="207" t="str">
        <f t="shared" si="27"/>
        <v>Q25</v>
      </c>
      <c r="CD20" s="207" t="str">
        <f t="shared" si="27"/>
        <v>Q25</v>
      </c>
      <c r="CE20" s="207" t="str">
        <f t="shared" si="27"/>
        <v>Q25</v>
      </c>
      <c r="CF20" s="207" t="str">
        <f t="shared" si="27"/>
        <v>Q26</v>
      </c>
      <c r="CG20" s="207" t="str">
        <f t="shared" si="27"/>
        <v>Q26</v>
      </c>
      <c r="CH20" s="207" t="str">
        <f t="shared" si="27"/>
        <v>Q26</v>
      </c>
      <c r="CI20" s="207" t="str">
        <f t="shared" si="27"/>
        <v>Q27</v>
      </c>
      <c r="CJ20" s="207" t="str">
        <f t="shared" si="27"/>
        <v>Q27</v>
      </c>
      <c r="CK20" s="207" t="str">
        <f t="shared" si="27"/>
        <v>Q27</v>
      </c>
      <c r="CL20" s="207" t="str">
        <f t="shared" si="27"/>
        <v>Q28</v>
      </c>
      <c r="CM20" s="207" t="str">
        <f t="shared" si="27"/>
        <v>Q28</v>
      </c>
      <c r="CN20" s="207" t="str">
        <f t="shared" si="27"/>
        <v>Q28</v>
      </c>
      <c r="CO20" s="207" t="str">
        <f t="shared" si="27"/>
        <v>Q29</v>
      </c>
      <c r="CP20" s="207" t="str">
        <f t="shared" si="27"/>
        <v>Q29</v>
      </c>
      <c r="CQ20" s="207" t="str">
        <f t="shared" si="27"/>
        <v>Q29</v>
      </c>
      <c r="CR20" s="207" t="str">
        <f t="shared" si="27"/>
        <v>Q30</v>
      </c>
      <c r="CS20" s="207" t="str">
        <f t="shared" si="27"/>
        <v>Q30</v>
      </c>
      <c r="CT20" s="207" t="str">
        <f t="shared" si="27"/>
        <v>Q30</v>
      </c>
      <c r="CU20" s="207" t="str">
        <f t="shared" si="27"/>
        <v>Q31</v>
      </c>
      <c r="CV20" s="207" t="str">
        <f t="shared" si="27"/>
        <v>Q31</v>
      </c>
      <c r="CW20" s="207" t="str">
        <f t="shared" si="27"/>
        <v>Q31</v>
      </c>
      <c r="CX20" s="207" t="str">
        <f t="shared" si="27"/>
        <v>Q32</v>
      </c>
      <c r="CY20" s="207" t="str">
        <f t="shared" si="27"/>
        <v>Q32</v>
      </c>
      <c r="CZ20" s="207" t="str">
        <f t="shared" si="27"/>
        <v>Q32</v>
      </c>
      <c r="DA20" s="207" t="str">
        <f t="shared" si="27"/>
        <v>Q33</v>
      </c>
      <c r="DB20" s="207" t="str">
        <f t="shared" si="27"/>
        <v>Q33</v>
      </c>
      <c r="DC20" s="207" t="str">
        <f t="shared" si="27"/>
        <v>Q33</v>
      </c>
      <c r="DD20" s="207" t="str">
        <f t="shared" si="27"/>
        <v>Q34</v>
      </c>
      <c r="DE20" s="207" t="str">
        <f t="shared" si="27"/>
        <v>Q34</v>
      </c>
      <c r="DF20" s="207" t="str">
        <f t="shared" si="27"/>
        <v>Q34</v>
      </c>
      <c r="DG20" s="207" t="str">
        <f t="shared" si="27"/>
        <v>Q35</v>
      </c>
      <c r="DH20" s="207" t="str">
        <f t="shared" si="27"/>
        <v>Q35</v>
      </c>
      <c r="DI20" s="207" t="str">
        <f t="shared" si="27"/>
        <v>Q35</v>
      </c>
      <c r="DJ20" s="207" t="str">
        <f t="shared" si="27"/>
        <v>Q36</v>
      </c>
      <c r="DK20" s="207" t="str">
        <f t="shared" si="27"/>
        <v>Q36</v>
      </c>
      <c r="DL20" s="207" t="str">
        <f t="shared" si="27"/>
        <v>Q36</v>
      </c>
      <c r="DM20" s="207" t="str">
        <f t="shared" si="27"/>
        <v>Q37</v>
      </c>
      <c r="DN20" s="207" t="str">
        <f t="shared" si="27"/>
        <v>Q37</v>
      </c>
      <c r="DO20" s="207" t="str">
        <f t="shared" si="27"/>
        <v>Q37</v>
      </c>
      <c r="DP20" s="207" t="str">
        <f t="shared" si="27"/>
        <v>Q38</v>
      </c>
      <c r="DQ20" s="207" t="str">
        <f t="shared" si="27"/>
        <v>Q38</v>
      </c>
      <c r="DR20" s="207" t="str">
        <f t="shared" si="27"/>
        <v>Q38</v>
      </c>
      <c r="DS20" s="207" t="str">
        <f t="shared" si="27"/>
        <v>Q39</v>
      </c>
      <c r="DT20" s="207" t="str">
        <f t="shared" si="27"/>
        <v>Q39</v>
      </c>
      <c r="DU20" s="207" t="str">
        <f t="shared" si="27"/>
        <v>Q39</v>
      </c>
      <c r="DV20" s="207" t="str">
        <f t="shared" si="27"/>
        <v>Q40</v>
      </c>
      <c r="DW20" s="207" t="str">
        <f t="shared" si="27"/>
        <v>Q40</v>
      </c>
      <c r="DX20" s="207" t="str">
        <f t="shared" si="27"/>
        <v>Q40</v>
      </c>
      <c r="DY20" s="88"/>
      <c r="DZ20" s="188" t="s">
        <v>400</v>
      </c>
      <c r="EB20" s="88"/>
    </row>
    <row r="21" spans="1:132" outlineLevel="1">
      <c r="A21" s="91" t="s">
        <v>164</v>
      </c>
      <c r="C21" s="185"/>
      <c r="D21" s="185"/>
      <c r="E21" s="185"/>
      <c r="F21" s="202">
        <f t="shared" ref="F21:AK21" si="28">IF(AND(PreContractStartDateIn&lt;=DateToMth,DateToMth&lt;=ContractEndDateIn),1,0)</f>
        <v>0</v>
      </c>
      <c r="G21" s="203">
        <f t="shared" si="28"/>
        <v>0</v>
      </c>
      <c r="H21" s="203">
        <f t="shared" si="28"/>
        <v>0</v>
      </c>
      <c r="I21" s="203">
        <f t="shared" si="28"/>
        <v>0</v>
      </c>
      <c r="J21" s="203">
        <f t="shared" si="28"/>
        <v>0</v>
      </c>
      <c r="K21" s="203">
        <f t="shared" si="28"/>
        <v>0</v>
      </c>
      <c r="L21" s="203">
        <f t="shared" si="28"/>
        <v>0</v>
      </c>
      <c r="M21" s="203">
        <f t="shared" si="28"/>
        <v>0</v>
      </c>
      <c r="N21" s="203">
        <f t="shared" si="28"/>
        <v>0</v>
      </c>
      <c r="O21" s="203">
        <f t="shared" si="28"/>
        <v>0</v>
      </c>
      <c r="P21" s="203">
        <f t="shared" si="28"/>
        <v>0</v>
      </c>
      <c r="Q21" s="203">
        <f t="shared" si="28"/>
        <v>0</v>
      </c>
      <c r="R21" s="203">
        <f t="shared" si="28"/>
        <v>0</v>
      </c>
      <c r="S21" s="203">
        <f t="shared" si="28"/>
        <v>0</v>
      </c>
      <c r="T21" s="203">
        <f t="shared" si="28"/>
        <v>0</v>
      </c>
      <c r="U21" s="203">
        <f t="shared" si="28"/>
        <v>0</v>
      </c>
      <c r="V21" s="203">
        <f t="shared" si="28"/>
        <v>0</v>
      </c>
      <c r="W21" s="203">
        <f t="shared" si="28"/>
        <v>0</v>
      </c>
      <c r="X21" s="203">
        <f t="shared" si="28"/>
        <v>0</v>
      </c>
      <c r="Y21" s="203">
        <f t="shared" si="28"/>
        <v>0</v>
      </c>
      <c r="Z21" s="203">
        <f t="shared" si="28"/>
        <v>0</v>
      </c>
      <c r="AA21" s="203">
        <f t="shared" si="28"/>
        <v>0</v>
      </c>
      <c r="AB21" s="203">
        <f t="shared" si="28"/>
        <v>0</v>
      </c>
      <c r="AC21" s="203">
        <f t="shared" si="28"/>
        <v>0</v>
      </c>
      <c r="AD21" s="203">
        <f t="shared" si="28"/>
        <v>0</v>
      </c>
      <c r="AE21" s="203">
        <f t="shared" si="28"/>
        <v>0</v>
      </c>
      <c r="AF21" s="203">
        <f t="shared" si="28"/>
        <v>0</v>
      </c>
      <c r="AG21" s="203">
        <f t="shared" si="28"/>
        <v>0</v>
      </c>
      <c r="AH21" s="203">
        <f t="shared" si="28"/>
        <v>0</v>
      </c>
      <c r="AI21" s="203">
        <f t="shared" si="28"/>
        <v>0</v>
      </c>
      <c r="AJ21" s="203">
        <f t="shared" si="28"/>
        <v>0</v>
      </c>
      <c r="AK21" s="203">
        <f t="shared" si="28"/>
        <v>0</v>
      </c>
      <c r="AL21" s="203">
        <f t="shared" ref="AL21:BQ21" si="29">IF(AND(PreContractStartDateIn&lt;=DateToMth,DateToMth&lt;=ContractEndDateIn),1,0)</f>
        <v>0</v>
      </c>
      <c r="AM21" s="203">
        <f t="shared" si="29"/>
        <v>0</v>
      </c>
      <c r="AN21" s="203">
        <f t="shared" si="29"/>
        <v>0</v>
      </c>
      <c r="AO21" s="203">
        <f t="shared" si="29"/>
        <v>0</v>
      </c>
      <c r="AP21" s="203">
        <f t="shared" si="29"/>
        <v>0</v>
      </c>
      <c r="AQ21" s="203">
        <f t="shared" si="29"/>
        <v>0</v>
      </c>
      <c r="AR21" s="203">
        <f t="shared" si="29"/>
        <v>0</v>
      </c>
      <c r="AS21" s="203">
        <f t="shared" si="29"/>
        <v>0</v>
      </c>
      <c r="AT21" s="203">
        <f t="shared" si="29"/>
        <v>0</v>
      </c>
      <c r="AU21" s="203">
        <f t="shared" si="29"/>
        <v>0</v>
      </c>
      <c r="AV21" s="203">
        <f t="shared" si="29"/>
        <v>0</v>
      </c>
      <c r="AW21" s="203">
        <f t="shared" si="29"/>
        <v>0</v>
      </c>
      <c r="AX21" s="203">
        <f t="shared" si="29"/>
        <v>0</v>
      </c>
      <c r="AY21" s="203">
        <f t="shared" si="29"/>
        <v>0</v>
      </c>
      <c r="AZ21" s="203">
        <f t="shared" si="29"/>
        <v>0</v>
      </c>
      <c r="BA21" s="203">
        <f t="shared" si="29"/>
        <v>0</v>
      </c>
      <c r="BB21" s="203">
        <f t="shared" si="29"/>
        <v>0</v>
      </c>
      <c r="BC21" s="203">
        <f t="shared" si="29"/>
        <v>0</v>
      </c>
      <c r="BD21" s="203">
        <f t="shared" si="29"/>
        <v>0</v>
      </c>
      <c r="BE21" s="203">
        <f t="shared" si="29"/>
        <v>0</v>
      </c>
      <c r="BF21" s="203">
        <f t="shared" si="29"/>
        <v>0</v>
      </c>
      <c r="BG21" s="203">
        <f t="shared" si="29"/>
        <v>0</v>
      </c>
      <c r="BH21" s="203">
        <f t="shared" si="29"/>
        <v>0</v>
      </c>
      <c r="BI21" s="203">
        <f t="shared" si="29"/>
        <v>0</v>
      </c>
      <c r="BJ21" s="203">
        <f t="shared" si="29"/>
        <v>0</v>
      </c>
      <c r="BK21" s="203">
        <f t="shared" si="29"/>
        <v>0</v>
      </c>
      <c r="BL21" s="203">
        <f t="shared" si="29"/>
        <v>0</v>
      </c>
      <c r="BM21" s="203">
        <f t="shared" si="29"/>
        <v>0</v>
      </c>
      <c r="BN21" s="203">
        <f t="shared" si="29"/>
        <v>0</v>
      </c>
      <c r="BO21" s="203">
        <f t="shared" si="29"/>
        <v>0</v>
      </c>
      <c r="BP21" s="203">
        <f t="shared" si="29"/>
        <v>0</v>
      </c>
      <c r="BQ21" s="203">
        <f t="shared" si="29"/>
        <v>0</v>
      </c>
      <c r="BR21" s="203">
        <f t="shared" ref="BR21:CW21" si="30">IF(AND(PreContractStartDateIn&lt;=DateToMth,DateToMth&lt;=ContractEndDateIn),1,0)</f>
        <v>0</v>
      </c>
      <c r="BS21" s="203">
        <f t="shared" si="30"/>
        <v>0</v>
      </c>
      <c r="BT21" s="203">
        <f t="shared" si="30"/>
        <v>0</v>
      </c>
      <c r="BU21" s="203">
        <f t="shared" si="30"/>
        <v>0</v>
      </c>
      <c r="BV21" s="203">
        <f t="shared" si="30"/>
        <v>0</v>
      </c>
      <c r="BW21" s="203">
        <f t="shared" si="30"/>
        <v>0</v>
      </c>
      <c r="BX21" s="203">
        <f t="shared" si="30"/>
        <v>0</v>
      </c>
      <c r="BY21" s="203">
        <f t="shared" si="30"/>
        <v>0</v>
      </c>
      <c r="BZ21" s="203">
        <f t="shared" si="30"/>
        <v>0</v>
      </c>
      <c r="CA21" s="203">
        <f t="shared" si="30"/>
        <v>0</v>
      </c>
      <c r="CB21" s="203">
        <f t="shared" si="30"/>
        <v>0</v>
      </c>
      <c r="CC21" s="203">
        <f t="shared" si="30"/>
        <v>0</v>
      </c>
      <c r="CD21" s="203">
        <f t="shared" si="30"/>
        <v>0</v>
      </c>
      <c r="CE21" s="203">
        <f t="shared" si="30"/>
        <v>0</v>
      </c>
      <c r="CF21" s="203">
        <f t="shared" si="30"/>
        <v>0</v>
      </c>
      <c r="CG21" s="203">
        <f t="shared" si="30"/>
        <v>0</v>
      </c>
      <c r="CH21" s="203">
        <f t="shared" si="30"/>
        <v>0</v>
      </c>
      <c r="CI21" s="203">
        <f t="shared" si="30"/>
        <v>0</v>
      </c>
      <c r="CJ21" s="203">
        <f t="shared" si="30"/>
        <v>0</v>
      </c>
      <c r="CK21" s="203">
        <f t="shared" si="30"/>
        <v>0</v>
      </c>
      <c r="CL21" s="203">
        <f t="shared" si="30"/>
        <v>0</v>
      </c>
      <c r="CM21" s="203">
        <f t="shared" si="30"/>
        <v>0</v>
      </c>
      <c r="CN21" s="203">
        <f t="shared" si="30"/>
        <v>0</v>
      </c>
      <c r="CO21" s="203">
        <f t="shared" si="30"/>
        <v>0</v>
      </c>
      <c r="CP21" s="203">
        <f t="shared" si="30"/>
        <v>0</v>
      </c>
      <c r="CQ21" s="203">
        <f t="shared" si="30"/>
        <v>0</v>
      </c>
      <c r="CR21" s="203">
        <f t="shared" si="30"/>
        <v>0</v>
      </c>
      <c r="CS21" s="203">
        <f t="shared" si="30"/>
        <v>0</v>
      </c>
      <c r="CT21" s="203">
        <f t="shared" si="30"/>
        <v>0</v>
      </c>
      <c r="CU21" s="203">
        <f t="shared" si="30"/>
        <v>0</v>
      </c>
      <c r="CV21" s="203">
        <f t="shared" si="30"/>
        <v>0</v>
      </c>
      <c r="CW21" s="203">
        <f t="shared" si="30"/>
        <v>0</v>
      </c>
      <c r="CX21" s="203">
        <f t="shared" ref="CX21:DX21" si="31">IF(AND(PreContractStartDateIn&lt;=DateToMth,DateToMth&lt;=ContractEndDateIn),1,0)</f>
        <v>0</v>
      </c>
      <c r="CY21" s="203">
        <f t="shared" si="31"/>
        <v>0</v>
      </c>
      <c r="CZ21" s="203">
        <f t="shared" si="31"/>
        <v>0</v>
      </c>
      <c r="DA21" s="203">
        <f t="shared" si="31"/>
        <v>0</v>
      </c>
      <c r="DB21" s="203">
        <f t="shared" si="31"/>
        <v>0</v>
      </c>
      <c r="DC21" s="203">
        <f t="shared" si="31"/>
        <v>0</v>
      </c>
      <c r="DD21" s="203">
        <f t="shared" si="31"/>
        <v>0</v>
      </c>
      <c r="DE21" s="203">
        <f t="shared" si="31"/>
        <v>0</v>
      </c>
      <c r="DF21" s="203">
        <f t="shared" si="31"/>
        <v>0</v>
      </c>
      <c r="DG21" s="203">
        <f t="shared" si="31"/>
        <v>0</v>
      </c>
      <c r="DH21" s="203">
        <f t="shared" si="31"/>
        <v>0</v>
      </c>
      <c r="DI21" s="203">
        <f t="shared" si="31"/>
        <v>0</v>
      </c>
      <c r="DJ21" s="203">
        <f t="shared" si="31"/>
        <v>0</v>
      </c>
      <c r="DK21" s="203">
        <f t="shared" si="31"/>
        <v>0</v>
      </c>
      <c r="DL21" s="203">
        <f t="shared" si="31"/>
        <v>0</v>
      </c>
      <c r="DM21" s="203">
        <f t="shared" si="31"/>
        <v>0</v>
      </c>
      <c r="DN21" s="203">
        <f t="shared" si="31"/>
        <v>0</v>
      </c>
      <c r="DO21" s="203">
        <f t="shared" si="31"/>
        <v>0</v>
      </c>
      <c r="DP21" s="203">
        <f t="shared" si="31"/>
        <v>0</v>
      </c>
      <c r="DQ21" s="203">
        <f t="shared" si="31"/>
        <v>0</v>
      </c>
      <c r="DR21" s="203">
        <f t="shared" si="31"/>
        <v>0</v>
      </c>
      <c r="DS21" s="203">
        <f t="shared" si="31"/>
        <v>0</v>
      </c>
      <c r="DT21" s="203">
        <f t="shared" si="31"/>
        <v>0</v>
      </c>
      <c r="DU21" s="203">
        <f t="shared" si="31"/>
        <v>0</v>
      </c>
      <c r="DV21" s="203">
        <f t="shared" si="31"/>
        <v>0</v>
      </c>
      <c r="DW21" s="203">
        <f t="shared" si="31"/>
        <v>0</v>
      </c>
      <c r="DX21" s="203">
        <f t="shared" si="31"/>
        <v>0</v>
      </c>
      <c r="DY21" s="88"/>
      <c r="DZ21" s="188" t="s">
        <v>401</v>
      </c>
      <c r="EB21" s="88"/>
    </row>
    <row r="22" spans="1:132" outlineLevel="1">
      <c r="A22" s="91" t="s">
        <v>165</v>
      </c>
      <c r="C22" s="185"/>
      <c r="D22" s="185"/>
      <c r="E22" s="185"/>
      <c r="F22" s="202">
        <f>SUM(ActivePeriodFlag)</f>
        <v>0</v>
      </c>
      <c r="G22" s="203">
        <f>IF(F22&gt;0,F22-1,0)</f>
        <v>0</v>
      </c>
      <c r="H22" s="203">
        <f t="shared" ref="H22:BS22" si="32">IF(G22&gt;0,G22-1,0)</f>
        <v>0</v>
      </c>
      <c r="I22" s="203">
        <f t="shared" si="32"/>
        <v>0</v>
      </c>
      <c r="J22" s="203">
        <f t="shared" si="32"/>
        <v>0</v>
      </c>
      <c r="K22" s="203">
        <f t="shared" si="32"/>
        <v>0</v>
      </c>
      <c r="L22" s="203">
        <f t="shared" si="32"/>
        <v>0</v>
      </c>
      <c r="M22" s="203">
        <f t="shared" si="32"/>
        <v>0</v>
      </c>
      <c r="N22" s="203">
        <f t="shared" si="32"/>
        <v>0</v>
      </c>
      <c r="O22" s="203">
        <f t="shared" si="32"/>
        <v>0</v>
      </c>
      <c r="P22" s="203">
        <f t="shared" si="32"/>
        <v>0</v>
      </c>
      <c r="Q22" s="203">
        <f t="shared" si="32"/>
        <v>0</v>
      </c>
      <c r="R22" s="203">
        <f t="shared" si="32"/>
        <v>0</v>
      </c>
      <c r="S22" s="203">
        <f t="shared" si="32"/>
        <v>0</v>
      </c>
      <c r="T22" s="203">
        <f t="shared" si="32"/>
        <v>0</v>
      </c>
      <c r="U22" s="203">
        <f t="shared" si="32"/>
        <v>0</v>
      </c>
      <c r="V22" s="203">
        <f t="shared" si="32"/>
        <v>0</v>
      </c>
      <c r="W22" s="203">
        <f t="shared" si="32"/>
        <v>0</v>
      </c>
      <c r="X22" s="203">
        <f t="shared" si="32"/>
        <v>0</v>
      </c>
      <c r="Y22" s="203">
        <f t="shared" si="32"/>
        <v>0</v>
      </c>
      <c r="Z22" s="203">
        <f t="shared" si="32"/>
        <v>0</v>
      </c>
      <c r="AA22" s="203">
        <f t="shared" si="32"/>
        <v>0</v>
      </c>
      <c r="AB22" s="203">
        <f t="shared" si="32"/>
        <v>0</v>
      </c>
      <c r="AC22" s="203">
        <f t="shared" si="32"/>
        <v>0</v>
      </c>
      <c r="AD22" s="203">
        <f t="shared" si="32"/>
        <v>0</v>
      </c>
      <c r="AE22" s="203">
        <f t="shared" si="32"/>
        <v>0</v>
      </c>
      <c r="AF22" s="203">
        <f t="shared" si="32"/>
        <v>0</v>
      </c>
      <c r="AG22" s="203">
        <f t="shared" si="32"/>
        <v>0</v>
      </c>
      <c r="AH22" s="203">
        <f t="shared" si="32"/>
        <v>0</v>
      </c>
      <c r="AI22" s="203">
        <f t="shared" si="32"/>
        <v>0</v>
      </c>
      <c r="AJ22" s="203">
        <f t="shared" si="32"/>
        <v>0</v>
      </c>
      <c r="AK22" s="203">
        <f t="shared" si="32"/>
        <v>0</v>
      </c>
      <c r="AL22" s="203">
        <f t="shared" si="32"/>
        <v>0</v>
      </c>
      <c r="AM22" s="203">
        <f t="shared" si="32"/>
        <v>0</v>
      </c>
      <c r="AN22" s="203">
        <f t="shared" si="32"/>
        <v>0</v>
      </c>
      <c r="AO22" s="203">
        <f t="shared" si="32"/>
        <v>0</v>
      </c>
      <c r="AP22" s="203">
        <f t="shared" si="32"/>
        <v>0</v>
      </c>
      <c r="AQ22" s="203">
        <f t="shared" si="32"/>
        <v>0</v>
      </c>
      <c r="AR22" s="203">
        <f t="shared" si="32"/>
        <v>0</v>
      </c>
      <c r="AS22" s="203">
        <f t="shared" si="32"/>
        <v>0</v>
      </c>
      <c r="AT22" s="203">
        <f t="shared" si="32"/>
        <v>0</v>
      </c>
      <c r="AU22" s="203">
        <f t="shared" si="32"/>
        <v>0</v>
      </c>
      <c r="AV22" s="203">
        <f t="shared" si="32"/>
        <v>0</v>
      </c>
      <c r="AW22" s="203">
        <f t="shared" si="32"/>
        <v>0</v>
      </c>
      <c r="AX22" s="203">
        <f t="shared" si="32"/>
        <v>0</v>
      </c>
      <c r="AY22" s="203">
        <f t="shared" si="32"/>
        <v>0</v>
      </c>
      <c r="AZ22" s="203">
        <f t="shared" si="32"/>
        <v>0</v>
      </c>
      <c r="BA22" s="203">
        <f t="shared" si="32"/>
        <v>0</v>
      </c>
      <c r="BB22" s="203">
        <f t="shared" si="32"/>
        <v>0</v>
      </c>
      <c r="BC22" s="203">
        <f t="shared" si="32"/>
        <v>0</v>
      </c>
      <c r="BD22" s="203">
        <f t="shared" si="32"/>
        <v>0</v>
      </c>
      <c r="BE22" s="203">
        <f t="shared" si="32"/>
        <v>0</v>
      </c>
      <c r="BF22" s="203">
        <f t="shared" si="32"/>
        <v>0</v>
      </c>
      <c r="BG22" s="203">
        <f t="shared" si="32"/>
        <v>0</v>
      </c>
      <c r="BH22" s="203">
        <f t="shared" si="32"/>
        <v>0</v>
      </c>
      <c r="BI22" s="203">
        <f t="shared" si="32"/>
        <v>0</v>
      </c>
      <c r="BJ22" s="203">
        <f t="shared" si="32"/>
        <v>0</v>
      </c>
      <c r="BK22" s="203">
        <f t="shared" si="32"/>
        <v>0</v>
      </c>
      <c r="BL22" s="203">
        <f t="shared" si="32"/>
        <v>0</v>
      </c>
      <c r="BM22" s="203">
        <f t="shared" si="32"/>
        <v>0</v>
      </c>
      <c r="BN22" s="203">
        <f t="shared" si="32"/>
        <v>0</v>
      </c>
      <c r="BO22" s="203">
        <f t="shared" si="32"/>
        <v>0</v>
      </c>
      <c r="BP22" s="203">
        <f t="shared" si="32"/>
        <v>0</v>
      </c>
      <c r="BQ22" s="203">
        <f t="shared" si="32"/>
        <v>0</v>
      </c>
      <c r="BR22" s="203">
        <f t="shared" si="32"/>
        <v>0</v>
      </c>
      <c r="BS22" s="203">
        <f t="shared" si="32"/>
        <v>0</v>
      </c>
      <c r="BT22" s="203">
        <f t="shared" ref="BT22:DX22" si="33">IF(BS22&gt;0,BS22-1,0)</f>
        <v>0</v>
      </c>
      <c r="BU22" s="203">
        <f t="shared" si="33"/>
        <v>0</v>
      </c>
      <c r="BV22" s="203">
        <f t="shared" si="33"/>
        <v>0</v>
      </c>
      <c r="BW22" s="203">
        <f t="shared" si="33"/>
        <v>0</v>
      </c>
      <c r="BX22" s="203">
        <f t="shared" si="33"/>
        <v>0</v>
      </c>
      <c r="BY22" s="203">
        <f t="shared" si="33"/>
        <v>0</v>
      </c>
      <c r="BZ22" s="203">
        <f t="shared" si="33"/>
        <v>0</v>
      </c>
      <c r="CA22" s="203">
        <f t="shared" si="33"/>
        <v>0</v>
      </c>
      <c r="CB22" s="203">
        <f t="shared" si="33"/>
        <v>0</v>
      </c>
      <c r="CC22" s="203">
        <f t="shared" si="33"/>
        <v>0</v>
      </c>
      <c r="CD22" s="203">
        <f t="shared" si="33"/>
        <v>0</v>
      </c>
      <c r="CE22" s="203">
        <f t="shared" si="33"/>
        <v>0</v>
      </c>
      <c r="CF22" s="203">
        <f t="shared" si="33"/>
        <v>0</v>
      </c>
      <c r="CG22" s="203">
        <f t="shared" si="33"/>
        <v>0</v>
      </c>
      <c r="CH22" s="203">
        <f t="shared" si="33"/>
        <v>0</v>
      </c>
      <c r="CI22" s="203">
        <f t="shared" si="33"/>
        <v>0</v>
      </c>
      <c r="CJ22" s="203">
        <f t="shared" si="33"/>
        <v>0</v>
      </c>
      <c r="CK22" s="203">
        <f t="shared" si="33"/>
        <v>0</v>
      </c>
      <c r="CL22" s="203">
        <f t="shared" si="33"/>
        <v>0</v>
      </c>
      <c r="CM22" s="203">
        <f t="shared" si="33"/>
        <v>0</v>
      </c>
      <c r="CN22" s="203">
        <f t="shared" si="33"/>
        <v>0</v>
      </c>
      <c r="CO22" s="203">
        <f t="shared" si="33"/>
        <v>0</v>
      </c>
      <c r="CP22" s="203">
        <f t="shared" si="33"/>
        <v>0</v>
      </c>
      <c r="CQ22" s="203">
        <f t="shared" si="33"/>
        <v>0</v>
      </c>
      <c r="CR22" s="203">
        <f t="shared" si="33"/>
        <v>0</v>
      </c>
      <c r="CS22" s="203">
        <f t="shared" si="33"/>
        <v>0</v>
      </c>
      <c r="CT22" s="203">
        <f t="shared" si="33"/>
        <v>0</v>
      </c>
      <c r="CU22" s="203">
        <f t="shared" si="33"/>
        <v>0</v>
      </c>
      <c r="CV22" s="203">
        <f t="shared" si="33"/>
        <v>0</v>
      </c>
      <c r="CW22" s="203">
        <f t="shared" si="33"/>
        <v>0</v>
      </c>
      <c r="CX22" s="203">
        <f t="shared" si="33"/>
        <v>0</v>
      </c>
      <c r="CY22" s="203">
        <f t="shared" si="33"/>
        <v>0</v>
      </c>
      <c r="CZ22" s="203">
        <f t="shared" si="33"/>
        <v>0</v>
      </c>
      <c r="DA22" s="203">
        <f t="shared" si="33"/>
        <v>0</v>
      </c>
      <c r="DB22" s="203">
        <f t="shared" si="33"/>
        <v>0</v>
      </c>
      <c r="DC22" s="203">
        <f t="shared" si="33"/>
        <v>0</v>
      </c>
      <c r="DD22" s="203">
        <f t="shared" si="33"/>
        <v>0</v>
      </c>
      <c r="DE22" s="203">
        <f t="shared" si="33"/>
        <v>0</v>
      </c>
      <c r="DF22" s="203">
        <f t="shared" si="33"/>
        <v>0</v>
      </c>
      <c r="DG22" s="203">
        <f t="shared" si="33"/>
        <v>0</v>
      </c>
      <c r="DH22" s="203">
        <f t="shared" si="33"/>
        <v>0</v>
      </c>
      <c r="DI22" s="203">
        <f t="shared" si="33"/>
        <v>0</v>
      </c>
      <c r="DJ22" s="203">
        <f t="shared" si="33"/>
        <v>0</v>
      </c>
      <c r="DK22" s="203">
        <f t="shared" si="33"/>
        <v>0</v>
      </c>
      <c r="DL22" s="203">
        <f t="shared" si="33"/>
        <v>0</v>
      </c>
      <c r="DM22" s="203">
        <f t="shared" si="33"/>
        <v>0</v>
      </c>
      <c r="DN22" s="203">
        <f t="shared" si="33"/>
        <v>0</v>
      </c>
      <c r="DO22" s="203">
        <f t="shared" si="33"/>
        <v>0</v>
      </c>
      <c r="DP22" s="203">
        <f t="shared" si="33"/>
        <v>0</v>
      </c>
      <c r="DQ22" s="203">
        <f t="shared" si="33"/>
        <v>0</v>
      </c>
      <c r="DR22" s="203">
        <f t="shared" si="33"/>
        <v>0</v>
      </c>
      <c r="DS22" s="203">
        <f t="shared" si="33"/>
        <v>0</v>
      </c>
      <c r="DT22" s="203">
        <f t="shared" si="33"/>
        <v>0</v>
      </c>
      <c r="DU22" s="203">
        <f t="shared" si="33"/>
        <v>0</v>
      </c>
      <c r="DV22" s="203">
        <f t="shared" si="33"/>
        <v>0</v>
      </c>
      <c r="DW22" s="203">
        <f t="shared" si="33"/>
        <v>0</v>
      </c>
      <c r="DX22" s="203">
        <f t="shared" si="33"/>
        <v>0</v>
      </c>
      <c r="DY22" s="88"/>
      <c r="DZ22" s="188" t="s">
        <v>402</v>
      </c>
      <c r="EB22" s="88"/>
    </row>
    <row r="23" spans="1:132" outlineLevel="1">
      <c r="A23" s="91" t="s">
        <v>166</v>
      </c>
      <c r="C23" s="185"/>
      <c r="D23" s="185"/>
      <c r="E23" s="195"/>
      <c r="F23" s="202" t="str">
        <f>YEAR(CompanyYearStartDateIn)&amp;"/"&amp;RIGHT(YEAR(CompanyYearStartDateIn)+1,1)</f>
        <v>2008/9</v>
      </c>
      <c r="G23" s="203" t="str">
        <f t="shared" ref="G23:U23" si="34">IF(MONTH(G11)=4,YEAR(G11)&amp;"/"&amp;RIGHT(YEAR(G11)+1,IF(YEAR(G11)&gt;2008,2,1)),F23)</f>
        <v>2008/9</v>
      </c>
      <c r="H23" s="203" t="str">
        <f t="shared" si="34"/>
        <v>2008/9</v>
      </c>
      <c r="I23" s="203" t="str">
        <f t="shared" si="34"/>
        <v>2008/9</v>
      </c>
      <c r="J23" s="203" t="str">
        <f t="shared" si="34"/>
        <v>2008/9</v>
      </c>
      <c r="K23" s="203" t="str">
        <f t="shared" si="34"/>
        <v>2015/16</v>
      </c>
      <c r="L23" s="203" t="str">
        <f t="shared" si="34"/>
        <v>2015/16</v>
      </c>
      <c r="M23" s="203" t="str">
        <f t="shared" si="34"/>
        <v>2015/16</v>
      </c>
      <c r="N23" s="203" t="str">
        <f t="shared" si="34"/>
        <v>2015/16</v>
      </c>
      <c r="O23" s="203" t="str">
        <f t="shared" si="34"/>
        <v>2015/16</v>
      </c>
      <c r="P23" s="203" t="str">
        <f t="shared" si="34"/>
        <v>2015/16</v>
      </c>
      <c r="Q23" s="203" t="str">
        <f t="shared" si="34"/>
        <v>2015/16</v>
      </c>
      <c r="R23" s="203" t="str">
        <f t="shared" si="34"/>
        <v>2015/16</v>
      </c>
      <c r="S23" s="203" t="str">
        <f t="shared" si="34"/>
        <v>2015/16</v>
      </c>
      <c r="T23" s="203" t="str">
        <f t="shared" si="34"/>
        <v>2015/16</v>
      </c>
      <c r="U23" s="203" t="str">
        <f t="shared" si="34"/>
        <v>2015/16</v>
      </c>
      <c r="V23" s="203" t="str">
        <f>IF(MONTH(V11)=4,YEAR(V11)&amp;"/"&amp;RIGHT(YEAR(V11)+1,IF(YEAR(V11)&gt;2008,2,1)),U23)</f>
        <v>2015/16</v>
      </c>
      <c r="W23" s="203" t="str">
        <f t="shared" ref="W23:CH23" si="35">IF(MONTH(W11)=4,YEAR(W11)&amp;"/"&amp;RIGHT(YEAR(W11)+1,IF(YEAR(W11)&gt;2009,2,1)),V23)</f>
        <v>2016/17</v>
      </c>
      <c r="X23" s="203" t="str">
        <f t="shared" si="35"/>
        <v>2016/17</v>
      </c>
      <c r="Y23" s="203" t="str">
        <f t="shared" si="35"/>
        <v>2016/17</v>
      </c>
      <c r="Z23" s="203" t="str">
        <f t="shared" si="35"/>
        <v>2016/17</v>
      </c>
      <c r="AA23" s="203" t="str">
        <f t="shared" si="35"/>
        <v>2016/17</v>
      </c>
      <c r="AB23" s="203" t="str">
        <f t="shared" si="35"/>
        <v>2016/17</v>
      </c>
      <c r="AC23" s="203" t="str">
        <f t="shared" si="35"/>
        <v>2016/17</v>
      </c>
      <c r="AD23" s="203" t="str">
        <f t="shared" si="35"/>
        <v>2016/17</v>
      </c>
      <c r="AE23" s="203" t="str">
        <f t="shared" si="35"/>
        <v>2016/17</v>
      </c>
      <c r="AF23" s="203" t="str">
        <f t="shared" si="35"/>
        <v>2016/17</v>
      </c>
      <c r="AG23" s="203" t="str">
        <f t="shared" si="35"/>
        <v>2016/17</v>
      </c>
      <c r="AH23" s="203" t="str">
        <f t="shared" si="35"/>
        <v>2016/17</v>
      </c>
      <c r="AI23" s="203" t="str">
        <f t="shared" si="35"/>
        <v>2017/18</v>
      </c>
      <c r="AJ23" s="203" t="str">
        <f t="shared" si="35"/>
        <v>2017/18</v>
      </c>
      <c r="AK23" s="203" t="str">
        <f t="shared" si="35"/>
        <v>2017/18</v>
      </c>
      <c r="AL23" s="203" t="str">
        <f t="shared" si="35"/>
        <v>2017/18</v>
      </c>
      <c r="AM23" s="203" t="str">
        <f t="shared" si="35"/>
        <v>2017/18</v>
      </c>
      <c r="AN23" s="203" t="str">
        <f t="shared" si="35"/>
        <v>2017/18</v>
      </c>
      <c r="AO23" s="203" t="str">
        <f t="shared" si="35"/>
        <v>2017/18</v>
      </c>
      <c r="AP23" s="203" t="str">
        <f t="shared" si="35"/>
        <v>2017/18</v>
      </c>
      <c r="AQ23" s="203" t="str">
        <f t="shared" si="35"/>
        <v>2017/18</v>
      </c>
      <c r="AR23" s="203" t="str">
        <f t="shared" si="35"/>
        <v>2017/18</v>
      </c>
      <c r="AS23" s="203" t="str">
        <f t="shared" si="35"/>
        <v>2017/18</v>
      </c>
      <c r="AT23" s="203" t="str">
        <f t="shared" si="35"/>
        <v>2017/18</v>
      </c>
      <c r="AU23" s="203" t="str">
        <f t="shared" si="35"/>
        <v>2018/19</v>
      </c>
      <c r="AV23" s="203" t="str">
        <f t="shared" si="35"/>
        <v>2018/19</v>
      </c>
      <c r="AW23" s="203" t="str">
        <f t="shared" si="35"/>
        <v>2018/19</v>
      </c>
      <c r="AX23" s="203" t="str">
        <f t="shared" si="35"/>
        <v>2018/19</v>
      </c>
      <c r="AY23" s="203" t="str">
        <f t="shared" si="35"/>
        <v>2018/19</v>
      </c>
      <c r="AZ23" s="203" t="str">
        <f t="shared" si="35"/>
        <v>2018/19</v>
      </c>
      <c r="BA23" s="203" t="str">
        <f t="shared" si="35"/>
        <v>2018/19</v>
      </c>
      <c r="BB23" s="203" t="str">
        <f t="shared" si="35"/>
        <v>2018/19</v>
      </c>
      <c r="BC23" s="203" t="str">
        <f t="shared" si="35"/>
        <v>2018/19</v>
      </c>
      <c r="BD23" s="203" t="str">
        <f t="shared" si="35"/>
        <v>2018/19</v>
      </c>
      <c r="BE23" s="203" t="str">
        <f t="shared" si="35"/>
        <v>2018/19</v>
      </c>
      <c r="BF23" s="203" t="str">
        <f t="shared" si="35"/>
        <v>2018/19</v>
      </c>
      <c r="BG23" s="203" t="str">
        <f t="shared" si="35"/>
        <v>2019/20</v>
      </c>
      <c r="BH23" s="203" t="str">
        <f t="shared" si="35"/>
        <v>2019/20</v>
      </c>
      <c r="BI23" s="203" t="str">
        <f t="shared" si="35"/>
        <v>2019/20</v>
      </c>
      <c r="BJ23" s="203" t="str">
        <f t="shared" si="35"/>
        <v>2019/20</v>
      </c>
      <c r="BK23" s="203" t="str">
        <f t="shared" si="35"/>
        <v>2019/20</v>
      </c>
      <c r="BL23" s="203" t="str">
        <f t="shared" si="35"/>
        <v>2019/20</v>
      </c>
      <c r="BM23" s="203" t="str">
        <f t="shared" si="35"/>
        <v>2019/20</v>
      </c>
      <c r="BN23" s="203" t="str">
        <f t="shared" si="35"/>
        <v>2019/20</v>
      </c>
      <c r="BO23" s="203" t="str">
        <f t="shared" si="35"/>
        <v>2019/20</v>
      </c>
      <c r="BP23" s="203" t="str">
        <f t="shared" si="35"/>
        <v>2019/20</v>
      </c>
      <c r="BQ23" s="203" t="str">
        <f t="shared" si="35"/>
        <v>2019/20</v>
      </c>
      <c r="BR23" s="203" t="str">
        <f t="shared" si="35"/>
        <v>2019/20</v>
      </c>
      <c r="BS23" s="203" t="str">
        <f t="shared" si="35"/>
        <v>2020/21</v>
      </c>
      <c r="BT23" s="203" t="str">
        <f t="shared" si="35"/>
        <v>2020/21</v>
      </c>
      <c r="BU23" s="203" t="str">
        <f t="shared" si="35"/>
        <v>2020/21</v>
      </c>
      <c r="BV23" s="203" t="str">
        <f t="shared" si="35"/>
        <v>2020/21</v>
      </c>
      <c r="BW23" s="203" t="str">
        <f t="shared" si="35"/>
        <v>2020/21</v>
      </c>
      <c r="BX23" s="203" t="str">
        <f t="shared" si="35"/>
        <v>2020/21</v>
      </c>
      <c r="BY23" s="203" t="str">
        <f t="shared" si="35"/>
        <v>2020/21</v>
      </c>
      <c r="BZ23" s="203" t="str">
        <f t="shared" si="35"/>
        <v>2020/21</v>
      </c>
      <c r="CA23" s="203" t="str">
        <f t="shared" si="35"/>
        <v>2020/21</v>
      </c>
      <c r="CB23" s="203" t="str">
        <f t="shared" si="35"/>
        <v>2020/21</v>
      </c>
      <c r="CC23" s="203" t="str">
        <f t="shared" si="35"/>
        <v>2020/21</v>
      </c>
      <c r="CD23" s="203" t="str">
        <f t="shared" si="35"/>
        <v>2020/21</v>
      </c>
      <c r="CE23" s="203" t="str">
        <f t="shared" si="35"/>
        <v>2021/22</v>
      </c>
      <c r="CF23" s="203" t="str">
        <f t="shared" si="35"/>
        <v>2021/22</v>
      </c>
      <c r="CG23" s="203" t="str">
        <f t="shared" si="35"/>
        <v>2021/22</v>
      </c>
      <c r="CH23" s="203" t="str">
        <f t="shared" si="35"/>
        <v>2021/22</v>
      </c>
      <c r="CI23" s="203" t="str">
        <f t="shared" ref="CI23:DX23" si="36">IF(MONTH(CI11)=4,YEAR(CI11)&amp;"/"&amp;RIGHT(YEAR(CI11)+1,IF(YEAR(CI11)&gt;2009,2,1)),CH23)</f>
        <v>2021/22</v>
      </c>
      <c r="CJ23" s="203" t="str">
        <f t="shared" si="36"/>
        <v>2021/22</v>
      </c>
      <c r="CK23" s="203" t="str">
        <f t="shared" si="36"/>
        <v>2021/22</v>
      </c>
      <c r="CL23" s="203" t="str">
        <f t="shared" si="36"/>
        <v>2021/22</v>
      </c>
      <c r="CM23" s="203" t="str">
        <f t="shared" si="36"/>
        <v>2021/22</v>
      </c>
      <c r="CN23" s="203" t="str">
        <f t="shared" si="36"/>
        <v>2021/22</v>
      </c>
      <c r="CO23" s="203" t="str">
        <f t="shared" si="36"/>
        <v>2021/22</v>
      </c>
      <c r="CP23" s="203" t="str">
        <f t="shared" si="36"/>
        <v>2021/22</v>
      </c>
      <c r="CQ23" s="203" t="str">
        <f t="shared" si="36"/>
        <v>2022/23</v>
      </c>
      <c r="CR23" s="203" t="str">
        <f t="shared" si="36"/>
        <v>2022/23</v>
      </c>
      <c r="CS23" s="203" t="str">
        <f t="shared" si="36"/>
        <v>2022/23</v>
      </c>
      <c r="CT23" s="203" t="str">
        <f t="shared" si="36"/>
        <v>2022/23</v>
      </c>
      <c r="CU23" s="203" t="str">
        <f t="shared" si="36"/>
        <v>2022/23</v>
      </c>
      <c r="CV23" s="203" t="str">
        <f t="shared" si="36"/>
        <v>2022/23</v>
      </c>
      <c r="CW23" s="203" t="str">
        <f t="shared" si="36"/>
        <v>2022/23</v>
      </c>
      <c r="CX23" s="203" t="str">
        <f t="shared" si="36"/>
        <v>2022/23</v>
      </c>
      <c r="CY23" s="203" t="str">
        <f t="shared" si="36"/>
        <v>2022/23</v>
      </c>
      <c r="CZ23" s="203" t="str">
        <f t="shared" si="36"/>
        <v>2022/23</v>
      </c>
      <c r="DA23" s="203" t="str">
        <f t="shared" si="36"/>
        <v>2022/23</v>
      </c>
      <c r="DB23" s="203" t="str">
        <f t="shared" si="36"/>
        <v>2022/23</v>
      </c>
      <c r="DC23" s="203" t="str">
        <f t="shared" si="36"/>
        <v>2023/24</v>
      </c>
      <c r="DD23" s="203" t="str">
        <f t="shared" si="36"/>
        <v>2023/24</v>
      </c>
      <c r="DE23" s="203" t="str">
        <f t="shared" si="36"/>
        <v>2023/24</v>
      </c>
      <c r="DF23" s="203" t="str">
        <f t="shared" si="36"/>
        <v>2023/24</v>
      </c>
      <c r="DG23" s="203" t="str">
        <f t="shared" si="36"/>
        <v>2023/24</v>
      </c>
      <c r="DH23" s="203" t="str">
        <f t="shared" si="36"/>
        <v>2023/24</v>
      </c>
      <c r="DI23" s="203" t="str">
        <f t="shared" si="36"/>
        <v>2023/24</v>
      </c>
      <c r="DJ23" s="203" t="str">
        <f t="shared" si="36"/>
        <v>2023/24</v>
      </c>
      <c r="DK23" s="203" t="str">
        <f t="shared" si="36"/>
        <v>2023/24</v>
      </c>
      <c r="DL23" s="203" t="str">
        <f t="shared" si="36"/>
        <v>2023/24</v>
      </c>
      <c r="DM23" s="203" t="str">
        <f t="shared" si="36"/>
        <v>2023/24</v>
      </c>
      <c r="DN23" s="203" t="str">
        <f t="shared" si="36"/>
        <v>2023/24</v>
      </c>
      <c r="DO23" s="203" t="str">
        <f t="shared" si="36"/>
        <v>2024/25</v>
      </c>
      <c r="DP23" s="203" t="str">
        <f t="shared" si="36"/>
        <v>2024/25</v>
      </c>
      <c r="DQ23" s="203" t="str">
        <f t="shared" si="36"/>
        <v>2024/25</v>
      </c>
      <c r="DR23" s="203" t="str">
        <f t="shared" si="36"/>
        <v>2024/25</v>
      </c>
      <c r="DS23" s="203" t="str">
        <f t="shared" si="36"/>
        <v>2024/25</v>
      </c>
      <c r="DT23" s="203" t="str">
        <f t="shared" si="36"/>
        <v>2024/25</v>
      </c>
      <c r="DU23" s="203" t="str">
        <f t="shared" si="36"/>
        <v>2024/25</v>
      </c>
      <c r="DV23" s="203" t="str">
        <f t="shared" si="36"/>
        <v>2024/25</v>
      </c>
      <c r="DW23" s="203" t="str">
        <f t="shared" si="36"/>
        <v>2024/25</v>
      </c>
      <c r="DX23" s="203" t="str">
        <f t="shared" si="36"/>
        <v>2024/25</v>
      </c>
      <c r="DY23" s="88"/>
      <c r="DZ23" s="188" t="s">
        <v>403</v>
      </c>
      <c r="EB23" s="88"/>
    </row>
    <row r="24" spans="1:132" outlineLevel="1">
      <c r="A24" s="91" t="s">
        <v>167</v>
      </c>
      <c r="C24" s="185"/>
      <c r="D24" s="185"/>
      <c r="E24" s="185"/>
      <c r="F24" s="202">
        <f>MONTH(F11)-3</f>
        <v>8</v>
      </c>
      <c r="G24" s="203">
        <f>IF(F24=12,1,F24+1)</f>
        <v>9</v>
      </c>
      <c r="H24" s="203">
        <f>IF(G24=12,1,G24+1)</f>
        <v>10</v>
      </c>
      <c r="I24" s="203">
        <f>IF(H24=12,1,H24+1)</f>
        <v>11</v>
      </c>
      <c r="J24" s="203">
        <f>IF(I24=12,1,I24+1)</f>
        <v>12</v>
      </c>
      <c r="K24" s="203">
        <f t="shared" ref="K24:BV24" si="37">IF(J24=12,1,J24+1)</f>
        <v>1</v>
      </c>
      <c r="L24" s="203">
        <f t="shared" si="37"/>
        <v>2</v>
      </c>
      <c r="M24" s="203">
        <f t="shared" si="37"/>
        <v>3</v>
      </c>
      <c r="N24" s="203">
        <f t="shared" si="37"/>
        <v>4</v>
      </c>
      <c r="O24" s="203">
        <f t="shared" si="37"/>
        <v>5</v>
      </c>
      <c r="P24" s="203">
        <f t="shared" si="37"/>
        <v>6</v>
      </c>
      <c r="Q24" s="203">
        <f t="shared" si="37"/>
        <v>7</v>
      </c>
      <c r="R24" s="203">
        <f t="shared" si="37"/>
        <v>8</v>
      </c>
      <c r="S24" s="203">
        <f t="shared" si="37"/>
        <v>9</v>
      </c>
      <c r="T24" s="203">
        <f t="shared" si="37"/>
        <v>10</v>
      </c>
      <c r="U24" s="203">
        <f t="shared" si="37"/>
        <v>11</v>
      </c>
      <c r="V24" s="203">
        <f t="shared" si="37"/>
        <v>12</v>
      </c>
      <c r="W24" s="203">
        <f t="shared" si="37"/>
        <v>1</v>
      </c>
      <c r="X24" s="203">
        <f t="shared" si="37"/>
        <v>2</v>
      </c>
      <c r="Y24" s="203">
        <f t="shared" si="37"/>
        <v>3</v>
      </c>
      <c r="Z24" s="203">
        <f t="shared" si="37"/>
        <v>4</v>
      </c>
      <c r="AA24" s="203">
        <f t="shared" si="37"/>
        <v>5</v>
      </c>
      <c r="AB24" s="203">
        <f t="shared" si="37"/>
        <v>6</v>
      </c>
      <c r="AC24" s="203">
        <f t="shared" si="37"/>
        <v>7</v>
      </c>
      <c r="AD24" s="203">
        <f t="shared" si="37"/>
        <v>8</v>
      </c>
      <c r="AE24" s="203">
        <f t="shared" si="37"/>
        <v>9</v>
      </c>
      <c r="AF24" s="203">
        <f t="shared" si="37"/>
        <v>10</v>
      </c>
      <c r="AG24" s="203">
        <f t="shared" si="37"/>
        <v>11</v>
      </c>
      <c r="AH24" s="203">
        <f t="shared" si="37"/>
        <v>12</v>
      </c>
      <c r="AI24" s="203">
        <f t="shared" si="37"/>
        <v>1</v>
      </c>
      <c r="AJ24" s="203">
        <f t="shared" si="37"/>
        <v>2</v>
      </c>
      <c r="AK24" s="203">
        <f t="shared" si="37"/>
        <v>3</v>
      </c>
      <c r="AL24" s="203">
        <f t="shared" si="37"/>
        <v>4</v>
      </c>
      <c r="AM24" s="203">
        <f t="shared" si="37"/>
        <v>5</v>
      </c>
      <c r="AN24" s="203">
        <f t="shared" si="37"/>
        <v>6</v>
      </c>
      <c r="AO24" s="203">
        <f t="shared" si="37"/>
        <v>7</v>
      </c>
      <c r="AP24" s="203">
        <f t="shared" si="37"/>
        <v>8</v>
      </c>
      <c r="AQ24" s="203">
        <f t="shared" si="37"/>
        <v>9</v>
      </c>
      <c r="AR24" s="203">
        <f t="shared" si="37"/>
        <v>10</v>
      </c>
      <c r="AS24" s="203">
        <f t="shared" si="37"/>
        <v>11</v>
      </c>
      <c r="AT24" s="203">
        <f t="shared" si="37"/>
        <v>12</v>
      </c>
      <c r="AU24" s="203">
        <f t="shared" si="37"/>
        <v>1</v>
      </c>
      <c r="AV24" s="203">
        <f t="shared" si="37"/>
        <v>2</v>
      </c>
      <c r="AW24" s="203">
        <f t="shared" si="37"/>
        <v>3</v>
      </c>
      <c r="AX24" s="203">
        <f t="shared" si="37"/>
        <v>4</v>
      </c>
      <c r="AY24" s="203">
        <f t="shared" si="37"/>
        <v>5</v>
      </c>
      <c r="AZ24" s="203">
        <f t="shared" si="37"/>
        <v>6</v>
      </c>
      <c r="BA24" s="203">
        <f t="shared" si="37"/>
        <v>7</v>
      </c>
      <c r="BB24" s="203">
        <f t="shared" si="37"/>
        <v>8</v>
      </c>
      <c r="BC24" s="203">
        <f t="shared" si="37"/>
        <v>9</v>
      </c>
      <c r="BD24" s="203">
        <f t="shared" si="37"/>
        <v>10</v>
      </c>
      <c r="BE24" s="203">
        <f t="shared" si="37"/>
        <v>11</v>
      </c>
      <c r="BF24" s="203">
        <f t="shared" si="37"/>
        <v>12</v>
      </c>
      <c r="BG24" s="203">
        <f t="shared" si="37"/>
        <v>1</v>
      </c>
      <c r="BH24" s="203">
        <f t="shared" si="37"/>
        <v>2</v>
      </c>
      <c r="BI24" s="203">
        <f t="shared" si="37"/>
        <v>3</v>
      </c>
      <c r="BJ24" s="203">
        <f t="shared" si="37"/>
        <v>4</v>
      </c>
      <c r="BK24" s="203">
        <f t="shared" si="37"/>
        <v>5</v>
      </c>
      <c r="BL24" s="203">
        <f t="shared" si="37"/>
        <v>6</v>
      </c>
      <c r="BM24" s="203">
        <f t="shared" si="37"/>
        <v>7</v>
      </c>
      <c r="BN24" s="203">
        <f t="shared" si="37"/>
        <v>8</v>
      </c>
      <c r="BO24" s="203">
        <f t="shared" si="37"/>
        <v>9</v>
      </c>
      <c r="BP24" s="203">
        <f t="shared" si="37"/>
        <v>10</v>
      </c>
      <c r="BQ24" s="203">
        <f t="shared" si="37"/>
        <v>11</v>
      </c>
      <c r="BR24" s="203">
        <f t="shared" si="37"/>
        <v>12</v>
      </c>
      <c r="BS24" s="203">
        <f t="shared" si="37"/>
        <v>1</v>
      </c>
      <c r="BT24" s="203">
        <f t="shared" si="37"/>
        <v>2</v>
      </c>
      <c r="BU24" s="203">
        <f t="shared" si="37"/>
        <v>3</v>
      </c>
      <c r="BV24" s="203">
        <f t="shared" si="37"/>
        <v>4</v>
      </c>
      <c r="BW24" s="203">
        <f t="shared" ref="BW24:DX24" si="38">IF(BV24=12,1,BV24+1)</f>
        <v>5</v>
      </c>
      <c r="BX24" s="203">
        <f t="shared" si="38"/>
        <v>6</v>
      </c>
      <c r="BY24" s="203">
        <f t="shared" si="38"/>
        <v>7</v>
      </c>
      <c r="BZ24" s="203">
        <f t="shared" si="38"/>
        <v>8</v>
      </c>
      <c r="CA24" s="203">
        <f t="shared" si="38"/>
        <v>9</v>
      </c>
      <c r="CB24" s="203">
        <f t="shared" si="38"/>
        <v>10</v>
      </c>
      <c r="CC24" s="203">
        <f t="shared" si="38"/>
        <v>11</v>
      </c>
      <c r="CD24" s="203">
        <f t="shared" si="38"/>
        <v>12</v>
      </c>
      <c r="CE24" s="203">
        <f t="shared" si="38"/>
        <v>1</v>
      </c>
      <c r="CF24" s="203">
        <f t="shared" si="38"/>
        <v>2</v>
      </c>
      <c r="CG24" s="203">
        <f t="shared" si="38"/>
        <v>3</v>
      </c>
      <c r="CH24" s="203">
        <f t="shared" si="38"/>
        <v>4</v>
      </c>
      <c r="CI24" s="203">
        <f t="shared" si="38"/>
        <v>5</v>
      </c>
      <c r="CJ24" s="203">
        <f t="shared" si="38"/>
        <v>6</v>
      </c>
      <c r="CK24" s="203">
        <f t="shared" si="38"/>
        <v>7</v>
      </c>
      <c r="CL24" s="203">
        <f t="shared" si="38"/>
        <v>8</v>
      </c>
      <c r="CM24" s="203">
        <f t="shared" si="38"/>
        <v>9</v>
      </c>
      <c r="CN24" s="203">
        <f t="shared" si="38"/>
        <v>10</v>
      </c>
      <c r="CO24" s="203">
        <f t="shared" si="38"/>
        <v>11</v>
      </c>
      <c r="CP24" s="203">
        <f t="shared" si="38"/>
        <v>12</v>
      </c>
      <c r="CQ24" s="203">
        <f t="shared" si="38"/>
        <v>1</v>
      </c>
      <c r="CR24" s="203">
        <f t="shared" si="38"/>
        <v>2</v>
      </c>
      <c r="CS24" s="203">
        <f t="shared" si="38"/>
        <v>3</v>
      </c>
      <c r="CT24" s="203">
        <f t="shared" si="38"/>
        <v>4</v>
      </c>
      <c r="CU24" s="203">
        <f t="shared" si="38"/>
        <v>5</v>
      </c>
      <c r="CV24" s="203">
        <f t="shared" si="38"/>
        <v>6</v>
      </c>
      <c r="CW24" s="203">
        <f t="shared" si="38"/>
        <v>7</v>
      </c>
      <c r="CX24" s="203">
        <f t="shared" si="38"/>
        <v>8</v>
      </c>
      <c r="CY24" s="203">
        <f t="shared" si="38"/>
        <v>9</v>
      </c>
      <c r="CZ24" s="203">
        <f t="shared" si="38"/>
        <v>10</v>
      </c>
      <c r="DA24" s="203">
        <f t="shared" si="38"/>
        <v>11</v>
      </c>
      <c r="DB24" s="203">
        <f t="shared" si="38"/>
        <v>12</v>
      </c>
      <c r="DC24" s="203">
        <f t="shared" si="38"/>
        <v>1</v>
      </c>
      <c r="DD24" s="203">
        <f t="shared" si="38"/>
        <v>2</v>
      </c>
      <c r="DE24" s="203">
        <f t="shared" si="38"/>
        <v>3</v>
      </c>
      <c r="DF24" s="203">
        <f t="shared" si="38"/>
        <v>4</v>
      </c>
      <c r="DG24" s="203">
        <f t="shared" si="38"/>
        <v>5</v>
      </c>
      <c r="DH24" s="203">
        <f t="shared" si="38"/>
        <v>6</v>
      </c>
      <c r="DI24" s="203">
        <f t="shared" si="38"/>
        <v>7</v>
      </c>
      <c r="DJ24" s="203">
        <f t="shared" si="38"/>
        <v>8</v>
      </c>
      <c r="DK24" s="203">
        <f t="shared" si="38"/>
        <v>9</v>
      </c>
      <c r="DL24" s="203">
        <f t="shared" si="38"/>
        <v>10</v>
      </c>
      <c r="DM24" s="203">
        <f t="shared" si="38"/>
        <v>11</v>
      </c>
      <c r="DN24" s="203">
        <f t="shared" si="38"/>
        <v>12</v>
      </c>
      <c r="DO24" s="203">
        <f t="shared" si="38"/>
        <v>1</v>
      </c>
      <c r="DP24" s="203">
        <f t="shared" si="38"/>
        <v>2</v>
      </c>
      <c r="DQ24" s="203">
        <f t="shared" si="38"/>
        <v>3</v>
      </c>
      <c r="DR24" s="203">
        <f t="shared" si="38"/>
        <v>4</v>
      </c>
      <c r="DS24" s="203">
        <f t="shared" si="38"/>
        <v>5</v>
      </c>
      <c r="DT24" s="203">
        <f t="shared" si="38"/>
        <v>6</v>
      </c>
      <c r="DU24" s="203">
        <f t="shared" si="38"/>
        <v>7</v>
      </c>
      <c r="DV24" s="203">
        <f t="shared" si="38"/>
        <v>8</v>
      </c>
      <c r="DW24" s="203">
        <f t="shared" si="38"/>
        <v>9</v>
      </c>
      <c r="DX24" s="203">
        <f t="shared" si="38"/>
        <v>10</v>
      </c>
      <c r="DY24" s="88"/>
      <c r="DZ24" s="188" t="s">
        <v>404</v>
      </c>
      <c r="EB24" s="88"/>
    </row>
    <row r="25" spans="1:132">
      <c r="A25" s="185"/>
      <c r="B25" s="185"/>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5"/>
      <c r="CU25" s="185"/>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2"/>
      <c r="EB25" s="182"/>
    </row>
    <row r="26" spans="1:132" s="179" customFormat="1">
      <c r="A26" s="208" t="s">
        <v>405</v>
      </c>
      <c r="B26" s="209"/>
      <c r="C26" s="209"/>
      <c r="D26" s="209"/>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09"/>
      <c r="BC26" s="209"/>
      <c r="BD26" s="209"/>
      <c r="BE26" s="209"/>
      <c r="BF26" s="209"/>
      <c r="BG26" s="209"/>
      <c r="BH26" s="209"/>
      <c r="BI26" s="209"/>
      <c r="BJ26" s="209"/>
      <c r="BK26" s="209"/>
      <c r="BL26" s="209"/>
      <c r="BM26" s="209"/>
      <c r="BN26" s="209"/>
      <c r="BO26" s="209"/>
      <c r="BP26" s="209"/>
      <c r="BQ26" s="209"/>
      <c r="BR26" s="209"/>
      <c r="BS26" s="209"/>
      <c r="BT26" s="209"/>
      <c r="BU26" s="209"/>
      <c r="BV26" s="209"/>
      <c r="BW26" s="209"/>
      <c r="BX26" s="209"/>
      <c r="BY26" s="209"/>
      <c r="BZ26" s="209"/>
      <c r="CA26" s="209"/>
      <c r="CB26" s="209"/>
      <c r="CC26" s="209"/>
      <c r="CD26" s="209"/>
      <c r="CE26" s="209"/>
      <c r="CF26" s="209"/>
      <c r="CG26" s="209"/>
      <c r="CH26" s="209"/>
      <c r="CI26" s="209"/>
      <c r="CJ26" s="209"/>
      <c r="CK26" s="209"/>
      <c r="CL26" s="209"/>
      <c r="CM26" s="209"/>
      <c r="CN26" s="209"/>
      <c r="CO26" s="209"/>
      <c r="CP26" s="209"/>
      <c r="CQ26" s="209"/>
      <c r="CR26" s="209"/>
      <c r="CS26" s="209"/>
      <c r="CT26" s="209"/>
      <c r="CU26" s="209"/>
      <c r="CV26" s="209"/>
      <c r="CW26" s="209"/>
      <c r="CX26" s="209"/>
      <c r="CY26" s="209"/>
      <c r="CZ26" s="209"/>
      <c r="DA26" s="209"/>
      <c r="DB26" s="209"/>
      <c r="DC26" s="209"/>
      <c r="DD26" s="209"/>
      <c r="DE26" s="209"/>
      <c r="DF26" s="209"/>
      <c r="DG26" s="209"/>
      <c r="DH26" s="209"/>
      <c r="DI26" s="209"/>
      <c r="DJ26" s="209"/>
      <c r="DK26" s="209"/>
      <c r="DL26" s="209"/>
      <c r="DM26" s="209"/>
      <c r="DN26" s="209"/>
      <c r="DO26" s="209"/>
      <c r="DP26" s="209"/>
      <c r="DQ26" s="209"/>
      <c r="DR26" s="209"/>
      <c r="DS26" s="209"/>
      <c r="DT26" s="209"/>
      <c r="DU26" s="209"/>
      <c r="DV26" s="209"/>
      <c r="DW26" s="209"/>
      <c r="DX26" s="209"/>
      <c r="DY26" s="209"/>
      <c r="DZ26" s="209"/>
      <c r="EA26" s="209"/>
      <c r="EB26" s="209"/>
    </row>
    <row r="27" spans="1:132" outlineLevel="1">
      <c r="A27" s="185"/>
      <c r="B27" s="185"/>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K27" s="185"/>
      <c r="BL27" s="185"/>
      <c r="BM27" s="185"/>
      <c r="BN27" s="185"/>
      <c r="BO27" s="185"/>
      <c r="BP27" s="185"/>
      <c r="BQ27" s="185"/>
      <c r="BR27" s="185"/>
      <c r="BS27" s="185"/>
      <c r="BT27" s="185"/>
      <c r="BU27" s="185"/>
      <c r="BV27" s="185"/>
      <c r="BW27" s="185"/>
      <c r="BX27" s="185"/>
      <c r="BY27" s="185"/>
      <c r="BZ27" s="185"/>
      <c r="CA27" s="185"/>
      <c r="CB27" s="185"/>
      <c r="CC27" s="185"/>
      <c r="CD27" s="185"/>
      <c r="CE27" s="185"/>
      <c r="CF27" s="185"/>
      <c r="CG27" s="185"/>
      <c r="CH27" s="185"/>
      <c r="CI27" s="185"/>
      <c r="CJ27" s="185"/>
      <c r="CK27" s="185"/>
      <c r="CL27" s="185"/>
      <c r="CM27" s="185"/>
      <c r="CN27" s="185"/>
      <c r="CO27" s="185"/>
      <c r="CP27" s="185"/>
      <c r="CQ27" s="185"/>
      <c r="CR27" s="185"/>
      <c r="CS27" s="185"/>
      <c r="CT27" s="185"/>
      <c r="CU27" s="185"/>
      <c r="CV27" s="185"/>
      <c r="CW27" s="185"/>
      <c r="CX27" s="185"/>
      <c r="CY27" s="185"/>
      <c r="CZ27" s="185"/>
      <c r="DA27" s="185"/>
      <c r="DB27" s="185"/>
      <c r="DC27" s="185"/>
      <c r="DD27" s="185"/>
      <c r="DE27" s="185"/>
      <c r="DF27" s="185"/>
      <c r="DG27" s="185"/>
      <c r="DH27" s="185"/>
      <c r="DI27" s="185"/>
      <c r="DJ27" s="185"/>
      <c r="DK27" s="185"/>
      <c r="DL27" s="185"/>
      <c r="DM27" s="185"/>
      <c r="DN27" s="185"/>
      <c r="DO27" s="185"/>
      <c r="DP27" s="185"/>
      <c r="DQ27" s="185"/>
      <c r="DR27" s="185"/>
      <c r="DS27" s="185"/>
      <c r="DT27" s="185"/>
      <c r="DU27" s="185"/>
      <c r="DV27" s="185"/>
      <c r="DW27" s="185"/>
      <c r="DX27" s="185"/>
      <c r="DY27" s="186"/>
      <c r="EB27" s="186"/>
    </row>
    <row r="28" spans="1:132" hidden="1"/>
    <row r="29" spans="1:132" hidden="1"/>
    <row r="30" spans="1:132" hidden="1"/>
    <row r="31" spans="1:132" hidden="1"/>
    <row r="32" spans="1:1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spans="1:1" hidden="1"/>
    <row r="162" spans="1:1" hidden="1"/>
    <row r="163" spans="1:1" hidden="1">
      <c r="A163" s="24"/>
    </row>
    <row r="164" spans="1:1" hidden="1">
      <c r="A164" s="24"/>
    </row>
    <row r="165" spans="1:1" ht="12.75" hidden="1" customHeight="1"/>
    <row r="166" spans="1:1" ht="12.75" hidden="1" customHeight="1"/>
    <row r="167" spans="1:1" ht="12.75" hidden="1" customHeight="1"/>
    <row r="168" spans="1:1" ht="12.75" hidden="1" customHeight="1"/>
    <row r="169" spans="1:1" ht="12.75" hidden="1" customHeight="1"/>
    <row r="170" spans="1:1" ht="12.75" hidden="1" customHeight="1"/>
    <row r="171" spans="1:1" ht="12.75" hidden="1" customHeight="1"/>
    <row r="172" spans="1:1" ht="12.75" hidden="1" customHeight="1"/>
    <row r="173" spans="1:1" ht="12.75" hidden="1" customHeight="1"/>
    <row r="174" spans="1:1" ht="12.75" hidden="1" customHeight="1"/>
    <row r="175" spans="1:1" ht="12.75" hidden="1" customHeight="1"/>
    <row r="176" spans="1:1" ht="12.75" hidden="1" customHeight="1"/>
    <row r="177" ht="12.75" hidden="1" customHeight="1"/>
    <row r="178" ht="12.75" hidden="1" customHeight="1"/>
    <row r="179" ht="12.75" hidden="1" customHeight="1"/>
    <row r="180" ht="12.75" hidden="1" customHeight="1"/>
    <row r="181" ht="12.75" hidden="1" customHeight="1"/>
    <row r="182" ht="12.75" hidden="1" customHeight="1"/>
    <row r="183" ht="12.75" hidden="1" customHeight="1"/>
    <row r="184" ht="12.75" hidden="1" customHeight="1"/>
    <row r="185" ht="12.75" hidden="1" customHeight="1"/>
    <row r="186" ht="12.75" hidden="1" customHeight="1"/>
    <row r="187" ht="12.75" hidden="1" customHeight="1"/>
    <row r="188" ht="12.75" hidden="1" customHeight="1"/>
    <row r="189" ht="12.75" hidden="1" customHeight="1"/>
    <row r="190" ht="12.75" hidden="1" customHeight="1"/>
    <row r="191" ht="12.75" hidden="1" customHeight="1"/>
    <row r="192" ht="12.75" hidden="1" customHeight="1"/>
    <row r="193" ht="12.75" hidden="1" customHeight="1"/>
    <row r="194" ht="12.75" hidden="1" customHeight="1"/>
    <row r="195" ht="12.75" hidden="1" customHeight="1"/>
    <row r="196" ht="12.75" hidden="1" customHeight="1"/>
    <row r="197" ht="12.75" hidden="1" customHeight="1"/>
    <row r="198" ht="12.75" hidden="1" customHeight="1"/>
    <row r="199" ht="12.75" hidden="1" customHeight="1"/>
    <row r="200" ht="12.75" hidden="1" customHeight="1"/>
    <row r="201" ht="12.75" hidden="1" customHeight="1"/>
    <row r="202" ht="12.75" hidden="1" customHeight="1"/>
    <row r="203" ht="12.75" customHeight="1"/>
    <row r="204" ht="12.75" customHeight="1"/>
    <row r="205" ht="12.75" customHeight="1"/>
    <row r="206" ht="12.75" customHeight="1"/>
    <row r="207" ht="12.75" customHeight="1"/>
  </sheetData>
  <sheetProtection autoFilter="0"/>
  <conditionalFormatting sqref="F11:DX11">
    <cfRule type="cellIs" dxfId="121" priority="11" stopIfTrue="1" operator="between">
      <formula>PreContractStartDateIn</formula>
      <formula>ContractEndDateIn</formula>
    </cfRule>
  </conditionalFormatting>
  <conditionalFormatting sqref="E1">
    <cfRule type="cellIs" dxfId="120" priority="12" stopIfTrue="1" operator="greaterThan">
      <formula>0</formula>
    </cfRule>
    <cfRule type="cellIs" dxfId="119" priority="13" stopIfTrue="1" operator="lessThan">
      <formula>0</formula>
    </cfRule>
  </conditionalFormatting>
  <conditionalFormatting sqref="F1:EB1 B5:EB5 B9:DY9">
    <cfRule type="expression" dxfId="118" priority="1" stopIfTrue="1">
      <formula>ErrorsPresent&gt;0</formula>
    </cfRule>
    <cfRule type="expression" dxfId="117" priority="2" stopIfTrue="1">
      <formula>ErrorsPresent&lt;0</formula>
    </cfRule>
  </conditionalFormatting>
  <conditionalFormatting sqref="A1:B1">
    <cfRule type="expression" dxfId="116" priority="9" stopIfTrue="1">
      <formula>ErrorsPresent&gt;0</formula>
    </cfRule>
    <cfRule type="expression" dxfId="115" priority="10" stopIfTrue="1">
      <formula>ErrorsPresent&lt;0</formula>
    </cfRule>
  </conditionalFormatting>
  <conditionalFormatting sqref="A9">
    <cfRule type="expression" dxfId="114" priority="7" stopIfTrue="1">
      <formula>ErrorsPresent&gt;0</formula>
    </cfRule>
    <cfRule type="expression" dxfId="113" priority="8" stopIfTrue="1">
      <formula>ErrorsPresent&lt;0</formula>
    </cfRule>
  </conditionalFormatting>
  <conditionalFormatting sqref="C1:D1">
    <cfRule type="expression" dxfId="112" priority="5" stopIfTrue="1">
      <formula>ErrorsPresent&gt;0</formula>
    </cfRule>
    <cfRule type="expression" dxfId="111" priority="6" stopIfTrue="1">
      <formula>ErrorsPresent&lt;0</formula>
    </cfRule>
  </conditionalFormatting>
  <conditionalFormatting sqref="A5">
    <cfRule type="expression" dxfId="110" priority="3" stopIfTrue="1">
      <formula>ErrorsPresent&gt;0</formula>
    </cfRule>
    <cfRule type="expression" dxfId="109" priority="4" stopIfTrue="1">
      <formula>ErrorsPresent&lt;0</formula>
    </cfRule>
  </conditionalFormatting>
  <conditionalFormatting sqref="F12:DX24">
    <cfRule type="expression" dxfId="108" priority="14" stopIfTrue="1">
      <formula>#REF!&lt;&gt;""</formula>
    </cfRule>
  </conditionalFormatting>
  <hyperlinks>
    <hyperlink ref="E1" location="PLA5A" tooltip="Hyperlink to &quot;Error Checks&quot; sheet" display="PLA5A"/>
  </hyperlinks>
  <pageMargins left="0.4" right="0.4" top="1" bottom="1" header="0.5" footer="0.5"/>
  <pageSetup scale="53" orientation="landscape" r:id="rId1"/>
  <headerFooter alignWithMargins="0">
    <oddHeader>&amp;LFUJITSU SERVICES&amp;RCOMMERCIAL IN CONFIDENCE</oddHeader>
    <oddFooter>&amp;L&amp;"Arial,Italic"&amp;F&amp;C&amp;"Arial,Italic"Printed on &amp;D at &amp;T&amp;R&amp;"Arial,Italic"Page &amp;P of &amp;N</oddFooter>
  </headerFooter>
  <colBreaks count="1" manualBreakCount="1">
    <brk id="17" min="4" max="139"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outlinePr summaryBelow="0" summaryRight="0"/>
    <pageSetUpPr autoPageBreaks="0"/>
  </sheetPr>
  <dimension ref="A1:XAJ207"/>
  <sheetViews>
    <sheetView showGridLines="0" zoomScale="90" zoomScaleNormal="90" workbookViewId="0">
      <selection activeCell="F20" sqref="F20"/>
    </sheetView>
  </sheetViews>
  <sheetFormatPr defaultColWidth="0" defaultRowHeight="12.75" customHeight="1" zeroHeight="1" outlineLevelRow="1" outlineLevelCol="1"/>
  <cols>
    <col min="1" max="3" width="9.140625" style="94" customWidth="1"/>
    <col min="4" max="4" width="11.140625" style="94" customWidth="1"/>
    <col min="5" max="5" width="9.28515625" style="94" customWidth="1"/>
    <col min="6" max="128" width="11.7109375" style="94" customWidth="1"/>
    <col min="129" max="129" width="1.7109375" style="94" customWidth="1" collapsed="1"/>
    <col min="130" max="131" width="0" style="94" hidden="1" customWidth="1" outlineLevel="1"/>
    <col min="132" max="132" width="1.7109375" style="94" customWidth="1"/>
    <col min="133" max="158" width="0" style="94" hidden="1"/>
    <col min="159" max="230" width="9.140625" style="94" hidden="1"/>
    <col min="231" max="233" width="9.140625" style="94" customWidth="1"/>
    <col min="234" max="234" width="11.140625" style="94" customWidth="1"/>
    <col min="235" max="235" width="9.140625" style="94" customWidth="1"/>
    <col min="236" max="236" width="9.28515625" style="94" customWidth="1"/>
    <col min="237" max="237" width="10.85546875" style="94" customWidth="1"/>
    <col min="238" max="257" width="9.140625" style="94" hidden="1" customWidth="1"/>
    <col min="258" max="258" width="7.28515625" style="94" customWidth="1"/>
    <col min="259" max="260" width="9.140625" style="94" customWidth="1"/>
    <col min="261" max="261" width="12" style="94" customWidth="1"/>
    <col min="262" max="384" width="11.7109375" style="94" customWidth="1"/>
    <col min="385" max="385" width="1.7109375" style="94" customWidth="1"/>
    <col min="386" max="387" width="9.140625" style="94" hidden="1" customWidth="1"/>
    <col min="388" max="388" width="1.7109375" style="94" customWidth="1"/>
    <col min="389" max="486" width="9.140625" style="94" hidden="1"/>
    <col min="487" max="489" width="9.140625" style="94" customWidth="1"/>
    <col min="490" max="490" width="11.140625" style="94" customWidth="1"/>
    <col min="491" max="491" width="9.140625" style="94" customWidth="1"/>
    <col min="492" max="492" width="9.28515625" style="94" customWidth="1"/>
    <col min="493" max="493" width="10.85546875" style="94" customWidth="1"/>
    <col min="494" max="513" width="9.140625" style="94" hidden="1" customWidth="1"/>
    <col min="514" max="514" width="7.28515625" style="94" customWidth="1"/>
    <col min="515" max="516" width="9.140625" style="94" customWidth="1"/>
    <col min="517" max="517" width="12" style="94" customWidth="1"/>
    <col min="518" max="640" width="11.7109375" style="94" customWidth="1"/>
    <col min="641" max="641" width="1.7109375" style="94" customWidth="1"/>
    <col min="642" max="643" width="9.140625" style="94" hidden="1" customWidth="1"/>
    <col min="644" max="644" width="1.7109375" style="94" customWidth="1"/>
    <col min="645" max="742" width="9.140625" style="94" hidden="1"/>
    <col min="743" max="745" width="9.140625" style="94" customWidth="1"/>
    <col min="746" max="746" width="11.140625" style="94" customWidth="1"/>
    <col min="747" max="747" width="9.140625" style="94" customWidth="1"/>
    <col min="748" max="748" width="9.28515625" style="94" customWidth="1"/>
    <col min="749" max="749" width="10.85546875" style="94" customWidth="1"/>
    <col min="750" max="769" width="9.140625" style="94" hidden="1" customWidth="1"/>
    <col min="770" max="770" width="7.28515625" style="94" customWidth="1"/>
    <col min="771" max="772" width="9.140625" style="94" customWidth="1"/>
    <col min="773" max="773" width="12" style="94" customWidth="1"/>
    <col min="774" max="896" width="11.7109375" style="94" customWidth="1"/>
    <col min="897" max="897" width="1.7109375" style="94" customWidth="1"/>
    <col min="898" max="899" width="9.140625" style="94" hidden="1" customWidth="1"/>
    <col min="900" max="900" width="1.7109375" style="94" customWidth="1"/>
    <col min="901" max="998" width="9.140625" style="94" hidden="1"/>
    <col min="999" max="1001" width="9.140625" style="94" customWidth="1"/>
    <col min="1002" max="1002" width="11.140625" style="94" customWidth="1"/>
    <col min="1003" max="1003" width="9.140625" style="94" customWidth="1"/>
    <col min="1004" max="1004" width="9.28515625" style="94" customWidth="1"/>
    <col min="1005" max="1005" width="10.85546875" style="94" customWidth="1"/>
    <col min="1006" max="1025" width="9.140625" style="94" hidden="1" customWidth="1"/>
    <col min="1026" max="1026" width="7.28515625" style="94" customWidth="1"/>
    <col min="1027" max="1028" width="9.140625" style="94" customWidth="1"/>
    <col min="1029" max="1029" width="12" style="94" customWidth="1"/>
    <col min="1030" max="1152" width="11.7109375" style="94" customWidth="1"/>
    <col min="1153" max="1153" width="1.7109375" style="94" customWidth="1"/>
    <col min="1154" max="1155" width="9.140625" style="94" hidden="1" customWidth="1"/>
    <col min="1156" max="1156" width="1.7109375" style="94" customWidth="1"/>
    <col min="1157" max="1254" width="9.140625" style="94" hidden="1"/>
    <col min="1255" max="1257" width="9.140625" style="94" customWidth="1"/>
    <col min="1258" max="1258" width="11.140625" style="94" customWidth="1"/>
    <col min="1259" max="1259" width="9.140625" style="94" customWidth="1"/>
    <col min="1260" max="1260" width="9.28515625" style="94" customWidth="1"/>
    <col min="1261" max="1261" width="10.85546875" style="94" customWidth="1"/>
    <col min="1262" max="1281" width="9.140625" style="94" hidden="1" customWidth="1"/>
    <col min="1282" max="1282" width="7.28515625" style="94" customWidth="1"/>
    <col min="1283" max="1284" width="9.140625" style="94" customWidth="1"/>
    <col min="1285" max="1285" width="12" style="94" customWidth="1"/>
    <col min="1286" max="1408" width="11.7109375" style="94" customWidth="1"/>
    <col min="1409" max="1409" width="1.7109375" style="94" customWidth="1"/>
    <col min="1410" max="1411" width="9.140625" style="94" hidden="1" customWidth="1"/>
    <col min="1412" max="1412" width="1.7109375" style="94" customWidth="1"/>
    <col min="1413" max="1510" width="9.140625" style="94" hidden="1"/>
    <col min="1511" max="1513" width="9.140625" style="94" customWidth="1"/>
    <col min="1514" max="1514" width="11.140625" style="94" customWidth="1"/>
    <col min="1515" max="1515" width="9.140625" style="94" customWidth="1"/>
    <col min="1516" max="1516" width="9.28515625" style="94" customWidth="1"/>
    <col min="1517" max="1517" width="10.85546875" style="94" customWidth="1"/>
    <col min="1518" max="1537" width="9.140625" style="94" hidden="1" customWidth="1"/>
    <col min="1538" max="1538" width="7.28515625" style="94" customWidth="1"/>
    <col min="1539" max="1540" width="9.140625" style="94" customWidth="1"/>
    <col min="1541" max="1541" width="12" style="94" customWidth="1"/>
    <col min="1542" max="1664" width="11.7109375" style="94" customWidth="1"/>
    <col min="1665" max="1665" width="1.7109375" style="94" customWidth="1"/>
    <col min="1666" max="1667" width="9.140625" style="94" hidden="1" customWidth="1"/>
    <col min="1668" max="1668" width="1.7109375" style="94" customWidth="1"/>
    <col min="1669" max="1766" width="9.140625" style="94" hidden="1"/>
    <col min="1767" max="1769" width="9.140625" style="94" customWidth="1"/>
    <col min="1770" max="1770" width="11.140625" style="94" customWidth="1"/>
    <col min="1771" max="1771" width="9.140625" style="94" customWidth="1"/>
    <col min="1772" max="1772" width="9.28515625" style="94" customWidth="1"/>
    <col min="1773" max="1773" width="10.85546875" style="94" customWidth="1"/>
    <col min="1774" max="1793" width="9.140625" style="94" hidden="1" customWidth="1"/>
    <col min="1794" max="1794" width="7.28515625" style="94" customWidth="1"/>
    <col min="1795" max="1796" width="9.140625" style="94" customWidth="1"/>
    <col min="1797" max="1797" width="12" style="94" customWidth="1"/>
    <col min="1798" max="1920" width="11.7109375" style="94" customWidth="1"/>
    <col min="1921" max="1921" width="1.7109375" style="94" customWidth="1"/>
    <col min="1922" max="1923" width="9.140625" style="94" hidden="1" customWidth="1"/>
    <col min="1924" max="1924" width="1.7109375" style="94" customWidth="1"/>
    <col min="1925" max="2022" width="9.140625" style="94" hidden="1"/>
    <col min="2023" max="2025" width="9.140625" style="94" customWidth="1"/>
    <col min="2026" max="2026" width="11.140625" style="94" customWidth="1"/>
    <col min="2027" max="2027" width="9.140625" style="94" customWidth="1"/>
    <col min="2028" max="2028" width="9.28515625" style="94" customWidth="1"/>
    <col min="2029" max="2029" width="10.85546875" style="94" customWidth="1"/>
    <col min="2030" max="2049" width="9.140625" style="94" hidden="1" customWidth="1"/>
    <col min="2050" max="2050" width="7.28515625" style="94" customWidth="1"/>
    <col min="2051" max="2052" width="9.140625" style="94" customWidth="1"/>
    <col min="2053" max="2053" width="12" style="94" customWidth="1"/>
    <col min="2054" max="2176" width="11.7109375" style="94" customWidth="1"/>
    <col min="2177" max="2177" width="1.7109375" style="94" customWidth="1"/>
    <col min="2178" max="2179" width="9.140625" style="94" hidden="1" customWidth="1"/>
    <col min="2180" max="2180" width="1.7109375" style="94" customWidth="1"/>
    <col min="2181" max="2278" width="9.140625" style="94" hidden="1"/>
    <col min="2279" max="2281" width="9.140625" style="94" customWidth="1"/>
    <col min="2282" max="2282" width="11.140625" style="94" customWidth="1"/>
    <col min="2283" max="2283" width="9.140625" style="94" customWidth="1"/>
    <col min="2284" max="2284" width="9.28515625" style="94" customWidth="1"/>
    <col min="2285" max="2285" width="10.85546875" style="94" customWidth="1"/>
    <col min="2286" max="2305" width="9.140625" style="94" hidden="1" customWidth="1"/>
    <col min="2306" max="2306" width="7.28515625" style="94" customWidth="1"/>
    <col min="2307" max="2308" width="9.140625" style="94" customWidth="1"/>
    <col min="2309" max="2309" width="12" style="94" customWidth="1"/>
    <col min="2310" max="2432" width="11.7109375" style="94" customWidth="1"/>
    <col min="2433" max="2433" width="1.7109375" style="94" customWidth="1"/>
    <col min="2434" max="2435" width="9.140625" style="94" hidden="1" customWidth="1"/>
    <col min="2436" max="2436" width="1.7109375" style="94" customWidth="1"/>
    <col min="2437" max="2534" width="9.140625" style="94" hidden="1"/>
    <col min="2535" max="2537" width="9.140625" style="94" customWidth="1"/>
    <col min="2538" max="2538" width="11.140625" style="94" customWidth="1"/>
    <col min="2539" max="2539" width="9.140625" style="94" customWidth="1"/>
    <col min="2540" max="2540" width="9.28515625" style="94" customWidth="1"/>
    <col min="2541" max="2541" width="10.85546875" style="94" customWidth="1"/>
    <col min="2542" max="2561" width="9.140625" style="94" hidden="1" customWidth="1"/>
    <col min="2562" max="2562" width="7.28515625" style="94" customWidth="1"/>
    <col min="2563" max="2564" width="9.140625" style="94" customWidth="1"/>
    <col min="2565" max="2565" width="12" style="94" customWidth="1"/>
    <col min="2566" max="2688" width="11.7109375" style="94" customWidth="1"/>
    <col min="2689" max="2689" width="1.7109375" style="94" customWidth="1"/>
    <col min="2690" max="2691" width="9.140625" style="94" hidden="1" customWidth="1"/>
    <col min="2692" max="2692" width="1.7109375" style="94" customWidth="1"/>
    <col min="2693" max="2790" width="9.140625" style="94" hidden="1"/>
    <col min="2791" max="2793" width="9.140625" style="94" customWidth="1"/>
    <col min="2794" max="2794" width="11.140625" style="94" customWidth="1"/>
    <col min="2795" max="2795" width="9.140625" style="94" customWidth="1"/>
    <col min="2796" max="2796" width="9.28515625" style="94" customWidth="1"/>
    <col min="2797" max="2797" width="10.85546875" style="94" customWidth="1"/>
    <col min="2798" max="2817" width="9.140625" style="94" hidden="1" customWidth="1"/>
    <col min="2818" max="2818" width="7.28515625" style="94" customWidth="1"/>
    <col min="2819" max="2820" width="9.140625" style="94" customWidth="1"/>
    <col min="2821" max="2821" width="12" style="94" customWidth="1"/>
    <col min="2822" max="2944" width="11.7109375" style="94" customWidth="1"/>
    <col min="2945" max="2945" width="1.7109375" style="94" customWidth="1"/>
    <col min="2946" max="2947" width="9.140625" style="94" hidden="1" customWidth="1"/>
    <col min="2948" max="2948" width="1.7109375" style="94" customWidth="1"/>
    <col min="2949" max="3046" width="9.140625" style="94" hidden="1"/>
    <col min="3047" max="3049" width="9.140625" style="94" customWidth="1"/>
    <col min="3050" max="3050" width="11.140625" style="94" customWidth="1"/>
    <col min="3051" max="3051" width="9.140625" style="94" customWidth="1"/>
    <col min="3052" max="3052" width="9.28515625" style="94" customWidth="1"/>
    <col min="3053" max="3053" width="10.85546875" style="94" customWidth="1"/>
    <col min="3054" max="3073" width="9.140625" style="94" hidden="1" customWidth="1"/>
    <col min="3074" max="3074" width="7.28515625" style="94" customWidth="1"/>
    <col min="3075" max="3076" width="9.140625" style="94" customWidth="1"/>
    <col min="3077" max="3077" width="12" style="94" customWidth="1"/>
    <col min="3078" max="3200" width="11.7109375" style="94" customWidth="1"/>
    <col min="3201" max="3201" width="1.7109375" style="94" customWidth="1"/>
    <col min="3202" max="3203" width="9.140625" style="94" hidden="1" customWidth="1"/>
    <col min="3204" max="3204" width="1.7109375" style="94" customWidth="1"/>
    <col min="3205" max="3302" width="9.140625" style="94" hidden="1"/>
    <col min="3303" max="3305" width="9.140625" style="94" customWidth="1"/>
    <col min="3306" max="3306" width="11.140625" style="94" customWidth="1"/>
    <col min="3307" max="3307" width="9.140625" style="94" customWidth="1"/>
    <col min="3308" max="3308" width="9.28515625" style="94" customWidth="1"/>
    <col min="3309" max="3309" width="10.85546875" style="94" customWidth="1"/>
    <col min="3310" max="3329" width="9.140625" style="94" hidden="1" customWidth="1"/>
    <col min="3330" max="3330" width="7.28515625" style="94" customWidth="1"/>
    <col min="3331" max="3332" width="9.140625" style="94" customWidth="1"/>
    <col min="3333" max="3333" width="12" style="94" customWidth="1"/>
    <col min="3334" max="3456" width="11.7109375" style="94" customWidth="1"/>
    <col min="3457" max="3457" width="1.7109375" style="94" customWidth="1"/>
    <col min="3458" max="3459" width="9.140625" style="94" hidden="1" customWidth="1"/>
    <col min="3460" max="3460" width="1.7109375" style="94" customWidth="1"/>
    <col min="3461" max="3558" width="9.140625" style="94" hidden="1"/>
    <col min="3559" max="3561" width="9.140625" style="94" customWidth="1"/>
    <col min="3562" max="3562" width="11.140625" style="94" customWidth="1"/>
    <col min="3563" max="3563" width="9.140625" style="94" customWidth="1"/>
    <col min="3564" max="3564" width="9.28515625" style="94" customWidth="1"/>
    <col min="3565" max="3565" width="10.85546875" style="94" customWidth="1"/>
    <col min="3566" max="3585" width="9.140625" style="94" hidden="1" customWidth="1"/>
    <col min="3586" max="3586" width="7.28515625" style="94" customWidth="1"/>
    <col min="3587" max="3588" width="9.140625" style="94" customWidth="1"/>
    <col min="3589" max="3589" width="12" style="94" customWidth="1"/>
    <col min="3590" max="3712" width="11.7109375" style="94" customWidth="1"/>
    <col min="3713" max="3713" width="1.7109375" style="94" customWidth="1"/>
    <col min="3714" max="3715" width="9.140625" style="94" hidden="1" customWidth="1"/>
    <col min="3716" max="3716" width="1.7109375" style="94" customWidth="1"/>
    <col min="3717" max="3814" width="9.140625" style="94" hidden="1"/>
    <col min="3815" max="3817" width="9.140625" style="94" customWidth="1"/>
    <col min="3818" max="3818" width="11.140625" style="94" customWidth="1"/>
    <col min="3819" max="3819" width="9.140625" style="94" customWidth="1"/>
    <col min="3820" max="3820" width="9.28515625" style="94" customWidth="1"/>
    <col min="3821" max="3821" width="10.85546875" style="94" customWidth="1"/>
    <col min="3822" max="3841" width="9.140625" style="94" hidden="1" customWidth="1"/>
    <col min="3842" max="3842" width="7.28515625" style="94" customWidth="1"/>
    <col min="3843" max="3844" width="9.140625" style="94" customWidth="1"/>
    <col min="3845" max="3845" width="12" style="94" customWidth="1"/>
    <col min="3846" max="3968" width="11.7109375" style="94" customWidth="1"/>
    <col min="3969" max="3969" width="1.7109375" style="94" customWidth="1"/>
    <col min="3970" max="3971" width="9.140625" style="94" hidden="1" customWidth="1"/>
    <col min="3972" max="3972" width="1.7109375" style="94" customWidth="1"/>
    <col min="3973" max="4070" width="9.140625" style="94" hidden="1"/>
    <col min="4071" max="4073" width="9.140625" style="94" customWidth="1"/>
    <col min="4074" max="4074" width="11.140625" style="94" customWidth="1"/>
    <col min="4075" max="4075" width="9.140625" style="94" customWidth="1"/>
    <col min="4076" max="4076" width="9.28515625" style="94" customWidth="1"/>
    <col min="4077" max="4077" width="10.85546875" style="94" customWidth="1"/>
    <col min="4078" max="4097" width="9.140625" style="94" hidden="1" customWidth="1"/>
    <col min="4098" max="4098" width="7.28515625" style="94" customWidth="1"/>
    <col min="4099" max="4100" width="9.140625" style="94" customWidth="1"/>
    <col min="4101" max="4101" width="12" style="94" customWidth="1"/>
    <col min="4102" max="4224" width="11.7109375" style="94" customWidth="1"/>
    <col min="4225" max="4225" width="1.7109375" style="94" customWidth="1"/>
    <col min="4226" max="4227" width="9.140625" style="94" hidden="1" customWidth="1"/>
    <col min="4228" max="4228" width="1.7109375" style="94" customWidth="1"/>
    <col min="4229" max="4326" width="9.140625" style="94" hidden="1"/>
    <col min="4327" max="4329" width="9.140625" style="94" customWidth="1"/>
    <col min="4330" max="4330" width="11.140625" style="94" customWidth="1"/>
    <col min="4331" max="4331" width="9.140625" style="94" customWidth="1"/>
    <col min="4332" max="4332" width="9.28515625" style="94" customWidth="1"/>
    <col min="4333" max="4333" width="10.85546875" style="94" customWidth="1"/>
    <col min="4334" max="4353" width="9.140625" style="94" hidden="1" customWidth="1"/>
    <col min="4354" max="4354" width="7.28515625" style="94" customWidth="1"/>
    <col min="4355" max="4356" width="9.140625" style="94" customWidth="1"/>
    <col min="4357" max="4357" width="12" style="94" customWidth="1"/>
    <col min="4358" max="4480" width="11.7109375" style="94" customWidth="1"/>
    <col min="4481" max="4481" width="1.7109375" style="94" customWidth="1"/>
    <col min="4482" max="4483" width="9.140625" style="94" hidden="1" customWidth="1"/>
    <col min="4484" max="4484" width="1.7109375" style="94" customWidth="1"/>
    <col min="4485" max="4582" width="9.140625" style="94" hidden="1"/>
    <col min="4583" max="4585" width="9.140625" style="94" customWidth="1"/>
    <col min="4586" max="4586" width="11.140625" style="94" customWidth="1"/>
    <col min="4587" max="4587" width="9.140625" style="94" customWidth="1"/>
    <col min="4588" max="4588" width="9.28515625" style="94" customWidth="1"/>
    <col min="4589" max="4589" width="10.85546875" style="94" customWidth="1"/>
    <col min="4590" max="4609" width="9.140625" style="94" hidden="1" customWidth="1"/>
    <col min="4610" max="4610" width="7.28515625" style="94" customWidth="1"/>
    <col min="4611" max="4612" width="9.140625" style="94" customWidth="1"/>
    <col min="4613" max="4613" width="12" style="94" customWidth="1"/>
    <col min="4614" max="4736" width="11.7109375" style="94" customWidth="1"/>
    <col min="4737" max="4737" width="1.7109375" style="94" customWidth="1"/>
    <col min="4738" max="4739" width="9.140625" style="94" hidden="1" customWidth="1"/>
    <col min="4740" max="4740" width="1.7109375" style="94" customWidth="1"/>
    <col min="4741" max="4838" width="9.140625" style="94" hidden="1"/>
    <col min="4839" max="4841" width="9.140625" style="94" customWidth="1"/>
    <col min="4842" max="4842" width="11.140625" style="94" customWidth="1"/>
    <col min="4843" max="4843" width="9.140625" style="94" customWidth="1"/>
    <col min="4844" max="4844" width="9.28515625" style="94" customWidth="1"/>
    <col min="4845" max="4845" width="10.85546875" style="94" customWidth="1"/>
    <col min="4846" max="4865" width="9.140625" style="94" hidden="1" customWidth="1"/>
    <col min="4866" max="4866" width="7.28515625" style="94" customWidth="1"/>
    <col min="4867" max="4868" width="9.140625" style="94" customWidth="1"/>
    <col min="4869" max="4869" width="12" style="94" customWidth="1"/>
    <col min="4870" max="4992" width="11.7109375" style="94" customWidth="1"/>
    <col min="4993" max="4993" width="1.7109375" style="94" customWidth="1"/>
    <col min="4994" max="4995" width="9.140625" style="94" hidden="1" customWidth="1"/>
    <col min="4996" max="4996" width="1.7109375" style="94" customWidth="1"/>
    <col min="4997" max="5094" width="9.140625" style="94" hidden="1"/>
    <col min="5095" max="5097" width="9.140625" style="94" customWidth="1"/>
    <col min="5098" max="5098" width="11.140625" style="94" customWidth="1"/>
    <col min="5099" max="5099" width="9.140625" style="94" customWidth="1"/>
    <col min="5100" max="5100" width="9.28515625" style="94" customWidth="1"/>
    <col min="5101" max="5101" width="10.85546875" style="94" customWidth="1"/>
    <col min="5102" max="5121" width="9.140625" style="94" hidden="1" customWidth="1"/>
    <col min="5122" max="5122" width="7.28515625" style="94" customWidth="1"/>
    <col min="5123" max="5124" width="9.140625" style="94" customWidth="1"/>
    <col min="5125" max="5125" width="12" style="94" customWidth="1"/>
    <col min="5126" max="5248" width="11.7109375" style="94" customWidth="1"/>
    <col min="5249" max="5249" width="1.7109375" style="94" customWidth="1"/>
    <col min="5250" max="5251" width="9.140625" style="94" hidden="1" customWidth="1"/>
    <col min="5252" max="5252" width="1.7109375" style="94" customWidth="1"/>
    <col min="5253" max="5350" width="9.140625" style="94" hidden="1"/>
    <col min="5351" max="5353" width="9.140625" style="94" customWidth="1"/>
    <col min="5354" max="5354" width="11.140625" style="94" customWidth="1"/>
    <col min="5355" max="5355" width="9.140625" style="94" customWidth="1"/>
    <col min="5356" max="5356" width="9.28515625" style="94" customWidth="1"/>
    <col min="5357" max="5357" width="10.85546875" style="94" customWidth="1"/>
    <col min="5358" max="5377" width="9.140625" style="94" hidden="1" customWidth="1"/>
    <col min="5378" max="5378" width="7.28515625" style="94" customWidth="1"/>
    <col min="5379" max="5380" width="9.140625" style="94" customWidth="1"/>
    <col min="5381" max="5381" width="12" style="94" customWidth="1"/>
    <col min="5382" max="5504" width="11.7109375" style="94" customWidth="1"/>
    <col min="5505" max="5505" width="1.7109375" style="94" customWidth="1"/>
    <col min="5506" max="5507" width="9.140625" style="94" hidden="1" customWidth="1"/>
    <col min="5508" max="5508" width="1.7109375" style="94" customWidth="1"/>
    <col min="5509" max="5606" width="9.140625" style="94" hidden="1"/>
    <col min="5607" max="5609" width="9.140625" style="94" customWidth="1"/>
    <col min="5610" max="5610" width="11.140625" style="94" customWidth="1"/>
    <col min="5611" max="5611" width="9.140625" style="94" customWidth="1"/>
    <col min="5612" max="5612" width="9.28515625" style="94" customWidth="1"/>
    <col min="5613" max="5613" width="10.85546875" style="94" customWidth="1"/>
    <col min="5614" max="5633" width="9.140625" style="94" hidden="1" customWidth="1"/>
    <col min="5634" max="5634" width="7.28515625" style="94" customWidth="1"/>
    <col min="5635" max="5636" width="9.140625" style="94" customWidth="1"/>
    <col min="5637" max="5637" width="12" style="94" customWidth="1"/>
    <col min="5638" max="5760" width="11.7109375" style="94" customWidth="1"/>
    <col min="5761" max="5761" width="1.7109375" style="94" customWidth="1"/>
    <col min="5762" max="5763" width="9.140625" style="94" hidden="1" customWidth="1"/>
    <col min="5764" max="5764" width="1.7109375" style="94" customWidth="1"/>
    <col min="5765" max="5862" width="9.140625" style="94" hidden="1"/>
    <col min="5863" max="5865" width="9.140625" style="94" customWidth="1"/>
    <col min="5866" max="5866" width="11.140625" style="94" customWidth="1"/>
    <col min="5867" max="5867" width="9.140625" style="94" customWidth="1"/>
    <col min="5868" max="5868" width="9.28515625" style="94" customWidth="1"/>
    <col min="5869" max="5869" width="10.85546875" style="94" customWidth="1"/>
    <col min="5870" max="5889" width="9.140625" style="94" hidden="1" customWidth="1"/>
    <col min="5890" max="5890" width="7.28515625" style="94" customWidth="1"/>
    <col min="5891" max="5892" width="9.140625" style="94" customWidth="1"/>
    <col min="5893" max="5893" width="12" style="94" customWidth="1"/>
    <col min="5894" max="6016" width="11.7109375" style="94" customWidth="1"/>
    <col min="6017" max="6017" width="1.7109375" style="94" customWidth="1"/>
    <col min="6018" max="6019" width="9.140625" style="94" hidden="1" customWidth="1"/>
    <col min="6020" max="6020" width="1.7109375" style="94" customWidth="1"/>
    <col min="6021" max="6118" width="9.140625" style="94" hidden="1"/>
    <col min="6119" max="6121" width="9.140625" style="94" customWidth="1"/>
    <col min="6122" max="6122" width="11.140625" style="94" customWidth="1"/>
    <col min="6123" max="6123" width="9.140625" style="94" customWidth="1"/>
    <col min="6124" max="6124" width="9.28515625" style="94" customWidth="1"/>
    <col min="6125" max="6125" width="10.85546875" style="94" customWidth="1"/>
    <col min="6126" max="6145" width="9.140625" style="94" hidden="1" customWidth="1"/>
    <col min="6146" max="6146" width="7.28515625" style="94" customWidth="1"/>
    <col min="6147" max="6148" width="9.140625" style="94" customWidth="1"/>
    <col min="6149" max="6149" width="12" style="94" customWidth="1"/>
    <col min="6150" max="6272" width="11.7109375" style="94" customWidth="1"/>
    <col min="6273" max="6273" width="1.7109375" style="94" customWidth="1"/>
    <col min="6274" max="6275" width="9.140625" style="94" hidden="1" customWidth="1"/>
    <col min="6276" max="6276" width="1.7109375" style="94" customWidth="1"/>
    <col min="6277" max="6374" width="9.140625" style="94" hidden="1"/>
    <col min="6375" max="6377" width="9.140625" style="94" customWidth="1"/>
    <col min="6378" max="6378" width="11.140625" style="94" customWidth="1"/>
    <col min="6379" max="6379" width="9.140625" style="94" customWidth="1"/>
    <col min="6380" max="6380" width="9.28515625" style="94" customWidth="1"/>
    <col min="6381" max="6381" width="10.85546875" style="94" customWidth="1"/>
    <col min="6382" max="6401" width="9.140625" style="94" hidden="1" customWidth="1"/>
    <col min="6402" max="6402" width="7.28515625" style="94" customWidth="1"/>
    <col min="6403" max="6404" width="9.140625" style="94" customWidth="1"/>
    <col min="6405" max="6405" width="12" style="94" customWidth="1"/>
    <col min="6406" max="6528" width="11.7109375" style="94" customWidth="1"/>
    <col min="6529" max="6529" width="1.7109375" style="94" customWidth="1"/>
    <col min="6530" max="6531" width="9.140625" style="94" hidden="1" customWidth="1"/>
    <col min="6532" max="6532" width="1.7109375" style="94" customWidth="1"/>
    <col min="6533" max="6630" width="9.140625" style="94" hidden="1"/>
    <col min="6631" max="6633" width="9.140625" style="94" customWidth="1"/>
    <col min="6634" max="6634" width="11.140625" style="94" customWidth="1"/>
    <col min="6635" max="6635" width="9.140625" style="94" customWidth="1"/>
    <col min="6636" max="6636" width="9.28515625" style="94" customWidth="1"/>
    <col min="6637" max="6637" width="10.85546875" style="94" customWidth="1"/>
    <col min="6638" max="6657" width="9.140625" style="94" hidden="1" customWidth="1"/>
    <col min="6658" max="6658" width="7.28515625" style="94" customWidth="1"/>
    <col min="6659" max="6660" width="9.140625" style="94" customWidth="1"/>
    <col min="6661" max="6661" width="12" style="94" customWidth="1"/>
    <col min="6662" max="6784" width="11.7109375" style="94" customWidth="1"/>
    <col min="6785" max="6785" width="1.7109375" style="94" customWidth="1"/>
    <col min="6786" max="6787" width="9.140625" style="94" hidden="1" customWidth="1"/>
    <col min="6788" max="6788" width="1.7109375" style="94" customWidth="1"/>
    <col min="6789" max="6886" width="9.140625" style="94" hidden="1"/>
    <col min="6887" max="6889" width="9.140625" style="94" customWidth="1"/>
    <col min="6890" max="6890" width="11.140625" style="94" customWidth="1"/>
    <col min="6891" max="6891" width="9.140625" style="94" customWidth="1"/>
    <col min="6892" max="6892" width="9.28515625" style="94" customWidth="1"/>
    <col min="6893" max="6893" width="10.85546875" style="94" customWidth="1"/>
    <col min="6894" max="6913" width="9.140625" style="94" hidden="1" customWidth="1"/>
    <col min="6914" max="6914" width="7.28515625" style="94" customWidth="1"/>
    <col min="6915" max="6916" width="9.140625" style="94" customWidth="1"/>
    <col min="6917" max="6917" width="12" style="94" customWidth="1"/>
    <col min="6918" max="7040" width="11.7109375" style="94" customWidth="1"/>
    <col min="7041" max="7041" width="1.7109375" style="94" customWidth="1"/>
    <col min="7042" max="7043" width="9.140625" style="94" hidden="1" customWidth="1"/>
    <col min="7044" max="7044" width="1.7109375" style="94" customWidth="1"/>
    <col min="7045" max="7142" width="9.140625" style="94" hidden="1"/>
    <col min="7143" max="7145" width="9.140625" style="94" customWidth="1"/>
    <col min="7146" max="7146" width="11.140625" style="94" customWidth="1"/>
    <col min="7147" max="7147" width="9.140625" style="94" customWidth="1"/>
    <col min="7148" max="7148" width="9.28515625" style="94" customWidth="1"/>
    <col min="7149" max="7149" width="10.85546875" style="94" customWidth="1"/>
    <col min="7150" max="7169" width="9.140625" style="94" hidden="1" customWidth="1"/>
    <col min="7170" max="7170" width="7.28515625" style="94" customWidth="1"/>
    <col min="7171" max="7172" width="9.140625" style="94" customWidth="1"/>
    <col min="7173" max="7173" width="12" style="94" customWidth="1"/>
    <col min="7174" max="7296" width="11.7109375" style="94" customWidth="1"/>
    <col min="7297" max="7297" width="1.7109375" style="94" customWidth="1"/>
    <col min="7298" max="7299" width="9.140625" style="94" hidden="1" customWidth="1"/>
    <col min="7300" max="7300" width="1.7109375" style="94" customWidth="1"/>
    <col min="7301" max="7398" width="9.140625" style="94" hidden="1"/>
    <col min="7399" max="7401" width="9.140625" style="94" customWidth="1"/>
    <col min="7402" max="7402" width="11.140625" style="94" customWidth="1"/>
    <col min="7403" max="7403" width="9.140625" style="94" customWidth="1"/>
    <col min="7404" max="7404" width="9.28515625" style="94" customWidth="1"/>
    <col min="7405" max="7405" width="10.85546875" style="94" customWidth="1"/>
    <col min="7406" max="7425" width="9.140625" style="94" hidden="1" customWidth="1"/>
    <col min="7426" max="7426" width="7.28515625" style="94" customWidth="1"/>
    <col min="7427" max="7428" width="9.140625" style="94" customWidth="1"/>
    <col min="7429" max="7429" width="12" style="94" customWidth="1"/>
    <col min="7430" max="7552" width="11.7109375" style="94" customWidth="1"/>
    <col min="7553" max="7553" width="1.7109375" style="94" customWidth="1"/>
    <col min="7554" max="7555" width="9.140625" style="94" hidden="1" customWidth="1"/>
    <col min="7556" max="7556" width="1.7109375" style="94" customWidth="1"/>
    <col min="7557" max="7654" width="9.140625" style="94" hidden="1"/>
    <col min="7655" max="7657" width="9.140625" style="94" customWidth="1"/>
    <col min="7658" max="7658" width="11.140625" style="94" customWidth="1"/>
    <col min="7659" max="7659" width="9.140625" style="94" customWidth="1"/>
    <col min="7660" max="7660" width="9.28515625" style="94" customWidth="1"/>
    <col min="7661" max="7661" width="10.85546875" style="94" customWidth="1"/>
    <col min="7662" max="7681" width="9.140625" style="94" hidden="1" customWidth="1"/>
    <col min="7682" max="7682" width="7.28515625" style="94" customWidth="1"/>
    <col min="7683" max="7684" width="9.140625" style="94" customWidth="1"/>
    <col min="7685" max="7685" width="12" style="94" customWidth="1"/>
    <col min="7686" max="7808" width="11.7109375" style="94" customWidth="1"/>
    <col min="7809" max="7809" width="1.7109375" style="94" customWidth="1"/>
    <col min="7810" max="7811" width="9.140625" style="94" hidden="1" customWidth="1"/>
    <col min="7812" max="7812" width="1.7109375" style="94" customWidth="1"/>
    <col min="7813" max="7910" width="9.140625" style="94" hidden="1"/>
    <col min="7911" max="7913" width="9.140625" style="94" customWidth="1"/>
    <col min="7914" max="7914" width="11.140625" style="94" customWidth="1"/>
    <col min="7915" max="7915" width="9.140625" style="94" customWidth="1"/>
    <col min="7916" max="7916" width="9.28515625" style="94" customWidth="1"/>
    <col min="7917" max="7917" width="10.85546875" style="94" customWidth="1"/>
    <col min="7918" max="7937" width="9.140625" style="94" hidden="1" customWidth="1"/>
    <col min="7938" max="7938" width="7.28515625" style="94" customWidth="1"/>
    <col min="7939" max="7940" width="9.140625" style="94" customWidth="1"/>
    <col min="7941" max="7941" width="12" style="94" customWidth="1"/>
    <col min="7942" max="8064" width="11.7109375" style="94" customWidth="1"/>
    <col min="8065" max="8065" width="1.7109375" style="94" customWidth="1"/>
    <col min="8066" max="8067" width="9.140625" style="94" hidden="1" customWidth="1"/>
    <col min="8068" max="8068" width="1.7109375" style="94" customWidth="1"/>
    <col min="8069" max="8166" width="9.140625" style="94" hidden="1"/>
    <col min="8167" max="8169" width="9.140625" style="94" customWidth="1"/>
    <col min="8170" max="8170" width="11.140625" style="94" customWidth="1"/>
    <col min="8171" max="8171" width="9.140625" style="94" customWidth="1"/>
    <col min="8172" max="8172" width="9.28515625" style="94" customWidth="1"/>
    <col min="8173" max="8173" width="10.85546875" style="94" customWidth="1"/>
    <col min="8174" max="8193" width="9.140625" style="94" hidden="1" customWidth="1"/>
    <col min="8194" max="8194" width="7.28515625" style="94" customWidth="1"/>
    <col min="8195" max="8196" width="9.140625" style="94" customWidth="1"/>
    <col min="8197" max="8197" width="12" style="94" customWidth="1"/>
    <col min="8198" max="8320" width="11.7109375" style="94" customWidth="1"/>
    <col min="8321" max="8321" width="1.7109375" style="94" customWidth="1"/>
    <col min="8322" max="8323" width="9.140625" style="94" hidden="1" customWidth="1"/>
    <col min="8324" max="8324" width="1.7109375" style="94" customWidth="1"/>
    <col min="8325" max="8422" width="9.140625" style="94" hidden="1"/>
    <col min="8423" max="8425" width="9.140625" style="94" customWidth="1"/>
    <col min="8426" max="8426" width="11.140625" style="94" customWidth="1"/>
    <col min="8427" max="8427" width="9.140625" style="94" customWidth="1"/>
    <col min="8428" max="8428" width="9.28515625" style="94" customWidth="1"/>
    <col min="8429" max="8429" width="10.85546875" style="94" customWidth="1"/>
    <col min="8430" max="8449" width="9.140625" style="94" hidden="1" customWidth="1"/>
    <col min="8450" max="8450" width="7.28515625" style="94" customWidth="1"/>
    <col min="8451" max="8452" width="9.140625" style="94" customWidth="1"/>
    <col min="8453" max="8453" width="12" style="94" customWidth="1"/>
    <col min="8454" max="8576" width="11.7109375" style="94" customWidth="1"/>
    <col min="8577" max="8577" width="1.7109375" style="94" customWidth="1"/>
    <col min="8578" max="8579" width="9.140625" style="94" hidden="1" customWidth="1"/>
    <col min="8580" max="8580" width="1.7109375" style="94" customWidth="1"/>
    <col min="8581" max="8678" width="9.140625" style="94" hidden="1"/>
    <col min="8679" max="8681" width="9.140625" style="94" customWidth="1"/>
    <col min="8682" max="8682" width="11.140625" style="94" customWidth="1"/>
    <col min="8683" max="8683" width="9.140625" style="94" customWidth="1"/>
    <col min="8684" max="8684" width="9.28515625" style="94" customWidth="1"/>
    <col min="8685" max="8685" width="10.85546875" style="94" customWidth="1"/>
    <col min="8686" max="8705" width="9.140625" style="94" hidden="1" customWidth="1"/>
    <col min="8706" max="8706" width="7.28515625" style="94" customWidth="1"/>
    <col min="8707" max="8708" width="9.140625" style="94" customWidth="1"/>
    <col min="8709" max="8709" width="12" style="94" customWidth="1"/>
    <col min="8710" max="8832" width="11.7109375" style="94" customWidth="1"/>
    <col min="8833" max="8833" width="1.7109375" style="94" customWidth="1"/>
    <col min="8834" max="8835" width="9.140625" style="94" hidden="1" customWidth="1"/>
    <col min="8836" max="8836" width="1.7109375" style="94" customWidth="1"/>
    <col min="8837" max="8934" width="9.140625" style="94" hidden="1"/>
    <col min="8935" max="8937" width="9.140625" style="94" customWidth="1"/>
    <col min="8938" max="8938" width="11.140625" style="94" customWidth="1"/>
    <col min="8939" max="8939" width="9.140625" style="94" customWidth="1"/>
    <col min="8940" max="8940" width="9.28515625" style="94" customWidth="1"/>
    <col min="8941" max="8941" width="10.85546875" style="94" customWidth="1"/>
    <col min="8942" max="8961" width="9.140625" style="94" hidden="1" customWidth="1"/>
    <col min="8962" max="8962" width="7.28515625" style="94" customWidth="1"/>
    <col min="8963" max="8964" width="9.140625" style="94" customWidth="1"/>
    <col min="8965" max="8965" width="12" style="94" customWidth="1"/>
    <col min="8966" max="9088" width="11.7109375" style="94" customWidth="1"/>
    <col min="9089" max="9089" width="1.7109375" style="94" customWidth="1"/>
    <col min="9090" max="9091" width="9.140625" style="94" hidden="1" customWidth="1"/>
    <col min="9092" max="9092" width="1.7109375" style="94" customWidth="1"/>
    <col min="9093" max="9190" width="9.140625" style="94" hidden="1"/>
    <col min="9191" max="9193" width="9.140625" style="94" customWidth="1"/>
    <col min="9194" max="9194" width="11.140625" style="94" customWidth="1"/>
    <col min="9195" max="9195" width="9.140625" style="94" customWidth="1"/>
    <col min="9196" max="9196" width="9.28515625" style="94" customWidth="1"/>
    <col min="9197" max="9197" width="10.85546875" style="94" customWidth="1"/>
    <col min="9198" max="9217" width="9.140625" style="94" hidden="1" customWidth="1"/>
    <col min="9218" max="9218" width="7.28515625" style="94" customWidth="1"/>
    <col min="9219" max="9220" width="9.140625" style="94" customWidth="1"/>
    <col min="9221" max="9221" width="12" style="94" customWidth="1"/>
    <col min="9222" max="9344" width="11.7109375" style="94" customWidth="1"/>
    <col min="9345" max="9345" width="1.7109375" style="94" customWidth="1"/>
    <col min="9346" max="9347" width="9.140625" style="94" hidden="1" customWidth="1"/>
    <col min="9348" max="9348" width="1.7109375" style="94" customWidth="1"/>
    <col min="9349" max="9446" width="9.140625" style="94" hidden="1"/>
    <col min="9447" max="9449" width="9.140625" style="94" customWidth="1"/>
    <col min="9450" max="9450" width="11.140625" style="94" customWidth="1"/>
    <col min="9451" max="9451" width="9.140625" style="94" customWidth="1"/>
    <col min="9452" max="9452" width="9.28515625" style="94" customWidth="1"/>
    <col min="9453" max="9453" width="10.85546875" style="94" customWidth="1"/>
    <col min="9454" max="9473" width="9.140625" style="94" hidden="1" customWidth="1"/>
    <col min="9474" max="9474" width="7.28515625" style="94" customWidth="1"/>
    <col min="9475" max="9476" width="9.140625" style="94" customWidth="1"/>
    <col min="9477" max="9477" width="12" style="94" customWidth="1"/>
    <col min="9478" max="9600" width="11.7109375" style="94" customWidth="1"/>
    <col min="9601" max="9601" width="1.7109375" style="94" customWidth="1"/>
    <col min="9602" max="9603" width="9.140625" style="94" hidden="1" customWidth="1"/>
    <col min="9604" max="9604" width="1.7109375" style="94" customWidth="1"/>
    <col min="9605" max="9702" width="9.140625" style="94" hidden="1"/>
    <col min="9703" max="9705" width="9.140625" style="94" customWidth="1"/>
    <col min="9706" max="9706" width="11.140625" style="94" customWidth="1"/>
    <col min="9707" max="9707" width="9.140625" style="94" customWidth="1"/>
    <col min="9708" max="9708" width="9.28515625" style="94" customWidth="1"/>
    <col min="9709" max="9709" width="10.85546875" style="94" customWidth="1"/>
    <col min="9710" max="9729" width="9.140625" style="94" hidden="1" customWidth="1"/>
    <col min="9730" max="9730" width="7.28515625" style="94" customWidth="1"/>
    <col min="9731" max="9732" width="9.140625" style="94" customWidth="1"/>
    <col min="9733" max="9733" width="12" style="94" customWidth="1"/>
    <col min="9734" max="9856" width="11.7109375" style="94" customWidth="1"/>
    <col min="9857" max="9857" width="1.7109375" style="94" customWidth="1"/>
    <col min="9858" max="9859" width="9.140625" style="94" hidden="1" customWidth="1"/>
    <col min="9860" max="9860" width="1.7109375" style="94" customWidth="1"/>
    <col min="9861" max="9958" width="9.140625" style="94" hidden="1"/>
    <col min="9959" max="9961" width="9.140625" style="94" customWidth="1"/>
    <col min="9962" max="9962" width="11.140625" style="94" customWidth="1"/>
    <col min="9963" max="9963" width="9.140625" style="94" customWidth="1"/>
    <col min="9964" max="9964" width="9.28515625" style="94" customWidth="1"/>
    <col min="9965" max="9965" width="10.85546875" style="94" customWidth="1"/>
    <col min="9966" max="9985" width="9.140625" style="94" hidden="1" customWidth="1"/>
    <col min="9986" max="9986" width="7.28515625" style="94" customWidth="1"/>
    <col min="9987" max="9988" width="9.140625" style="94" customWidth="1"/>
    <col min="9989" max="9989" width="12" style="94" customWidth="1"/>
    <col min="9990" max="10112" width="11.7109375" style="94" customWidth="1"/>
    <col min="10113" max="10113" width="1.7109375" style="94" customWidth="1"/>
    <col min="10114" max="10115" width="9.140625" style="94" hidden="1" customWidth="1"/>
    <col min="10116" max="10116" width="1.7109375" style="94" customWidth="1"/>
    <col min="10117" max="10214" width="9.140625" style="94" hidden="1"/>
    <col min="10215" max="10217" width="9.140625" style="94" customWidth="1"/>
    <col min="10218" max="10218" width="11.140625" style="94" customWidth="1"/>
    <col min="10219" max="10219" width="9.140625" style="94" customWidth="1"/>
    <col min="10220" max="10220" width="9.28515625" style="94" customWidth="1"/>
    <col min="10221" max="10221" width="10.85546875" style="94" customWidth="1"/>
    <col min="10222" max="10241" width="9.140625" style="94" hidden="1" customWidth="1"/>
    <col min="10242" max="10242" width="7.28515625" style="94" customWidth="1"/>
    <col min="10243" max="10244" width="9.140625" style="94" customWidth="1"/>
    <col min="10245" max="10245" width="12" style="94" customWidth="1"/>
    <col min="10246" max="10368" width="11.7109375" style="94" customWidth="1"/>
    <col min="10369" max="10369" width="1.7109375" style="94" customWidth="1"/>
    <col min="10370" max="10371" width="9.140625" style="94" hidden="1" customWidth="1"/>
    <col min="10372" max="10372" width="1.7109375" style="94" customWidth="1"/>
    <col min="10373" max="10470" width="9.140625" style="94" hidden="1"/>
    <col min="10471" max="10473" width="9.140625" style="94" customWidth="1"/>
    <col min="10474" max="10474" width="11.140625" style="94" customWidth="1"/>
    <col min="10475" max="10475" width="9.140625" style="94" customWidth="1"/>
    <col min="10476" max="10476" width="9.28515625" style="94" customWidth="1"/>
    <col min="10477" max="10477" width="10.85546875" style="94" customWidth="1"/>
    <col min="10478" max="10497" width="9.140625" style="94" hidden="1" customWidth="1"/>
    <col min="10498" max="10498" width="7.28515625" style="94" customWidth="1"/>
    <col min="10499" max="10500" width="9.140625" style="94" customWidth="1"/>
    <col min="10501" max="10501" width="12" style="94" customWidth="1"/>
    <col min="10502" max="10624" width="11.7109375" style="94" customWidth="1"/>
    <col min="10625" max="10625" width="1.7109375" style="94" customWidth="1"/>
    <col min="10626" max="10627" width="9.140625" style="94" hidden="1" customWidth="1"/>
    <col min="10628" max="10628" width="1.7109375" style="94" customWidth="1"/>
    <col min="10629" max="10726" width="9.140625" style="94" hidden="1"/>
    <col min="10727" max="10729" width="9.140625" style="94" customWidth="1"/>
    <col min="10730" max="10730" width="11.140625" style="94" customWidth="1"/>
    <col min="10731" max="10731" width="9.140625" style="94" customWidth="1"/>
    <col min="10732" max="10732" width="9.28515625" style="94" customWidth="1"/>
    <col min="10733" max="10733" width="10.85546875" style="94" customWidth="1"/>
    <col min="10734" max="10753" width="9.140625" style="94" hidden="1" customWidth="1"/>
    <col min="10754" max="10754" width="7.28515625" style="94" customWidth="1"/>
    <col min="10755" max="10756" width="9.140625" style="94" customWidth="1"/>
    <col min="10757" max="10757" width="12" style="94" customWidth="1"/>
    <col min="10758" max="10880" width="11.7109375" style="94" customWidth="1"/>
    <col min="10881" max="10881" width="1.7109375" style="94" customWidth="1"/>
    <col min="10882" max="10883" width="9.140625" style="94" hidden="1" customWidth="1"/>
    <col min="10884" max="10884" width="1.7109375" style="94" customWidth="1"/>
    <col min="10885" max="10982" width="9.140625" style="94" hidden="1"/>
    <col min="10983" max="10985" width="9.140625" style="94" customWidth="1"/>
    <col min="10986" max="10986" width="11.140625" style="94" customWidth="1"/>
    <col min="10987" max="10987" width="9.140625" style="94" customWidth="1"/>
    <col min="10988" max="10988" width="9.28515625" style="94" customWidth="1"/>
    <col min="10989" max="10989" width="10.85546875" style="94" customWidth="1"/>
    <col min="10990" max="11009" width="9.140625" style="94" hidden="1" customWidth="1"/>
    <col min="11010" max="11010" width="7.28515625" style="94" customWidth="1"/>
    <col min="11011" max="11012" width="9.140625" style="94" customWidth="1"/>
    <col min="11013" max="11013" width="12" style="94" customWidth="1"/>
    <col min="11014" max="11136" width="11.7109375" style="94" customWidth="1"/>
    <col min="11137" max="11137" width="1.7109375" style="94" customWidth="1"/>
    <col min="11138" max="11139" width="9.140625" style="94" hidden="1" customWidth="1"/>
    <col min="11140" max="11140" width="1.7109375" style="94" customWidth="1"/>
    <col min="11141" max="11238" width="9.140625" style="94" hidden="1"/>
    <col min="11239" max="11241" width="9.140625" style="94" customWidth="1"/>
    <col min="11242" max="11242" width="11.140625" style="94" customWidth="1"/>
    <col min="11243" max="11243" width="9.140625" style="94" customWidth="1"/>
    <col min="11244" max="11244" width="9.28515625" style="94" customWidth="1"/>
    <col min="11245" max="11245" width="10.85546875" style="94" customWidth="1"/>
    <col min="11246" max="11265" width="9.140625" style="94" hidden="1" customWidth="1"/>
    <col min="11266" max="11266" width="7.28515625" style="94" customWidth="1"/>
    <col min="11267" max="11268" width="9.140625" style="94" customWidth="1"/>
    <col min="11269" max="11269" width="12" style="94" customWidth="1"/>
    <col min="11270" max="11392" width="11.7109375" style="94" customWidth="1"/>
    <col min="11393" max="11393" width="1.7109375" style="94" customWidth="1"/>
    <col min="11394" max="11395" width="9.140625" style="94" hidden="1" customWidth="1"/>
    <col min="11396" max="11396" width="1.7109375" style="94" customWidth="1"/>
    <col min="11397" max="11494" width="9.140625" style="94" hidden="1"/>
    <col min="11495" max="11497" width="9.140625" style="94" customWidth="1"/>
    <col min="11498" max="11498" width="11.140625" style="94" customWidth="1"/>
    <col min="11499" max="11499" width="9.140625" style="94" customWidth="1"/>
    <col min="11500" max="11500" width="9.28515625" style="94" customWidth="1"/>
    <col min="11501" max="11501" width="10.85546875" style="94" customWidth="1"/>
    <col min="11502" max="11521" width="9.140625" style="94" hidden="1" customWidth="1"/>
    <col min="11522" max="11522" width="7.28515625" style="94" customWidth="1"/>
    <col min="11523" max="11524" width="9.140625" style="94" customWidth="1"/>
    <col min="11525" max="11525" width="12" style="94" customWidth="1"/>
    <col min="11526" max="11648" width="11.7109375" style="94" customWidth="1"/>
    <col min="11649" max="11649" width="1.7109375" style="94" customWidth="1"/>
    <col min="11650" max="11651" width="9.140625" style="94" hidden="1" customWidth="1"/>
    <col min="11652" max="11652" width="1.7109375" style="94" customWidth="1"/>
    <col min="11653" max="11750" width="9.140625" style="94" hidden="1"/>
    <col min="11751" max="11753" width="9.140625" style="94" customWidth="1"/>
    <col min="11754" max="11754" width="11.140625" style="94" customWidth="1"/>
    <col min="11755" max="11755" width="9.140625" style="94" customWidth="1"/>
    <col min="11756" max="11756" width="9.28515625" style="94" customWidth="1"/>
    <col min="11757" max="11757" width="10.85546875" style="94" customWidth="1"/>
    <col min="11758" max="11777" width="9.140625" style="94" hidden="1" customWidth="1"/>
    <col min="11778" max="11778" width="7.28515625" style="94" customWidth="1"/>
    <col min="11779" max="11780" width="9.140625" style="94" customWidth="1"/>
    <col min="11781" max="11781" width="12" style="94" customWidth="1"/>
    <col min="11782" max="11904" width="11.7109375" style="94" customWidth="1"/>
    <col min="11905" max="11905" width="1.7109375" style="94" customWidth="1"/>
    <col min="11906" max="11907" width="9.140625" style="94" hidden="1" customWidth="1"/>
    <col min="11908" max="11908" width="1.7109375" style="94" customWidth="1"/>
    <col min="11909" max="12006" width="9.140625" style="94" hidden="1"/>
    <col min="12007" max="12009" width="9.140625" style="94" customWidth="1"/>
    <col min="12010" max="12010" width="11.140625" style="94" customWidth="1"/>
    <col min="12011" max="12011" width="9.140625" style="94" customWidth="1"/>
    <col min="12012" max="12012" width="9.28515625" style="94" customWidth="1"/>
    <col min="12013" max="12013" width="10.85546875" style="94" customWidth="1"/>
    <col min="12014" max="12033" width="9.140625" style="94" hidden="1" customWidth="1"/>
    <col min="12034" max="12034" width="7.28515625" style="94" customWidth="1"/>
    <col min="12035" max="12036" width="9.140625" style="94" customWidth="1"/>
    <col min="12037" max="12037" width="12" style="94" customWidth="1"/>
    <col min="12038" max="12160" width="11.7109375" style="94" customWidth="1"/>
    <col min="12161" max="12161" width="1.7109375" style="94" customWidth="1"/>
    <col min="12162" max="12163" width="9.140625" style="94" hidden="1" customWidth="1"/>
    <col min="12164" max="12164" width="1.7109375" style="94" customWidth="1"/>
    <col min="12165" max="12262" width="9.140625" style="94" hidden="1"/>
    <col min="12263" max="12265" width="9.140625" style="94" customWidth="1"/>
    <col min="12266" max="12266" width="11.140625" style="94" customWidth="1"/>
    <col min="12267" max="12267" width="9.140625" style="94" customWidth="1"/>
    <col min="12268" max="12268" width="9.28515625" style="94" customWidth="1"/>
    <col min="12269" max="12269" width="10.85546875" style="94" customWidth="1"/>
    <col min="12270" max="12289" width="9.140625" style="94" hidden="1" customWidth="1"/>
    <col min="12290" max="12290" width="7.28515625" style="94" customWidth="1"/>
    <col min="12291" max="12292" width="9.140625" style="94" customWidth="1"/>
    <col min="12293" max="12293" width="12" style="94" customWidth="1"/>
    <col min="12294" max="12416" width="11.7109375" style="94" customWidth="1"/>
    <col min="12417" max="12417" width="1.7109375" style="94" customWidth="1"/>
    <col min="12418" max="12419" width="9.140625" style="94" hidden="1" customWidth="1"/>
    <col min="12420" max="12420" width="1.7109375" style="94" customWidth="1"/>
    <col min="12421" max="12518" width="9.140625" style="94" hidden="1"/>
    <col min="12519" max="12521" width="9.140625" style="94" customWidth="1"/>
    <col min="12522" max="12522" width="11.140625" style="94" customWidth="1"/>
    <col min="12523" max="12523" width="9.140625" style="94" customWidth="1"/>
    <col min="12524" max="12524" width="9.28515625" style="94" customWidth="1"/>
    <col min="12525" max="12525" width="10.85546875" style="94" customWidth="1"/>
    <col min="12526" max="12545" width="9.140625" style="94" hidden="1" customWidth="1"/>
    <col min="12546" max="12546" width="7.28515625" style="94" customWidth="1"/>
    <col min="12547" max="12548" width="9.140625" style="94" customWidth="1"/>
    <col min="12549" max="12549" width="12" style="94" customWidth="1"/>
    <col min="12550" max="12672" width="11.7109375" style="94" customWidth="1"/>
    <col min="12673" max="12673" width="1.7109375" style="94" customWidth="1"/>
    <col min="12674" max="12675" width="9.140625" style="94" hidden="1" customWidth="1"/>
    <col min="12676" max="12676" width="1.7109375" style="94" customWidth="1"/>
    <col min="12677" max="12774" width="9.140625" style="94" hidden="1"/>
    <col min="12775" max="12777" width="9.140625" style="94" customWidth="1"/>
    <col min="12778" max="12778" width="11.140625" style="94" customWidth="1"/>
    <col min="12779" max="12779" width="9.140625" style="94" customWidth="1"/>
    <col min="12780" max="12780" width="9.28515625" style="94" customWidth="1"/>
    <col min="12781" max="12781" width="10.85546875" style="94" customWidth="1"/>
    <col min="12782" max="12801" width="9.140625" style="94" hidden="1" customWidth="1"/>
    <col min="12802" max="12802" width="7.28515625" style="94" customWidth="1"/>
    <col min="12803" max="12804" width="9.140625" style="94" customWidth="1"/>
    <col min="12805" max="12805" width="12" style="94" customWidth="1"/>
    <col min="12806" max="12928" width="11.7109375" style="94" customWidth="1"/>
    <col min="12929" max="12929" width="1.7109375" style="94" customWidth="1"/>
    <col min="12930" max="12931" width="9.140625" style="94" hidden="1" customWidth="1"/>
    <col min="12932" max="12932" width="1.7109375" style="94" customWidth="1"/>
    <col min="12933" max="13030" width="9.140625" style="94" hidden="1"/>
    <col min="13031" max="13033" width="9.140625" style="94" customWidth="1"/>
    <col min="13034" max="13034" width="11.140625" style="94" customWidth="1"/>
    <col min="13035" max="13035" width="9.140625" style="94" customWidth="1"/>
    <col min="13036" max="13036" width="9.28515625" style="94" customWidth="1"/>
    <col min="13037" max="13037" width="10.85546875" style="94" customWidth="1"/>
    <col min="13038" max="13057" width="9.140625" style="94" hidden="1" customWidth="1"/>
    <col min="13058" max="13058" width="7.28515625" style="94" customWidth="1"/>
    <col min="13059" max="13060" width="9.140625" style="94" customWidth="1"/>
    <col min="13061" max="13061" width="12" style="94" customWidth="1"/>
    <col min="13062" max="13184" width="11.7109375" style="94" customWidth="1"/>
    <col min="13185" max="13185" width="1.7109375" style="94" customWidth="1"/>
    <col min="13186" max="13187" width="9.140625" style="94" hidden="1" customWidth="1"/>
    <col min="13188" max="13188" width="1.7109375" style="94" customWidth="1"/>
    <col min="13189" max="13286" width="9.140625" style="94" hidden="1"/>
    <col min="13287" max="13289" width="9.140625" style="94" customWidth="1"/>
    <col min="13290" max="13290" width="11.140625" style="94" customWidth="1"/>
    <col min="13291" max="13291" width="9.140625" style="94" customWidth="1"/>
    <col min="13292" max="13292" width="9.28515625" style="94" customWidth="1"/>
    <col min="13293" max="13293" width="10.85546875" style="94" customWidth="1"/>
    <col min="13294" max="13313" width="9.140625" style="94" hidden="1" customWidth="1"/>
    <col min="13314" max="13314" width="7.28515625" style="94" customWidth="1"/>
    <col min="13315" max="13316" width="9.140625" style="94" customWidth="1"/>
    <col min="13317" max="13317" width="12" style="94" customWidth="1"/>
    <col min="13318" max="13440" width="11.7109375" style="94" customWidth="1"/>
    <col min="13441" max="13441" width="1.7109375" style="94" customWidth="1"/>
    <col min="13442" max="13443" width="9.140625" style="94" hidden="1" customWidth="1"/>
    <col min="13444" max="13444" width="1.7109375" style="94" customWidth="1"/>
    <col min="13445" max="13542" width="9.140625" style="94" hidden="1"/>
    <col min="13543" max="13545" width="9.140625" style="94" customWidth="1"/>
    <col min="13546" max="13546" width="11.140625" style="94" customWidth="1"/>
    <col min="13547" max="13547" width="9.140625" style="94" customWidth="1"/>
    <col min="13548" max="13548" width="9.28515625" style="94" customWidth="1"/>
    <col min="13549" max="13549" width="10.85546875" style="94" customWidth="1"/>
    <col min="13550" max="13569" width="9.140625" style="94" hidden="1" customWidth="1"/>
    <col min="13570" max="13570" width="7.28515625" style="94" customWidth="1"/>
    <col min="13571" max="13572" width="9.140625" style="94" customWidth="1"/>
    <col min="13573" max="13573" width="12" style="94" customWidth="1"/>
    <col min="13574" max="13696" width="11.7109375" style="94" customWidth="1"/>
    <col min="13697" max="13697" width="1.7109375" style="94" customWidth="1"/>
    <col min="13698" max="13699" width="9.140625" style="94" hidden="1" customWidth="1"/>
    <col min="13700" max="13700" width="1.7109375" style="94" customWidth="1"/>
    <col min="13701" max="13798" width="9.140625" style="94" hidden="1"/>
    <col min="13799" max="13801" width="9.140625" style="94" customWidth="1"/>
    <col min="13802" max="13802" width="11.140625" style="94" customWidth="1"/>
    <col min="13803" max="13803" width="9.140625" style="94" customWidth="1"/>
    <col min="13804" max="13804" width="9.28515625" style="94" customWidth="1"/>
    <col min="13805" max="13805" width="10.85546875" style="94" customWidth="1"/>
    <col min="13806" max="13825" width="9.140625" style="94" hidden="1" customWidth="1"/>
    <col min="13826" max="13826" width="7.28515625" style="94" customWidth="1"/>
    <col min="13827" max="13828" width="9.140625" style="94" customWidth="1"/>
    <col min="13829" max="13829" width="12" style="94" customWidth="1"/>
    <col min="13830" max="13952" width="11.7109375" style="94" customWidth="1"/>
    <col min="13953" max="13953" width="1.7109375" style="94" customWidth="1"/>
    <col min="13954" max="13955" width="9.140625" style="94" hidden="1" customWidth="1"/>
    <col min="13956" max="13956" width="1.7109375" style="94" customWidth="1"/>
    <col min="13957" max="14054" width="9.140625" style="94" hidden="1"/>
    <col min="14055" max="14057" width="9.140625" style="94" customWidth="1"/>
    <col min="14058" max="14058" width="11.140625" style="94" customWidth="1"/>
    <col min="14059" max="14059" width="9.140625" style="94" customWidth="1"/>
    <col min="14060" max="14060" width="9.28515625" style="94" customWidth="1"/>
    <col min="14061" max="14061" width="10.85546875" style="94" customWidth="1"/>
    <col min="14062" max="14081" width="9.140625" style="94" hidden="1" customWidth="1"/>
    <col min="14082" max="14082" width="7.28515625" style="94" customWidth="1"/>
    <col min="14083" max="14084" width="9.140625" style="94" customWidth="1"/>
    <col min="14085" max="14085" width="12" style="94" customWidth="1"/>
    <col min="14086" max="14208" width="11.7109375" style="94" customWidth="1"/>
    <col min="14209" max="14209" width="1.7109375" style="94" customWidth="1"/>
    <col min="14210" max="14211" width="9.140625" style="94" hidden="1" customWidth="1"/>
    <col min="14212" max="14212" width="1.7109375" style="94" customWidth="1"/>
    <col min="14213" max="14310" width="9.140625" style="94" hidden="1"/>
    <col min="14311" max="14313" width="9.140625" style="94" customWidth="1"/>
    <col min="14314" max="14314" width="11.140625" style="94" customWidth="1"/>
    <col min="14315" max="14315" width="9.140625" style="94" customWidth="1"/>
    <col min="14316" max="14316" width="9.28515625" style="94" customWidth="1"/>
    <col min="14317" max="14317" width="10.85546875" style="94" customWidth="1"/>
    <col min="14318" max="14337" width="9.140625" style="94" hidden="1" customWidth="1"/>
    <col min="14338" max="14338" width="7.28515625" style="94" customWidth="1"/>
    <col min="14339" max="14340" width="9.140625" style="94" customWidth="1"/>
    <col min="14341" max="14341" width="12" style="94" customWidth="1"/>
    <col min="14342" max="14464" width="11.7109375" style="94" customWidth="1"/>
    <col min="14465" max="14465" width="1.7109375" style="94" customWidth="1"/>
    <col min="14466" max="14467" width="9.140625" style="94" hidden="1" customWidth="1"/>
    <col min="14468" max="14468" width="1.7109375" style="94" customWidth="1"/>
    <col min="14469" max="14566" width="9.140625" style="94" hidden="1"/>
    <col min="14567" max="14569" width="9.140625" style="94" customWidth="1"/>
    <col min="14570" max="14570" width="11.140625" style="94" customWidth="1"/>
    <col min="14571" max="14571" width="9.140625" style="94" customWidth="1"/>
    <col min="14572" max="14572" width="9.28515625" style="94" customWidth="1"/>
    <col min="14573" max="14573" width="10.85546875" style="94" customWidth="1"/>
    <col min="14574" max="14593" width="9.140625" style="94" hidden="1" customWidth="1"/>
    <col min="14594" max="14594" width="7.28515625" style="94" customWidth="1"/>
    <col min="14595" max="14596" width="9.140625" style="94" customWidth="1"/>
    <col min="14597" max="14597" width="12" style="94" customWidth="1"/>
    <col min="14598" max="14720" width="11.7109375" style="94" customWidth="1"/>
    <col min="14721" max="14721" width="1.7109375" style="94" customWidth="1"/>
    <col min="14722" max="14723" width="9.140625" style="94" hidden="1" customWidth="1"/>
    <col min="14724" max="14724" width="1.7109375" style="94" customWidth="1"/>
    <col min="14725" max="14822" width="9.140625" style="94" hidden="1"/>
    <col min="14823" max="14825" width="9.140625" style="94" customWidth="1"/>
    <col min="14826" max="14826" width="11.140625" style="94" customWidth="1"/>
    <col min="14827" max="14827" width="9.140625" style="94" customWidth="1"/>
    <col min="14828" max="14828" width="9.28515625" style="94" customWidth="1"/>
    <col min="14829" max="14829" width="10.85546875" style="94" customWidth="1"/>
    <col min="14830" max="14849" width="9.140625" style="94" hidden="1" customWidth="1"/>
    <col min="14850" max="14850" width="7.28515625" style="94" customWidth="1"/>
    <col min="14851" max="14852" width="9.140625" style="94" customWidth="1"/>
    <col min="14853" max="14853" width="12" style="94" customWidth="1"/>
    <col min="14854" max="14976" width="11.7109375" style="94" customWidth="1"/>
    <col min="14977" max="14977" width="1.7109375" style="94" customWidth="1"/>
    <col min="14978" max="14979" width="9.140625" style="94" hidden="1" customWidth="1"/>
    <col min="14980" max="14980" width="1.7109375" style="94" customWidth="1"/>
    <col min="14981" max="15078" width="9.140625" style="94" hidden="1"/>
    <col min="15079" max="15081" width="9.140625" style="94" customWidth="1"/>
    <col min="15082" max="15082" width="11.140625" style="94" customWidth="1"/>
    <col min="15083" max="15083" width="9.140625" style="94" customWidth="1"/>
    <col min="15084" max="15084" width="9.28515625" style="94" customWidth="1"/>
    <col min="15085" max="15085" width="10.85546875" style="94" customWidth="1"/>
    <col min="15086" max="15105" width="9.140625" style="94" hidden="1" customWidth="1"/>
    <col min="15106" max="15106" width="7.28515625" style="94" customWidth="1"/>
    <col min="15107" max="15108" width="9.140625" style="94" customWidth="1"/>
    <col min="15109" max="15109" width="12" style="94" customWidth="1"/>
    <col min="15110" max="15232" width="11.7109375" style="94" customWidth="1"/>
    <col min="15233" max="15233" width="1.7109375" style="94" customWidth="1"/>
    <col min="15234" max="15235" width="9.140625" style="94" hidden="1" customWidth="1"/>
    <col min="15236" max="15236" width="1.7109375" style="94" customWidth="1"/>
    <col min="15237" max="15334" width="9.140625" style="94" hidden="1"/>
    <col min="15335" max="15337" width="9.140625" style="94" customWidth="1"/>
    <col min="15338" max="15338" width="11.140625" style="94" customWidth="1"/>
    <col min="15339" max="15339" width="9.140625" style="94" customWidth="1"/>
    <col min="15340" max="15340" width="9.28515625" style="94" customWidth="1"/>
    <col min="15341" max="15341" width="10.85546875" style="94" customWidth="1"/>
    <col min="15342" max="15361" width="9.140625" style="94" hidden="1" customWidth="1"/>
    <col min="15362" max="15362" width="7.28515625" style="94" customWidth="1"/>
    <col min="15363" max="15364" width="9.140625" style="94" customWidth="1"/>
    <col min="15365" max="15365" width="12" style="94" customWidth="1"/>
    <col min="15366" max="15488" width="11.7109375" style="94" customWidth="1"/>
    <col min="15489" max="15489" width="1.7109375" style="94" customWidth="1"/>
    <col min="15490" max="15491" width="9.140625" style="94" hidden="1" customWidth="1"/>
    <col min="15492" max="15492" width="1.7109375" style="94" customWidth="1"/>
    <col min="15493" max="15590" width="9.140625" style="94" hidden="1"/>
    <col min="15591" max="15593" width="9.140625" style="94" customWidth="1"/>
    <col min="15594" max="15594" width="11.140625" style="94" customWidth="1"/>
    <col min="15595" max="15595" width="9.140625" style="94" customWidth="1"/>
    <col min="15596" max="15596" width="9.28515625" style="94" customWidth="1"/>
    <col min="15597" max="15597" width="10.85546875" style="94" customWidth="1"/>
    <col min="15598" max="15617" width="9.140625" style="94" hidden="1" customWidth="1"/>
    <col min="15618" max="15618" width="7.28515625" style="94" customWidth="1"/>
    <col min="15619" max="15620" width="9.140625" style="94" customWidth="1"/>
    <col min="15621" max="15621" width="12" style="94" customWidth="1"/>
    <col min="15622" max="15744" width="11.7109375" style="94" customWidth="1"/>
    <col min="15745" max="15745" width="1.7109375" style="94" customWidth="1"/>
    <col min="15746" max="15747" width="9.140625" style="94" hidden="1" customWidth="1"/>
    <col min="15748" max="15748" width="1.7109375" style="94" customWidth="1"/>
    <col min="15749" max="15846" width="9.140625" style="94" hidden="1"/>
    <col min="15847" max="15849" width="9.140625" style="94" customWidth="1"/>
    <col min="15850" max="15850" width="11.140625" style="94" customWidth="1"/>
    <col min="15851" max="15851" width="9.140625" style="94" customWidth="1"/>
    <col min="15852" max="15852" width="9.28515625" style="94" customWidth="1"/>
    <col min="15853" max="15853" width="10.85546875" style="94" customWidth="1"/>
    <col min="15854" max="15873" width="9.140625" style="94" hidden="1" customWidth="1"/>
    <col min="15874" max="15874" width="7.28515625" style="94" customWidth="1"/>
    <col min="15875" max="15876" width="9.140625" style="94" customWidth="1"/>
    <col min="15877" max="15877" width="12" style="94" customWidth="1"/>
    <col min="15878" max="16000" width="11.7109375" style="94" customWidth="1"/>
    <col min="16001" max="16001" width="1.7109375" style="94" customWidth="1"/>
    <col min="16002" max="16003" width="9.140625" style="94" hidden="1" customWidth="1"/>
    <col min="16004" max="16004" width="1.7109375" style="94" customWidth="1"/>
    <col min="16005" max="16102" width="9.140625" style="94" hidden="1"/>
    <col min="16103" max="16105" width="9.140625" style="94" customWidth="1"/>
    <col min="16106" max="16106" width="11.140625" style="94" customWidth="1"/>
    <col min="16107" max="16107" width="9.140625" style="94" customWidth="1"/>
    <col min="16108" max="16108" width="9.28515625" style="94" customWidth="1"/>
    <col min="16109" max="16109" width="10.85546875" style="94" customWidth="1"/>
    <col min="16110" max="16129" width="9.140625" style="94" hidden="1" customWidth="1"/>
    <col min="16130" max="16130" width="7.28515625" style="94" customWidth="1"/>
    <col min="16131" max="16132" width="9.140625" style="94" customWidth="1"/>
    <col min="16133" max="16133" width="12" style="94" customWidth="1"/>
    <col min="16134" max="16256" width="11.7109375" style="94" customWidth="1"/>
    <col min="16257" max="16257" width="1.7109375" style="94" customWidth="1"/>
    <col min="16258" max="16259" width="9.140625" style="94" hidden="1" customWidth="1"/>
    <col min="16260" max="16260" width="1.7109375" style="94" customWidth="1"/>
    <col min="16261" max="16384" width="9.140625" style="94" hidden="1"/>
  </cols>
  <sheetData>
    <row r="1" spans="1:132" s="179" customFormat="1">
      <c r="A1" s="83" t="s">
        <v>206</v>
      </c>
      <c r="B1" s="23"/>
      <c r="C1" s="83"/>
      <c r="D1" s="83"/>
      <c r="E1" s="178">
        <f>IF(OR(([2]Constants!D508+PLA7C)&gt;0,SUM(DY:EB)&gt;ErrTol),1,0)</f>
        <v>0</v>
      </c>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row>
    <row r="2" spans="1:132" ht="15.75">
      <c r="A2" s="25" t="s">
        <v>355</v>
      </c>
      <c r="B2" s="85"/>
      <c r="C2" s="180"/>
      <c r="D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88"/>
      <c r="EB2" s="88"/>
    </row>
    <row r="3" spans="1:132">
      <c r="A3" s="181"/>
      <c r="B3" s="180"/>
      <c r="C3" s="180"/>
      <c r="D3" s="180"/>
      <c r="F3" s="180"/>
      <c r="G3" s="180"/>
      <c r="H3" s="180"/>
      <c r="I3" s="180"/>
      <c r="J3" s="180"/>
      <c r="K3" s="180"/>
      <c r="L3" s="180"/>
      <c r="M3" s="180"/>
      <c r="N3" s="180"/>
      <c r="O3" s="180"/>
      <c r="P3" s="180"/>
      <c r="Q3" s="210">
        <v>41944</v>
      </c>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88"/>
      <c r="EB3" s="88"/>
    </row>
    <row r="4" spans="1:132">
      <c r="A4" s="180"/>
      <c r="B4" s="180"/>
      <c r="C4" s="180"/>
      <c r="D4" s="180"/>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c r="BM4" s="180"/>
      <c r="BN4" s="180"/>
      <c r="BO4" s="180"/>
      <c r="BP4" s="180"/>
      <c r="BQ4" s="180"/>
      <c r="BR4" s="180"/>
      <c r="BS4" s="180"/>
      <c r="BT4" s="180"/>
      <c r="BU4" s="180"/>
      <c r="BV4" s="180"/>
      <c r="BW4" s="180"/>
      <c r="BX4" s="180"/>
      <c r="BY4" s="180"/>
      <c r="BZ4" s="180"/>
      <c r="CA4" s="180"/>
      <c r="CB4" s="180"/>
      <c r="CC4" s="180"/>
      <c r="CD4" s="180"/>
      <c r="CE4" s="180"/>
      <c r="CF4" s="180"/>
      <c r="CG4" s="180"/>
      <c r="CH4" s="180"/>
      <c r="CI4" s="180"/>
      <c r="CJ4" s="180"/>
      <c r="CK4" s="180"/>
      <c r="CL4" s="180"/>
      <c r="CM4" s="180"/>
      <c r="CN4" s="180"/>
      <c r="CO4" s="180"/>
      <c r="CP4" s="180"/>
      <c r="CQ4" s="180"/>
      <c r="CR4" s="180"/>
      <c r="CS4" s="180"/>
      <c r="CT4" s="180"/>
      <c r="CU4" s="180"/>
      <c r="CV4" s="180"/>
      <c r="CW4" s="180"/>
      <c r="CX4" s="180"/>
      <c r="CY4" s="180"/>
      <c r="CZ4" s="180"/>
      <c r="DA4" s="180"/>
      <c r="DB4" s="180"/>
      <c r="DC4" s="180"/>
      <c r="DD4" s="180"/>
      <c r="DE4" s="180"/>
      <c r="DF4" s="180"/>
      <c r="DG4" s="180"/>
      <c r="DH4" s="180"/>
      <c r="DI4" s="180"/>
      <c r="DJ4" s="180"/>
      <c r="DK4" s="180"/>
      <c r="DL4" s="180"/>
      <c r="DM4" s="180"/>
      <c r="DN4" s="180"/>
      <c r="DO4" s="180"/>
      <c r="DP4" s="180"/>
      <c r="DQ4" s="180"/>
      <c r="DR4" s="180"/>
      <c r="DS4" s="180"/>
      <c r="DT4" s="180"/>
      <c r="DU4" s="180"/>
      <c r="DV4" s="180"/>
      <c r="DW4" s="180"/>
      <c r="DX4" s="180"/>
      <c r="DY4" s="88"/>
      <c r="EB4" s="88"/>
    </row>
    <row r="5" spans="1:132" s="179" customFormat="1" collapsed="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row>
    <row r="6" spans="1:132" s="189" customFormat="1" hidden="1" outlineLevel="1">
      <c r="A6" s="180" t="s">
        <v>388</v>
      </c>
      <c r="B6" s="180"/>
      <c r="C6" s="180"/>
      <c r="D6" s="187">
        <f>PreContractPeriodDurationIn</f>
        <v>3</v>
      </c>
      <c r="E6" s="188"/>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88"/>
      <c r="EB6" s="88"/>
    </row>
    <row r="7" spans="1:132" s="189" customFormat="1" hidden="1" outlineLevel="1">
      <c r="A7" s="180" t="s">
        <v>389</v>
      </c>
      <c r="B7" s="180"/>
      <c r="C7" s="180"/>
      <c r="D7" s="180"/>
      <c r="E7" s="180"/>
      <c r="F7" s="190" t="s">
        <v>142</v>
      </c>
      <c r="G7" s="190" t="s">
        <v>143</v>
      </c>
      <c r="H7" s="190" t="s">
        <v>144</v>
      </c>
      <c r="I7" s="190" t="s">
        <v>145</v>
      </c>
      <c r="J7" s="190" t="s">
        <v>146</v>
      </c>
      <c r="K7" s="190" t="s">
        <v>147</v>
      </c>
      <c r="L7" s="190" t="s">
        <v>148</v>
      </c>
      <c r="M7" s="190" t="s">
        <v>149</v>
      </c>
      <c r="N7" s="190" t="s">
        <v>150</v>
      </c>
      <c r="O7" s="190" t="s">
        <v>151</v>
      </c>
      <c r="P7" s="190" t="s">
        <v>152</v>
      </c>
      <c r="Q7" s="190" t="s">
        <v>153</v>
      </c>
      <c r="R7" s="191" t="s">
        <v>390</v>
      </c>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92"/>
      <c r="CU7" s="192"/>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80"/>
      <c r="DY7" s="88"/>
      <c r="EB7" s="88"/>
    </row>
    <row r="8" spans="1:132">
      <c r="A8" s="185"/>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2"/>
      <c r="EB8" s="182"/>
    </row>
    <row r="9" spans="1:132" s="179" customFormat="1" ht="15">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184"/>
      <c r="EA9" s="183"/>
      <c r="EB9" s="184"/>
    </row>
    <row r="10" spans="1:132" outlineLevel="1">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6"/>
      <c r="EB10" s="186"/>
    </row>
    <row r="11" spans="1:132" outlineLevel="1">
      <c r="A11" s="91" t="s">
        <v>155</v>
      </c>
      <c r="C11" s="180"/>
      <c r="D11" s="180"/>
      <c r="E11" s="180"/>
      <c r="F11" s="196">
        <f>Q3</f>
        <v>41944</v>
      </c>
      <c r="G11" s="197">
        <f t="shared" ref="G11:BR11" si="0">F12+1</f>
        <v>41974</v>
      </c>
      <c r="H11" s="198">
        <f t="shared" si="0"/>
        <v>42005</v>
      </c>
      <c r="I11" s="198">
        <f t="shared" si="0"/>
        <v>42036</v>
      </c>
      <c r="J11" s="198">
        <f t="shared" si="0"/>
        <v>42064</v>
      </c>
      <c r="K11" s="198">
        <f t="shared" si="0"/>
        <v>42095</v>
      </c>
      <c r="L11" s="198">
        <f t="shared" si="0"/>
        <v>42125</v>
      </c>
      <c r="M11" s="198">
        <f t="shared" si="0"/>
        <v>42156</v>
      </c>
      <c r="N11" s="198">
        <f t="shared" si="0"/>
        <v>42186</v>
      </c>
      <c r="O11" s="198">
        <f t="shared" si="0"/>
        <v>42217</v>
      </c>
      <c r="P11" s="198">
        <f t="shared" si="0"/>
        <v>42248</v>
      </c>
      <c r="Q11" s="198">
        <f t="shared" si="0"/>
        <v>42278</v>
      </c>
      <c r="R11" s="198">
        <f t="shared" si="0"/>
        <v>42309</v>
      </c>
      <c r="S11" s="198">
        <f t="shared" si="0"/>
        <v>42339</v>
      </c>
      <c r="T11" s="198">
        <f t="shared" si="0"/>
        <v>42370</v>
      </c>
      <c r="U11" s="198">
        <f t="shared" si="0"/>
        <v>42401</v>
      </c>
      <c r="V11" s="198">
        <f t="shared" si="0"/>
        <v>42430</v>
      </c>
      <c r="W11" s="198">
        <f t="shared" si="0"/>
        <v>42461</v>
      </c>
      <c r="X11" s="198">
        <f t="shared" si="0"/>
        <v>42491</v>
      </c>
      <c r="Y11" s="198">
        <f t="shared" si="0"/>
        <v>42522</v>
      </c>
      <c r="Z11" s="198">
        <f t="shared" si="0"/>
        <v>42552</v>
      </c>
      <c r="AA11" s="198">
        <f t="shared" si="0"/>
        <v>42583</v>
      </c>
      <c r="AB11" s="198">
        <f t="shared" si="0"/>
        <v>42614</v>
      </c>
      <c r="AC11" s="198">
        <f t="shared" si="0"/>
        <v>42644</v>
      </c>
      <c r="AD11" s="198">
        <f t="shared" si="0"/>
        <v>42675</v>
      </c>
      <c r="AE11" s="198">
        <f t="shared" si="0"/>
        <v>42705</v>
      </c>
      <c r="AF11" s="198">
        <f t="shared" si="0"/>
        <v>42736</v>
      </c>
      <c r="AG11" s="198">
        <f t="shared" si="0"/>
        <v>42767</v>
      </c>
      <c r="AH11" s="198">
        <f t="shared" si="0"/>
        <v>42795</v>
      </c>
      <c r="AI11" s="198">
        <f t="shared" si="0"/>
        <v>42826</v>
      </c>
      <c r="AJ11" s="198">
        <f t="shared" si="0"/>
        <v>42856</v>
      </c>
      <c r="AK11" s="198">
        <f t="shared" si="0"/>
        <v>42887</v>
      </c>
      <c r="AL11" s="198">
        <f t="shared" si="0"/>
        <v>42917</v>
      </c>
      <c r="AM11" s="198">
        <f t="shared" si="0"/>
        <v>42948</v>
      </c>
      <c r="AN11" s="198">
        <f t="shared" si="0"/>
        <v>42979</v>
      </c>
      <c r="AO11" s="198">
        <f t="shared" si="0"/>
        <v>43009</v>
      </c>
      <c r="AP11" s="198">
        <f t="shared" si="0"/>
        <v>43040</v>
      </c>
      <c r="AQ11" s="198">
        <f t="shared" si="0"/>
        <v>43070</v>
      </c>
      <c r="AR11" s="198">
        <f t="shared" si="0"/>
        <v>43101</v>
      </c>
      <c r="AS11" s="198">
        <f t="shared" si="0"/>
        <v>43132</v>
      </c>
      <c r="AT11" s="198">
        <f t="shared" si="0"/>
        <v>43160</v>
      </c>
      <c r="AU11" s="198">
        <f t="shared" si="0"/>
        <v>43191</v>
      </c>
      <c r="AV11" s="198">
        <f t="shared" si="0"/>
        <v>43221</v>
      </c>
      <c r="AW11" s="198">
        <f t="shared" si="0"/>
        <v>43252</v>
      </c>
      <c r="AX11" s="198">
        <f t="shared" si="0"/>
        <v>43282</v>
      </c>
      <c r="AY11" s="198">
        <f t="shared" si="0"/>
        <v>43313</v>
      </c>
      <c r="AZ11" s="198">
        <f t="shared" si="0"/>
        <v>43344</v>
      </c>
      <c r="BA11" s="198">
        <f t="shared" si="0"/>
        <v>43374</v>
      </c>
      <c r="BB11" s="198">
        <f t="shared" si="0"/>
        <v>43405</v>
      </c>
      <c r="BC11" s="198">
        <f t="shared" si="0"/>
        <v>43435</v>
      </c>
      <c r="BD11" s="198">
        <f t="shared" si="0"/>
        <v>43466</v>
      </c>
      <c r="BE11" s="198">
        <f t="shared" si="0"/>
        <v>43497</v>
      </c>
      <c r="BF11" s="198">
        <f t="shared" si="0"/>
        <v>43525</v>
      </c>
      <c r="BG11" s="198">
        <f t="shared" si="0"/>
        <v>43556</v>
      </c>
      <c r="BH11" s="198">
        <f t="shared" si="0"/>
        <v>43586</v>
      </c>
      <c r="BI11" s="198">
        <f t="shared" si="0"/>
        <v>43617</v>
      </c>
      <c r="BJ11" s="198">
        <f t="shared" si="0"/>
        <v>43647</v>
      </c>
      <c r="BK11" s="198">
        <f t="shared" si="0"/>
        <v>43678</v>
      </c>
      <c r="BL11" s="198">
        <f t="shared" si="0"/>
        <v>43709</v>
      </c>
      <c r="BM11" s="198">
        <f t="shared" si="0"/>
        <v>43739</v>
      </c>
      <c r="BN11" s="198">
        <f t="shared" si="0"/>
        <v>43770</v>
      </c>
      <c r="BO11" s="198">
        <f t="shared" si="0"/>
        <v>43800</v>
      </c>
      <c r="BP11" s="198">
        <f t="shared" si="0"/>
        <v>43831</v>
      </c>
      <c r="BQ11" s="198">
        <f t="shared" si="0"/>
        <v>43862</v>
      </c>
      <c r="BR11" s="198">
        <f t="shared" si="0"/>
        <v>43891</v>
      </c>
      <c r="BS11" s="198">
        <f t="shared" ref="BS11:DX11" si="1">BR12+1</f>
        <v>43922</v>
      </c>
      <c r="BT11" s="198">
        <f t="shared" si="1"/>
        <v>43952</v>
      </c>
      <c r="BU11" s="198">
        <f t="shared" si="1"/>
        <v>43983</v>
      </c>
      <c r="BV11" s="198">
        <f t="shared" si="1"/>
        <v>44013</v>
      </c>
      <c r="BW11" s="198">
        <f t="shared" si="1"/>
        <v>44044</v>
      </c>
      <c r="BX11" s="198">
        <f t="shared" si="1"/>
        <v>44075</v>
      </c>
      <c r="BY11" s="198">
        <f t="shared" si="1"/>
        <v>44105</v>
      </c>
      <c r="BZ11" s="198">
        <f t="shared" si="1"/>
        <v>44136</v>
      </c>
      <c r="CA11" s="198">
        <f t="shared" si="1"/>
        <v>44166</v>
      </c>
      <c r="CB11" s="198">
        <f t="shared" si="1"/>
        <v>44197</v>
      </c>
      <c r="CC11" s="198">
        <f t="shared" si="1"/>
        <v>44228</v>
      </c>
      <c r="CD11" s="198">
        <f t="shared" si="1"/>
        <v>44256</v>
      </c>
      <c r="CE11" s="198">
        <f t="shared" si="1"/>
        <v>44287</v>
      </c>
      <c r="CF11" s="198">
        <f t="shared" si="1"/>
        <v>44317</v>
      </c>
      <c r="CG11" s="198">
        <f t="shared" si="1"/>
        <v>44348</v>
      </c>
      <c r="CH11" s="198">
        <f t="shared" si="1"/>
        <v>44378</v>
      </c>
      <c r="CI11" s="198">
        <f t="shared" si="1"/>
        <v>44409</v>
      </c>
      <c r="CJ11" s="198">
        <f t="shared" si="1"/>
        <v>44440</v>
      </c>
      <c r="CK11" s="198">
        <f t="shared" si="1"/>
        <v>44470</v>
      </c>
      <c r="CL11" s="198">
        <f t="shared" si="1"/>
        <v>44501</v>
      </c>
      <c r="CM11" s="198">
        <f t="shared" si="1"/>
        <v>44531</v>
      </c>
      <c r="CN11" s="198">
        <f t="shared" si="1"/>
        <v>44562</v>
      </c>
      <c r="CO11" s="198">
        <f t="shared" si="1"/>
        <v>44593</v>
      </c>
      <c r="CP11" s="198">
        <f t="shared" si="1"/>
        <v>44621</v>
      </c>
      <c r="CQ11" s="198">
        <f t="shared" si="1"/>
        <v>44652</v>
      </c>
      <c r="CR11" s="198">
        <f t="shared" si="1"/>
        <v>44682</v>
      </c>
      <c r="CS11" s="198">
        <f t="shared" si="1"/>
        <v>44713</v>
      </c>
      <c r="CT11" s="198">
        <f t="shared" si="1"/>
        <v>44743</v>
      </c>
      <c r="CU11" s="198">
        <f t="shared" si="1"/>
        <v>44774</v>
      </c>
      <c r="CV11" s="198">
        <f t="shared" si="1"/>
        <v>44805</v>
      </c>
      <c r="CW11" s="198">
        <f t="shared" si="1"/>
        <v>44835</v>
      </c>
      <c r="CX11" s="198">
        <f t="shared" si="1"/>
        <v>44866</v>
      </c>
      <c r="CY11" s="198">
        <f t="shared" si="1"/>
        <v>44896</v>
      </c>
      <c r="CZ11" s="198">
        <f t="shared" si="1"/>
        <v>44927</v>
      </c>
      <c r="DA11" s="198">
        <f t="shared" si="1"/>
        <v>44958</v>
      </c>
      <c r="DB11" s="198">
        <f t="shared" si="1"/>
        <v>44986</v>
      </c>
      <c r="DC11" s="198">
        <f t="shared" si="1"/>
        <v>45017</v>
      </c>
      <c r="DD11" s="198">
        <f t="shared" si="1"/>
        <v>45047</v>
      </c>
      <c r="DE11" s="198">
        <f t="shared" si="1"/>
        <v>45078</v>
      </c>
      <c r="DF11" s="198">
        <f t="shared" si="1"/>
        <v>45108</v>
      </c>
      <c r="DG11" s="198">
        <f t="shared" si="1"/>
        <v>45139</v>
      </c>
      <c r="DH11" s="198">
        <f t="shared" si="1"/>
        <v>45170</v>
      </c>
      <c r="DI11" s="198">
        <f t="shared" si="1"/>
        <v>45200</v>
      </c>
      <c r="DJ11" s="198">
        <f t="shared" si="1"/>
        <v>45231</v>
      </c>
      <c r="DK11" s="198">
        <f t="shared" si="1"/>
        <v>45261</v>
      </c>
      <c r="DL11" s="198">
        <f t="shared" si="1"/>
        <v>45292</v>
      </c>
      <c r="DM11" s="198">
        <f t="shared" si="1"/>
        <v>45323</v>
      </c>
      <c r="DN11" s="198">
        <f t="shared" si="1"/>
        <v>45352</v>
      </c>
      <c r="DO11" s="198">
        <f t="shared" si="1"/>
        <v>45383</v>
      </c>
      <c r="DP11" s="198">
        <f t="shared" si="1"/>
        <v>45413</v>
      </c>
      <c r="DQ11" s="198">
        <f t="shared" si="1"/>
        <v>45444</v>
      </c>
      <c r="DR11" s="198">
        <f t="shared" si="1"/>
        <v>45474</v>
      </c>
      <c r="DS11" s="198">
        <f t="shared" si="1"/>
        <v>45505</v>
      </c>
      <c r="DT11" s="198">
        <f t="shared" si="1"/>
        <v>45536</v>
      </c>
      <c r="DU11" s="198">
        <f t="shared" si="1"/>
        <v>45566</v>
      </c>
      <c r="DV11" s="198">
        <f t="shared" si="1"/>
        <v>45597</v>
      </c>
      <c r="DW11" s="198">
        <f t="shared" si="1"/>
        <v>45627</v>
      </c>
      <c r="DX11" s="198">
        <f t="shared" si="1"/>
        <v>45658</v>
      </c>
      <c r="DY11" s="88"/>
      <c r="DZ11" s="193" t="s">
        <v>391</v>
      </c>
      <c r="EB11" s="88"/>
    </row>
    <row r="12" spans="1:132" outlineLevel="1">
      <c r="A12" s="91" t="s">
        <v>156</v>
      </c>
      <c r="C12" s="180"/>
      <c r="D12" s="180"/>
      <c r="E12" s="180"/>
      <c r="F12" s="199">
        <f t="shared" ref="F12:BQ12" si="2">DATE(YEAR(F11),MONTH(F11)+1,DAY(F11)-1)</f>
        <v>41973</v>
      </c>
      <c r="G12" s="200">
        <f t="shared" si="2"/>
        <v>42004</v>
      </c>
      <c r="H12" s="200">
        <f t="shared" si="2"/>
        <v>42035</v>
      </c>
      <c r="I12" s="200">
        <f t="shared" si="2"/>
        <v>42063</v>
      </c>
      <c r="J12" s="200">
        <f t="shared" si="2"/>
        <v>42094</v>
      </c>
      <c r="K12" s="200">
        <f t="shared" si="2"/>
        <v>42124</v>
      </c>
      <c r="L12" s="200">
        <f t="shared" si="2"/>
        <v>42155</v>
      </c>
      <c r="M12" s="200">
        <f t="shared" si="2"/>
        <v>42185</v>
      </c>
      <c r="N12" s="200">
        <f t="shared" si="2"/>
        <v>42216</v>
      </c>
      <c r="O12" s="200">
        <f t="shared" si="2"/>
        <v>42247</v>
      </c>
      <c r="P12" s="200">
        <f t="shared" si="2"/>
        <v>42277</v>
      </c>
      <c r="Q12" s="200">
        <f t="shared" si="2"/>
        <v>42308</v>
      </c>
      <c r="R12" s="200">
        <f t="shared" si="2"/>
        <v>42338</v>
      </c>
      <c r="S12" s="200">
        <f t="shared" si="2"/>
        <v>42369</v>
      </c>
      <c r="T12" s="200">
        <f t="shared" si="2"/>
        <v>42400</v>
      </c>
      <c r="U12" s="200">
        <f t="shared" si="2"/>
        <v>42429</v>
      </c>
      <c r="V12" s="200">
        <f t="shared" si="2"/>
        <v>42460</v>
      </c>
      <c r="W12" s="200">
        <f t="shared" si="2"/>
        <v>42490</v>
      </c>
      <c r="X12" s="200">
        <f t="shared" si="2"/>
        <v>42521</v>
      </c>
      <c r="Y12" s="200">
        <f t="shared" si="2"/>
        <v>42551</v>
      </c>
      <c r="Z12" s="200">
        <f t="shared" si="2"/>
        <v>42582</v>
      </c>
      <c r="AA12" s="200">
        <f t="shared" si="2"/>
        <v>42613</v>
      </c>
      <c r="AB12" s="200">
        <f t="shared" si="2"/>
        <v>42643</v>
      </c>
      <c r="AC12" s="200">
        <f t="shared" si="2"/>
        <v>42674</v>
      </c>
      <c r="AD12" s="200">
        <f t="shared" si="2"/>
        <v>42704</v>
      </c>
      <c r="AE12" s="200">
        <f t="shared" si="2"/>
        <v>42735</v>
      </c>
      <c r="AF12" s="200">
        <f t="shared" si="2"/>
        <v>42766</v>
      </c>
      <c r="AG12" s="200">
        <f t="shared" si="2"/>
        <v>42794</v>
      </c>
      <c r="AH12" s="200">
        <f t="shared" si="2"/>
        <v>42825</v>
      </c>
      <c r="AI12" s="200">
        <f t="shared" si="2"/>
        <v>42855</v>
      </c>
      <c r="AJ12" s="200">
        <f t="shared" si="2"/>
        <v>42886</v>
      </c>
      <c r="AK12" s="200">
        <f t="shared" si="2"/>
        <v>42916</v>
      </c>
      <c r="AL12" s="200">
        <f t="shared" si="2"/>
        <v>42947</v>
      </c>
      <c r="AM12" s="200">
        <f t="shared" si="2"/>
        <v>42978</v>
      </c>
      <c r="AN12" s="200">
        <f t="shared" si="2"/>
        <v>43008</v>
      </c>
      <c r="AO12" s="200">
        <f t="shared" si="2"/>
        <v>43039</v>
      </c>
      <c r="AP12" s="200">
        <f t="shared" si="2"/>
        <v>43069</v>
      </c>
      <c r="AQ12" s="200">
        <f t="shared" si="2"/>
        <v>43100</v>
      </c>
      <c r="AR12" s="200">
        <f t="shared" si="2"/>
        <v>43131</v>
      </c>
      <c r="AS12" s="200">
        <f t="shared" si="2"/>
        <v>43159</v>
      </c>
      <c r="AT12" s="200">
        <f t="shared" si="2"/>
        <v>43190</v>
      </c>
      <c r="AU12" s="200">
        <f t="shared" si="2"/>
        <v>43220</v>
      </c>
      <c r="AV12" s="200">
        <f t="shared" si="2"/>
        <v>43251</v>
      </c>
      <c r="AW12" s="200">
        <f t="shared" si="2"/>
        <v>43281</v>
      </c>
      <c r="AX12" s="200">
        <f t="shared" si="2"/>
        <v>43312</v>
      </c>
      <c r="AY12" s="200">
        <f t="shared" si="2"/>
        <v>43343</v>
      </c>
      <c r="AZ12" s="200">
        <f t="shared" si="2"/>
        <v>43373</v>
      </c>
      <c r="BA12" s="200">
        <f t="shared" si="2"/>
        <v>43404</v>
      </c>
      <c r="BB12" s="200">
        <f t="shared" si="2"/>
        <v>43434</v>
      </c>
      <c r="BC12" s="200">
        <f t="shared" si="2"/>
        <v>43465</v>
      </c>
      <c r="BD12" s="200">
        <f t="shared" si="2"/>
        <v>43496</v>
      </c>
      <c r="BE12" s="200">
        <f t="shared" si="2"/>
        <v>43524</v>
      </c>
      <c r="BF12" s="200">
        <f t="shared" si="2"/>
        <v>43555</v>
      </c>
      <c r="BG12" s="200">
        <f t="shared" si="2"/>
        <v>43585</v>
      </c>
      <c r="BH12" s="200">
        <f t="shared" si="2"/>
        <v>43616</v>
      </c>
      <c r="BI12" s="200">
        <f t="shared" si="2"/>
        <v>43646</v>
      </c>
      <c r="BJ12" s="200">
        <f t="shared" si="2"/>
        <v>43677</v>
      </c>
      <c r="BK12" s="200">
        <f t="shared" si="2"/>
        <v>43708</v>
      </c>
      <c r="BL12" s="200">
        <f t="shared" si="2"/>
        <v>43738</v>
      </c>
      <c r="BM12" s="200">
        <f t="shared" si="2"/>
        <v>43769</v>
      </c>
      <c r="BN12" s="200">
        <f t="shared" si="2"/>
        <v>43799</v>
      </c>
      <c r="BO12" s="200">
        <f t="shared" si="2"/>
        <v>43830</v>
      </c>
      <c r="BP12" s="200">
        <f t="shared" si="2"/>
        <v>43861</v>
      </c>
      <c r="BQ12" s="200">
        <f t="shared" si="2"/>
        <v>43890</v>
      </c>
      <c r="BR12" s="200">
        <f t="shared" ref="BR12:DX12" si="3">DATE(YEAR(BR11),MONTH(BR11)+1,DAY(BR11)-1)</f>
        <v>43921</v>
      </c>
      <c r="BS12" s="200">
        <f t="shared" si="3"/>
        <v>43951</v>
      </c>
      <c r="BT12" s="200">
        <f t="shared" si="3"/>
        <v>43982</v>
      </c>
      <c r="BU12" s="200">
        <f t="shared" si="3"/>
        <v>44012</v>
      </c>
      <c r="BV12" s="200">
        <f t="shared" si="3"/>
        <v>44043</v>
      </c>
      <c r="BW12" s="200">
        <f t="shared" si="3"/>
        <v>44074</v>
      </c>
      <c r="BX12" s="200">
        <f t="shared" si="3"/>
        <v>44104</v>
      </c>
      <c r="BY12" s="200">
        <f t="shared" si="3"/>
        <v>44135</v>
      </c>
      <c r="BZ12" s="200">
        <f t="shared" si="3"/>
        <v>44165</v>
      </c>
      <c r="CA12" s="200">
        <f t="shared" si="3"/>
        <v>44196</v>
      </c>
      <c r="CB12" s="200">
        <f t="shared" si="3"/>
        <v>44227</v>
      </c>
      <c r="CC12" s="200">
        <f t="shared" si="3"/>
        <v>44255</v>
      </c>
      <c r="CD12" s="200">
        <f t="shared" si="3"/>
        <v>44286</v>
      </c>
      <c r="CE12" s="200">
        <f t="shared" si="3"/>
        <v>44316</v>
      </c>
      <c r="CF12" s="200">
        <f t="shared" si="3"/>
        <v>44347</v>
      </c>
      <c r="CG12" s="200">
        <f t="shared" si="3"/>
        <v>44377</v>
      </c>
      <c r="CH12" s="200">
        <f t="shared" si="3"/>
        <v>44408</v>
      </c>
      <c r="CI12" s="200">
        <f t="shared" si="3"/>
        <v>44439</v>
      </c>
      <c r="CJ12" s="200">
        <f t="shared" si="3"/>
        <v>44469</v>
      </c>
      <c r="CK12" s="200">
        <f t="shared" si="3"/>
        <v>44500</v>
      </c>
      <c r="CL12" s="200">
        <f t="shared" si="3"/>
        <v>44530</v>
      </c>
      <c r="CM12" s="200">
        <f t="shared" si="3"/>
        <v>44561</v>
      </c>
      <c r="CN12" s="200">
        <f t="shared" si="3"/>
        <v>44592</v>
      </c>
      <c r="CO12" s="200">
        <f t="shared" si="3"/>
        <v>44620</v>
      </c>
      <c r="CP12" s="200">
        <f t="shared" si="3"/>
        <v>44651</v>
      </c>
      <c r="CQ12" s="200">
        <f t="shared" si="3"/>
        <v>44681</v>
      </c>
      <c r="CR12" s="200">
        <f t="shared" si="3"/>
        <v>44712</v>
      </c>
      <c r="CS12" s="200">
        <f t="shared" si="3"/>
        <v>44742</v>
      </c>
      <c r="CT12" s="200">
        <f t="shared" si="3"/>
        <v>44773</v>
      </c>
      <c r="CU12" s="200">
        <f t="shared" si="3"/>
        <v>44804</v>
      </c>
      <c r="CV12" s="200">
        <f t="shared" si="3"/>
        <v>44834</v>
      </c>
      <c r="CW12" s="200">
        <f t="shared" si="3"/>
        <v>44865</v>
      </c>
      <c r="CX12" s="200">
        <f t="shared" si="3"/>
        <v>44895</v>
      </c>
      <c r="CY12" s="200">
        <f t="shared" si="3"/>
        <v>44926</v>
      </c>
      <c r="CZ12" s="200">
        <f t="shared" si="3"/>
        <v>44957</v>
      </c>
      <c r="DA12" s="200">
        <f t="shared" si="3"/>
        <v>44985</v>
      </c>
      <c r="DB12" s="200">
        <f t="shared" si="3"/>
        <v>45016</v>
      </c>
      <c r="DC12" s="200">
        <f t="shared" si="3"/>
        <v>45046</v>
      </c>
      <c r="DD12" s="200">
        <f t="shared" si="3"/>
        <v>45077</v>
      </c>
      <c r="DE12" s="200">
        <f t="shared" si="3"/>
        <v>45107</v>
      </c>
      <c r="DF12" s="200">
        <f t="shared" si="3"/>
        <v>45138</v>
      </c>
      <c r="DG12" s="200">
        <f t="shared" si="3"/>
        <v>45169</v>
      </c>
      <c r="DH12" s="200">
        <f t="shared" si="3"/>
        <v>45199</v>
      </c>
      <c r="DI12" s="200">
        <f t="shared" si="3"/>
        <v>45230</v>
      </c>
      <c r="DJ12" s="200">
        <f t="shared" si="3"/>
        <v>45260</v>
      </c>
      <c r="DK12" s="200">
        <f t="shared" si="3"/>
        <v>45291</v>
      </c>
      <c r="DL12" s="200">
        <f t="shared" si="3"/>
        <v>45322</v>
      </c>
      <c r="DM12" s="200">
        <f t="shared" si="3"/>
        <v>45351</v>
      </c>
      <c r="DN12" s="200">
        <f t="shared" si="3"/>
        <v>45382</v>
      </c>
      <c r="DO12" s="200">
        <f t="shared" si="3"/>
        <v>45412</v>
      </c>
      <c r="DP12" s="200">
        <f t="shared" si="3"/>
        <v>45443</v>
      </c>
      <c r="DQ12" s="200">
        <f t="shared" si="3"/>
        <v>45473</v>
      </c>
      <c r="DR12" s="200">
        <f t="shared" si="3"/>
        <v>45504</v>
      </c>
      <c r="DS12" s="200">
        <f t="shared" si="3"/>
        <v>45535</v>
      </c>
      <c r="DT12" s="200">
        <f t="shared" si="3"/>
        <v>45565</v>
      </c>
      <c r="DU12" s="200">
        <f t="shared" si="3"/>
        <v>45596</v>
      </c>
      <c r="DV12" s="200">
        <f t="shared" si="3"/>
        <v>45626</v>
      </c>
      <c r="DW12" s="200">
        <f t="shared" si="3"/>
        <v>45657</v>
      </c>
      <c r="DX12" s="200">
        <f t="shared" si="3"/>
        <v>45688</v>
      </c>
      <c r="DY12" s="88"/>
      <c r="DZ12" s="193" t="s">
        <v>392</v>
      </c>
      <c r="EB12" s="88"/>
    </row>
    <row r="13" spans="1:132" outlineLevel="1">
      <c r="A13" s="91" t="s">
        <v>157</v>
      </c>
      <c r="C13" s="180"/>
      <c r="D13" s="180"/>
      <c r="E13" s="180"/>
      <c r="F13" s="201">
        <v>1</v>
      </c>
      <c r="G13" s="202">
        <f t="shared" ref="G13:BR13" si="4">F13+1</f>
        <v>2</v>
      </c>
      <c r="H13" s="203">
        <f t="shared" si="4"/>
        <v>3</v>
      </c>
      <c r="I13" s="203">
        <f t="shared" si="4"/>
        <v>4</v>
      </c>
      <c r="J13" s="203">
        <f t="shared" si="4"/>
        <v>5</v>
      </c>
      <c r="K13" s="203">
        <f t="shared" si="4"/>
        <v>6</v>
      </c>
      <c r="L13" s="203">
        <f t="shared" si="4"/>
        <v>7</v>
      </c>
      <c r="M13" s="203">
        <f t="shared" si="4"/>
        <v>8</v>
      </c>
      <c r="N13" s="203">
        <f t="shared" si="4"/>
        <v>9</v>
      </c>
      <c r="O13" s="203">
        <f t="shared" si="4"/>
        <v>10</v>
      </c>
      <c r="P13" s="203">
        <f t="shared" si="4"/>
        <v>11</v>
      </c>
      <c r="Q13" s="203">
        <f t="shared" si="4"/>
        <v>12</v>
      </c>
      <c r="R13" s="203">
        <f t="shared" si="4"/>
        <v>13</v>
      </c>
      <c r="S13" s="203">
        <f t="shared" si="4"/>
        <v>14</v>
      </c>
      <c r="T13" s="203">
        <f t="shared" si="4"/>
        <v>15</v>
      </c>
      <c r="U13" s="203">
        <f t="shared" si="4"/>
        <v>16</v>
      </c>
      <c r="V13" s="203">
        <f t="shared" si="4"/>
        <v>17</v>
      </c>
      <c r="W13" s="203">
        <f t="shared" si="4"/>
        <v>18</v>
      </c>
      <c r="X13" s="203">
        <f t="shared" si="4"/>
        <v>19</v>
      </c>
      <c r="Y13" s="203">
        <f t="shared" si="4"/>
        <v>20</v>
      </c>
      <c r="Z13" s="203">
        <f t="shared" si="4"/>
        <v>21</v>
      </c>
      <c r="AA13" s="203">
        <f t="shared" si="4"/>
        <v>22</v>
      </c>
      <c r="AB13" s="203">
        <f t="shared" si="4"/>
        <v>23</v>
      </c>
      <c r="AC13" s="203">
        <f t="shared" si="4"/>
        <v>24</v>
      </c>
      <c r="AD13" s="203">
        <f t="shared" si="4"/>
        <v>25</v>
      </c>
      <c r="AE13" s="203">
        <f t="shared" si="4"/>
        <v>26</v>
      </c>
      <c r="AF13" s="203">
        <f t="shared" si="4"/>
        <v>27</v>
      </c>
      <c r="AG13" s="203">
        <f t="shared" si="4"/>
        <v>28</v>
      </c>
      <c r="AH13" s="203">
        <f t="shared" si="4"/>
        <v>29</v>
      </c>
      <c r="AI13" s="203">
        <f t="shared" si="4"/>
        <v>30</v>
      </c>
      <c r="AJ13" s="203">
        <f t="shared" si="4"/>
        <v>31</v>
      </c>
      <c r="AK13" s="203">
        <f t="shared" si="4"/>
        <v>32</v>
      </c>
      <c r="AL13" s="203">
        <f t="shared" si="4"/>
        <v>33</v>
      </c>
      <c r="AM13" s="203">
        <f t="shared" si="4"/>
        <v>34</v>
      </c>
      <c r="AN13" s="203">
        <f t="shared" si="4"/>
        <v>35</v>
      </c>
      <c r="AO13" s="203">
        <f t="shared" si="4"/>
        <v>36</v>
      </c>
      <c r="AP13" s="203">
        <f t="shared" si="4"/>
        <v>37</v>
      </c>
      <c r="AQ13" s="203">
        <f t="shared" si="4"/>
        <v>38</v>
      </c>
      <c r="AR13" s="203">
        <f t="shared" si="4"/>
        <v>39</v>
      </c>
      <c r="AS13" s="203">
        <f t="shared" si="4"/>
        <v>40</v>
      </c>
      <c r="AT13" s="203">
        <f t="shared" si="4"/>
        <v>41</v>
      </c>
      <c r="AU13" s="203">
        <f t="shared" si="4"/>
        <v>42</v>
      </c>
      <c r="AV13" s="203">
        <f t="shared" si="4"/>
        <v>43</v>
      </c>
      <c r="AW13" s="203">
        <f t="shared" si="4"/>
        <v>44</v>
      </c>
      <c r="AX13" s="203">
        <f t="shared" si="4"/>
        <v>45</v>
      </c>
      <c r="AY13" s="203">
        <f t="shared" si="4"/>
        <v>46</v>
      </c>
      <c r="AZ13" s="203">
        <f t="shared" si="4"/>
        <v>47</v>
      </c>
      <c r="BA13" s="203">
        <f t="shared" si="4"/>
        <v>48</v>
      </c>
      <c r="BB13" s="203">
        <f t="shared" si="4"/>
        <v>49</v>
      </c>
      <c r="BC13" s="203">
        <f t="shared" si="4"/>
        <v>50</v>
      </c>
      <c r="BD13" s="203">
        <f t="shared" si="4"/>
        <v>51</v>
      </c>
      <c r="BE13" s="203">
        <f t="shared" si="4"/>
        <v>52</v>
      </c>
      <c r="BF13" s="203">
        <f t="shared" si="4"/>
        <v>53</v>
      </c>
      <c r="BG13" s="203">
        <f t="shared" si="4"/>
        <v>54</v>
      </c>
      <c r="BH13" s="203">
        <f t="shared" si="4"/>
        <v>55</v>
      </c>
      <c r="BI13" s="203">
        <f t="shared" si="4"/>
        <v>56</v>
      </c>
      <c r="BJ13" s="203">
        <f t="shared" si="4"/>
        <v>57</v>
      </c>
      <c r="BK13" s="203">
        <f t="shared" si="4"/>
        <v>58</v>
      </c>
      <c r="BL13" s="203">
        <f t="shared" si="4"/>
        <v>59</v>
      </c>
      <c r="BM13" s="203">
        <f t="shared" si="4"/>
        <v>60</v>
      </c>
      <c r="BN13" s="203">
        <f t="shared" si="4"/>
        <v>61</v>
      </c>
      <c r="BO13" s="203">
        <f t="shared" si="4"/>
        <v>62</v>
      </c>
      <c r="BP13" s="203">
        <f t="shared" si="4"/>
        <v>63</v>
      </c>
      <c r="BQ13" s="203">
        <f t="shared" si="4"/>
        <v>64</v>
      </c>
      <c r="BR13" s="203">
        <f t="shared" si="4"/>
        <v>65</v>
      </c>
      <c r="BS13" s="203">
        <f t="shared" ref="BS13:DX13" si="5">BR13+1</f>
        <v>66</v>
      </c>
      <c r="BT13" s="203">
        <f t="shared" si="5"/>
        <v>67</v>
      </c>
      <c r="BU13" s="203">
        <f t="shared" si="5"/>
        <v>68</v>
      </c>
      <c r="BV13" s="203">
        <f t="shared" si="5"/>
        <v>69</v>
      </c>
      <c r="BW13" s="203">
        <f t="shared" si="5"/>
        <v>70</v>
      </c>
      <c r="BX13" s="203">
        <f t="shared" si="5"/>
        <v>71</v>
      </c>
      <c r="BY13" s="203">
        <f t="shared" si="5"/>
        <v>72</v>
      </c>
      <c r="BZ13" s="203">
        <f t="shared" si="5"/>
        <v>73</v>
      </c>
      <c r="CA13" s="203">
        <f t="shared" si="5"/>
        <v>74</v>
      </c>
      <c r="CB13" s="203">
        <f t="shared" si="5"/>
        <v>75</v>
      </c>
      <c r="CC13" s="203">
        <f t="shared" si="5"/>
        <v>76</v>
      </c>
      <c r="CD13" s="203">
        <f t="shared" si="5"/>
        <v>77</v>
      </c>
      <c r="CE13" s="203">
        <f t="shared" si="5"/>
        <v>78</v>
      </c>
      <c r="CF13" s="203">
        <f t="shared" si="5"/>
        <v>79</v>
      </c>
      <c r="CG13" s="203">
        <f t="shared" si="5"/>
        <v>80</v>
      </c>
      <c r="CH13" s="203">
        <f t="shared" si="5"/>
        <v>81</v>
      </c>
      <c r="CI13" s="203">
        <f t="shared" si="5"/>
        <v>82</v>
      </c>
      <c r="CJ13" s="203">
        <f t="shared" si="5"/>
        <v>83</v>
      </c>
      <c r="CK13" s="203">
        <f t="shared" si="5"/>
        <v>84</v>
      </c>
      <c r="CL13" s="203">
        <f t="shared" si="5"/>
        <v>85</v>
      </c>
      <c r="CM13" s="203">
        <f t="shared" si="5"/>
        <v>86</v>
      </c>
      <c r="CN13" s="203">
        <f t="shared" si="5"/>
        <v>87</v>
      </c>
      <c r="CO13" s="203">
        <f t="shared" si="5"/>
        <v>88</v>
      </c>
      <c r="CP13" s="203">
        <f t="shared" si="5"/>
        <v>89</v>
      </c>
      <c r="CQ13" s="203">
        <f t="shared" si="5"/>
        <v>90</v>
      </c>
      <c r="CR13" s="203">
        <f t="shared" si="5"/>
        <v>91</v>
      </c>
      <c r="CS13" s="203">
        <f t="shared" si="5"/>
        <v>92</v>
      </c>
      <c r="CT13" s="203">
        <f t="shared" si="5"/>
        <v>93</v>
      </c>
      <c r="CU13" s="203">
        <f t="shared" si="5"/>
        <v>94</v>
      </c>
      <c r="CV13" s="203">
        <f t="shared" si="5"/>
        <v>95</v>
      </c>
      <c r="CW13" s="203">
        <f t="shared" si="5"/>
        <v>96</v>
      </c>
      <c r="CX13" s="203">
        <f t="shared" si="5"/>
        <v>97</v>
      </c>
      <c r="CY13" s="203">
        <f t="shared" si="5"/>
        <v>98</v>
      </c>
      <c r="CZ13" s="203">
        <f t="shared" si="5"/>
        <v>99</v>
      </c>
      <c r="DA13" s="203">
        <f t="shared" si="5"/>
        <v>100</v>
      </c>
      <c r="DB13" s="203">
        <f t="shared" si="5"/>
        <v>101</v>
      </c>
      <c r="DC13" s="203">
        <f t="shared" si="5"/>
        <v>102</v>
      </c>
      <c r="DD13" s="203">
        <f t="shared" si="5"/>
        <v>103</v>
      </c>
      <c r="DE13" s="203">
        <f t="shared" si="5"/>
        <v>104</v>
      </c>
      <c r="DF13" s="203">
        <f t="shared" si="5"/>
        <v>105</v>
      </c>
      <c r="DG13" s="203">
        <f t="shared" si="5"/>
        <v>106</v>
      </c>
      <c r="DH13" s="203">
        <f t="shared" si="5"/>
        <v>107</v>
      </c>
      <c r="DI13" s="203">
        <f t="shared" si="5"/>
        <v>108</v>
      </c>
      <c r="DJ13" s="203">
        <f t="shared" si="5"/>
        <v>109</v>
      </c>
      <c r="DK13" s="203">
        <f t="shared" si="5"/>
        <v>110</v>
      </c>
      <c r="DL13" s="203">
        <f t="shared" si="5"/>
        <v>111</v>
      </c>
      <c r="DM13" s="203">
        <f t="shared" si="5"/>
        <v>112</v>
      </c>
      <c r="DN13" s="203">
        <f t="shared" si="5"/>
        <v>113</v>
      </c>
      <c r="DO13" s="203">
        <f t="shared" si="5"/>
        <v>114</v>
      </c>
      <c r="DP13" s="203">
        <f t="shared" si="5"/>
        <v>115</v>
      </c>
      <c r="DQ13" s="203">
        <f t="shared" si="5"/>
        <v>116</v>
      </c>
      <c r="DR13" s="203">
        <f t="shared" si="5"/>
        <v>117</v>
      </c>
      <c r="DS13" s="203">
        <f t="shared" si="5"/>
        <v>118</v>
      </c>
      <c r="DT13" s="203">
        <f t="shared" si="5"/>
        <v>119</v>
      </c>
      <c r="DU13" s="203">
        <f t="shared" si="5"/>
        <v>120</v>
      </c>
      <c r="DV13" s="203">
        <f t="shared" si="5"/>
        <v>121</v>
      </c>
      <c r="DW13" s="203">
        <f t="shared" si="5"/>
        <v>122</v>
      </c>
      <c r="DX13" s="203">
        <f t="shared" si="5"/>
        <v>123</v>
      </c>
      <c r="DY13" s="88"/>
      <c r="DZ13" s="188" t="s">
        <v>393</v>
      </c>
      <c r="EB13" s="88"/>
    </row>
    <row r="14" spans="1:132" outlineLevel="1">
      <c r="A14" s="91" t="s">
        <v>158</v>
      </c>
      <c r="C14" s="180"/>
      <c r="D14" s="180"/>
      <c r="E14" s="180"/>
      <c r="F14" s="202">
        <f t="shared" ref="F14:AK14" si="6">IF(PeriodNoMth&lt;=PreContractPeriodDuration,-1-PreContractPeriodDuration+F13,PeriodNoMth-PreContractPeriodDuration)</f>
        <v>-3</v>
      </c>
      <c r="G14" s="203">
        <f t="shared" si="6"/>
        <v>-2</v>
      </c>
      <c r="H14" s="203">
        <f t="shared" si="6"/>
        <v>-1</v>
      </c>
      <c r="I14" s="203">
        <f t="shared" si="6"/>
        <v>1</v>
      </c>
      <c r="J14" s="203">
        <f t="shared" si="6"/>
        <v>2</v>
      </c>
      <c r="K14" s="203">
        <f t="shared" si="6"/>
        <v>3</v>
      </c>
      <c r="L14" s="203">
        <f t="shared" si="6"/>
        <v>4</v>
      </c>
      <c r="M14" s="203">
        <f t="shared" si="6"/>
        <v>5</v>
      </c>
      <c r="N14" s="203">
        <f t="shared" si="6"/>
        <v>6</v>
      </c>
      <c r="O14" s="203">
        <f t="shared" si="6"/>
        <v>7</v>
      </c>
      <c r="P14" s="203">
        <f t="shared" si="6"/>
        <v>8</v>
      </c>
      <c r="Q14" s="203">
        <f t="shared" si="6"/>
        <v>9</v>
      </c>
      <c r="R14" s="203">
        <f t="shared" si="6"/>
        <v>10</v>
      </c>
      <c r="S14" s="203">
        <f t="shared" si="6"/>
        <v>11</v>
      </c>
      <c r="T14" s="203">
        <f t="shared" si="6"/>
        <v>12</v>
      </c>
      <c r="U14" s="203">
        <f t="shared" si="6"/>
        <v>13</v>
      </c>
      <c r="V14" s="203">
        <f t="shared" si="6"/>
        <v>14</v>
      </c>
      <c r="W14" s="203">
        <f t="shared" si="6"/>
        <v>15</v>
      </c>
      <c r="X14" s="203">
        <f t="shared" si="6"/>
        <v>16</v>
      </c>
      <c r="Y14" s="203">
        <f t="shared" si="6"/>
        <v>17</v>
      </c>
      <c r="Z14" s="203">
        <f t="shared" si="6"/>
        <v>18</v>
      </c>
      <c r="AA14" s="203">
        <f t="shared" si="6"/>
        <v>19</v>
      </c>
      <c r="AB14" s="203">
        <f t="shared" si="6"/>
        <v>20</v>
      </c>
      <c r="AC14" s="203">
        <f t="shared" si="6"/>
        <v>21</v>
      </c>
      <c r="AD14" s="203">
        <f t="shared" si="6"/>
        <v>22</v>
      </c>
      <c r="AE14" s="203">
        <f t="shared" si="6"/>
        <v>23</v>
      </c>
      <c r="AF14" s="203">
        <f t="shared" si="6"/>
        <v>24</v>
      </c>
      <c r="AG14" s="203">
        <f t="shared" si="6"/>
        <v>25</v>
      </c>
      <c r="AH14" s="203">
        <f t="shared" si="6"/>
        <v>26</v>
      </c>
      <c r="AI14" s="203">
        <f t="shared" si="6"/>
        <v>27</v>
      </c>
      <c r="AJ14" s="203">
        <f t="shared" si="6"/>
        <v>28</v>
      </c>
      <c r="AK14" s="203">
        <f t="shared" si="6"/>
        <v>29</v>
      </c>
      <c r="AL14" s="203">
        <f t="shared" ref="AL14:BQ14" si="7">IF(PeriodNoMth&lt;=PreContractPeriodDuration,-1-PreContractPeriodDuration+AL13,PeriodNoMth-PreContractPeriodDuration)</f>
        <v>30</v>
      </c>
      <c r="AM14" s="203">
        <f t="shared" si="7"/>
        <v>31</v>
      </c>
      <c r="AN14" s="203">
        <f t="shared" si="7"/>
        <v>32</v>
      </c>
      <c r="AO14" s="203">
        <f t="shared" si="7"/>
        <v>33</v>
      </c>
      <c r="AP14" s="203">
        <f t="shared" si="7"/>
        <v>34</v>
      </c>
      <c r="AQ14" s="203">
        <f t="shared" si="7"/>
        <v>35</v>
      </c>
      <c r="AR14" s="203">
        <f t="shared" si="7"/>
        <v>36</v>
      </c>
      <c r="AS14" s="203">
        <f t="shared" si="7"/>
        <v>37</v>
      </c>
      <c r="AT14" s="203">
        <f t="shared" si="7"/>
        <v>38</v>
      </c>
      <c r="AU14" s="203">
        <f t="shared" si="7"/>
        <v>39</v>
      </c>
      <c r="AV14" s="203">
        <f t="shared" si="7"/>
        <v>40</v>
      </c>
      <c r="AW14" s="203">
        <f t="shared" si="7"/>
        <v>41</v>
      </c>
      <c r="AX14" s="203">
        <f t="shared" si="7"/>
        <v>42</v>
      </c>
      <c r="AY14" s="203">
        <f t="shared" si="7"/>
        <v>43</v>
      </c>
      <c r="AZ14" s="203">
        <f t="shared" si="7"/>
        <v>44</v>
      </c>
      <c r="BA14" s="203">
        <f t="shared" si="7"/>
        <v>45</v>
      </c>
      <c r="BB14" s="203">
        <f t="shared" si="7"/>
        <v>46</v>
      </c>
      <c r="BC14" s="203">
        <f t="shared" si="7"/>
        <v>47</v>
      </c>
      <c r="BD14" s="203">
        <f t="shared" si="7"/>
        <v>48</v>
      </c>
      <c r="BE14" s="203">
        <f t="shared" si="7"/>
        <v>49</v>
      </c>
      <c r="BF14" s="203">
        <f t="shared" si="7"/>
        <v>50</v>
      </c>
      <c r="BG14" s="203">
        <f t="shared" si="7"/>
        <v>51</v>
      </c>
      <c r="BH14" s="203">
        <f t="shared" si="7"/>
        <v>52</v>
      </c>
      <c r="BI14" s="203">
        <f t="shared" si="7"/>
        <v>53</v>
      </c>
      <c r="BJ14" s="203">
        <f t="shared" si="7"/>
        <v>54</v>
      </c>
      <c r="BK14" s="203">
        <f t="shared" si="7"/>
        <v>55</v>
      </c>
      <c r="BL14" s="203">
        <f t="shared" si="7"/>
        <v>56</v>
      </c>
      <c r="BM14" s="203">
        <f t="shared" si="7"/>
        <v>57</v>
      </c>
      <c r="BN14" s="203">
        <f t="shared" si="7"/>
        <v>58</v>
      </c>
      <c r="BO14" s="203">
        <f t="shared" si="7"/>
        <v>59</v>
      </c>
      <c r="BP14" s="203">
        <f t="shared" si="7"/>
        <v>60</v>
      </c>
      <c r="BQ14" s="203">
        <f t="shared" si="7"/>
        <v>61</v>
      </c>
      <c r="BR14" s="203">
        <f t="shared" ref="BR14:CW14" si="8">IF(PeriodNoMth&lt;=PreContractPeriodDuration,-1-PreContractPeriodDuration+BR13,PeriodNoMth-PreContractPeriodDuration)</f>
        <v>62</v>
      </c>
      <c r="BS14" s="203">
        <f t="shared" si="8"/>
        <v>63</v>
      </c>
      <c r="BT14" s="203">
        <f t="shared" si="8"/>
        <v>64</v>
      </c>
      <c r="BU14" s="203">
        <f t="shared" si="8"/>
        <v>65</v>
      </c>
      <c r="BV14" s="203">
        <f t="shared" si="8"/>
        <v>66</v>
      </c>
      <c r="BW14" s="203">
        <f t="shared" si="8"/>
        <v>67</v>
      </c>
      <c r="BX14" s="203">
        <f t="shared" si="8"/>
        <v>68</v>
      </c>
      <c r="BY14" s="203">
        <f t="shared" si="8"/>
        <v>69</v>
      </c>
      <c r="BZ14" s="203">
        <f t="shared" si="8"/>
        <v>70</v>
      </c>
      <c r="CA14" s="203">
        <f t="shared" si="8"/>
        <v>71</v>
      </c>
      <c r="CB14" s="203">
        <f t="shared" si="8"/>
        <v>72</v>
      </c>
      <c r="CC14" s="203">
        <f t="shared" si="8"/>
        <v>73</v>
      </c>
      <c r="CD14" s="203">
        <f t="shared" si="8"/>
        <v>74</v>
      </c>
      <c r="CE14" s="203">
        <f t="shared" si="8"/>
        <v>75</v>
      </c>
      <c r="CF14" s="203">
        <f t="shared" si="8"/>
        <v>76</v>
      </c>
      <c r="CG14" s="203">
        <f t="shared" si="8"/>
        <v>77</v>
      </c>
      <c r="CH14" s="203">
        <f t="shared" si="8"/>
        <v>78</v>
      </c>
      <c r="CI14" s="203">
        <f t="shared" si="8"/>
        <v>79</v>
      </c>
      <c r="CJ14" s="203">
        <f t="shared" si="8"/>
        <v>80</v>
      </c>
      <c r="CK14" s="203">
        <f t="shared" si="8"/>
        <v>81</v>
      </c>
      <c r="CL14" s="203">
        <f t="shared" si="8"/>
        <v>82</v>
      </c>
      <c r="CM14" s="203">
        <f t="shared" si="8"/>
        <v>83</v>
      </c>
      <c r="CN14" s="203">
        <f t="shared" si="8"/>
        <v>84</v>
      </c>
      <c r="CO14" s="203">
        <f t="shared" si="8"/>
        <v>85</v>
      </c>
      <c r="CP14" s="203">
        <f t="shared" si="8"/>
        <v>86</v>
      </c>
      <c r="CQ14" s="203">
        <f t="shared" si="8"/>
        <v>87</v>
      </c>
      <c r="CR14" s="203">
        <f t="shared" si="8"/>
        <v>88</v>
      </c>
      <c r="CS14" s="203">
        <f t="shared" si="8"/>
        <v>89</v>
      </c>
      <c r="CT14" s="203">
        <f t="shared" si="8"/>
        <v>90</v>
      </c>
      <c r="CU14" s="203">
        <f t="shared" si="8"/>
        <v>91</v>
      </c>
      <c r="CV14" s="203">
        <f t="shared" si="8"/>
        <v>92</v>
      </c>
      <c r="CW14" s="203">
        <f t="shared" si="8"/>
        <v>93</v>
      </c>
      <c r="CX14" s="203">
        <f t="shared" ref="CX14:DX14" si="9">IF(PeriodNoMth&lt;=PreContractPeriodDuration,-1-PreContractPeriodDuration+CX13,PeriodNoMth-PreContractPeriodDuration)</f>
        <v>94</v>
      </c>
      <c r="CY14" s="203">
        <f t="shared" si="9"/>
        <v>95</v>
      </c>
      <c r="CZ14" s="203">
        <f t="shared" si="9"/>
        <v>96</v>
      </c>
      <c r="DA14" s="203">
        <f t="shared" si="9"/>
        <v>97</v>
      </c>
      <c r="DB14" s="203">
        <f t="shared" si="9"/>
        <v>98</v>
      </c>
      <c r="DC14" s="203">
        <f t="shared" si="9"/>
        <v>99</v>
      </c>
      <c r="DD14" s="203">
        <f t="shared" si="9"/>
        <v>100</v>
      </c>
      <c r="DE14" s="203">
        <f t="shared" si="9"/>
        <v>101</v>
      </c>
      <c r="DF14" s="203">
        <f t="shared" si="9"/>
        <v>102</v>
      </c>
      <c r="DG14" s="203">
        <f t="shared" si="9"/>
        <v>103</v>
      </c>
      <c r="DH14" s="203">
        <f t="shared" si="9"/>
        <v>104</v>
      </c>
      <c r="DI14" s="203">
        <f t="shared" si="9"/>
        <v>105</v>
      </c>
      <c r="DJ14" s="203">
        <f t="shared" si="9"/>
        <v>106</v>
      </c>
      <c r="DK14" s="203">
        <f t="shared" si="9"/>
        <v>107</v>
      </c>
      <c r="DL14" s="203">
        <f t="shared" si="9"/>
        <v>108</v>
      </c>
      <c r="DM14" s="203">
        <f t="shared" si="9"/>
        <v>109</v>
      </c>
      <c r="DN14" s="203">
        <f t="shared" si="9"/>
        <v>110</v>
      </c>
      <c r="DO14" s="203">
        <f t="shared" si="9"/>
        <v>111</v>
      </c>
      <c r="DP14" s="203">
        <f t="shared" si="9"/>
        <v>112</v>
      </c>
      <c r="DQ14" s="203">
        <f t="shared" si="9"/>
        <v>113</v>
      </c>
      <c r="DR14" s="203">
        <f t="shared" si="9"/>
        <v>114</v>
      </c>
      <c r="DS14" s="203">
        <f t="shared" si="9"/>
        <v>115</v>
      </c>
      <c r="DT14" s="203">
        <f t="shared" si="9"/>
        <v>116</v>
      </c>
      <c r="DU14" s="203">
        <f t="shared" si="9"/>
        <v>117</v>
      </c>
      <c r="DV14" s="203">
        <f t="shared" si="9"/>
        <v>118</v>
      </c>
      <c r="DW14" s="203">
        <f t="shared" si="9"/>
        <v>119</v>
      </c>
      <c r="DX14" s="203">
        <f t="shared" si="9"/>
        <v>120</v>
      </c>
      <c r="DY14" s="88"/>
      <c r="DZ14" s="188" t="s">
        <v>394</v>
      </c>
      <c r="EB14" s="88"/>
    </row>
    <row r="15" spans="1:132" outlineLevel="1">
      <c r="A15" s="91" t="s">
        <v>159</v>
      </c>
      <c r="C15" s="180"/>
      <c r="D15" s="180"/>
      <c r="E15" s="180"/>
      <c r="F15" s="202">
        <f t="shared" ref="F15:AK15" si="10">IF(PeriodNoMth&lt;=PreContractPeriodDuration,0,INT((PeriodCounter-1)/MinY)+1)</f>
        <v>0</v>
      </c>
      <c r="G15" s="203">
        <f t="shared" si="10"/>
        <v>0</v>
      </c>
      <c r="H15" s="203">
        <f t="shared" si="10"/>
        <v>0</v>
      </c>
      <c r="I15" s="203">
        <f t="shared" si="10"/>
        <v>1</v>
      </c>
      <c r="J15" s="203">
        <f t="shared" si="10"/>
        <v>1</v>
      </c>
      <c r="K15" s="203">
        <f t="shared" si="10"/>
        <v>1</v>
      </c>
      <c r="L15" s="203">
        <f t="shared" si="10"/>
        <v>1</v>
      </c>
      <c r="M15" s="203">
        <f t="shared" si="10"/>
        <v>1</v>
      </c>
      <c r="N15" s="203">
        <f t="shared" si="10"/>
        <v>1</v>
      </c>
      <c r="O15" s="203">
        <f t="shared" si="10"/>
        <v>1</v>
      </c>
      <c r="P15" s="203">
        <f t="shared" si="10"/>
        <v>1</v>
      </c>
      <c r="Q15" s="203">
        <f t="shared" si="10"/>
        <v>1</v>
      </c>
      <c r="R15" s="203">
        <f t="shared" si="10"/>
        <v>1</v>
      </c>
      <c r="S15" s="203">
        <f t="shared" si="10"/>
        <v>1</v>
      </c>
      <c r="T15" s="203">
        <f t="shared" si="10"/>
        <v>1</v>
      </c>
      <c r="U15" s="203">
        <f t="shared" si="10"/>
        <v>2</v>
      </c>
      <c r="V15" s="203">
        <f t="shared" si="10"/>
        <v>2</v>
      </c>
      <c r="W15" s="203">
        <f t="shared" si="10"/>
        <v>2</v>
      </c>
      <c r="X15" s="203">
        <f t="shared" si="10"/>
        <v>2</v>
      </c>
      <c r="Y15" s="203">
        <f t="shared" si="10"/>
        <v>2</v>
      </c>
      <c r="Z15" s="203">
        <f t="shared" si="10"/>
        <v>2</v>
      </c>
      <c r="AA15" s="203">
        <f t="shared" si="10"/>
        <v>2</v>
      </c>
      <c r="AB15" s="203">
        <f t="shared" si="10"/>
        <v>2</v>
      </c>
      <c r="AC15" s="203">
        <f t="shared" si="10"/>
        <v>2</v>
      </c>
      <c r="AD15" s="203">
        <f t="shared" si="10"/>
        <v>2</v>
      </c>
      <c r="AE15" s="203">
        <f t="shared" si="10"/>
        <v>2</v>
      </c>
      <c r="AF15" s="203">
        <f t="shared" si="10"/>
        <v>2</v>
      </c>
      <c r="AG15" s="203">
        <f t="shared" si="10"/>
        <v>3</v>
      </c>
      <c r="AH15" s="203">
        <f t="shared" si="10"/>
        <v>3</v>
      </c>
      <c r="AI15" s="203">
        <f t="shared" si="10"/>
        <v>3</v>
      </c>
      <c r="AJ15" s="203">
        <f t="shared" si="10"/>
        <v>3</v>
      </c>
      <c r="AK15" s="203">
        <f t="shared" si="10"/>
        <v>3</v>
      </c>
      <c r="AL15" s="203">
        <f t="shared" ref="AL15:BQ15" si="11">IF(PeriodNoMth&lt;=PreContractPeriodDuration,0,INT((PeriodCounter-1)/MinY)+1)</f>
        <v>3</v>
      </c>
      <c r="AM15" s="203">
        <f t="shared" si="11"/>
        <v>3</v>
      </c>
      <c r="AN15" s="203">
        <f t="shared" si="11"/>
        <v>3</v>
      </c>
      <c r="AO15" s="203">
        <f t="shared" si="11"/>
        <v>3</v>
      </c>
      <c r="AP15" s="203">
        <f t="shared" si="11"/>
        <v>3</v>
      </c>
      <c r="AQ15" s="203">
        <f t="shared" si="11"/>
        <v>3</v>
      </c>
      <c r="AR15" s="203">
        <f t="shared" si="11"/>
        <v>3</v>
      </c>
      <c r="AS15" s="203">
        <f t="shared" si="11"/>
        <v>4</v>
      </c>
      <c r="AT15" s="203">
        <f t="shared" si="11"/>
        <v>4</v>
      </c>
      <c r="AU15" s="203">
        <f t="shared" si="11"/>
        <v>4</v>
      </c>
      <c r="AV15" s="203">
        <f t="shared" si="11"/>
        <v>4</v>
      </c>
      <c r="AW15" s="203">
        <f t="shared" si="11"/>
        <v>4</v>
      </c>
      <c r="AX15" s="203">
        <f t="shared" si="11"/>
        <v>4</v>
      </c>
      <c r="AY15" s="203">
        <f t="shared" si="11"/>
        <v>4</v>
      </c>
      <c r="AZ15" s="203">
        <f t="shared" si="11"/>
        <v>4</v>
      </c>
      <c r="BA15" s="203">
        <f t="shared" si="11"/>
        <v>4</v>
      </c>
      <c r="BB15" s="203">
        <f t="shared" si="11"/>
        <v>4</v>
      </c>
      <c r="BC15" s="203">
        <f t="shared" si="11"/>
        <v>4</v>
      </c>
      <c r="BD15" s="203">
        <f t="shared" si="11"/>
        <v>4</v>
      </c>
      <c r="BE15" s="203">
        <f t="shared" si="11"/>
        <v>5</v>
      </c>
      <c r="BF15" s="203">
        <f t="shared" si="11"/>
        <v>5</v>
      </c>
      <c r="BG15" s="203">
        <f t="shared" si="11"/>
        <v>5</v>
      </c>
      <c r="BH15" s="203">
        <f t="shared" si="11"/>
        <v>5</v>
      </c>
      <c r="BI15" s="203">
        <f t="shared" si="11"/>
        <v>5</v>
      </c>
      <c r="BJ15" s="203">
        <f t="shared" si="11"/>
        <v>5</v>
      </c>
      <c r="BK15" s="203">
        <f t="shared" si="11"/>
        <v>5</v>
      </c>
      <c r="BL15" s="203">
        <f t="shared" si="11"/>
        <v>5</v>
      </c>
      <c r="BM15" s="203">
        <f t="shared" si="11"/>
        <v>5</v>
      </c>
      <c r="BN15" s="203">
        <f t="shared" si="11"/>
        <v>5</v>
      </c>
      <c r="BO15" s="203">
        <f t="shared" si="11"/>
        <v>5</v>
      </c>
      <c r="BP15" s="203">
        <f t="shared" si="11"/>
        <v>5</v>
      </c>
      <c r="BQ15" s="203">
        <f t="shared" si="11"/>
        <v>6</v>
      </c>
      <c r="BR15" s="203">
        <f t="shared" ref="BR15:CW15" si="12">IF(PeriodNoMth&lt;=PreContractPeriodDuration,0,INT((PeriodCounter-1)/MinY)+1)</f>
        <v>6</v>
      </c>
      <c r="BS15" s="203">
        <f t="shared" si="12"/>
        <v>6</v>
      </c>
      <c r="BT15" s="203">
        <f t="shared" si="12"/>
        <v>6</v>
      </c>
      <c r="BU15" s="203">
        <f t="shared" si="12"/>
        <v>6</v>
      </c>
      <c r="BV15" s="203">
        <f t="shared" si="12"/>
        <v>6</v>
      </c>
      <c r="BW15" s="203">
        <f t="shared" si="12"/>
        <v>6</v>
      </c>
      <c r="BX15" s="203">
        <f t="shared" si="12"/>
        <v>6</v>
      </c>
      <c r="BY15" s="203">
        <f t="shared" si="12"/>
        <v>6</v>
      </c>
      <c r="BZ15" s="203">
        <f t="shared" si="12"/>
        <v>6</v>
      </c>
      <c r="CA15" s="203">
        <f t="shared" si="12"/>
        <v>6</v>
      </c>
      <c r="CB15" s="203">
        <f t="shared" si="12"/>
        <v>6</v>
      </c>
      <c r="CC15" s="203">
        <f t="shared" si="12"/>
        <v>7</v>
      </c>
      <c r="CD15" s="203">
        <f t="shared" si="12"/>
        <v>7</v>
      </c>
      <c r="CE15" s="203">
        <f t="shared" si="12"/>
        <v>7</v>
      </c>
      <c r="CF15" s="203">
        <f t="shared" si="12"/>
        <v>7</v>
      </c>
      <c r="CG15" s="203">
        <f t="shared" si="12"/>
        <v>7</v>
      </c>
      <c r="CH15" s="203">
        <f t="shared" si="12"/>
        <v>7</v>
      </c>
      <c r="CI15" s="203">
        <f t="shared" si="12"/>
        <v>7</v>
      </c>
      <c r="CJ15" s="203">
        <f t="shared" si="12"/>
        <v>7</v>
      </c>
      <c r="CK15" s="203">
        <f t="shared" si="12"/>
        <v>7</v>
      </c>
      <c r="CL15" s="203">
        <f t="shared" si="12"/>
        <v>7</v>
      </c>
      <c r="CM15" s="203">
        <f t="shared" si="12"/>
        <v>7</v>
      </c>
      <c r="CN15" s="203">
        <f t="shared" si="12"/>
        <v>7</v>
      </c>
      <c r="CO15" s="203">
        <f t="shared" si="12"/>
        <v>8</v>
      </c>
      <c r="CP15" s="203">
        <f t="shared" si="12"/>
        <v>8</v>
      </c>
      <c r="CQ15" s="203">
        <f t="shared" si="12"/>
        <v>8</v>
      </c>
      <c r="CR15" s="203">
        <f t="shared" si="12"/>
        <v>8</v>
      </c>
      <c r="CS15" s="203">
        <f t="shared" si="12"/>
        <v>8</v>
      </c>
      <c r="CT15" s="203">
        <f t="shared" si="12"/>
        <v>8</v>
      </c>
      <c r="CU15" s="203">
        <f t="shared" si="12"/>
        <v>8</v>
      </c>
      <c r="CV15" s="203">
        <f t="shared" si="12"/>
        <v>8</v>
      </c>
      <c r="CW15" s="203">
        <f t="shared" si="12"/>
        <v>8</v>
      </c>
      <c r="CX15" s="203">
        <f t="shared" ref="CX15:DX15" si="13">IF(PeriodNoMth&lt;=PreContractPeriodDuration,0,INT((PeriodCounter-1)/MinY)+1)</f>
        <v>8</v>
      </c>
      <c r="CY15" s="203">
        <f t="shared" si="13"/>
        <v>8</v>
      </c>
      <c r="CZ15" s="203">
        <f t="shared" si="13"/>
        <v>8</v>
      </c>
      <c r="DA15" s="203">
        <f t="shared" si="13"/>
        <v>9</v>
      </c>
      <c r="DB15" s="203">
        <f t="shared" si="13"/>
        <v>9</v>
      </c>
      <c r="DC15" s="203">
        <f t="shared" si="13"/>
        <v>9</v>
      </c>
      <c r="DD15" s="203">
        <f t="shared" si="13"/>
        <v>9</v>
      </c>
      <c r="DE15" s="203">
        <f t="shared" si="13"/>
        <v>9</v>
      </c>
      <c r="DF15" s="203">
        <f t="shared" si="13"/>
        <v>9</v>
      </c>
      <c r="DG15" s="203">
        <f t="shared" si="13"/>
        <v>9</v>
      </c>
      <c r="DH15" s="203">
        <f t="shared" si="13"/>
        <v>9</v>
      </c>
      <c r="DI15" s="203">
        <f t="shared" si="13"/>
        <v>9</v>
      </c>
      <c r="DJ15" s="203">
        <f t="shared" si="13"/>
        <v>9</v>
      </c>
      <c r="DK15" s="203">
        <f t="shared" si="13"/>
        <v>9</v>
      </c>
      <c r="DL15" s="203">
        <f t="shared" si="13"/>
        <v>9</v>
      </c>
      <c r="DM15" s="203">
        <f t="shared" si="13"/>
        <v>10</v>
      </c>
      <c r="DN15" s="203">
        <f t="shared" si="13"/>
        <v>10</v>
      </c>
      <c r="DO15" s="203">
        <f t="shared" si="13"/>
        <v>10</v>
      </c>
      <c r="DP15" s="203">
        <f t="shared" si="13"/>
        <v>10</v>
      </c>
      <c r="DQ15" s="203">
        <f t="shared" si="13"/>
        <v>10</v>
      </c>
      <c r="DR15" s="203">
        <f t="shared" si="13"/>
        <v>10</v>
      </c>
      <c r="DS15" s="203">
        <f t="shared" si="13"/>
        <v>10</v>
      </c>
      <c r="DT15" s="203">
        <f t="shared" si="13"/>
        <v>10</v>
      </c>
      <c r="DU15" s="203">
        <f t="shared" si="13"/>
        <v>10</v>
      </c>
      <c r="DV15" s="203">
        <f t="shared" si="13"/>
        <v>10</v>
      </c>
      <c r="DW15" s="203">
        <f t="shared" si="13"/>
        <v>10</v>
      </c>
      <c r="DX15" s="203">
        <f t="shared" si="13"/>
        <v>10</v>
      </c>
      <c r="DY15" s="88"/>
      <c r="DZ15" s="188" t="s">
        <v>395</v>
      </c>
      <c r="EB15" s="88"/>
    </row>
    <row r="16" spans="1:132" outlineLevel="1">
      <c r="A16" s="91" t="s">
        <v>160</v>
      </c>
      <c r="C16" s="185"/>
      <c r="D16" s="185"/>
      <c r="E16" s="194"/>
      <c r="F16" s="202">
        <f t="shared" ref="F16:AK16" si="14">IF(MOD(F14,MinY)=0,MinY,MOD(F14,MinY))</f>
        <v>9</v>
      </c>
      <c r="G16" s="204">
        <f t="shared" si="14"/>
        <v>10</v>
      </c>
      <c r="H16" s="204">
        <f t="shared" si="14"/>
        <v>11</v>
      </c>
      <c r="I16" s="204">
        <f t="shared" si="14"/>
        <v>1</v>
      </c>
      <c r="J16" s="203">
        <f t="shared" si="14"/>
        <v>2</v>
      </c>
      <c r="K16" s="203">
        <f t="shared" si="14"/>
        <v>3</v>
      </c>
      <c r="L16" s="203">
        <f t="shared" si="14"/>
        <v>4</v>
      </c>
      <c r="M16" s="203">
        <f t="shared" si="14"/>
        <v>5</v>
      </c>
      <c r="N16" s="203">
        <f t="shared" si="14"/>
        <v>6</v>
      </c>
      <c r="O16" s="203">
        <f t="shared" si="14"/>
        <v>7</v>
      </c>
      <c r="P16" s="203">
        <f t="shared" si="14"/>
        <v>8</v>
      </c>
      <c r="Q16" s="203">
        <f t="shared" si="14"/>
        <v>9</v>
      </c>
      <c r="R16" s="203">
        <f t="shared" si="14"/>
        <v>10</v>
      </c>
      <c r="S16" s="203">
        <f t="shared" si="14"/>
        <v>11</v>
      </c>
      <c r="T16" s="203">
        <f t="shared" si="14"/>
        <v>12</v>
      </c>
      <c r="U16" s="203">
        <f t="shared" si="14"/>
        <v>1</v>
      </c>
      <c r="V16" s="203">
        <f t="shared" si="14"/>
        <v>2</v>
      </c>
      <c r="W16" s="203">
        <f t="shared" si="14"/>
        <v>3</v>
      </c>
      <c r="X16" s="203">
        <f t="shared" si="14"/>
        <v>4</v>
      </c>
      <c r="Y16" s="203">
        <f t="shared" si="14"/>
        <v>5</v>
      </c>
      <c r="Z16" s="203">
        <f t="shared" si="14"/>
        <v>6</v>
      </c>
      <c r="AA16" s="203">
        <f t="shared" si="14"/>
        <v>7</v>
      </c>
      <c r="AB16" s="203">
        <f t="shared" si="14"/>
        <v>8</v>
      </c>
      <c r="AC16" s="203">
        <f t="shared" si="14"/>
        <v>9</v>
      </c>
      <c r="AD16" s="203">
        <f t="shared" si="14"/>
        <v>10</v>
      </c>
      <c r="AE16" s="203">
        <f t="shared" si="14"/>
        <v>11</v>
      </c>
      <c r="AF16" s="203">
        <f t="shared" si="14"/>
        <v>12</v>
      </c>
      <c r="AG16" s="203">
        <f t="shared" si="14"/>
        <v>1</v>
      </c>
      <c r="AH16" s="203">
        <f t="shared" si="14"/>
        <v>2</v>
      </c>
      <c r="AI16" s="203">
        <f t="shared" si="14"/>
        <v>3</v>
      </c>
      <c r="AJ16" s="203">
        <f t="shared" si="14"/>
        <v>4</v>
      </c>
      <c r="AK16" s="203">
        <f t="shared" si="14"/>
        <v>5</v>
      </c>
      <c r="AL16" s="203">
        <f t="shared" ref="AL16:BQ16" si="15">IF(MOD(AL14,MinY)=0,MinY,MOD(AL14,MinY))</f>
        <v>6</v>
      </c>
      <c r="AM16" s="203">
        <f t="shared" si="15"/>
        <v>7</v>
      </c>
      <c r="AN16" s="203">
        <f t="shared" si="15"/>
        <v>8</v>
      </c>
      <c r="AO16" s="203">
        <f t="shared" si="15"/>
        <v>9</v>
      </c>
      <c r="AP16" s="203">
        <f t="shared" si="15"/>
        <v>10</v>
      </c>
      <c r="AQ16" s="203">
        <f t="shared" si="15"/>
        <v>11</v>
      </c>
      <c r="AR16" s="203">
        <f t="shared" si="15"/>
        <v>12</v>
      </c>
      <c r="AS16" s="203">
        <f t="shared" si="15"/>
        <v>1</v>
      </c>
      <c r="AT16" s="203">
        <f t="shared" si="15"/>
        <v>2</v>
      </c>
      <c r="AU16" s="203">
        <f t="shared" si="15"/>
        <v>3</v>
      </c>
      <c r="AV16" s="203">
        <f t="shared" si="15"/>
        <v>4</v>
      </c>
      <c r="AW16" s="203">
        <f t="shared" si="15"/>
        <v>5</v>
      </c>
      <c r="AX16" s="203">
        <f t="shared" si="15"/>
        <v>6</v>
      </c>
      <c r="AY16" s="203">
        <f t="shared" si="15"/>
        <v>7</v>
      </c>
      <c r="AZ16" s="203">
        <f t="shared" si="15"/>
        <v>8</v>
      </c>
      <c r="BA16" s="203">
        <f t="shared" si="15"/>
        <v>9</v>
      </c>
      <c r="BB16" s="203">
        <f t="shared" si="15"/>
        <v>10</v>
      </c>
      <c r="BC16" s="203">
        <f t="shared" si="15"/>
        <v>11</v>
      </c>
      <c r="BD16" s="203">
        <f t="shared" si="15"/>
        <v>12</v>
      </c>
      <c r="BE16" s="203">
        <f t="shared" si="15"/>
        <v>1</v>
      </c>
      <c r="BF16" s="203">
        <f t="shared" si="15"/>
        <v>2</v>
      </c>
      <c r="BG16" s="203">
        <f t="shared" si="15"/>
        <v>3</v>
      </c>
      <c r="BH16" s="203">
        <f t="shared" si="15"/>
        <v>4</v>
      </c>
      <c r="BI16" s="203">
        <f t="shared" si="15"/>
        <v>5</v>
      </c>
      <c r="BJ16" s="203">
        <f t="shared" si="15"/>
        <v>6</v>
      </c>
      <c r="BK16" s="203">
        <f t="shared" si="15"/>
        <v>7</v>
      </c>
      <c r="BL16" s="203">
        <f t="shared" si="15"/>
        <v>8</v>
      </c>
      <c r="BM16" s="203">
        <f t="shared" si="15"/>
        <v>9</v>
      </c>
      <c r="BN16" s="203">
        <f t="shared" si="15"/>
        <v>10</v>
      </c>
      <c r="BO16" s="203">
        <f t="shared" si="15"/>
        <v>11</v>
      </c>
      <c r="BP16" s="203">
        <f t="shared" si="15"/>
        <v>12</v>
      </c>
      <c r="BQ16" s="203">
        <f t="shared" si="15"/>
        <v>1</v>
      </c>
      <c r="BR16" s="203">
        <f t="shared" ref="BR16:CW16" si="16">IF(MOD(BR14,MinY)=0,MinY,MOD(BR14,MinY))</f>
        <v>2</v>
      </c>
      <c r="BS16" s="203">
        <f t="shared" si="16"/>
        <v>3</v>
      </c>
      <c r="BT16" s="203">
        <f t="shared" si="16"/>
        <v>4</v>
      </c>
      <c r="BU16" s="203">
        <f t="shared" si="16"/>
        <v>5</v>
      </c>
      <c r="BV16" s="203">
        <f t="shared" si="16"/>
        <v>6</v>
      </c>
      <c r="BW16" s="203">
        <f t="shared" si="16"/>
        <v>7</v>
      </c>
      <c r="BX16" s="203">
        <f t="shared" si="16"/>
        <v>8</v>
      </c>
      <c r="BY16" s="203">
        <f t="shared" si="16"/>
        <v>9</v>
      </c>
      <c r="BZ16" s="203">
        <f t="shared" si="16"/>
        <v>10</v>
      </c>
      <c r="CA16" s="203">
        <f t="shared" si="16"/>
        <v>11</v>
      </c>
      <c r="CB16" s="203">
        <f t="shared" si="16"/>
        <v>12</v>
      </c>
      <c r="CC16" s="203">
        <f t="shared" si="16"/>
        <v>1</v>
      </c>
      <c r="CD16" s="203">
        <f t="shared" si="16"/>
        <v>2</v>
      </c>
      <c r="CE16" s="203">
        <f t="shared" si="16"/>
        <v>3</v>
      </c>
      <c r="CF16" s="203">
        <f t="shared" si="16"/>
        <v>4</v>
      </c>
      <c r="CG16" s="203">
        <f t="shared" si="16"/>
        <v>5</v>
      </c>
      <c r="CH16" s="203">
        <f t="shared" si="16"/>
        <v>6</v>
      </c>
      <c r="CI16" s="203">
        <f t="shared" si="16"/>
        <v>7</v>
      </c>
      <c r="CJ16" s="203">
        <f t="shared" si="16"/>
        <v>8</v>
      </c>
      <c r="CK16" s="203">
        <f t="shared" si="16"/>
        <v>9</v>
      </c>
      <c r="CL16" s="203">
        <f t="shared" si="16"/>
        <v>10</v>
      </c>
      <c r="CM16" s="203">
        <f t="shared" si="16"/>
        <v>11</v>
      </c>
      <c r="CN16" s="203">
        <f t="shared" si="16"/>
        <v>12</v>
      </c>
      <c r="CO16" s="203">
        <f t="shared" si="16"/>
        <v>1</v>
      </c>
      <c r="CP16" s="203">
        <f t="shared" si="16"/>
        <v>2</v>
      </c>
      <c r="CQ16" s="203">
        <f t="shared" si="16"/>
        <v>3</v>
      </c>
      <c r="CR16" s="203">
        <f t="shared" si="16"/>
        <v>4</v>
      </c>
      <c r="CS16" s="203">
        <f t="shared" si="16"/>
        <v>5</v>
      </c>
      <c r="CT16" s="203">
        <f t="shared" si="16"/>
        <v>6</v>
      </c>
      <c r="CU16" s="203">
        <f t="shared" si="16"/>
        <v>7</v>
      </c>
      <c r="CV16" s="203">
        <f t="shared" si="16"/>
        <v>8</v>
      </c>
      <c r="CW16" s="203">
        <f t="shared" si="16"/>
        <v>9</v>
      </c>
      <c r="CX16" s="203">
        <f t="shared" ref="CX16:DX16" si="17">IF(MOD(CX14,MinY)=0,MinY,MOD(CX14,MinY))</f>
        <v>10</v>
      </c>
      <c r="CY16" s="203">
        <f t="shared" si="17"/>
        <v>11</v>
      </c>
      <c r="CZ16" s="203">
        <f t="shared" si="17"/>
        <v>12</v>
      </c>
      <c r="DA16" s="203">
        <f t="shared" si="17"/>
        <v>1</v>
      </c>
      <c r="DB16" s="203">
        <f t="shared" si="17"/>
        <v>2</v>
      </c>
      <c r="DC16" s="203">
        <f t="shared" si="17"/>
        <v>3</v>
      </c>
      <c r="DD16" s="203">
        <f t="shared" si="17"/>
        <v>4</v>
      </c>
      <c r="DE16" s="203">
        <f t="shared" si="17"/>
        <v>5</v>
      </c>
      <c r="DF16" s="203">
        <f t="shared" si="17"/>
        <v>6</v>
      </c>
      <c r="DG16" s="203">
        <f t="shared" si="17"/>
        <v>7</v>
      </c>
      <c r="DH16" s="203">
        <f t="shared" si="17"/>
        <v>8</v>
      </c>
      <c r="DI16" s="203">
        <f t="shared" si="17"/>
        <v>9</v>
      </c>
      <c r="DJ16" s="203">
        <f t="shared" si="17"/>
        <v>10</v>
      </c>
      <c r="DK16" s="203">
        <f t="shared" si="17"/>
        <v>11</v>
      </c>
      <c r="DL16" s="203">
        <f t="shared" si="17"/>
        <v>12</v>
      </c>
      <c r="DM16" s="203">
        <f t="shared" si="17"/>
        <v>1</v>
      </c>
      <c r="DN16" s="203">
        <f t="shared" si="17"/>
        <v>2</v>
      </c>
      <c r="DO16" s="203">
        <f t="shared" si="17"/>
        <v>3</v>
      </c>
      <c r="DP16" s="203">
        <f t="shared" si="17"/>
        <v>4</v>
      </c>
      <c r="DQ16" s="203">
        <f t="shared" si="17"/>
        <v>5</v>
      </c>
      <c r="DR16" s="203">
        <f t="shared" si="17"/>
        <v>6</v>
      </c>
      <c r="DS16" s="203">
        <f t="shared" si="17"/>
        <v>7</v>
      </c>
      <c r="DT16" s="203">
        <f t="shared" si="17"/>
        <v>8</v>
      </c>
      <c r="DU16" s="203">
        <f t="shared" si="17"/>
        <v>9</v>
      </c>
      <c r="DV16" s="203">
        <f t="shared" si="17"/>
        <v>10</v>
      </c>
      <c r="DW16" s="203">
        <f t="shared" si="17"/>
        <v>11</v>
      </c>
      <c r="DX16" s="203">
        <f t="shared" si="17"/>
        <v>12</v>
      </c>
      <c r="DY16" s="88"/>
      <c r="DZ16" s="188" t="s">
        <v>396</v>
      </c>
      <c r="EB16" s="88"/>
    </row>
    <row r="17" spans="1:132" outlineLevel="1">
      <c r="A17" s="91" t="s">
        <v>161</v>
      </c>
      <c r="C17" s="185"/>
      <c r="D17" s="185"/>
      <c r="E17" s="185"/>
      <c r="F17" s="202">
        <f>MONTH(F11)</f>
        <v>11</v>
      </c>
      <c r="G17" s="204">
        <f>MONTH(G11)</f>
        <v>12</v>
      </c>
      <c r="H17" s="204">
        <f t="shared" ref="H17:BS17" si="18">MONTH(H11)</f>
        <v>1</v>
      </c>
      <c r="I17" s="204">
        <f t="shared" si="18"/>
        <v>2</v>
      </c>
      <c r="J17" s="203">
        <f t="shared" si="18"/>
        <v>3</v>
      </c>
      <c r="K17" s="203">
        <f t="shared" si="18"/>
        <v>4</v>
      </c>
      <c r="L17" s="203">
        <f t="shared" si="18"/>
        <v>5</v>
      </c>
      <c r="M17" s="203">
        <f t="shared" si="18"/>
        <v>6</v>
      </c>
      <c r="N17" s="203">
        <f t="shared" si="18"/>
        <v>7</v>
      </c>
      <c r="O17" s="203">
        <f t="shared" si="18"/>
        <v>8</v>
      </c>
      <c r="P17" s="203">
        <f t="shared" si="18"/>
        <v>9</v>
      </c>
      <c r="Q17" s="203">
        <f t="shared" si="18"/>
        <v>10</v>
      </c>
      <c r="R17" s="203">
        <f t="shared" si="18"/>
        <v>11</v>
      </c>
      <c r="S17" s="203">
        <f t="shared" si="18"/>
        <v>12</v>
      </c>
      <c r="T17" s="203">
        <f t="shared" si="18"/>
        <v>1</v>
      </c>
      <c r="U17" s="203">
        <f t="shared" si="18"/>
        <v>2</v>
      </c>
      <c r="V17" s="203">
        <f t="shared" si="18"/>
        <v>3</v>
      </c>
      <c r="W17" s="203">
        <f t="shared" si="18"/>
        <v>4</v>
      </c>
      <c r="X17" s="203">
        <f t="shared" si="18"/>
        <v>5</v>
      </c>
      <c r="Y17" s="203">
        <f t="shared" si="18"/>
        <v>6</v>
      </c>
      <c r="Z17" s="203">
        <f t="shared" si="18"/>
        <v>7</v>
      </c>
      <c r="AA17" s="203">
        <f t="shared" si="18"/>
        <v>8</v>
      </c>
      <c r="AB17" s="203">
        <f t="shared" si="18"/>
        <v>9</v>
      </c>
      <c r="AC17" s="203">
        <f t="shared" si="18"/>
        <v>10</v>
      </c>
      <c r="AD17" s="203">
        <f t="shared" si="18"/>
        <v>11</v>
      </c>
      <c r="AE17" s="203">
        <f t="shared" si="18"/>
        <v>12</v>
      </c>
      <c r="AF17" s="203">
        <f t="shared" si="18"/>
        <v>1</v>
      </c>
      <c r="AG17" s="203">
        <f t="shared" si="18"/>
        <v>2</v>
      </c>
      <c r="AH17" s="203">
        <f t="shared" si="18"/>
        <v>3</v>
      </c>
      <c r="AI17" s="203">
        <f t="shared" si="18"/>
        <v>4</v>
      </c>
      <c r="AJ17" s="203">
        <f t="shared" si="18"/>
        <v>5</v>
      </c>
      <c r="AK17" s="203">
        <f t="shared" si="18"/>
        <v>6</v>
      </c>
      <c r="AL17" s="203">
        <f t="shared" si="18"/>
        <v>7</v>
      </c>
      <c r="AM17" s="203">
        <f t="shared" si="18"/>
        <v>8</v>
      </c>
      <c r="AN17" s="203">
        <f t="shared" si="18"/>
        <v>9</v>
      </c>
      <c r="AO17" s="203">
        <f t="shared" si="18"/>
        <v>10</v>
      </c>
      <c r="AP17" s="203">
        <f t="shared" si="18"/>
        <v>11</v>
      </c>
      <c r="AQ17" s="203">
        <f t="shared" si="18"/>
        <v>12</v>
      </c>
      <c r="AR17" s="203">
        <f t="shared" si="18"/>
        <v>1</v>
      </c>
      <c r="AS17" s="203">
        <f t="shared" si="18"/>
        <v>2</v>
      </c>
      <c r="AT17" s="203">
        <f t="shared" si="18"/>
        <v>3</v>
      </c>
      <c r="AU17" s="203">
        <f t="shared" si="18"/>
        <v>4</v>
      </c>
      <c r="AV17" s="203">
        <f t="shared" si="18"/>
        <v>5</v>
      </c>
      <c r="AW17" s="203">
        <f t="shared" si="18"/>
        <v>6</v>
      </c>
      <c r="AX17" s="203">
        <f t="shared" si="18"/>
        <v>7</v>
      </c>
      <c r="AY17" s="203">
        <f t="shared" si="18"/>
        <v>8</v>
      </c>
      <c r="AZ17" s="203">
        <f t="shared" si="18"/>
        <v>9</v>
      </c>
      <c r="BA17" s="203">
        <f t="shared" si="18"/>
        <v>10</v>
      </c>
      <c r="BB17" s="203">
        <f t="shared" si="18"/>
        <v>11</v>
      </c>
      <c r="BC17" s="203">
        <f t="shared" si="18"/>
        <v>12</v>
      </c>
      <c r="BD17" s="203">
        <f t="shared" si="18"/>
        <v>1</v>
      </c>
      <c r="BE17" s="203">
        <f t="shared" si="18"/>
        <v>2</v>
      </c>
      <c r="BF17" s="203">
        <f t="shared" si="18"/>
        <v>3</v>
      </c>
      <c r="BG17" s="203">
        <f t="shared" si="18"/>
        <v>4</v>
      </c>
      <c r="BH17" s="203">
        <f t="shared" si="18"/>
        <v>5</v>
      </c>
      <c r="BI17" s="203">
        <f t="shared" si="18"/>
        <v>6</v>
      </c>
      <c r="BJ17" s="203">
        <f t="shared" si="18"/>
        <v>7</v>
      </c>
      <c r="BK17" s="203">
        <f t="shared" si="18"/>
        <v>8</v>
      </c>
      <c r="BL17" s="203">
        <f t="shared" si="18"/>
        <v>9</v>
      </c>
      <c r="BM17" s="203">
        <f t="shared" si="18"/>
        <v>10</v>
      </c>
      <c r="BN17" s="203">
        <f t="shared" si="18"/>
        <v>11</v>
      </c>
      <c r="BO17" s="203">
        <f t="shared" si="18"/>
        <v>12</v>
      </c>
      <c r="BP17" s="203">
        <f t="shared" si="18"/>
        <v>1</v>
      </c>
      <c r="BQ17" s="203">
        <f t="shared" si="18"/>
        <v>2</v>
      </c>
      <c r="BR17" s="203">
        <f t="shared" si="18"/>
        <v>3</v>
      </c>
      <c r="BS17" s="203">
        <f t="shared" si="18"/>
        <v>4</v>
      </c>
      <c r="BT17" s="203">
        <f t="shared" ref="BT17:DX17" si="19">MONTH(BT11)</f>
        <v>5</v>
      </c>
      <c r="BU17" s="203">
        <f t="shared" si="19"/>
        <v>6</v>
      </c>
      <c r="BV17" s="203">
        <f t="shared" si="19"/>
        <v>7</v>
      </c>
      <c r="BW17" s="203">
        <f t="shared" si="19"/>
        <v>8</v>
      </c>
      <c r="BX17" s="203">
        <f t="shared" si="19"/>
        <v>9</v>
      </c>
      <c r="BY17" s="203">
        <f t="shared" si="19"/>
        <v>10</v>
      </c>
      <c r="BZ17" s="203">
        <f t="shared" si="19"/>
        <v>11</v>
      </c>
      <c r="CA17" s="203">
        <f t="shared" si="19"/>
        <v>12</v>
      </c>
      <c r="CB17" s="203">
        <f t="shared" si="19"/>
        <v>1</v>
      </c>
      <c r="CC17" s="203">
        <f t="shared" si="19"/>
        <v>2</v>
      </c>
      <c r="CD17" s="203">
        <f t="shared" si="19"/>
        <v>3</v>
      </c>
      <c r="CE17" s="203">
        <f t="shared" si="19"/>
        <v>4</v>
      </c>
      <c r="CF17" s="203">
        <f t="shared" si="19"/>
        <v>5</v>
      </c>
      <c r="CG17" s="203">
        <f t="shared" si="19"/>
        <v>6</v>
      </c>
      <c r="CH17" s="203">
        <f t="shared" si="19"/>
        <v>7</v>
      </c>
      <c r="CI17" s="203">
        <f t="shared" si="19"/>
        <v>8</v>
      </c>
      <c r="CJ17" s="203">
        <f t="shared" si="19"/>
        <v>9</v>
      </c>
      <c r="CK17" s="203">
        <f t="shared" si="19"/>
        <v>10</v>
      </c>
      <c r="CL17" s="203">
        <f t="shared" si="19"/>
        <v>11</v>
      </c>
      <c r="CM17" s="203">
        <f t="shared" si="19"/>
        <v>12</v>
      </c>
      <c r="CN17" s="203">
        <f t="shared" si="19"/>
        <v>1</v>
      </c>
      <c r="CO17" s="203">
        <f t="shared" si="19"/>
        <v>2</v>
      </c>
      <c r="CP17" s="203">
        <f t="shared" si="19"/>
        <v>3</v>
      </c>
      <c r="CQ17" s="203">
        <f t="shared" si="19"/>
        <v>4</v>
      </c>
      <c r="CR17" s="203">
        <f t="shared" si="19"/>
        <v>5</v>
      </c>
      <c r="CS17" s="203">
        <f t="shared" si="19"/>
        <v>6</v>
      </c>
      <c r="CT17" s="203">
        <f t="shared" si="19"/>
        <v>7</v>
      </c>
      <c r="CU17" s="203">
        <f t="shared" si="19"/>
        <v>8</v>
      </c>
      <c r="CV17" s="203">
        <f t="shared" si="19"/>
        <v>9</v>
      </c>
      <c r="CW17" s="203">
        <f t="shared" si="19"/>
        <v>10</v>
      </c>
      <c r="CX17" s="203">
        <f t="shared" si="19"/>
        <v>11</v>
      </c>
      <c r="CY17" s="203">
        <f t="shared" si="19"/>
        <v>12</v>
      </c>
      <c r="CZ17" s="203">
        <f t="shared" si="19"/>
        <v>1</v>
      </c>
      <c r="DA17" s="203">
        <f t="shared" si="19"/>
        <v>2</v>
      </c>
      <c r="DB17" s="203">
        <f t="shared" si="19"/>
        <v>3</v>
      </c>
      <c r="DC17" s="203">
        <f t="shared" si="19"/>
        <v>4</v>
      </c>
      <c r="DD17" s="203">
        <f t="shared" si="19"/>
        <v>5</v>
      </c>
      <c r="DE17" s="203">
        <f t="shared" si="19"/>
        <v>6</v>
      </c>
      <c r="DF17" s="203">
        <f t="shared" si="19"/>
        <v>7</v>
      </c>
      <c r="DG17" s="203">
        <f t="shared" si="19"/>
        <v>8</v>
      </c>
      <c r="DH17" s="203">
        <f t="shared" si="19"/>
        <v>9</v>
      </c>
      <c r="DI17" s="203">
        <f t="shared" si="19"/>
        <v>10</v>
      </c>
      <c r="DJ17" s="203">
        <f t="shared" si="19"/>
        <v>11</v>
      </c>
      <c r="DK17" s="203">
        <f t="shared" si="19"/>
        <v>12</v>
      </c>
      <c r="DL17" s="203">
        <f t="shared" si="19"/>
        <v>1</v>
      </c>
      <c r="DM17" s="203">
        <f t="shared" si="19"/>
        <v>2</v>
      </c>
      <c r="DN17" s="203">
        <f t="shared" si="19"/>
        <v>3</v>
      </c>
      <c r="DO17" s="203">
        <f t="shared" si="19"/>
        <v>4</v>
      </c>
      <c r="DP17" s="203">
        <f t="shared" si="19"/>
        <v>5</v>
      </c>
      <c r="DQ17" s="203">
        <f t="shared" si="19"/>
        <v>6</v>
      </c>
      <c r="DR17" s="203">
        <f t="shared" si="19"/>
        <v>7</v>
      </c>
      <c r="DS17" s="203">
        <f t="shared" si="19"/>
        <v>8</v>
      </c>
      <c r="DT17" s="203">
        <f t="shared" si="19"/>
        <v>9</v>
      </c>
      <c r="DU17" s="203">
        <f t="shared" si="19"/>
        <v>10</v>
      </c>
      <c r="DV17" s="203">
        <f t="shared" si="19"/>
        <v>11</v>
      </c>
      <c r="DW17" s="203">
        <f t="shared" si="19"/>
        <v>12</v>
      </c>
      <c r="DX17" s="203">
        <f t="shared" si="19"/>
        <v>1</v>
      </c>
      <c r="DY17" s="88"/>
      <c r="DZ17" s="188" t="s">
        <v>397</v>
      </c>
      <c r="EB17" s="88"/>
    </row>
    <row r="18" spans="1:132" outlineLevel="1">
      <c r="A18" s="91" t="s">
        <v>162</v>
      </c>
      <c r="C18" s="185"/>
      <c r="D18" s="185"/>
      <c r="E18" s="185"/>
      <c r="F18" s="202" t="str">
        <f t="shared" ref="F18:AK18" si="20">INDEX(MonthListIn,MONTH(F11))</f>
        <v>November</v>
      </c>
      <c r="G18" s="205" t="str">
        <f t="shared" si="20"/>
        <v>December</v>
      </c>
      <c r="H18" s="205" t="str">
        <f t="shared" si="20"/>
        <v>January</v>
      </c>
      <c r="I18" s="205" t="str">
        <f t="shared" si="20"/>
        <v>February</v>
      </c>
      <c r="J18" s="205" t="str">
        <f t="shared" si="20"/>
        <v>March</v>
      </c>
      <c r="K18" s="205" t="str">
        <f t="shared" si="20"/>
        <v>April</v>
      </c>
      <c r="L18" s="205" t="str">
        <f t="shared" si="20"/>
        <v>May</v>
      </c>
      <c r="M18" s="205" t="str">
        <f t="shared" si="20"/>
        <v>June</v>
      </c>
      <c r="N18" s="205" t="str">
        <f t="shared" si="20"/>
        <v>July</v>
      </c>
      <c r="O18" s="205" t="str">
        <f t="shared" si="20"/>
        <v>August</v>
      </c>
      <c r="P18" s="205" t="str">
        <f t="shared" si="20"/>
        <v>September</v>
      </c>
      <c r="Q18" s="205" t="str">
        <f t="shared" si="20"/>
        <v>October</v>
      </c>
      <c r="R18" s="205" t="str">
        <f t="shared" si="20"/>
        <v>November</v>
      </c>
      <c r="S18" s="205" t="str">
        <f t="shared" si="20"/>
        <v>December</v>
      </c>
      <c r="T18" s="205" t="str">
        <f t="shared" si="20"/>
        <v>January</v>
      </c>
      <c r="U18" s="205" t="str">
        <f t="shared" si="20"/>
        <v>February</v>
      </c>
      <c r="V18" s="205" t="str">
        <f t="shared" si="20"/>
        <v>March</v>
      </c>
      <c r="W18" s="205" t="str">
        <f t="shared" si="20"/>
        <v>April</v>
      </c>
      <c r="X18" s="205" t="str">
        <f t="shared" si="20"/>
        <v>May</v>
      </c>
      <c r="Y18" s="205" t="str">
        <f t="shared" si="20"/>
        <v>June</v>
      </c>
      <c r="Z18" s="205" t="str">
        <f t="shared" si="20"/>
        <v>July</v>
      </c>
      <c r="AA18" s="205" t="str">
        <f t="shared" si="20"/>
        <v>August</v>
      </c>
      <c r="AB18" s="205" t="str">
        <f t="shared" si="20"/>
        <v>September</v>
      </c>
      <c r="AC18" s="205" t="str">
        <f t="shared" si="20"/>
        <v>October</v>
      </c>
      <c r="AD18" s="205" t="str">
        <f t="shared" si="20"/>
        <v>November</v>
      </c>
      <c r="AE18" s="205" t="str">
        <f t="shared" si="20"/>
        <v>December</v>
      </c>
      <c r="AF18" s="205" t="str">
        <f t="shared" si="20"/>
        <v>January</v>
      </c>
      <c r="AG18" s="205" t="str">
        <f t="shared" si="20"/>
        <v>February</v>
      </c>
      <c r="AH18" s="205" t="str">
        <f t="shared" si="20"/>
        <v>March</v>
      </c>
      <c r="AI18" s="205" t="str">
        <f t="shared" si="20"/>
        <v>April</v>
      </c>
      <c r="AJ18" s="205" t="str">
        <f t="shared" si="20"/>
        <v>May</v>
      </c>
      <c r="AK18" s="205" t="str">
        <f t="shared" si="20"/>
        <v>June</v>
      </c>
      <c r="AL18" s="205" t="str">
        <f t="shared" ref="AL18:BQ18" si="21">INDEX(MonthListIn,MONTH(AL11))</f>
        <v>July</v>
      </c>
      <c r="AM18" s="205" t="str">
        <f t="shared" si="21"/>
        <v>August</v>
      </c>
      <c r="AN18" s="205" t="str">
        <f t="shared" si="21"/>
        <v>September</v>
      </c>
      <c r="AO18" s="205" t="str">
        <f t="shared" si="21"/>
        <v>October</v>
      </c>
      <c r="AP18" s="205" t="str">
        <f t="shared" si="21"/>
        <v>November</v>
      </c>
      <c r="AQ18" s="205" t="str">
        <f t="shared" si="21"/>
        <v>December</v>
      </c>
      <c r="AR18" s="205" t="str">
        <f t="shared" si="21"/>
        <v>January</v>
      </c>
      <c r="AS18" s="205" t="str">
        <f t="shared" si="21"/>
        <v>February</v>
      </c>
      <c r="AT18" s="205" t="str">
        <f t="shared" si="21"/>
        <v>March</v>
      </c>
      <c r="AU18" s="205" t="str">
        <f t="shared" si="21"/>
        <v>April</v>
      </c>
      <c r="AV18" s="205" t="str">
        <f t="shared" si="21"/>
        <v>May</v>
      </c>
      <c r="AW18" s="205" t="str">
        <f t="shared" si="21"/>
        <v>June</v>
      </c>
      <c r="AX18" s="205" t="str">
        <f t="shared" si="21"/>
        <v>July</v>
      </c>
      <c r="AY18" s="205" t="str">
        <f t="shared" si="21"/>
        <v>August</v>
      </c>
      <c r="AZ18" s="205" t="str">
        <f t="shared" si="21"/>
        <v>September</v>
      </c>
      <c r="BA18" s="205" t="str">
        <f t="shared" si="21"/>
        <v>October</v>
      </c>
      <c r="BB18" s="205" t="str">
        <f t="shared" si="21"/>
        <v>November</v>
      </c>
      <c r="BC18" s="205" t="str">
        <f t="shared" si="21"/>
        <v>December</v>
      </c>
      <c r="BD18" s="205" t="str">
        <f t="shared" si="21"/>
        <v>January</v>
      </c>
      <c r="BE18" s="205" t="str">
        <f t="shared" si="21"/>
        <v>February</v>
      </c>
      <c r="BF18" s="205" t="str">
        <f t="shared" si="21"/>
        <v>March</v>
      </c>
      <c r="BG18" s="205" t="str">
        <f t="shared" si="21"/>
        <v>April</v>
      </c>
      <c r="BH18" s="205" t="str">
        <f t="shared" si="21"/>
        <v>May</v>
      </c>
      <c r="BI18" s="205" t="str">
        <f t="shared" si="21"/>
        <v>June</v>
      </c>
      <c r="BJ18" s="205" t="str">
        <f t="shared" si="21"/>
        <v>July</v>
      </c>
      <c r="BK18" s="205" t="str">
        <f t="shared" si="21"/>
        <v>August</v>
      </c>
      <c r="BL18" s="205" t="str">
        <f t="shared" si="21"/>
        <v>September</v>
      </c>
      <c r="BM18" s="205" t="str">
        <f t="shared" si="21"/>
        <v>October</v>
      </c>
      <c r="BN18" s="205" t="str">
        <f t="shared" si="21"/>
        <v>November</v>
      </c>
      <c r="BO18" s="205" t="str">
        <f t="shared" si="21"/>
        <v>December</v>
      </c>
      <c r="BP18" s="205" t="str">
        <f t="shared" si="21"/>
        <v>January</v>
      </c>
      <c r="BQ18" s="205" t="str">
        <f t="shared" si="21"/>
        <v>February</v>
      </c>
      <c r="BR18" s="205" t="str">
        <f t="shared" ref="BR18:CW18" si="22">INDEX(MonthListIn,MONTH(BR11))</f>
        <v>March</v>
      </c>
      <c r="BS18" s="205" t="str">
        <f t="shared" si="22"/>
        <v>April</v>
      </c>
      <c r="BT18" s="205" t="str">
        <f t="shared" si="22"/>
        <v>May</v>
      </c>
      <c r="BU18" s="205" t="str">
        <f t="shared" si="22"/>
        <v>June</v>
      </c>
      <c r="BV18" s="205" t="str">
        <f t="shared" si="22"/>
        <v>July</v>
      </c>
      <c r="BW18" s="205" t="str">
        <f t="shared" si="22"/>
        <v>August</v>
      </c>
      <c r="BX18" s="205" t="str">
        <f t="shared" si="22"/>
        <v>September</v>
      </c>
      <c r="BY18" s="205" t="str">
        <f t="shared" si="22"/>
        <v>October</v>
      </c>
      <c r="BZ18" s="205" t="str">
        <f t="shared" si="22"/>
        <v>November</v>
      </c>
      <c r="CA18" s="205" t="str">
        <f t="shared" si="22"/>
        <v>December</v>
      </c>
      <c r="CB18" s="205" t="str">
        <f t="shared" si="22"/>
        <v>January</v>
      </c>
      <c r="CC18" s="205" t="str">
        <f t="shared" si="22"/>
        <v>February</v>
      </c>
      <c r="CD18" s="205" t="str">
        <f t="shared" si="22"/>
        <v>March</v>
      </c>
      <c r="CE18" s="205" t="str">
        <f t="shared" si="22"/>
        <v>April</v>
      </c>
      <c r="CF18" s="205" t="str">
        <f t="shared" si="22"/>
        <v>May</v>
      </c>
      <c r="CG18" s="205" t="str">
        <f t="shared" si="22"/>
        <v>June</v>
      </c>
      <c r="CH18" s="205" t="str">
        <f t="shared" si="22"/>
        <v>July</v>
      </c>
      <c r="CI18" s="205" t="str">
        <f t="shared" si="22"/>
        <v>August</v>
      </c>
      <c r="CJ18" s="205" t="str">
        <f t="shared" si="22"/>
        <v>September</v>
      </c>
      <c r="CK18" s="205" t="str">
        <f t="shared" si="22"/>
        <v>October</v>
      </c>
      <c r="CL18" s="205" t="str">
        <f t="shared" si="22"/>
        <v>November</v>
      </c>
      <c r="CM18" s="205" t="str">
        <f t="shared" si="22"/>
        <v>December</v>
      </c>
      <c r="CN18" s="205" t="str">
        <f t="shared" si="22"/>
        <v>January</v>
      </c>
      <c r="CO18" s="205" t="str">
        <f t="shared" si="22"/>
        <v>February</v>
      </c>
      <c r="CP18" s="205" t="str">
        <f t="shared" si="22"/>
        <v>March</v>
      </c>
      <c r="CQ18" s="205" t="str">
        <f t="shared" si="22"/>
        <v>April</v>
      </c>
      <c r="CR18" s="205" t="str">
        <f t="shared" si="22"/>
        <v>May</v>
      </c>
      <c r="CS18" s="205" t="str">
        <f t="shared" si="22"/>
        <v>June</v>
      </c>
      <c r="CT18" s="205" t="str">
        <f t="shared" si="22"/>
        <v>July</v>
      </c>
      <c r="CU18" s="205" t="str">
        <f t="shared" si="22"/>
        <v>August</v>
      </c>
      <c r="CV18" s="205" t="str">
        <f t="shared" si="22"/>
        <v>September</v>
      </c>
      <c r="CW18" s="205" t="str">
        <f t="shared" si="22"/>
        <v>October</v>
      </c>
      <c r="CX18" s="205" t="str">
        <f t="shared" ref="CX18:DX18" si="23">INDEX(MonthListIn,MONTH(CX11))</f>
        <v>November</v>
      </c>
      <c r="CY18" s="205" t="str">
        <f t="shared" si="23"/>
        <v>December</v>
      </c>
      <c r="CZ18" s="205" t="str">
        <f t="shared" si="23"/>
        <v>January</v>
      </c>
      <c r="DA18" s="205" t="str">
        <f t="shared" si="23"/>
        <v>February</v>
      </c>
      <c r="DB18" s="205" t="str">
        <f t="shared" si="23"/>
        <v>March</v>
      </c>
      <c r="DC18" s="205" t="str">
        <f t="shared" si="23"/>
        <v>April</v>
      </c>
      <c r="DD18" s="205" t="str">
        <f t="shared" si="23"/>
        <v>May</v>
      </c>
      <c r="DE18" s="205" t="str">
        <f t="shared" si="23"/>
        <v>June</v>
      </c>
      <c r="DF18" s="205" t="str">
        <f t="shared" si="23"/>
        <v>July</v>
      </c>
      <c r="DG18" s="205" t="str">
        <f t="shared" si="23"/>
        <v>August</v>
      </c>
      <c r="DH18" s="205" t="str">
        <f t="shared" si="23"/>
        <v>September</v>
      </c>
      <c r="DI18" s="205" t="str">
        <f t="shared" si="23"/>
        <v>October</v>
      </c>
      <c r="DJ18" s="205" t="str">
        <f t="shared" si="23"/>
        <v>November</v>
      </c>
      <c r="DK18" s="205" t="str">
        <f t="shared" si="23"/>
        <v>December</v>
      </c>
      <c r="DL18" s="205" t="str">
        <f t="shared" si="23"/>
        <v>January</v>
      </c>
      <c r="DM18" s="205" t="str">
        <f t="shared" si="23"/>
        <v>February</v>
      </c>
      <c r="DN18" s="205" t="str">
        <f t="shared" si="23"/>
        <v>March</v>
      </c>
      <c r="DO18" s="205" t="str">
        <f t="shared" si="23"/>
        <v>April</v>
      </c>
      <c r="DP18" s="205" t="str">
        <f t="shared" si="23"/>
        <v>May</v>
      </c>
      <c r="DQ18" s="205" t="str">
        <f t="shared" si="23"/>
        <v>June</v>
      </c>
      <c r="DR18" s="205" t="str">
        <f t="shared" si="23"/>
        <v>July</v>
      </c>
      <c r="DS18" s="205" t="str">
        <f t="shared" si="23"/>
        <v>August</v>
      </c>
      <c r="DT18" s="205" t="str">
        <f t="shared" si="23"/>
        <v>September</v>
      </c>
      <c r="DU18" s="205" t="str">
        <f t="shared" si="23"/>
        <v>October</v>
      </c>
      <c r="DV18" s="205" t="str">
        <f t="shared" si="23"/>
        <v>November</v>
      </c>
      <c r="DW18" s="205" t="str">
        <f t="shared" si="23"/>
        <v>December</v>
      </c>
      <c r="DX18" s="205" t="str">
        <f t="shared" si="23"/>
        <v>January</v>
      </c>
      <c r="DY18" s="88"/>
      <c r="DZ18" s="188" t="s">
        <v>398</v>
      </c>
      <c r="EB18" s="88"/>
    </row>
    <row r="19" spans="1:132" outlineLevel="1">
      <c r="A19" s="91" t="s">
        <v>355</v>
      </c>
      <c r="C19" s="185"/>
      <c r="D19" s="185"/>
      <c r="E19" s="185"/>
      <c r="F19" s="206" t="str">
        <f t="shared" ref="F19:BQ19" si="24">IF(F15=0,"M"&amp;F14,"Y"&amp;F15&amp;"M"&amp;F16)</f>
        <v>M-3</v>
      </c>
      <c r="G19" s="207" t="str">
        <f t="shared" si="24"/>
        <v>M-2</v>
      </c>
      <c r="H19" s="207" t="str">
        <f t="shared" si="24"/>
        <v>M-1</v>
      </c>
      <c r="I19" s="207" t="str">
        <f t="shared" si="24"/>
        <v>Y1M1</v>
      </c>
      <c r="J19" s="207" t="str">
        <f t="shared" si="24"/>
        <v>Y1M2</v>
      </c>
      <c r="K19" s="207" t="str">
        <f t="shared" si="24"/>
        <v>Y1M3</v>
      </c>
      <c r="L19" s="207" t="str">
        <f t="shared" si="24"/>
        <v>Y1M4</v>
      </c>
      <c r="M19" s="207" t="str">
        <f t="shared" si="24"/>
        <v>Y1M5</v>
      </c>
      <c r="N19" s="207" t="str">
        <f t="shared" si="24"/>
        <v>Y1M6</v>
      </c>
      <c r="O19" s="207" t="str">
        <f t="shared" si="24"/>
        <v>Y1M7</v>
      </c>
      <c r="P19" s="207" t="str">
        <f t="shared" si="24"/>
        <v>Y1M8</v>
      </c>
      <c r="Q19" s="207" t="str">
        <f t="shared" si="24"/>
        <v>Y1M9</v>
      </c>
      <c r="R19" s="207" t="str">
        <f t="shared" si="24"/>
        <v>Y1M10</v>
      </c>
      <c r="S19" s="207" t="str">
        <f t="shared" si="24"/>
        <v>Y1M11</v>
      </c>
      <c r="T19" s="207" t="str">
        <f t="shared" si="24"/>
        <v>Y1M12</v>
      </c>
      <c r="U19" s="207" t="str">
        <f t="shared" si="24"/>
        <v>Y2M1</v>
      </c>
      <c r="V19" s="207" t="str">
        <f t="shared" si="24"/>
        <v>Y2M2</v>
      </c>
      <c r="W19" s="207" t="str">
        <f t="shared" si="24"/>
        <v>Y2M3</v>
      </c>
      <c r="X19" s="207" t="str">
        <f t="shared" si="24"/>
        <v>Y2M4</v>
      </c>
      <c r="Y19" s="207" t="str">
        <f t="shared" si="24"/>
        <v>Y2M5</v>
      </c>
      <c r="Z19" s="207" t="str">
        <f t="shared" si="24"/>
        <v>Y2M6</v>
      </c>
      <c r="AA19" s="207" t="str">
        <f t="shared" si="24"/>
        <v>Y2M7</v>
      </c>
      <c r="AB19" s="207" t="str">
        <f t="shared" si="24"/>
        <v>Y2M8</v>
      </c>
      <c r="AC19" s="207" t="str">
        <f t="shared" si="24"/>
        <v>Y2M9</v>
      </c>
      <c r="AD19" s="207" t="str">
        <f t="shared" si="24"/>
        <v>Y2M10</v>
      </c>
      <c r="AE19" s="207" t="str">
        <f t="shared" si="24"/>
        <v>Y2M11</v>
      </c>
      <c r="AF19" s="207" t="str">
        <f t="shared" si="24"/>
        <v>Y2M12</v>
      </c>
      <c r="AG19" s="207" t="str">
        <f t="shared" si="24"/>
        <v>Y3M1</v>
      </c>
      <c r="AH19" s="207" t="str">
        <f t="shared" si="24"/>
        <v>Y3M2</v>
      </c>
      <c r="AI19" s="207" t="str">
        <f t="shared" si="24"/>
        <v>Y3M3</v>
      </c>
      <c r="AJ19" s="207" t="str">
        <f t="shared" si="24"/>
        <v>Y3M4</v>
      </c>
      <c r="AK19" s="207" t="str">
        <f t="shared" si="24"/>
        <v>Y3M5</v>
      </c>
      <c r="AL19" s="207" t="str">
        <f t="shared" si="24"/>
        <v>Y3M6</v>
      </c>
      <c r="AM19" s="207" t="str">
        <f t="shared" si="24"/>
        <v>Y3M7</v>
      </c>
      <c r="AN19" s="207" t="str">
        <f t="shared" si="24"/>
        <v>Y3M8</v>
      </c>
      <c r="AO19" s="207" t="str">
        <f t="shared" si="24"/>
        <v>Y3M9</v>
      </c>
      <c r="AP19" s="207" t="str">
        <f t="shared" si="24"/>
        <v>Y3M10</v>
      </c>
      <c r="AQ19" s="207" t="str">
        <f t="shared" si="24"/>
        <v>Y3M11</v>
      </c>
      <c r="AR19" s="207" t="str">
        <f t="shared" si="24"/>
        <v>Y3M12</v>
      </c>
      <c r="AS19" s="207" t="str">
        <f t="shared" si="24"/>
        <v>Y4M1</v>
      </c>
      <c r="AT19" s="207" t="str">
        <f t="shared" si="24"/>
        <v>Y4M2</v>
      </c>
      <c r="AU19" s="207" t="str">
        <f t="shared" si="24"/>
        <v>Y4M3</v>
      </c>
      <c r="AV19" s="207" t="str">
        <f t="shared" si="24"/>
        <v>Y4M4</v>
      </c>
      <c r="AW19" s="207" t="str">
        <f t="shared" si="24"/>
        <v>Y4M5</v>
      </c>
      <c r="AX19" s="207" t="str">
        <f t="shared" si="24"/>
        <v>Y4M6</v>
      </c>
      <c r="AY19" s="207" t="str">
        <f t="shared" si="24"/>
        <v>Y4M7</v>
      </c>
      <c r="AZ19" s="207" t="str">
        <f t="shared" si="24"/>
        <v>Y4M8</v>
      </c>
      <c r="BA19" s="207" t="str">
        <f t="shared" si="24"/>
        <v>Y4M9</v>
      </c>
      <c r="BB19" s="207" t="str">
        <f t="shared" si="24"/>
        <v>Y4M10</v>
      </c>
      <c r="BC19" s="207" t="str">
        <f t="shared" si="24"/>
        <v>Y4M11</v>
      </c>
      <c r="BD19" s="207" t="str">
        <f t="shared" si="24"/>
        <v>Y4M12</v>
      </c>
      <c r="BE19" s="207" t="str">
        <f t="shared" si="24"/>
        <v>Y5M1</v>
      </c>
      <c r="BF19" s="207" t="str">
        <f t="shared" si="24"/>
        <v>Y5M2</v>
      </c>
      <c r="BG19" s="207" t="str">
        <f t="shared" si="24"/>
        <v>Y5M3</v>
      </c>
      <c r="BH19" s="207" t="str">
        <f t="shared" si="24"/>
        <v>Y5M4</v>
      </c>
      <c r="BI19" s="207" t="str">
        <f t="shared" si="24"/>
        <v>Y5M5</v>
      </c>
      <c r="BJ19" s="207" t="str">
        <f t="shared" si="24"/>
        <v>Y5M6</v>
      </c>
      <c r="BK19" s="207" t="str">
        <f t="shared" si="24"/>
        <v>Y5M7</v>
      </c>
      <c r="BL19" s="207" t="str">
        <f t="shared" si="24"/>
        <v>Y5M8</v>
      </c>
      <c r="BM19" s="207" t="str">
        <f t="shared" si="24"/>
        <v>Y5M9</v>
      </c>
      <c r="BN19" s="207" t="str">
        <f t="shared" si="24"/>
        <v>Y5M10</v>
      </c>
      <c r="BO19" s="207" t="str">
        <f t="shared" si="24"/>
        <v>Y5M11</v>
      </c>
      <c r="BP19" s="207" t="str">
        <f t="shared" si="24"/>
        <v>Y5M12</v>
      </c>
      <c r="BQ19" s="207" t="str">
        <f t="shared" si="24"/>
        <v>Y6M1</v>
      </c>
      <c r="BR19" s="207" t="str">
        <f t="shared" ref="BR19:DX19" si="25">IF(BR15=0,"M"&amp;BR14,"Y"&amp;BR15&amp;"M"&amp;BR16)</f>
        <v>Y6M2</v>
      </c>
      <c r="BS19" s="207" t="str">
        <f t="shared" si="25"/>
        <v>Y6M3</v>
      </c>
      <c r="BT19" s="207" t="str">
        <f t="shared" si="25"/>
        <v>Y6M4</v>
      </c>
      <c r="BU19" s="207" t="str">
        <f t="shared" si="25"/>
        <v>Y6M5</v>
      </c>
      <c r="BV19" s="207" t="str">
        <f t="shared" si="25"/>
        <v>Y6M6</v>
      </c>
      <c r="BW19" s="207" t="str">
        <f t="shared" si="25"/>
        <v>Y6M7</v>
      </c>
      <c r="BX19" s="207" t="str">
        <f t="shared" si="25"/>
        <v>Y6M8</v>
      </c>
      <c r="BY19" s="207" t="str">
        <f t="shared" si="25"/>
        <v>Y6M9</v>
      </c>
      <c r="BZ19" s="207" t="str">
        <f t="shared" si="25"/>
        <v>Y6M10</v>
      </c>
      <c r="CA19" s="207" t="str">
        <f t="shared" si="25"/>
        <v>Y6M11</v>
      </c>
      <c r="CB19" s="207" t="str">
        <f t="shared" si="25"/>
        <v>Y6M12</v>
      </c>
      <c r="CC19" s="207" t="str">
        <f t="shared" si="25"/>
        <v>Y7M1</v>
      </c>
      <c r="CD19" s="207" t="str">
        <f t="shared" si="25"/>
        <v>Y7M2</v>
      </c>
      <c r="CE19" s="207" t="str">
        <f t="shared" si="25"/>
        <v>Y7M3</v>
      </c>
      <c r="CF19" s="207" t="str">
        <f t="shared" si="25"/>
        <v>Y7M4</v>
      </c>
      <c r="CG19" s="207" t="str">
        <f t="shared" si="25"/>
        <v>Y7M5</v>
      </c>
      <c r="CH19" s="207" t="str">
        <f t="shared" si="25"/>
        <v>Y7M6</v>
      </c>
      <c r="CI19" s="207" t="str">
        <f t="shared" si="25"/>
        <v>Y7M7</v>
      </c>
      <c r="CJ19" s="207" t="str">
        <f t="shared" si="25"/>
        <v>Y7M8</v>
      </c>
      <c r="CK19" s="207" t="str">
        <f t="shared" si="25"/>
        <v>Y7M9</v>
      </c>
      <c r="CL19" s="207" t="str">
        <f t="shared" si="25"/>
        <v>Y7M10</v>
      </c>
      <c r="CM19" s="207" t="str">
        <f t="shared" si="25"/>
        <v>Y7M11</v>
      </c>
      <c r="CN19" s="207" t="str">
        <f t="shared" si="25"/>
        <v>Y7M12</v>
      </c>
      <c r="CO19" s="207" t="str">
        <f t="shared" si="25"/>
        <v>Y8M1</v>
      </c>
      <c r="CP19" s="207" t="str">
        <f t="shared" si="25"/>
        <v>Y8M2</v>
      </c>
      <c r="CQ19" s="207" t="str">
        <f t="shared" si="25"/>
        <v>Y8M3</v>
      </c>
      <c r="CR19" s="207" t="str">
        <f t="shared" si="25"/>
        <v>Y8M4</v>
      </c>
      <c r="CS19" s="207" t="str">
        <f t="shared" si="25"/>
        <v>Y8M5</v>
      </c>
      <c r="CT19" s="207" t="str">
        <f t="shared" si="25"/>
        <v>Y8M6</v>
      </c>
      <c r="CU19" s="207" t="str">
        <f t="shared" si="25"/>
        <v>Y8M7</v>
      </c>
      <c r="CV19" s="207" t="str">
        <f t="shared" si="25"/>
        <v>Y8M8</v>
      </c>
      <c r="CW19" s="207" t="str">
        <f t="shared" si="25"/>
        <v>Y8M9</v>
      </c>
      <c r="CX19" s="207" t="str">
        <f t="shared" si="25"/>
        <v>Y8M10</v>
      </c>
      <c r="CY19" s="207" t="str">
        <f t="shared" si="25"/>
        <v>Y8M11</v>
      </c>
      <c r="CZ19" s="207" t="str">
        <f t="shared" si="25"/>
        <v>Y8M12</v>
      </c>
      <c r="DA19" s="207" t="str">
        <f t="shared" si="25"/>
        <v>Y9M1</v>
      </c>
      <c r="DB19" s="207" t="str">
        <f t="shared" si="25"/>
        <v>Y9M2</v>
      </c>
      <c r="DC19" s="207" t="str">
        <f t="shared" si="25"/>
        <v>Y9M3</v>
      </c>
      <c r="DD19" s="207" t="str">
        <f t="shared" si="25"/>
        <v>Y9M4</v>
      </c>
      <c r="DE19" s="207" t="str">
        <f t="shared" si="25"/>
        <v>Y9M5</v>
      </c>
      <c r="DF19" s="207" t="str">
        <f t="shared" si="25"/>
        <v>Y9M6</v>
      </c>
      <c r="DG19" s="207" t="str">
        <f t="shared" si="25"/>
        <v>Y9M7</v>
      </c>
      <c r="DH19" s="207" t="str">
        <f t="shared" si="25"/>
        <v>Y9M8</v>
      </c>
      <c r="DI19" s="207" t="str">
        <f t="shared" si="25"/>
        <v>Y9M9</v>
      </c>
      <c r="DJ19" s="207" t="str">
        <f t="shared" si="25"/>
        <v>Y9M10</v>
      </c>
      <c r="DK19" s="207" t="str">
        <f t="shared" si="25"/>
        <v>Y9M11</v>
      </c>
      <c r="DL19" s="207" t="str">
        <f t="shared" si="25"/>
        <v>Y9M12</v>
      </c>
      <c r="DM19" s="207" t="str">
        <f t="shared" si="25"/>
        <v>Y10M1</v>
      </c>
      <c r="DN19" s="207" t="str">
        <f t="shared" si="25"/>
        <v>Y10M2</v>
      </c>
      <c r="DO19" s="207" t="str">
        <f t="shared" si="25"/>
        <v>Y10M3</v>
      </c>
      <c r="DP19" s="207" t="str">
        <f t="shared" si="25"/>
        <v>Y10M4</v>
      </c>
      <c r="DQ19" s="207" t="str">
        <f t="shared" si="25"/>
        <v>Y10M5</v>
      </c>
      <c r="DR19" s="207" t="str">
        <f t="shared" si="25"/>
        <v>Y10M6</v>
      </c>
      <c r="DS19" s="207" t="str">
        <f t="shared" si="25"/>
        <v>Y10M7</v>
      </c>
      <c r="DT19" s="207" t="str">
        <f t="shared" si="25"/>
        <v>Y10M8</v>
      </c>
      <c r="DU19" s="207" t="str">
        <f t="shared" si="25"/>
        <v>Y10M9</v>
      </c>
      <c r="DV19" s="207" t="str">
        <f t="shared" si="25"/>
        <v>Y10M10</v>
      </c>
      <c r="DW19" s="207" t="str">
        <f t="shared" si="25"/>
        <v>Y10M11</v>
      </c>
      <c r="DX19" s="207" t="str">
        <f t="shared" si="25"/>
        <v>Y10M12</v>
      </c>
      <c r="DY19" s="88"/>
      <c r="DZ19" s="188" t="s">
        <v>399</v>
      </c>
      <c r="EB19" s="88"/>
    </row>
    <row r="20" spans="1:132" outlineLevel="1">
      <c r="A20" s="91" t="s">
        <v>163</v>
      </c>
      <c r="C20" s="185"/>
      <c r="D20" s="185"/>
      <c r="E20" s="185"/>
      <c r="F20" s="206" t="str">
        <f t="shared" ref="F20:BQ20" si="26">IF(F14&lt;0,"Pre","Q"&amp;INT((F14-1)/3)+1)</f>
        <v>Pre</v>
      </c>
      <c r="G20" s="207" t="str">
        <f t="shared" si="26"/>
        <v>Pre</v>
      </c>
      <c r="H20" s="207" t="str">
        <f t="shared" si="26"/>
        <v>Pre</v>
      </c>
      <c r="I20" s="207" t="str">
        <f t="shared" si="26"/>
        <v>Q1</v>
      </c>
      <c r="J20" s="207" t="str">
        <f t="shared" si="26"/>
        <v>Q1</v>
      </c>
      <c r="K20" s="207" t="str">
        <f t="shared" si="26"/>
        <v>Q1</v>
      </c>
      <c r="L20" s="207" t="str">
        <f t="shared" si="26"/>
        <v>Q2</v>
      </c>
      <c r="M20" s="207" t="str">
        <f t="shared" si="26"/>
        <v>Q2</v>
      </c>
      <c r="N20" s="207" t="str">
        <f t="shared" si="26"/>
        <v>Q2</v>
      </c>
      <c r="O20" s="207" t="str">
        <f t="shared" si="26"/>
        <v>Q3</v>
      </c>
      <c r="P20" s="207" t="str">
        <f t="shared" si="26"/>
        <v>Q3</v>
      </c>
      <c r="Q20" s="207" t="str">
        <f t="shared" si="26"/>
        <v>Q3</v>
      </c>
      <c r="R20" s="207" t="str">
        <f t="shared" si="26"/>
        <v>Q4</v>
      </c>
      <c r="S20" s="207" t="str">
        <f t="shared" si="26"/>
        <v>Q4</v>
      </c>
      <c r="T20" s="207" t="str">
        <f t="shared" si="26"/>
        <v>Q4</v>
      </c>
      <c r="U20" s="207" t="str">
        <f t="shared" si="26"/>
        <v>Q5</v>
      </c>
      <c r="V20" s="207" t="str">
        <f t="shared" si="26"/>
        <v>Q5</v>
      </c>
      <c r="W20" s="207" t="str">
        <f t="shared" si="26"/>
        <v>Q5</v>
      </c>
      <c r="X20" s="207" t="str">
        <f t="shared" si="26"/>
        <v>Q6</v>
      </c>
      <c r="Y20" s="207" t="str">
        <f t="shared" si="26"/>
        <v>Q6</v>
      </c>
      <c r="Z20" s="207" t="str">
        <f t="shared" si="26"/>
        <v>Q6</v>
      </c>
      <c r="AA20" s="207" t="str">
        <f t="shared" si="26"/>
        <v>Q7</v>
      </c>
      <c r="AB20" s="207" t="str">
        <f t="shared" si="26"/>
        <v>Q7</v>
      </c>
      <c r="AC20" s="207" t="str">
        <f t="shared" si="26"/>
        <v>Q7</v>
      </c>
      <c r="AD20" s="207" t="str">
        <f t="shared" si="26"/>
        <v>Q8</v>
      </c>
      <c r="AE20" s="207" t="str">
        <f t="shared" si="26"/>
        <v>Q8</v>
      </c>
      <c r="AF20" s="207" t="str">
        <f t="shared" si="26"/>
        <v>Q8</v>
      </c>
      <c r="AG20" s="207" t="str">
        <f t="shared" si="26"/>
        <v>Q9</v>
      </c>
      <c r="AH20" s="207" t="str">
        <f t="shared" si="26"/>
        <v>Q9</v>
      </c>
      <c r="AI20" s="207" t="str">
        <f t="shared" si="26"/>
        <v>Q9</v>
      </c>
      <c r="AJ20" s="207" t="str">
        <f t="shared" si="26"/>
        <v>Q10</v>
      </c>
      <c r="AK20" s="207" t="str">
        <f t="shared" si="26"/>
        <v>Q10</v>
      </c>
      <c r="AL20" s="207" t="str">
        <f t="shared" si="26"/>
        <v>Q10</v>
      </c>
      <c r="AM20" s="207" t="str">
        <f t="shared" si="26"/>
        <v>Q11</v>
      </c>
      <c r="AN20" s="207" t="str">
        <f t="shared" si="26"/>
        <v>Q11</v>
      </c>
      <c r="AO20" s="207" t="str">
        <f t="shared" si="26"/>
        <v>Q11</v>
      </c>
      <c r="AP20" s="207" t="str">
        <f t="shared" si="26"/>
        <v>Q12</v>
      </c>
      <c r="AQ20" s="207" t="str">
        <f t="shared" si="26"/>
        <v>Q12</v>
      </c>
      <c r="AR20" s="207" t="str">
        <f t="shared" si="26"/>
        <v>Q12</v>
      </c>
      <c r="AS20" s="207" t="str">
        <f t="shared" si="26"/>
        <v>Q13</v>
      </c>
      <c r="AT20" s="207" t="str">
        <f t="shared" si="26"/>
        <v>Q13</v>
      </c>
      <c r="AU20" s="207" t="str">
        <f t="shared" si="26"/>
        <v>Q13</v>
      </c>
      <c r="AV20" s="207" t="str">
        <f t="shared" si="26"/>
        <v>Q14</v>
      </c>
      <c r="AW20" s="207" t="str">
        <f t="shared" si="26"/>
        <v>Q14</v>
      </c>
      <c r="AX20" s="207" t="str">
        <f t="shared" si="26"/>
        <v>Q14</v>
      </c>
      <c r="AY20" s="207" t="str">
        <f t="shared" si="26"/>
        <v>Q15</v>
      </c>
      <c r="AZ20" s="207" t="str">
        <f t="shared" si="26"/>
        <v>Q15</v>
      </c>
      <c r="BA20" s="207" t="str">
        <f t="shared" si="26"/>
        <v>Q15</v>
      </c>
      <c r="BB20" s="207" t="str">
        <f t="shared" si="26"/>
        <v>Q16</v>
      </c>
      <c r="BC20" s="207" t="str">
        <f t="shared" si="26"/>
        <v>Q16</v>
      </c>
      <c r="BD20" s="207" t="str">
        <f t="shared" si="26"/>
        <v>Q16</v>
      </c>
      <c r="BE20" s="207" t="str">
        <f t="shared" si="26"/>
        <v>Q17</v>
      </c>
      <c r="BF20" s="207" t="str">
        <f t="shared" si="26"/>
        <v>Q17</v>
      </c>
      <c r="BG20" s="207" t="str">
        <f t="shared" si="26"/>
        <v>Q17</v>
      </c>
      <c r="BH20" s="207" t="str">
        <f t="shared" si="26"/>
        <v>Q18</v>
      </c>
      <c r="BI20" s="207" t="str">
        <f t="shared" si="26"/>
        <v>Q18</v>
      </c>
      <c r="BJ20" s="207" t="str">
        <f t="shared" si="26"/>
        <v>Q18</v>
      </c>
      <c r="BK20" s="207" t="str">
        <f t="shared" si="26"/>
        <v>Q19</v>
      </c>
      <c r="BL20" s="207" t="str">
        <f t="shared" si="26"/>
        <v>Q19</v>
      </c>
      <c r="BM20" s="207" t="str">
        <f t="shared" si="26"/>
        <v>Q19</v>
      </c>
      <c r="BN20" s="207" t="str">
        <f t="shared" si="26"/>
        <v>Q20</v>
      </c>
      <c r="BO20" s="207" t="str">
        <f t="shared" si="26"/>
        <v>Q20</v>
      </c>
      <c r="BP20" s="207" t="str">
        <f t="shared" si="26"/>
        <v>Q20</v>
      </c>
      <c r="BQ20" s="207" t="str">
        <f t="shared" si="26"/>
        <v>Q21</v>
      </c>
      <c r="BR20" s="207" t="str">
        <f t="shared" ref="BR20:DX20" si="27">IF(BR14&lt;0,"Pre","Q"&amp;INT((BR14-1)/3)+1)</f>
        <v>Q21</v>
      </c>
      <c r="BS20" s="207" t="str">
        <f t="shared" si="27"/>
        <v>Q21</v>
      </c>
      <c r="BT20" s="207" t="str">
        <f t="shared" si="27"/>
        <v>Q22</v>
      </c>
      <c r="BU20" s="207" t="str">
        <f t="shared" si="27"/>
        <v>Q22</v>
      </c>
      <c r="BV20" s="207" t="str">
        <f t="shared" si="27"/>
        <v>Q22</v>
      </c>
      <c r="BW20" s="207" t="str">
        <f t="shared" si="27"/>
        <v>Q23</v>
      </c>
      <c r="BX20" s="207" t="str">
        <f t="shared" si="27"/>
        <v>Q23</v>
      </c>
      <c r="BY20" s="207" t="str">
        <f t="shared" si="27"/>
        <v>Q23</v>
      </c>
      <c r="BZ20" s="207" t="str">
        <f t="shared" si="27"/>
        <v>Q24</v>
      </c>
      <c r="CA20" s="207" t="str">
        <f t="shared" si="27"/>
        <v>Q24</v>
      </c>
      <c r="CB20" s="207" t="str">
        <f t="shared" si="27"/>
        <v>Q24</v>
      </c>
      <c r="CC20" s="207" t="str">
        <f t="shared" si="27"/>
        <v>Q25</v>
      </c>
      <c r="CD20" s="207" t="str">
        <f t="shared" si="27"/>
        <v>Q25</v>
      </c>
      <c r="CE20" s="207" t="str">
        <f t="shared" si="27"/>
        <v>Q25</v>
      </c>
      <c r="CF20" s="207" t="str">
        <f t="shared" si="27"/>
        <v>Q26</v>
      </c>
      <c r="CG20" s="207" t="str">
        <f t="shared" si="27"/>
        <v>Q26</v>
      </c>
      <c r="CH20" s="207" t="str">
        <f t="shared" si="27"/>
        <v>Q26</v>
      </c>
      <c r="CI20" s="207" t="str">
        <f t="shared" si="27"/>
        <v>Q27</v>
      </c>
      <c r="CJ20" s="207" t="str">
        <f t="shared" si="27"/>
        <v>Q27</v>
      </c>
      <c r="CK20" s="207" t="str">
        <f t="shared" si="27"/>
        <v>Q27</v>
      </c>
      <c r="CL20" s="207" t="str">
        <f t="shared" si="27"/>
        <v>Q28</v>
      </c>
      <c r="CM20" s="207" t="str">
        <f t="shared" si="27"/>
        <v>Q28</v>
      </c>
      <c r="CN20" s="207" t="str">
        <f t="shared" si="27"/>
        <v>Q28</v>
      </c>
      <c r="CO20" s="207" t="str">
        <f t="shared" si="27"/>
        <v>Q29</v>
      </c>
      <c r="CP20" s="207" t="str">
        <f t="shared" si="27"/>
        <v>Q29</v>
      </c>
      <c r="CQ20" s="207" t="str">
        <f t="shared" si="27"/>
        <v>Q29</v>
      </c>
      <c r="CR20" s="207" t="str">
        <f t="shared" si="27"/>
        <v>Q30</v>
      </c>
      <c r="CS20" s="207" t="str">
        <f t="shared" si="27"/>
        <v>Q30</v>
      </c>
      <c r="CT20" s="207" t="str">
        <f t="shared" si="27"/>
        <v>Q30</v>
      </c>
      <c r="CU20" s="207" t="str">
        <f t="shared" si="27"/>
        <v>Q31</v>
      </c>
      <c r="CV20" s="207" t="str">
        <f t="shared" si="27"/>
        <v>Q31</v>
      </c>
      <c r="CW20" s="207" t="str">
        <f t="shared" si="27"/>
        <v>Q31</v>
      </c>
      <c r="CX20" s="207" t="str">
        <f t="shared" si="27"/>
        <v>Q32</v>
      </c>
      <c r="CY20" s="207" t="str">
        <f t="shared" si="27"/>
        <v>Q32</v>
      </c>
      <c r="CZ20" s="207" t="str">
        <f t="shared" si="27"/>
        <v>Q32</v>
      </c>
      <c r="DA20" s="207" t="str">
        <f t="shared" si="27"/>
        <v>Q33</v>
      </c>
      <c r="DB20" s="207" t="str">
        <f t="shared" si="27"/>
        <v>Q33</v>
      </c>
      <c r="DC20" s="207" t="str">
        <f t="shared" si="27"/>
        <v>Q33</v>
      </c>
      <c r="DD20" s="207" t="str">
        <f t="shared" si="27"/>
        <v>Q34</v>
      </c>
      <c r="DE20" s="207" t="str">
        <f t="shared" si="27"/>
        <v>Q34</v>
      </c>
      <c r="DF20" s="207" t="str">
        <f t="shared" si="27"/>
        <v>Q34</v>
      </c>
      <c r="DG20" s="207" t="str">
        <f t="shared" si="27"/>
        <v>Q35</v>
      </c>
      <c r="DH20" s="207" t="str">
        <f t="shared" si="27"/>
        <v>Q35</v>
      </c>
      <c r="DI20" s="207" t="str">
        <f t="shared" si="27"/>
        <v>Q35</v>
      </c>
      <c r="DJ20" s="207" t="str">
        <f t="shared" si="27"/>
        <v>Q36</v>
      </c>
      <c r="DK20" s="207" t="str">
        <f t="shared" si="27"/>
        <v>Q36</v>
      </c>
      <c r="DL20" s="207" t="str">
        <f t="shared" si="27"/>
        <v>Q36</v>
      </c>
      <c r="DM20" s="207" t="str">
        <f t="shared" si="27"/>
        <v>Q37</v>
      </c>
      <c r="DN20" s="207" t="str">
        <f t="shared" si="27"/>
        <v>Q37</v>
      </c>
      <c r="DO20" s="207" t="str">
        <f t="shared" si="27"/>
        <v>Q37</v>
      </c>
      <c r="DP20" s="207" t="str">
        <f t="shared" si="27"/>
        <v>Q38</v>
      </c>
      <c r="DQ20" s="207" t="str">
        <f t="shared" si="27"/>
        <v>Q38</v>
      </c>
      <c r="DR20" s="207" t="str">
        <f t="shared" si="27"/>
        <v>Q38</v>
      </c>
      <c r="DS20" s="207" t="str">
        <f t="shared" si="27"/>
        <v>Q39</v>
      </c>
      <c r="DT20" s="207" t="str">
        <f t="shared" si="27"/>
        <v>Q39</v>
      </c>
      <c r="DU20" s="207" t="str">
        <f t="shared" si="27"/>
        <v>Q39</v>
      </c>
      <c r="DV20" s="207" t="str">
        <f t="shared" si="27"/>
        <v>Q40</v>
      </c>
      <c r="DW20" s="207" t="str">
        <f t="shared" si="27"/>
        <v>Q40</v>
      </c>
      <c r="DX20" s="207" t="str">
        <f t="shared" si="27"/>
        <v>Q40</v>
      </c>
      <c r="DY20" s="88"/>
      <c r="DZ20" s="188" t="s">
        <v>400</v>
      </c>
      <c r="EB20" s="88"/>
    </row>
    <row r="21" spans="1:132" outlineLevel="1">
      <c r="A21" s="91" t="s">
        <v>164</v>
      </c>
      <c r="C21" s="185"/>
      <c r="D21" s="185"/>
      <c r="E21" s="185"/>
      <c r="F21" s="202">
        <f t="shared" ref="F21:AK21" si="28">IF(AND(PreContractStartDateIn&lt;=DateToMth,DateToMth&lt;=ContractEndDateIn),1,0)</f>
        <v>0</v>
      </c>
      <c r="G21" s="203">
        <f t="shared" si="28"/>
        <v>0</v>
      </c>
      <c r="H21" s="203">
        <f t="shared" si="28"/>
        <v>0</v>
      </c>
      <c r="I21" s="203">
        <f t="shared" si="28"/>
        <v>0</v>
      </c>
      <c r="J21" s="203">
        <f t="shared" si="28"/>
        <v>0</v>
      </c>
      <c r="K21" s="203">
        <f t="shared" si="28"/>
        <v>0</v>
      </c>
      <c r="L21" s="203">
        <f t="shared" si="28"/>
        <v>0</v>
      </c>
      <c r="M21" s="203">
        <f t="shared" si="28"/>
        <v>0</v>
      </c>
      <c r="N21" s="203">
        <f t="shared" si="28"/>
        <v>0</v>
      </c>
      <c r="O21" s="203">
        <f t="shared" si="28"/>
        <v>0</v>
      </c>
      <c r="P21" s="203">
        <f t="shared" si="28"/>
        <v>0</v>
      </c>
      <c r="Q21" s="203">
        <f t="shared" si="28"/>
        <v>0</v>
      </c>
      <c r="R21" s="203">
        <f t="shared" si="28"/>
        <v>0</v>
      </c>
      <c r="S21" s="203">
        <f t="shared" si="28"/>
        <v>0</v>
      </c>
      <c r="T21" s="203">
        <f t="shared" si="28"/>
        <v>0</v>
      </c>
      <c r="U21" s="203">
        <f t="shared" si="28"/>
        <v>0</v>
      </c>
      <c r="V21" s="203">
        <f t="shared" si="28"/>
        <v>0</v>
      </c>
      <c r="W21" s="203">
        <f t="shared" si="28"/>
        <v>0</v>
      </c>
      <c r="X21" s="203">
        <f t="shared" si="28"/>
        <v>0</v>
      </c>
      <c r="Y21" s="203">
        <f t="shared" si="28"/>
        <v>0</v>
      </c>
      <c r="Z21" s="203">
        <f t="shared" si="28"/>
        <v>0</v>
      </c>
      <c r="AA21" s="203">
        <f t="shared" si="28"/>
        <v>0</v>
      </c>
      <c r="AB21" s="203">
        <f t="shared" si="28"/>
        <v>0</v>
      </c>
      <c r="AC21" s="203">
        <f t="shared" si="28"/>
        <v>0</v>
      </c>
      <c r="AD21" s="203">
        <f t="shared" si="28"/>
        <v>0</v>
      </c>
      <c r="AE21" s="203">
        <f t="shared" si="28"/>
        <v>0</v>
      </c>
      <c r="AF21" s="203">
        <f t="shared" si="28"/>
        <v>0</v>
      </c>
      <c r="AG21" s="203">
        <f t="shared" si="28"/>
        <v>0</v>
      </c>
      <c r="AH21" s="203">
        <f t="shared" si="28"/>
        <v>0</v>
      </c>
      <c r="AI21" s="203">
        <f t="shared" si="28"/>
        <v>0</v>
      </c>
      <c r="AJ21" s="203">
        <f t="shared" si="28"/>
        <v>0</v>
      </c>
      <c r="AK21" s="203">
        <f t="shared" si="28"/>
        <v>0</v>
      </c>
      <c r="AL21" s="203">
        <f t="shared" ref="AL21:BQ21" si="29">IF(AND(PreContractStartDateIn&lt;=DateToMth,DateToMth&lt;=ContractEndDateIn),1,0)</f>
        <v>0</v>
      </c>
      <c r="AM21" s="203">
        <f t="shared" si="29"/>
        <v>0</v>
      </c>
      <c r="AN21" s="203">
        <f t="shared" si="29"/>
        <v>0</v>
      </c>
      <c r="AO21" s="203">
        <f t="shared" si="29"/>
        <v>0</v>
      </c>
      <c r="AP21" s="203">
        <f t="shared" si="29"/>
        <v>0</v>
      </c>
      <c r="AQ21" s="203">
        <f t="shared" si="29"/>
        <v>0</v>
      </c>
      <c r="AR21" s="203">
        <f t="shared" si="29"/>
        <v>0</v>
      </c>
      <c r="AS21" s="203">
        <f t="shared" si="29"/>
        <v>0</v>
      </c>
      <c r="AT21" s="203">
        <f t="shared" si="29"/>
        <v>0</v>
      </c>
      <c r="AU21" s="203">
        <f t="shared" si="29"/>
        <v>0</v>
      </c>
      <c r="AV21" s="203">
        <f t="shared" si="29"/>
        <v>0</v>
      </c>
      <c r="AW21" s="203">
        <f t="shared" si="29"/>
        <v>0</v>
      </c>
      <c r="AX21" s="203">
        <f t="shared" si="29"/>
        <v>0</v>
      </c>
      <c r="AY21" s="203">
        <f t="shared" si="29"/>
        <v>0</v>
      </c>
      <c r="AZ21" s="203">
        <f t="shared" si="29"/>
        <v>0</v>
      </c>
      <c r="BA21" s="203">
        <f t="shared" si="29"/>
        <v>0</v>
      </c>
      <c r="BB21" s="203">
        <f t="shared" si="29"/>
        <v>0</v>
      </c>
      <c r="BC21" s="203">
        <f t="shared" si="29"/>
        <v>0</v>
      </c>
      <c r="BD21" s="203">
        <f t="shared" si="29"/>
        <v>0</v>
      </c>
      <c r="BE21" s="203">
        <f t="shared" si="29"/>
        <v>0</v>
      </c>
      <c r="BF21" s="203">
        <f t="shared" si="29"/>
        <v>0</v>
      </c>
      <c r="BG21" s="203">
        <f t="shared" si="29"/>
        <v>0</v>
      </c>
      <c r="BH21" s="203">
        <f t="shared" si="29"/>
        <v>0</v>
      </c>
      <c r="BI21" s="203">
        <f t="shared" si="29"/>
        <v>0</v>
      </c>
      <c r="BJ21" s="203">
        <f t="shared" si="29"/>
        <v>0</v>
      </c>
      <c r="BK21" s="203">
        <f t="shared" si="29"/>
        <v>0</v>
      </c>
      <c r="BL21" s="203">
        <f t="shared" si="29"/>
        <v>0</v>
      </c>
      <c r="BM21" s="203">
        <f t="shared" si="29"/>
        <v>0</v>
      </c>
      <c r="BN21" s="203">
        <f t="shared" si="29"/>
        <v>0</v>
      </c>
      <c r="BO21" s="203">
        <f t="shared" si="29"/>
        <v>0</v>
      </c>
      <c r="BP21" s="203">
        <f t="shared" si="29"/>
        <v>0</v>
      </c>
      <c r="BQ21" s="203">
        <f t="shared" si="29"/>
        <v>0</v>
      </c>
      <c r="BR21" s="203">
        <f t="shared" ref="BR21:CW21" si="30">IF(AND(PreContractStartDateIn&lt;=DateToMth,DateToMth&lt;=ContractEndDateIn),1,0)</f>
        <v>0</v>
      </c>
      <c r="BS21" s="203">
        <f t="shared" si="30"/>
        <v>0</v>
      </c>
      <c r="BT21" s="203">
        <f t="shared" si="30"/>
        <v>0</v>
      </c>
      <c r="BU21" s="203">
        <f t="shared" si="30"/>
        <v>0</v>
      </c>
      <c r="BV21" s="203">
        <f t="shared" si="30"/>
        <v>0</v>
      </c>
      <c r="BW21" s="203">
        <f t="shared" si="30"/>
        <v>0</v>
      </c>
      <c r="BX21" s="203">
        <f t="shared" si="30"/>
        <v>0</v>
      </c>
      <c r="BY21" s="203">
        <f t="shared" si="30"/>
        <v>0</v>
      </c>
      <c r="BZ21" s="203">
        <f t="shared" si="30"/>
        <v>0</v>
      </c>
      <c r="CA21" s="203">
        <f t="shared" si="30"/>
        <v>0</v>
      </c>
      <c r="CB21" s="203">
        <f t="shared" si="30"/>
        <v>0</v>
      </c>
      <c r="CC21" s="203">
        <f t="shared" si="30"/>
        <v>0</v>
      </c>
      <c r="CD21" s="203">
        <f t="shared" si="30"/>
        <v>0</v>
      </c>
      <c r="CE21" s="203">
        <f t="shared" si="30"/>
        <v>0</v>
      </c>
      <c r="CF21" s="203">
        <f t="shared" si="30"/>
        <v>0</v>
      </c>
      <c r="CG21" s="203">
        <f t="shared" si="30"/>
        <v>0</v>
      </c>
      <c r="CH21" s="203">
        <f t="shared" si="30"/>
        <v>0</v>
      </c>
      <c r="CI21" s="203">
        <f t="shared" si="30"/>
        <v>0</v>
      </c>
      <c r="CJ21" s="203">
        <f t="shared" si="30"/>
        <v>0</v>
      </c>
      <c r="CK21" s="203">
        <f t="shared" si="30"/>
        <v>0</v>
      </c>
      <c r="CL21" s="203">
        <f t="shared" si="30"/>
        <v>0</v>
      </c>
      <c r="CM21" s="203">
        <f t="shared" si="30"/>
        <v>0</v>
      </c>
      <c r="CN21" s="203">
        <f t="shared" si="30"/>
        <v>0</v>
      </c>
      <c r="CO21" s="203">
        <f t="shared" si="30"/>
        <v>0</v>
      </c>
      <c r="CP21" s="203">
        <f t="shared" si="30"/>
        <v>0</v>
      </c>
      <c r="CQ21" s="203">
        <f t="shared" si="30"/>
        <v>0</v>
      </c>
      <c r="CR21" s="203">
        <f t="shared" si="30"/>
        <v>0</v>
      </c>
      <c r="CS21" s="203">
        <f t="shared" si="30"/>
        <v>0</v>
      </c>
      <c r="CT21" s="203">
        <f t="shared" si="30"/>
        <v>0</v>
      </c>
      <c r="CU21" s="203">
        <f t="shared" si="30"/>
        <v>0</v>
      </c>
      <c r="CV21" s="203">
        <f t="shared" si="30"/>
        <v>0</v>
      </c>
      <c r="CW21" s="203">
        <f t="shared" si="30"/>
        <v>0</v>
      </c>
      <c r="CX21" s="203">
        <f t="shared" ref="CX21:DX21" si="31">IF(AND(PreContractStartDateIn&lt;=DateToMth,DateToMth&lt;=ContractEndDateIn),1,0)</f>
        <v>0</v>
      </c>
      <c r="CY21" s="203">
        <f t="shared" si="31"/>
        <v>0</v>
      </c>
      <c r="CZ21" s="203">
        <f t="shared" si="31"/>
        <v>0</v>
      </c>
      <c r="DA21" s="203">
        <f t="shared" si="31"/>
        <v>0</v>
      </c>
      <c r="DB21" s="203">
        <f t="shared" si="31"/>
        <v>0</v>
      </c>
      <c r="DC21" s="203">
        <f t="shared" si="31"/>
        <v>0</v>
      </c>
      <c r="DD21" s="203">
        <f t="shared" si="31"/>
        <v>0</v>
      </c>
      <c r="DE21" s="203">
        <f t="shared" si="31"/>
        <v>0</v>
      </c>
      <c r="DF21" s="203">
        <f t="shared" si="31"/>
        <v>0</v>
      </c>
      <c r="DG21" s="203">
        <f t="shared" si="31"/>
        <v>0</v>
      </c>
      <c r="DH21" s="203">
        <f t="shared" si="31"/>
        <v>0</v>
      </c>
      <c r="DI21" s="203">
        <f t="shared" si="31"/>
        <v>0</v>
      </c>
      <c r="DJ21" s="203">
        <f t="shared" si="31"/>
        <v>0</v>
      </c>
      <c r="DK21" s="203">
        <f t="shared" si="31"/>
        <v>0</v>
      </c>
      <c r="DL21" s="203">
        <f t="shared" si="31"/>
        <v>0</v>
      </c>
      <c r="DM21" s="203">
        <f t="shared" si="31"/>
        <v>0</v>
      </c>
      <c r="DN21" s="203">
        <f t="shared" si="31"/>
        <v>0</v>
      </c>
      <c r="DO21" s="203">
        <f t="shared" si="31"/>
        <v>0</v>
      </c>
      <c r="DP21" s="203">
        <f t="shared" si="31"/>
        <v>0</v>
      </c>
      <c r="DQ21" s="203">
        <f t="shared" si="31"/>
        <v>0</v>
      </c>
      <c r="DR21" s="203">
        <f t="shared" si="31"/>
        <v>0</v>
      </c>
      <c r="DS21" s="203">
        <f t="shared" si="31"/>
        <v>0</v>
      </c>
      <c r="DT21" s="203">
        <f t="shared" si="31"/>
        <v>0</v>
      </c>
      <c r="DU21" s="203">
        <f t="shared" si="31"/>
        <v>0</v>
      </c>
      <c r="DV21" s="203">
        <f t="shared" si="31"/>
        <v>0</v>
      </c>
      <c r="DW21" s="203">
        <f t="shared" si="31"/>
        <v>0</v>
      </c>
      <c r="DX21" s="203">
        <f t="shared" si="31"/>
        <v>0</v>
      </c>
      <c r="DY21" s="88"/>
      <c r="DZ21" s="188" t="s">
        <v>401</v>
      </c>
      <c r="EB21" s="88"/>
    </row>
    <row r="22" spans="1:132" outlineLevel="1">
      <c r="A22" s="91" t="s">
        <v>165</v>
      </c>
      <c r="C22" s="185"/>
      <c r="D22" s="185"/>
      <c r="E22" s="185"/>
      <c r="F22" s="202">
        <f>SUM(ActivePeriodFlag)</f>
        <v>0</v>
      </c>
      <c r="G22" s="203">
        <f>IF(F22&gt;0,F22-1,0)</f>
        <v>0</v>
      </c>
      <c r="H22" s="203">
        <f t="shared" ref="H22:BS22" si="32">IF(G22&gt;0,G22-1,0)</f>
        <v>0</v>
      </c>
      <c r="I22" s="203">
        <f t="shared" si="32"/>
        <v>0</v>
      </c>
      <c r="J22" s="203">
        <f t="shared" si="32"/>
        <v>0</v>
      </c>
      <c r="K22" s="203">
        <f t="shared" si="32"/>
        <v>0</v>
      </c>
      <c r="L22" s="203">
        <f t="shared" si="32"/>
        <v>0</v>
      </c>
      <c r="M22" s="203">
        <f t="shared" si="32"/>
        <v>0</v>
      </c>
      <c r="N22" s="203">
        <f t="shared" si="32"/>
        <v>0</v>
      </c>
      <c r="O22" s="203">
        <f t="shared" si="32"/>
        <v>0</v>
      </c>
      <c r="P22" s="203">
        <f t="shared" si="32"/>
        <v>0</v>
      </c>
      <c r="Q22" s="203">
        <f t="shared" si="32"/>
        <v>0</v>
      </c>
      <c r="R22" s="203">
        <f t="shared" si="32"/>
        <v>0</v>
      </c>
      <c r="S22" s="203">
        <f t="shared" si="32"/>
        <v>0</v>
      </c>
      <c r="T22" s="203">
        <f t="shared" si="32"/>
        <v>0</v>
      </c>
      <c r="U22" s="203">
        <f t="shared" si="32"/>
        <v>0</v>
      </c>
      <c r="V22" s="203">
        <f t="shared" si="32"/>
        <v>0</v>
      </c>
      <c r="W22" s="203">
        <f t="shared" si="32"/>
        <v>0</v>
      </c>
      <c r="X22" s="203">
        <f t="shared" si="32"/>
        <v>0</v>
      </c>
      <c r="Y22" s="203">
        <f t="shared" si="32"/>
        <v>0</v>
      </c>
      <c r="Z22" s="203">
        <f t="shared" si="32"/>
        <v>0</v>
      </c>
      <c r="AA22" s="203">
        <f t="shared" si="32"/>
        <v>0</v>
      </c>
      <c r="AB22" s="203">
        <f t="shared" si="32"/>
        <v>0</v>
      </c>
      <c r="AC22" s="203">
        <f t="shared" si="32"/>
        <v>0</v>
      </c>
      <c r="AD22" s="203">
        <f t="shared" si="32"/>
        <v>0</v>
      </c>
      <c r="AE22" s="203">
        <f t="shared" si="32"/>
        <v>0</v>
      </c>
      <c r="AF22" s="203">
        <f t="shared" si="32"/>
        <v>0</v>
      </c>
      <c r="AG22" s="203">
        <f t="shared" si="32"/>
        <v>0</v>
      </c>
      <c r="AH22" s="203">
        <f t="shared" si="32"/>
        <v>0</v>
      </c>
      <c r="AI22" s="203">
        <f t="shared" si="32"/>
        <v>0</v>
      </c>
      <c r="AJ22" s="203">
        <f t="shared" si="32"/>
        <v>0</v>
      </c>
      <c r="AK22" s="203">
        <f t="shared" si="32"/>
        <v>0</v>
      </c>
      <c r="AL22" s="203">
        <f t="shared" si="32"/>
        <v>0</v>
      </c>
      <c r="AM22" s="203">
        <f t="shared" si="32"/>
        <v>0</v>
      </c>
      <c r="AN22" s="203">
        <f t="shared" si="32"/>
        <v>0</v>
      </c>
      <c r="AO22" s="203">
        <f t="shared" si="32"/>
        <v>0</v>
      </c>
      <c r="AP22" s="203">
        <f t="shared" si="32"/>
        <v>0</v>
      </c>
      <c r="AQ22" s="203">
        <f t="shared" si="32"/>
        <v>0</v>
      </c>
      <c r="AR22" s="203">
        <f t="shared" si="32"/>
        <v>0</v>
      </c>
      <c r="AS22" s="203">
        <f t="shared" si="32"/>
        <v>0</v>
      </c>
      <c r="AT22" s="203">
        <f t="shared" si="32"/>
        <v>0</v>
      </c>
      <c r="AU22" s="203">
        <f t="shared" si="32"/>
        <v>0</v>
      </c>
      <c r="AV22" s="203">
        <f t="shared" si="32"/>
        <v>0</v>
      </c>
      <c r="AW22" s="203">
        <f t="shared" si="32"/>
        <v>0</v>
      </c>
      <c r="AX22" s="203">
        <f t="shared" si="32"/>
        <v>0</v>
      </c>
      <c r="AY22" s="203">
        <f t="shared" si="32"/>
        <v>0</v>
      </c>
      <c r="AZ22" s="203">
        <f t="shared" si="32"/>
        <v>0</v>
      </c>
      <c r="BA22" s="203">
        <f t="shared" si="32"/>
        <v>0</v>
      </c>
      <c r="BB22" s="203">
        <f t="shared" si="32"/>
        <v>0</v>
      </c>
      <c r="BC22" s="203">
        <f t="shared" si="32"/>
        <v>0</v>
      </c>
      <c r="BD22" s="203">
        <f t="shared" si="32"/>
        <v>0</v>
      </c>
      <c r="BE22" s="203">
        <f t="shared" si="32"/>
        <v>0</v>
      </c>
      <c r="BF22" s="203">
        <f t="shared" si="32"/>
        <v>0</v>
      </c>
      <c r="BG22" s="203">
        <f t="shared" si="32"/>
        <v>0</v>
      </c>
      <c r="BH22" s="203">
        <f t="shared" si="32"/>
        <v>0</v>
      </c>
      <c r="BI22" s="203">
        <f t="shared" si="32"/>
        <v>0</v>
      </c>
      <c r="BJ22" s="203">
        <f t="shared" si="32"/>
        <v>0</v>
      </c>
      <c r="BK22" s="203">
        <f t="shared" si="32"/>
        <v>0</v>
      </c>
      <c r="BL22" s="203">
        <f t="shared" si="32"/>
        <v>0</v>
      </c>
      <c r="BM22" s="203">
        <f t="shared" si="32"/>
        <v>0</v>
      </c>
      <c r="BN22" s="203">
        <f t="shared" si="32"/>
        <v>0</v>
      </c>
      <c r="BO22" s="203">
        <f t="shared" si="32"/>
        <v>0</v>
      </c>
      <c r="BP22" s="203">
        <f t="shared" si="32"/>
        <v>0</v>
      </c>
      <c r="BQ22" s="203">
        <f t="shared" si="32"/>
        <v>0</v>
      </c>
      <c r="BR22" s="203">
        <f t="shared" si="32"/>
        <v>0</v>
      </c>
      <c r="BS22" s="203">
        <f t="shared" si="32"/>
        <v>0</v>
      </c>
      <c r="BT22" s="203">
        <f t="shared" ref="BT22:DX22" si="33">IF(BS22&gt;0,BS22-1,0)</f>
        <v>0</v>
      </c>
      <c r="BU22" s="203">
        <f t="shared" si="33"/>
        <v>0</v>
      </c>
      <c r="BV22" s="203">
        <f t="shared" si="33"/>
        <v>0</v>
      </c>
      <c r="BW22" s="203">
        <f t="shared" si="33"/>
        <v>0</v>
      </c>
      <c r="BX22" s="203">
        <f t="shared" si="33"/>
        <v>0</v>
      </c>
      <c r="BY22" s="203">
        <f t="shared" si="33"/>
        <v>0</v>
      </c>
      <c r="BZ22" s="203">
        <f t="shared" si="33"/>
        <v>0</v>
      </c>
      <c r="CA22" s="203">
        <f t="shared" si="33"/>
        <v>0</v>
      </c>
      <c r="CB22" s="203">
        <f t="shared" si="33"/>
        <v>0</v>
      </c>
      <c r="CC22" s="203">
        <f t="shared" si="33"/>
        <v>0</v>
      </c>
      <c r="CD22" s="203">
        <f t="shared" si="33"/>
        <v>0</v>
      </c>
      <c r="CE22" s="203">
        <f t="shared" si="33"/>
        <v>0</v>
      </c>
      <c r="CF22" s="203">
        <f t="shared" si="33"/>
        <v>0</v>
      </c>
      <c r="CG22" s="203">
        <f t="shared" si="33"/>
        <v>0</v>
      </c>
      <c r="CH22" s="203">
        <f t="shared" si="33"/>
        <v>0</v>
      </c>
      <c r="CI22" s="203">
        <f t="shared" si="33"/>
        <v>0</v>
      </c>
      <c r="CJ22" s="203">
        <f t="shared" si="33"/>
        <v>0</v>
      </c>
      <c r="CK22" s="203">
        <f t="shared" si="33"/>
        <v>0</v>
      </c>
      <c r="CL22" s="203">
        <f t="shared" si="33"/>
        <v>0</v>
      </c>
      <c r="CM22" s="203">
        <f t="shared" si="33"/>
        <v>0</v>
      </c>
      <c r="CN22" s="203">
        <f t="shared" si="33"/>
        <v>0</v>
      </c>
      <c r="CO22" s="203">
        <f t="shared" si="33"/>
        <v>0</v>
      </c>
      <c r="CP22" s="203">
        <f t="shared" si="33"/>
        <v>0</v>
      </c>
      <c r="CQ22" s="203">
        <f t="shared" si="33"/>
        <v>0</v>
      </c>
      <c r="CR22" s="203">
        <f t="shared" si="33"/>
        <v>0</v>
      </c>
      <c r="CS22" s="203">
        <f t="shared" si="33"/>
        <v>0</v>
      </c>
      <c r="CT22" s="203">
        <f t="shared" si="33"/>
        <v>0</v>
      </c>
      <c r="CU22" s="203">
        <f t="shared" si="33"/>
        <v>0</v>
      </c>
      <c r="CV22" s="203">
        <f t="shared" si="33"/>
        <v>0</v>
      </c>
      <c r="CW22" s="203">
        <f t="shared" si="33"/>
        <v>0</v>
      </c>
      <c r="CX22" s="203">
        <f t="shared" si="33"/>
        <v>0</v>
      </c>
      <c r="CY22" s="203">
        <f t="shared" si="33"/>
        <v>0</v>
      </c>
      <c r="CZ22" s="203">
        <f t="shared" si="33"/>
        <v>0</v>
      </c>
      <c r="DA22" s="203">
        <f t="shared" si="33"/>
        <v>0</v>
      </c>
      <c r="DB22" s="203">
        <f t="shared" si="33"/>
        <v>0</v>
      </c>
      <c r="DC22" s="203">
        <f t="shared" si="33"/>
        <v>0</v>
      </c>
      <c r="DD22" s="203">
        <f t="shared" si="33"/>
        <v>0</v>
      </c>
      <c r="DE22" s="203">
        <f t="shared" si="33"/>
        <v>0</v>
      </c>
      <c r="DF22" s="203">
        <f t="shared" si="33"/>
        <v>0</v>
      </c>
      <c r="DG22" s="203">
        <f t="shared" si="33"/>
        <v>0</v>
      </c>
      <c r="DH22" s="203">
        <f t="shared" si="33"/>
        <v>0</v>
      </c>
      <c r="DI22" s="203">
        <f t="shared" si="33"/>
        <v>0</v>
      </c>
      <c r="DJ22" s="203">
        <f t="shared" si="33"/>
        <v>0</v>
      </c>
      <c r="DK22" s="203">
        <f t="shared" si="33"/>
        <v>0</v>
      </c>
      <c r="DL22" s="203">
        <f t="shared" si="33"/>
        <v>0</v>
      </c>
      <c r="DM22" s="203">
        <f t="shared" si="33"/>
        <v>0</v>
      </c>
      <c r="DN22" s="203">
        <f t="shared" si="33"/>
        <v>0</v>
      </c>
      <c r="DO22" s="203">
        <f t="shared" si="33"/>
        <v>0</v>
      </c>
      <c r="DP22" s="203">
        <f t="shared" si="33"/>
        <v>0</v>
      </c>
      <c r="DQ22" s="203">
        <f t="shared" si="33"/>
        <v>0</v>
      </c>
      <c r="DR22" s="203">
        <f t="shared" si="33"/>
        <v>0</v>
      </c>
      <c r="DS22" s="203">
        <f t="shared" si="33"/>
        <v>0</v>
      </c>
      <c r="DT22" s="203">
        <f t="shared" si="33"/>
        <v>0</v>
      </c>
      <c r="DU22" s="203">
        <f t="shared" si="33"/>
        <v>0</v>
      </c>
      <c r="DV22" s="203">
        <f t="shared" si="33"/>
        <v>0</v>
      </c>
      <c r="DW22" s="203">
        <f t="shared" si="33"/>
        <v>0</v>
      </c>
      <c r="DX22" s="203">
        <f t="shared" si="33"/>
        <v>0</v>
      </c>
      <c r="DY22" s="88"/>
      <c r="DZ22" s="188" t="s">
        <v>402</v>
      </c>
      <c r="EB22" s="88"/>
    </row>
    <row r="23" spans="1:132" outlineLevel="1">
      <c r="A23" s="91" t="s">
        <v>166</v>
      </c>
      <c r="C23" s="185"/>
      <c r="D23" s="185"/>
      <c r="E23" s="195"/>
      <c r="F23" s="202" t="str">
        <f>YEAR(CompanyYearStartDateIn)&amp;"/"&amp;RIGHT(YEAR(CompanyYearStartDateIn)+1,1)</f>
        <v>2008/9</v>
      </c>
      <c r="G23" s="203" t="str">
        <f t="shared" ref="G23:U23" si="34">IF(MONTH(G11)=4,YEAR(G11)&amp;"/"&amp;RIGHT(YEAR(G11)+1,IF(YEAR(G11)&gt;2008,2,1)),F23)</f>
        <v>2008/9</v>
      </c>
      <c r="H23" s="203" t="str">
        <f t="shared" si="34"/>
        <v>2008/9</v>
      </c>
      <c r="I23" s="203" t="str">
        <f t="shared" si="34"/>
        <v>2008/9</v>
      </c>
      <c r="J23" s="203" t="str">
        <f t="shared" si="34"/>
        <v>2008/9</v>
      </c>
      <c r="K23" s="203" t="str">
        <f t="shared" si="34"/>
        <v>2015/16</v>
      </c>
      <c r="L23" s="203" t="str">
        <f t="shared" si="34"/>
        <v>2015/16</v>
      </c>
      <c r="M23" s="203" t="str">
        <f t="shared" si="34"/>
        <v>2015/16</v>
      </c>
      <c r="N23" s="203" t="str">
        <f t="shared" si="34"/>
        <v>2015/16</v>
      </c>
      <c r="O23" s="203" t="str">
        <f t="shared" si="34"/>
        <v>2015/16</v>
      </c>
      <c r="P23" s="203" t="str">
        <f t="shared" si="34"/>
        <v>2015/16</v>
      </c>
      <c r="Q23" s="203" t="str">
        <f t="shared" si="34"/>
        <v>2015/16</v>
      </c>
      <c r="R23" s="203" t="str">
        <f t="shared" si="34"/>
        <v>2015/16</v>
      </c>
      <c r="S23" s="203" t="str">
        <f t="shared" si="34"/>
        <v>2015/16</v>
      </c>
      <c r="T23" s="203" t="str">
        <f t="shared" si="34"/>
        <v>2015/16</v>
      </c>
      <c r="U23" s="203" t="str">
        <f t="shared" si="34"/>
        <v>2015/16</v>
      </c>
      <c r="V23" s="203" t="str">
        <f>IF(MONTH(V11)=4,YEAR(V11)&amp;"/"&amp;RIGHT(YEAR(V11)+1,IF(YEAR(V11)&gt;2008,2,1)),U23)</f>
        <v>2015/16</v>
      </c>
      <c r="W23" s="203" t="str">
        <f t="shared" ref="W23:CH23" si="35">IF(MONTH(W11)=4,YEAR(W11)&amp;"/"&amp;RIGHT(YEAR(W11)+1,IF(YEAR(W11)&gt;2009,2,1)),V23)</f>
        <v>2016/17</v>
      </c>
      <c r="X23" s="203" t="str">
        <f t="shared" si="35"/>
        <v>2016/17</v>
      </c>
      <c r="Y23" s="203" t="str">
        <f t="shared" si="35"/>
        <v>2016/17</v>
      </c>
      <c r="Z23" s="203" t="str">
        <f t="shared" si="35"/>
        <v>2016/17</v>
      </c>
      <c r="AA23" s="203" t="str">
        <f t="shared" si="35"/>
        <v>2016/17</v>
      </c>
      <c r="AB23" s="203" t="str">
        <f t="shared" si="35"/>
        <v>2016/17</v>
      </c>
      <c r="AC23" s="203" t="str">
        <f t="shared" si="35"/>
        <v>2016/17</v>
      </c>
      <c r="AD23" s="203" t="str">
        <f t="shared" si="35"/>
        <v>2016/17</v>
      </c>
      <c r="AE23" s="203" t="str">
        <f t="shared" si="35"/>
        <v>2016/17</v>
      </c>
      <c r="AF23" s="203" t="str">
        <f t="shared" si="35"/>
        <v>2016/17</v>
      </c>
      <c r="AG23" s="203" t="str">
        <f t="shared" si="35"/>
        <v>2016/17</v>
      </c>
      <c r="AH23" s="203" t="str">
        <f t="shared" si="35"/>
        <v>2016/17</v>
      </c>
      <c r="AI23" s="203" t="str">
        <f t="shared" si="35"/>
        <v>2017/18</v>
      </c>
      <c r="AJ23" s="203" t="str">
        <f t="shared" si="35"/>
        <v>2017/18</v>
      </c>
      <c r="AK23" s="203" t="str">
        <f t="shared" si="35"/>
        <v>2017/18</v>
      </c>
      <c r="AL23" s="203" t="str">
        <f t="shared" si="35"/>
        <v>2017/18</v>
      </c>
      <c r="AM23" s="203" t="str">
        <f t="shared" si="35"/>
        <v>2017/18</v>
      </c>
      <c r="AN23" s="203" t="str">
        <f t="shared" si="35"/>
        <v>2017/18</v>
      </c>
      <c r="AO23" s="203" t="str">
        <f t="shared" si="35"/>
        <v>2017/18</v>
      </c>
      <c r="AP23" s="203" t="str">
        <f t="shared" si="35"/>
        <v>2017/18</v>
      </c>
      <c r="AQ23" s="203" t="str">
        <f t="shared" si="35"/>
        <v>2017/18</v>
      </c>
      <c r="AR23" s="203" t="str">
        <f t="shared" si="35"/>
        <v>2017/18</v>
      </c>
      <c r="AS23" s="203" t="str">
        <f t="shared" si="35"/>
        <v>2017/18</v>
      </c>
      <c r="AT23" s="203" t="str">
        <f t="shared" si="35"/>
        <v>2017/18</v>
      </c>
      <c r="AU23" s="203" t="str">
        <f t="shared" si="35"/>
        <v>2018/19</v>
      </c>
      <c r="AV23" s="203" t="str">
        <f t="shared" si="35"/>
        <v>2018/19</v>
      </c>
      <c r="AW23" s="203" t="str">
        <f t="shared" si="35"/>
        <v>2018/19</v>
      </c>
      <c r="AX23" s="203" t="str">
        <f t="shared" si="35"/>
        <v>2018/19</v>
      </c>
      <c r="AY23" s="203" t="str">
        <f t="shared" si="35"/>
        <v>2018/19</v>
      </c>
      <c r="AZ23" s="203" t="str">
        <f t="shared" si="35"/>
        <v>2018/19</v>
      </c>
      <c r="BA23" s="203" t="str">
        <f t="shared" si="35"/>
        <v>2018/19</v>
      </c>
      <c r="BB23" s="203" t="str">
        <f t="shared" si="35"/>
        <v>2018/19</v>
      </c>
      <c r="BC23" s="203" t="str">
        <f t="shared" si="35"/>
        <v>2018/19</v>
      </c>
      <c r="BD23" s="203" t="str">
        <f t="shared" si="35"/>
        <v>2018/19</v>
      </c>
      <c r="BE23" s="203" t="str">
        <f t="shared" si="35"/>
        <v>2018/19</v>
      </c>
      <c r="BF23" s="203" t="str">
        <f t="shared" si="35"/>
        <v>2018/19</v>
      </c>
      <c r="BG23" s="203" t="str">
        <f t="shared" si="35"/>
        <v>2019/20</v>
      </c>
      <c r="BH23" s="203" t="str">
        <f t="shared" si="35"/>
        <v>2019/20</v>
      </c>
      <c r="BI23" s="203" t="str">
        <f t="shared" si="35"/>
        <v>2019/20</v>
      </c>
      <c r="BJ23" s="203" t="str">
        <f t="shared" si="35"/>
        <v>2019/20</v>
      </c>
      <c r="BK23" s="203" t="str">
        <f t="shared" si="35"/>
        <v>2019/20</v>
      </c>
      <c r="BL23" s="203" t="str">
        <f t="shared" si="35"/>
        <v>2019/20</v>
      </c>
      <c r="BM23" s="203" t="str">
        <f t="shared" si="35"/>
        <v>2019/20</v>
      </c>
      <c r="BN23" s="203" t="str">
        <f t="shared" si="35"/>
        <v>2019/20</v>
      </c>
      <c r="BO23" s="203" t="str">
        <f t="shared" si="35"/>
        <v>2019/20</v>
      </c>
      <c r="BP23" s="203" t="str">
        <f t="shared" si="35"/>
        <v>2019/20</v>
      </c>
      <c r="BQ23" s="203" t="str">
        <f t="shared" si="35"/>
        <v>2019/20</v>
      </c>
      <c r="BR23" s="203" t="str">
        <f t="shared" si="35"/>
        <v>2019/20</v>
      </c>
      <c r="BS23" s="203" t="str">
        <f t="shared" si="35"/>
        <v>2020/21</v>
      </c>
      <c r="BT23" s="203" t="str">
        <f t="shared" si="35"/>
        <v>2020/21</v>
      </c>
      <c r="BU23" s="203" t="str">
        <f t="shared" si="35"/>
        <v>2020/21</v>
      </c>
      <c r="BV23" s="203" t="str">
        <f t="shared" si="35"/>
        <v>2020/21</v>
      </c>
      <c r="BW23" s="203" t="str">
        <f t="shared" si="35"/>
        <v>2020/21</v>
      </c>
      <c r="BX23" s="203" t="str">
        <f t="shared" si="35"/>
        <v>2020/21</v>
      </c>
      <c r="BY23" s="203" t="str">
        <f t="shared" si="35"/>
        <v>2020/21</v>
      </c>
      <c r="BZ23" s="203" t="str">
        <f t="shared" si="35"/>
        <v>2020/21</v>
      </c>
      <c r="CA23" s="203" t="str">
        <f t="shared" si="35"/>
        <v>2020/21</v>
      </c>
      <c r="CB23" s="203" t="str">
        <f t="shared" si="35"/>
        <v>2020/21</v>
      </c>
      <c r="CC23" s="203" t="str">
        <f t="shared" si="35"/>
        <v>2020/21</v>
      </c>
      <c r="CD23" s="203" t="str">
        <f t="shared" si="35"/>
        <v>2020/21</v>
      </c>
      <c r="CE23" s="203" t="str">
        <f t="shared" si="35"/>
        <v>2021/22</v>
      </c>
      <c r="CF23" s="203" t="str">
        <f t="shared" si="35"/>
        <v>2021/22</v>
      </c>
      <c r="CG23" s="203" t="str">
        <f t="shared" si="35"/>
        <v>2021/22</v>
      </c>
      <c r="CH23" s="203" t="str">
        <f t="shared" si="35"/>
        <v>2021/22</v>
      </c>
      <c r="CI23" s="203" t="str">
        <f t="shared" ref="CI23:DX23" si="36">IF(MONTH(CI11)=4,YEAR(CI11)&amp;"/"&amp;RIGHT(YEAR(CI11)+1,IF(YEAR(CI11)&gt;2009,2,1)),CH23)</f>
        <v>2021/22</v>
      </c>
      <c r="CJ23" s="203" t="str">
        <f t="shared" si="36"/>
        <v>2021/22</v>
      </c>
      <c r="CK23" s="203" t="str">
        <f t="shared" si="36"/>
        <v>2021/22</v>
      </c>
      <c r="CL23" s="203" t="str">
        <f t="shared" si="36"/>
        <v>2021/22</v>
      </c>
      <c r="CM23" s="203" t="str">
        <f t="shared" si="36"/>
        <v>2021/22</v>
      </c>
      <c r="CN23" s="203" t="str">
        <f t="shared" si="36"/>
        <v>2021/22</v>
      </c>
      <c r="CO23" s="203" t="str">
        <f t="shared" si="36"/>
        <v>2021/22</v>
      </c>
      <c r="CP23" s="203" t="str">
        <f t="shared" si="36"/>
        <v>2021/22</v>
      </c>
      <c r="CQ23" s="203" t="str">
        <f t="shared" si="36"/>
        <v>2022/23</v>
      </c>
      <c r="CR23" s="203" t="str">
        <f t="shared" si="36"/>
        <v>2022/23</v>
      </c>
      <c r="CS23" s="203" t="str">
        <f t="shared" si="36"/>
        <v>2022/23</v>
      </c>
      <c r="CT23" s="203" t="str">
        <f t="shared" si="36"/>
        <v>2022/23</v>
      </c>
      <c r="CU23" s="203" t="str">
        <f t="shared" si="36"/>
        <v>2022/23</v>
      </c>
      <c r="CV23" s="203" t="str">
        <f t="shared" si="36"/>
        <v>2022/23</v>
      </c>
      <c r="CW23" s="203" t="str">
        <f t="shared" si="36"/>
        <v>2022/23</v>
      </c>
      <c r="CX23" s="203" t="str">
        <f t="shared" si="36"/>
        <v>2022/23</v>
      </c>
      <c r="CY23" s="203" t="str">
        <f t="shared" si="36"/>
        <v>2022/23</v>
      </c>
      <c r="CZ23" s="203" t="str">
        <f t="shared" si="36"/>
        <v>2022/23</v>
      </c>
      <c r="DA23" s="203" t="str">
        <f t="shared" si="36"/>
        <v>2022/23</v>
      </c>
      <c r="DB23" s="203" t="str">
        <f t="shared" si="36"/>
        <v>2022/23</v>
      </c>
      <c r="DC23" s="203" t="str">
        <f t="shared" si="36"/>
        <v>2023/24</v>
      </c>
      <c r="DD23" s="203" t="str">
        <f t="shared" si="36"/>
        <v>2023/24</v>
      </c>
      <c r="DE23" s="203" t="str">
        <f t="shared" si="36"/>
        <v>2023/24</v>
      </c>
      <c r="DF23" s="203" t="str">
        <f t="shared" si="36"/>
        <v>2023/24</v>
      </c>
      <c r="DG23" s="203" t="str">
        <f t="shared" si="36"/>
        <v>2023/24</v>
      </c>
      <c r="DH23" s="203" t="str">
        <f t="shared" si="36"/>
        <v>2023/24</v>
      </c>
      <c r="DI23" s="203" t="str">
        <f t="shared" si="36"/>
        <v>2023/24</v>
      </c>
      <c r="DJ23" s="203" t="str">
        <f t="shared" si="36"/>
        <v>2023/24</v>
      </c>
      <c r="DK23" s="203" t="str">
        <f t="shared" si="36"/>
        <v>2023/24</v>
      </c>
      <c r="DL23" s="203" t="str">
        <f t="shared" si="36"/>
        <v>2023/24</v>
      </c>
      <c r="DM23" s="203" t="str">
        <f t="shared" si="36"/>
        <v>2023/24</v>
      </c>
      <c r="DN23" s="203" t="str">
        <f t="shared" si="36"/>
        <v>2023/24</v>
      </c>
      <c r="DO23" s="203" t="str">
        <f t="shared" si="36"/>
        <v>2024/25</v>
      </c>
      <c r="DP23" s="203" t="str">
        <f t="shared" si="36"/>
        <v>2024/25</v>
      </c>
      <c r="DQ23" s="203" t="str">
        <f t="shared" si="36"/>
        <v>2024/25</v>
      </c>
      <c r="DR23" s="203" t="str">
        <f t="shared" si="36"/>
        <v>2024/25</v>
      </c>
      <c r="DS23" s="203" t="str">
        <f t="shared" si="36"/>
        <v>2024/25</v>
      </c>
      <c r="DT23" s="203" t="str">
        <f t="shared" si="36"/>
        <v>2024/25</v>
      </c>
      <c r="DU23" s="203" t="str">
        <f t="shared" si="36"/>
        <v>2024/25</v>
      </c>
      <c r="DV23" s="203" t="str">
        <f t="shared" si="36"/>
        <v>2024/25</v>
      </c>
      <c r="DW23" s="203" t="str">
        <f t="shared" si="36"/>
        <v>2024/25</v>
      </c>
      <c r="DX23" s="203" t="str">
        <f t="shared" si="36"/>
        <v>2024/25</v>
      </c>
      <c r="DY23" s="88"/>
      <c r="DZ23" s="188" t="s">
        <v>403</v>
      </c>
      <c r="EB23" s="88"/>
    </row>
    <row r="24" spans="1:132" outlineLevel="1">
      <c r="A24" s="91" t="s">
        <v>167</v>
      </c>
      <c r="C24" s="185"/>
      <c r="D24" s="185"/>
      <c r="E24" s="185"/>
      <c r="F24" s="202">
        <f>MONTH(F11)-3</f>
        <v>8</v>
      </c>
      <c r="G24" s="203">
        <f>IF(F24=12,1,F24+1)</f>
        <v>9</v>
      </c>
      <c r="H24" s="203">
        <f>IF(G24=12,1,G24+1)</f>
        <v>10</v>
      </c>
      <c r="I24" s="203">
        <f>IF(H24=12,1,H24+1)</f>
        <v>11</v>
      </c>
      <c r="J24" s="203">
        <f>IF(I24=12,1,I24+1)</f>
        <v>12</v>
      </c>
      <c r="K24" s="203">
        <f t="shared" ref="K24:BV24" si="37">IF(J24=12,1,J24+1)</f>
        <v>1</v>
      </c>
      <c r="L24" s="203">
        <f t="shared" si="37"/>
        <v>2</v>
      </c>
      <c r="M24" s="203">
        <f t="shared" si="37"/>
        <v>3</v>
      </c>
      <c r="N24" s="203">
        <f t="shared" si="37"/>
        <v>4</v>
      </c>
      <c r="O24" s="203">
        <f t="shared" si="37"/>
        <v>5</v>
      </c>
      <c r="P24" s="203">
        <f t="shared" si="37"/>
        <v>6</v>
      </c>
      <c r="Q24" s="203">
        <f t="shared" si="37"/>
        <v>7</v>
      </c>
      <c r="R24" s="203">
        <f t="shared" si="37"/>
        <v>8</v>
      </c>
      <c r="S24" s="203">
        <f t="shared" si="37"/>
        <v>9</v>
      </c>
      <c r="T24" s="203">
        <f t="shared" si="37"/>
        <v>10</v>
      </c>
      <c r="U24" s="203">
        <f t="shared" si="37"/>
        <v>11</v>
      </c>
      <c r="V24" s="203">
        <f t="shared" si="37"/>
        <v>12</v>
      </c>
      <c r="W24" s="203">
        <f t="shared" si="37"/>
        <v>1</v>
      </c>
      <c r="X24" s="203">
        <f t="shared" si="37"/>
        <v>2</v>
      </c>
      <c r="Y24" s="203">
        <f t="shared" si="37"/>
        <v>3</v>
      </c>
      <c r="Z24" s="203">
        <f t="shared" si="37"/>
        <v>4</v>
      </c>
      <c r="AA24" s="203">
        <f t="shared" si="37"/>
        <v>5</v>
      </c>
      <c r="AB24" s="203">
        <f t="shared" si="37"/>
        <v>6</v>
      </c>
      <c r="AC24" s="203">
        <f t="shared" si="37"/>
        <v>7</v>
      </c>
      <c r="AD24" s="203">
        <f t="shared" si="37"/>
        <v>8</v>
      </c>
      <c r="AE24" s="203">
        <f t="shared" si="37"/>
        <v>9</v>
      </c>
      <c r="AF24" s="203">
        <f t="shared" si="37"/>
        <v>10</v>
      </c>
      <c r="AG24" s="203">
        <f t="shared" si="37"/>
        <v>11</v>
      </c>
      <c r="AH24" s="203">
        <f t="shared" si="37"/>
        <v>12</v>
      </c>
      <c r="AI24" s="203">
        <f t="shared" si="37"/>
        <v>1</v>
      </c>
      <c r="AJ24" s="203">
        <f t="shared" si="37"/>
        <v>2</v>
      </c>
      <c r="AK24" s="203">
        <f t="shared" si="37"/>
        <v>3</v>
      </c>
      <c r="AL24" s="203">
        <f t="shared" si="37"/>
        <v>4</v>
      </c>
      <c r="AM24" s="203">
        <f t="shared" si="37"/>
        <v>5</v>
      </c>
      <c r="AN24" s="203">
        <f t="shared" si="37"/>
        <v>6</v>
      </c>
      <c r="AO24" s="203">
        <f t="shared" si="37"/>
        <v>7</v>
      </c>
      <c r="AP24" s="203">
        <f t="shared" si="37"/>
        <v>8</v>
      </c>
      <c r="AQ24" s="203">
        <f t="shared" si="37"/>
        <v>9</v>
      </c>
      <c r="AR24" s="203">
        <f t="shared" si="37"/>
        <v>10</v>
      </c>
      <c r="AS24" s="203">
        <f t="shared" si="37"/>
        <v>11</v>
      </c>
      <c r="AT24" s="203">
        <f t="shared" si="37"/>
        <v>12</v>
      </c>
      <c r="AU24" s="203">
        <f t="shared" si="37"/>
        <v>1</v>
      </c>
      <c r="AV24" s="203">
        <f t="shared" si="37"/>
        <v>2</v>
      </c>
      <c r="AW24" s="203">
        <f t="shared" si="37"/>
        <v>3</v>
      </c>
      <c r="AX24" s="203">
        <f t="shared" si="37"/>
        <v>4</v>
      </c>
      <c r="AY24" s="203">
        <f t="shared" si="37"/>
        <v>5</v>
      </c>
      <c r="AZ24" s="203">
        <f t="shared" si="37"/>
        <v>6</v>
      </c>
      <c r="BA24" s="203">
        <f t="shared" si="37"/>
        <v>7</v>
      </c>
      <c r="BB24" s="203">
        <f t="shared" si="37"/>
        <v>8</v>
      </c>
      <c r="BC24" s="203">
        <f t="shared" si="37"/>
        <v>9</v>
      </c>
      <c r="BD24" s="203">
        <f t="shared" si="37"/>
        <v>10</v>
      </c>
      <c r="BE24" s="203">
        <f t="shared" si="37"/>
        <v>11</v>
      </c>
      <c r="BF24" s="203">
        <f t="shared" si="37"/>
        <v>12</v>
      </c>
      <c r="BG24" s="203">
        <f t="shared" si="37"/>
        <v>1</v>
      </c>
      <c r="BH24" s="203">
        <f t="shared" si="37"/>
        <v>2</v>
      </c>
      <c r="BI24" s="203">
        <f t="shared" si="37"/>
        <v>3</v>
      </c>
      <c r="BJ24" s="203">
        <f t="shared" si="37"/>
        <v>4</v>
      </c>
      <c r="BK24" s="203">
        <f t="shared" si="37"/>
        <v>5</v>
      </c>
      <c r="BL24" s="203">
        <f t="shared" si="37"/>
        <v>6</v>
      </c>
      <c r="BM24" s="203">
        <f t="shared" si="37"/>
        <v>7</v>
      </c>
      <c r="BN24" s="203">
        <f t="shared" si="37"/>
        <v>8</v>
      </c>
      <c r="BO24" s="203">
        <f t="shared" si="37"/>
        <v>9</v>
      </c>
      <c r="BP24" s="203">
        <f t="shared" si="37"/>
        <v>10</v>
      </c>
      <c r="BQ24" s="203">
        <f t="shared" si="37"/>
        <v>11</v>
      </c>
      <c r="BR24" s="203">
        <f t="shared" si="37"/>
        <v>12</v>
      </c>
      <c r="BS24" s="203">
        <f t="shared" si="37"/>
        <v>1</v>
      </c>
      <c r="BT24" s="203">
        <f t="shared" si="37"/>
        <v>2</v>
      </c>
      <c r="BU24" s="203">
        <f t="shared" si="37"/>
        <v>3</v>
      </c>
      <c r="BV24" s="203">
        <f t="shared" si="37"/>
        <v>4</v>
      </c>
      <c r="BW24" s="203">
        <f t="shared" ref="BW24:DX24" si="38">IF(BV24=12,1,BV24+1)</f>
        <v>5</v>
      </c>
      <c r="BX24" s="203">
        <f t="shared" si="38"/>
        <v>6</v>
      </c>
      <c r="BY24" s="203">
        <f t="shared" si="38"/>
        <v>7</v>
      </c>
      <c r="BZ24" s="203">
        <f t="shared" si="38"/>
        <v>8</v>
      </c>
      <c r="CA24" s="203">
        <f t="shared" si="38"/>
        <v>9</v>
      </c>
      <c r="CB24" s="203">
        <f t="shared" si="38"/>
        <v>10</v>
      </c>
      <c r="CC24" s="203">
        <f t="shared" si="38"/>
        <v>11</v>
      </c>
      <c r="CD24" s="203">
        <f t="shared" si="38"/>
        <v>12</v>
      </c>
      <c r="CE24" s="203">
        <f t="shared" si="38"/>
        <v>1</v>
      </c>
      <c r="CF24" s="203">
        <f t="shared" si="38"/>
        <v>2</v>
      </c>
      <c r="CG24" s="203">
        <f t="shared" si="38"/>
        <v>3</v>
      </c>
      <c r="CH24" s="203">
        <f t="shared" si="38"/>
        <v>4</v>
      </c>
      <c r="CI24" s="203">
        <f t="shared" si="38"/>
        <v>5</v>
      </c>
      <c r="CJ24" s="203">
        <f t="shared" si="38"/>
        <v>6</v>
      </c>
      <c r="CK24" s="203">
        <f t="shared" si="38"/>
        <v>7</v>
      </c>
      <c r="CL24" s="203">
        <f t="shared" si="38"/>
        <v>8</v>
      </c>
      <c r="CM24" s="203">
        <f t="shared" si="38"/>
        <v>9</v>
      </c>
      <c r="CN24" s="203">
        <f t="shared" si="38"/>
        <v>10</v>
      </c>
      <c r="CO24" s="203">
        <f t="shared" si="38"/>
        <v>11</v>
      </c>
      <c r="CP24" s="203">
        <f t="shared" si="38"/>
        <v>12</v>
      </c>
      <c r="CQ24" s="203">
        <f t="shared" si="38"/>
        <v>1</v>
      </c>
      <c r="CR24" s="203">
        <f t="shared" si="38"/>
        <v>2</v>
      </c>
      <c r="CS24" s="203">
        <f t="shared" si="38"/>
        <v>3</v>
      </c>
      <c r="CT24" s="203">
        <f t="shared" si="38"/>
        <v>4</v>
      </c>
      <c r="CU24" s="203">
        <f t="shared" si="38"/>
        <v>5</v>
      </c>
      <c r="CV24" s="203">
        <f t="shared" si="38"/>
        <v>6</v>
      </c>
      <c r="CW24" s="203">
        <f t="shared" si="38"/>
        <v>7</v>
      </c>
      <c r="CX24" s="203">
        <f t="shared" si="38"/>
        <v>8</v>
      </c>
      <c r="CY24" s="203">
        <f t="shared" si="38"/>
        <v>9</v>
      </c>
      <c r="CZ24" s="203">
        <f t="shared" si="38"/>
        <v>10</v>
      </c>
      <c r="DA24" s="203">
        <f t="shared" si="38"/>
        <v>11</v>
      </c>
      <c r="DB24" s="203">
        <f t="shared" si="38"/>
        <v>12</v>
      </c>
      <c r="DC24" s="203">
        <f t="shared" si="38"/>
        <v>1</v>
      </c>
      <c r="DD24" s="203">
        <f t="shared" si="38"/>
        <v>2</v>
      </c>
      <c r="DE24" s="203">
        <f t="shared" si="38"/>
        <v>3</v>
      </c>
      <c r="DF24" s="203">
        <f t="shared" si="38"/>
        <v>4</v>
      </c>
      <c r="DG24" s="203">
        <f t="shared" si="38"/>
        <v>5</v>
      </c>
      <c r="DH24" s="203">
        <f t="shared" si="38"/>
        <v>6</v>
      </c>
      <c r="DI24" s="203">
        <f t="shared" si="38"/>
        <v>7</v>
      </c>
      <c r="DJ24" s="203">
        <f t="shared" si="38"/>
        <v>8</v>
      </c>
      <c r="DK24" s="203">
        <f t="shared" si="38"/>
        <v>9</v>
      </c>
      <c r="DL24" s="203">
        <f t="shared" si="38"/>
        <v>10</v>
      </c>
      <c r="DM24" s="203">
        <f t="shared" si="38"/>
        <v>11</v>
      </c>
      <c r="DN24" s="203">
        <f t="shared" si="38"/>
        <v>12</v>
      </c>
      <c r="DO24" s="203">
        <f t="shared" si="38"/>
        <v>1</v>
      </c>
      <c r="DP24" s="203">
        <f t="shared" si="38"/>
        <v>2</v>
      </c>
      <c r="DQ24" s="203">
        <f t="shared" si="38"/>
        <v>3</v>
      </c>
      <c r="DR24" s="203">
        <f t="shared" si="38"/>
        <v>4</v>
      </c>
      <c r="DS24" s="203">
        <f t="shared" si="38"/>
        <v>5</v>
      </c>
      <c r="DT24" s="203">
        <f t="shared" si="38"/>
        <v>6</v>
      </c>
      <c r="DU24" s="203">
        <f t="shared" si="38"/>
        <v>7</v>
      </c>
      <c r="DV24" s="203">
        <f t="shared" si="38"/>
        <v>8</v>
      </c>
      <c r="DW24" s="203">
        <f t="shared" si="38"/>
        <v>9</v>
      </c>
      <c r="DX24" s="203">
        <f t="shared" si="38"/>
        <v>10</v>
      </c>
      <c r="DY24" s="88"/>
      <c r="DZ24" s="188" t="s">
        <v>404</v>
      </c>
      <c r="EB24" s="88"/>
    </row>
    <row r="25" spans="1:132">
      <c r="A25" s="185"/>
      <c r="B25" s="185"/>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5"/>
      <c r="CU25" s="185"/>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2"/>
      <c r="EB25" s="182"/>
    </row>
    <row r="26" spans="1:132" s="179" customFormat="1">
      <c r="A26" s="208" t="s">
        <v>405</v>
      </c>
      <c r="B26" s="209"/>
      <c r="C26" s="209"/>
      <c r="D26" s="209"/>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09"/>
      <c r="BC26" s="209"/>
      <c r="BD26" s="209"/>
      <c r="BE26" s="209"/>
      <c r="BF26" s="209"/>
      <c r="BG26" s="209"/>
      <c r="BH26" s="209"/>
      <c r="BI26" s="209"/>
      <c r="BJ26" s="209"/>
      <c r="BK26" s="209"/>
      <c r="BL26" s="209"/>
      <c r="BM26" s="209"/>
      <c r="BN26" s="209"/>
      <c r="BO26" s="209"/>
      <c r="BP26" s="209"/>
      <c r="BQ26" s="209"/>
      <c r="BR26" s="209"/>
      <c r="BS26" s="209"/>
      <c r="BT26" s="209"/>
      <c r="BU26" s="209"/>
      <c r="BV26" s="209"/>
      <c r="BW26" s="209"/>
      <c r="BX26" s="209"/>
      <c r="BY26" s="209"/>
      <c r="BZ26" s="209"/>
      <c r="CA26" s="209"/>
      <c r="CB26" s="209"/>
      <c r="CC26" s="209"/>
      <c r="CD26" s="209"/>
      <c r="CE26" s="209"/>
      <c r="CF26" s="209"/>
      <c r="CG26" s="209"/>
      <c r="CH26" s="209"/>
      <c r="CI26" s="209"/>
      <c r="CJ26" s="209"/>
      <c r="CK26" s="209"/>
      <c r="CL26" s="209"/>
      <c r="CM26" s="209"/>
      <c r="CN26" s="209"/>
      <c r="CO26" s="209"/>
      <c r="CP26" s="209"/>
      <c r="CQ26" s="209"/>
      <c r="CR26" s="209"/>
      <c r="CS26" s="209"/>
      <c r="CT26" s="209"/>
      <c r="CU26" s="209"/>
      <c r="CV26" s="209"/>
      <c r="CW26" s="209"/>
      <c r="CX26" s="209"/>
      <c r="CY26" s="209"/>
      <c r="CZ26" s="209"/>
      <c r="DA26" s="209"/>
      <c r="DB26" s="209"/>
      <c r="DC26" s="209"/>
      <c r="DD26" s="209"/>
      <c r="DE26" s="209"/>
      <c r="DF26" s="209"/>
      <c r="DG26" s="209"/>
      <c r="DH26" s="209"/>
      <c r="DI26" s="209"/>
      <c r="DJ26" s="209"/>
      <c r="DK26" s="209"/>
      <c r="DL26" s="209"/>
      <c r="DM26" s="209"/>
      <c r="DN26" s="209"/>
      <c r="DO26" s="209"/>
      <c r="DP26" s="209"/>
      <c r="DQ26" s="209"/>
      <c r="DR26" s="209"/>
      <c r="DS26" s="209"/>
      <c r="DT26" s="209"/>
      <c r="DU26" s="209"/>
      <c r="DV26" s="209"/>
      <c r="DW26" s="209"/>
      <c r="DX26" s="209"/>
      <c r="DY26" s="209"/>
      <c r="DZ26" s="209"/>
      <c r="EA26" s="209"/>
      <c r="EB26" s="209"/>
    </row>
    <row r="27" spans="1:132" outlineLevel="1">
      <c r="A27" s="185"/>
      <c r="B27" s="185"/>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K27" s="185"/>
      <c r="BL27" s="185"/>
      <c r="BM27" s="185"/>
      <c r="BN27" s="185"/>
      <c r="BO27" s="185"/>
      <c r="BP27" s="185"/>
      <c r="BQ27" s="185"/>
      <c r="BR27" s="185"/>
      <c r="BS27" s="185"/>
      <c r="BT27" s="185"/>
      <c r="BU27" s="185"/>
      <c r="BV27" s="185"/>
      <c r="BW27" s="185"/>
      <c r="BX27" s="185"/>
      <c r="BY27" s="185"/>
      <c r="BZ27" s="185"/>
      <c r="CA27" s="185"/>
      <c r="CB27" s="185"/>
      <c r="CC27" s="185"/>
      <c r="CD27" s="185"/>
      <c r="CE27" s="185"/>
      <c r="CF27" s="185"/>
      <c r="CG27" s="185"/>
      <c r="CH27" s="185"/>
      <c r="CI27" s="185"/>
      <c r="CJ27" s="185"/>
      <c r="CK27" s="185"/>
      <c r="CL27" s="185"/>
      <c r="CM27" s="185"/>
      <c r="CN27" s="185"/>
      <c r="CO27" s="185"/>
      <c r="CP27" s="185"/>
      <c r="CQ27" s="185"/>
      <c r="CR27" s="185"/>
      <c r="CS27" s="185"/>
      <c r="CT27" s="185"/>
      <c r="CU27" s="185"/>
      <c r="CV27" s="185"/>
      <c r="CW27" s="185"/>
      <c r="CX27" s="185"/>
      <c r="CY27" s="185"/>
      <c r="CZ27" s="185"/>
      <c r="DA27" s="185"/>
      <c r="DB27" s="185"/>
      <c r="DC27" s="185"/>
      <c r="DD27" s="185"/>
      <c r="DE27" s="185"/>
      <c r="DF27" s="185"/>
      <c r="DG27" s="185"/>
      <c r="DH27" s="185"/>
      <c r="DI27" s="185"/>
      <c r="DJ27" s="185"/>
      <c r="DK27" s="185"/>
      <c r="DL27" s="185"/>
      <c r="DM27" s="185"/>
      <c r="DN27" s="185"/>
      <c r="DO27" s="185"/>
      <c r="DP27" s="185"/>
      <c r="DQ27" s="185"/>
      <c r="DR27" s="185"/>
      <c r="DS27" s="185"/>
      <c r="DT27" s="185"/>
      <c r="DU27" s="185"/>
      <c r="DV27" s="185"/>
      <c r="DW27" s="185"/>
      <c r="DX27" s="185"/>
      <c r="DY27" s="186"/>
      <c r="EB27" s="186"/>
    </row>
    <row r="28" spans="1:132" hidden="1"/>
    <row r="29" spans="1:132" hidden="1"/>
    <row r="30" spans="1:132" hidden="1"/>
    <row r="31" spans="1:132" hidden="1"/>
    <row r="32" spans="1:1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spans="1:1" hidden="1"/>
    <row r="162" spans="1:1" hidden="1"/>
    <row r="163" spans="1:1" hidden="1">
      <c r="A163" s="24"/>
    </row>
    <row r="164" spans="1:1" hidden="1">
      <c r="A164" s="24"/>
    </row>
    <row r="165" spans="1:1" ht="12.75" hidden="1" customHeight="1"/>
    <row r="166" spans="1:1" ht="12.75" hidden="1" customHeight="1"/>
    <row r="167" spans="1:1" ht="12.75" hidden="1" customHeight="1"/>
    <row r="168" spans="1:1" ht="12.75" hidden="1" customHeight="1"/>
    <row r="169" spans="1:1" ht="12.75" hidden="1" customHeight="1"/>
    <row r="170" spans="1:1" ht="12.75" hidden="1" customHeight="1"/>
    <row r="171" spans="1:1" ht="12.75" hidden="1" customHeight="1"/>
    <row r="172" spans="1:1" ht="12.75" hidden="1" customHeight="1"/>
    <row r="173" spans="1:1" ht="12.75" hidden="1" customHeight="1"/>
    <row r="174" spans="1:1" ht="12.75" hidden="1" customHeight="1"/>
    <row r="175" spans="1:1" ht="12.75" hidden="1" customHeight="1"/>
    <row r="176" spans="1:1" ht="12.75" hidden="1" customHeight="1"/>
    <row r="177" ht="12.75" hidden="1" customHeight="1"/>
    <row r="178" ht="12.75" hidden="1" customHeight="1"/>
    <row r="179" ht="12.75" hidden="1" customHeight="1"/>
    <row r="180" ht="12.75" hidden="1" customHeight="1"/>
    <row r="181" ht="12.75" hidden="1" customHeight="1"/>
    <row r="182" ht="12.75" hidden="1" customHeight="1"/>
    <row r="183" ht="12.75" hidden="1" customHeight="1"/>
    <row r="184" ht="12.75" hidden="1" customHeight="1"/>
    <row r="185" ht="12.75" hidden="1" customHeight="1"/>
    <row r="186" ht="12.75" hidden="1" customHeight="1"/>
    <row r="187" ht="12.75" hidden="1" customHeight="1"/>
    <row r="188" ht="12.75" hidden="1" customHeight="1"/>
    <row r="189" ht="12.75" hidden="1" customHeight="1"/>
    <row r="190" ht="12.75" hidden="1" customHeight="1"/>
    <row r="191" ht="12.75" hidden="1" customHeight="1"/>
    <row r="192" ht="12.75" hidden="1" customHeight="1"/>
    <row r="193" ht="12.75" hidden="1" customHeight="1"/>
    <row r="194" ht="12.75" hidden="1" customHeight="1"/>
    <row r="195" ht="12.75" hidden="1" customHeight="1"/>
    <row r="196" ht="12.75" hidden="1" customHeight="1"/>
    <row r="197" ht="12.75" hidden="1" customHeight="1"/>
    <row r="198" ht="12.75" hidden="1" customHeight="1"/>
    <row r="199" ht="12.75" hidden="1" customHeight="1"/>
    <row r="200" ht="12.75" hidden="1" customHeight="1"/>
    <row r="201" ht="12.75" hidden="1" customHeight="1"/>
    <row r="202" ht="12.75" hidden="1" customHeight="1"/>
    <row r="203" ht="12.75" customHeight="1"/>
    <row r="204" ht="12.75" customHeight="1"/>
    <row r="205" ht="12.75" customHeight="1"/>
    <row r="206" ht="12.75" customHeight="1"/>
    <row r="207" ht="12.75" customHeight="1"/>
  </sheetData>
  <sheetProtection autoFilter="0"/>
  <conditionalFormatting sqref="F11:DX11">
    <cfRule type="cellIs" dxfId="107" priority="11" stopIfTrue="1" operator="between">
      <formula>PreContractStartDateIn</formula>
      <formula>ContractEndDateIn</formula>
    </cfRule>
  </conditionalFormatting>
  <conditionalFormatting sqref="E1">
    <cfRule type="cellIs" dxfId="106" priority="12" stopIfTrue="1" operator="greaterThan">
      <formula>0</formula>
    </cfRule>
    <cfRule type="cellIs" dxfId="105" priority="13" stopIfTrue="1" operator="lessThan">
      <formula>0</formula>
    </cfRule>
  </conditionalFormatting>
  <conditionalFormatting sqref="F1:EB1 B5:EB5 B9:DY9">
    <cfRule type="expression" dxfId="104" priority="1" stopIfTrue="1">
      <formula>ErrorsPresent&gt;0</formula>
    </cfRule>
    <cfRule type="expression" dxfId="103" priority="2" stopIfTrue="1">
      <formula>ErrorsPresent&lt;0</formula>
    </cfRule>
  </conditionalFormatting>
  <conditionalFormatting sqref="A1:B1">
    <cfRule type="expression" dxfId="102" priority="9" stopIfTrue="1">
      <formula>ErrorsPresent&gt;0</formula>
    </cfRule>
    <cfRule type="expression" dxfId="101" priority="10" stopIfTrue="1">
      <formula>ErrorsPresent&lt;0</formula>
    </cfRule>
  </conditionalFormatting>
  <conditionalFormatting sqref="A9">
    <cfRule type="expression" dxfId="100" priority="7" stopIfTrue="1">
      <formula>ErrorsPresent&gt;0</formula>
    </cfRule>
    <cfRule type="expression" dxfId="99" priority="8" stopIfTrue="1">
      <formula>ErrorsPresent&lt;0</formula>
    </cfRule>
  </conditionalFormatting>
  <conditionalFormatting sqref="C1:D1">
    <cfRule type="expression" dxfId="98" priority="5" stopIfTrue="1">
      <formula>ErrorsPresent&gt;0</formula>
    </cfRule>
    <cfRule type="expression" dxfId="97" priority="6" stopIfTrue="1">
      <formula>ErrorsPresent&lt;0</formula>
    </cfRule>
  </conditionalFormatting>
  <conditionalFormatting sqref="A5">
    <cfRule type="expression" dxfId="96" priority="3" stopIfTrue="1">
      <formula>ErrorsPresent&gt;0</formula>
    </cfRule>
    <cfRule type="expression" dxfId="95" priority="4" stopIfTrue="1">
      <formula>ErrorsPresent&lt;0</formula>
    </cfRule>
  </conditionalFormatting>
  <conditionalFormatting sqref="F12:DX24">
    <cfRule type="expression" dxfId="94" priority="14" stopIfTrue="1">
      <formula>#REF!&lt;&gt;""</formula>
    </cfRule>
  </conditionalFormatting>
  <hyperlinks>
    <hyperlink ref="E1" location="PLA5A" tooltip="Hyperlink to &quot;Error Checks&quot; sheet" display="PLA5A"/>
  </hyperlinks>
  <pageMargins left="0.4" right="0.4" top="1" bottom="1" header="0.5" footer="0.5"/>
  <pageSetup scale="53" orientation="landscape" r:id="rId1"/>
  <headerFooter alignWithMargins="0">
    <oddHeader>&amp;LFUJITSU SERVICES&amp;RCOMMERCIAL IN CONFIDENCE</oddHeader>
    <oddFooter>&amp;L&amp;"Arial,Italic"&amp;F&amp;C&amp;"Arial,Italic"Printed on &amp;D at &amp;T&amp;R&amp;"Arial,Italic"Page &amp;P of &amp;N</oddFooter>
  </headerFooter>
  <colBreaks count="1" manualBreakCount="1">
    <brk id="17" min="4" max="139"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outlinePr summaryBelow="0" summaryRight="0"/>
    <pageSetUpPr autoPageBreaks="0"/>
  </sheetPr>
  <dimension ref="A1:XAJ207"/>
  <sheetViews>
    <sheetView showGridLines="0" zoomScale="90" zoomScaleNormal="90" workbookViewId="0">
      <selection activeCell="Q204" sqref="Q204"/>
    </sheetView>
  </sheetViews>
  <sheetFormatPr defaultColWidth="0" defaultRowHeight="12.75" customHeight="1" zeroHeight="1" outlineLevelRow="1" outlineLevelCol="1"/>
  <cols>
    <col min="1" max="3" width="9.140625" style="94" customWidth="1"/>
    <col min="4" max="4" width="11.140625" style="94" customWidth="1"/>
    <col min="5" max="5" width="9.28515625" style="94" customWidth="1"/>
    <col min="6" max="128" width="11.7109375" style="94" customWidth="1"/>
    <col min="129" max="129" width="1.7109375" style="94" customWidth="1" collapsed="1"/>
    <col min="130" max="131" width="0" style="94" hidden="1" customWidth="1" outlineLevel="1"/>
    <col min="132" max="132" width="1.7109375" style="94" customWidth="1"/>
    <col min="133" max="158" width="0" style="94" hidden="1"/>
    <col min="159" max="230" width="9.140625" style="94" hidden="1"/>
    <col min="231" max="233" width="9.140625" style="94" customWidth="1"/>
    <col min="234" max="234" width="11.140625" style="94" customWidth="1"/>
    <col min="235" max="235" width="9.140625" style="94" customWidth="1"/>
    <col min="236" max="236" width="9.28515625" style="94" customWidth="1"/>
    <col min="237" max="237" width="10.85546875" style="94" customWidth="1"/>
    <col min="238" max="257" width="9.140625" style="94" hidden="1" customWidth="1"/>
    <col min="258" max="258" width="7.28515625" style="94" customWidth="1"/>
    <col min="259" max="260" width="9.140625" style="94" customWidth="1"/>
    <col min="261" max="261" width="12" style="94" customWidth="1"/>
    <col min="262" max="384" width="11.7109375" style="94" customWidth="1"/>
    <col min="385" max="385" width="1.7109375" style="94" customWidth="1"/>
    <col min="386" max="387" width="9.140625" style="94" hidden="1" customWidth="1"/>
    <col min="388" max="388" width="1.7109375" style="94" customWidth="1"/>
    <col min="389" max="486" width="9.140625" style="94" hidden="1"/>
    <col min="487" max="489" width="9.140625" style="94" customWidth="1"/>
    <col min="490" max="490" width="11.140625" style="94" customWidth="1"/>
    <col min="491" max="491" width="9.140625" style="94" customWidth="1"/>
    <col min="492" max="492" width="9.28515625" style="94" customWidth="1"/>
    <col min="493" max="493" width="10.85546875" style="94" customWidth="1"/>
    <col min="494" max="513" width="9.140625" style="94" hidden="1" customWidth="1"/>
    <col min="514" max="514" width="7.28515625" style="94" customWidth="1"/>
    <col min="515" max="516" width="9.140625" style="94" customWidth="1"/>
    <col min="517" max="517" width="12" style="94" customWidth="1"/>
    <col min="518" max="640" width="11.7109375" style="94" customWidth="1"/>
    <col min="641" max="641" width="1.7109375" style="94" customWidth="1"/>
    <col min="642" max="643" width="9.140625" style="94" hidden="1" customWidth="1"/>
    <col min="644" max="644" width="1.7109375" style="94" customWidth="1"/>
    <col min="645" max="742" width="9.140625" style="94" hidden="1"/>
    <col min="743" max="745" width="9.140625" style="94" customWidth="1"/>
    <col min="746" max="746" width="11.140625" style="94" customWidth="1"/>
    <col min="747" max="747" width="9.140625" style="94" customWidth="1"/>
    <col min="748" max="748" width="9.28515625" style="94" customWidth="1"/>
    <col min="749" max="749" width="10.85546875" style="94" customWidth="1"/>
    <col min="750" max="769" width="9.140625" style="94" hidden="1" customWidth="1"/>
    <col min="770" max="770" width="7.28515625" style="94" customWidth="1"/>
    <col min="771" max="772" width="9.140625" style="94" customWidth="1"/>
    <col min="773" max="773" width="12" style="94" customWidth="1"/>
    <col min="774" max="896" width="11.7109375" style="94" customWidth="1"/>
    <col min="897" max="897" width="1.7109375" style="94" customWidth="1"/>
    <col min="898" max="899" width="9.140625" style="94" hidden="1" customWidth="1"/>
    <col min="900" max="900" width="1.7109375" style="94" customWidth="1"/>
    <col min="901" max="998" width="9.140625" style="94" hidden="1"/>
    <col min="999" max="1001" width="9.140625" style="94" customWidth="1"/>
    <col min="1002" max="1002" width="11.140625" style="94" customWidth="1"/>
    <col min="1003" max="1003" width="9.140625" style="94" customWidth="1"/>
    <col min="1004" max="1004" width="9.28515625" style="94" customWidth="1"/>
    <col min="1005" max="1005" width="10.85546875" style="94" customWidth="1"/>
    <col min="1006" max="1025" width="9.140625" style="94" hidden="1" customWidth="1"/>
    <col min="1026" max="1026" width="7.28515625" style="94" customWidth="1"/>
    <col min="1027" max="1028" width="9.140625" style="94" customWidth="1"/>
    <col min="1029" max="1029" width="12" style="94" customWidth="1"/>
    <col min="1030" max="1152" width="11.7109375" style="94" customWidth="1"/>
    <col min="1153" max="1153" width="1.7109375" style="94" customWidth="1"/>
    <col min="1154" max="1155" width="9.140625" style="94" hidden="1" customWidth="1"/>
    <col min="1156" max="1156" width="1.7109375" style="94" customWidth="1"/>
    <col min="1157" max="1254" width="9.140625" style="94" hidden="1"/>
    <col min="1255" max="1257" width="9.140625" style="94" customWidth="1"/>
    <col min="1258" max="1258" width="11.140625" style="94" customWidth="1"/>
    <col min="1259" max="1259" width="9.140625" style="94" customWidth="1"/>
    <col min="1260" max="1260" width="9.28515625" style="94" customWidth="1"/>
    <col min="1261" max="1261" width="10.85546875" style="94" customWidth="1"/>
    <col min="1262" max="1281" width="9.140625" style="94" hidden="1" customWidth="1"/>
    <col min="1282" max="1282" width="7.28515625" style="94" customWidth="1"/>
    <col min="1283" max="1284" width="9.140625" style="94" customWidth="1"/>
    <col min="1285" max="1285" width="12" style="94" customWidth="1"/>
    <col min="1286" max="1408" width="11.7109375" style="94" customWidth="1"/>
    <col min="1409" max="1409" width="1.7109375" style="94" customWidth="1"/>
    <col min="1410" max="1411" width="9.140625" style="94" hidden="1" customWidth="1"/>
    <col min="1412" max="1412" width="1.7109375" style="94" customWidth="1"/>
    <col min="1413" max="1510" width="9.140625" style="94" hidden="1"/>
    <col min="1511" max="1513" width="9.140625" style="94" customWidth="1"/>
    <col min="1514" max="1514" width="11.140625" style="94" customWidth="1"/>
    <col min="1515" max="1515" width="9.140625" style="94" customWidth="1"/>
    <col min="1516" max="1516" width="9.28515625" style="94" customWidth="1"/>
    <col min="1517" max="1517" width="10.85546875" style="94" customWidth="1"/>
    <col min="1518" max="1537" width="9.140625" style="94" hidden="1" customWidth="1"/>
    <col min="1538" max="1538" width="7.28515625" style="94" customWidth="1"/>
    <col min="1539" max="1540" width="9.140625" style="94" customWidth="1"/>
    <col min="1541" max="1541" width="12" style="94" customWidth="1"/>
    <col min="1542" max="1664" width="11.7109375" style="94" customWidth="1"/>
    <col min="1665" max="1665" width="1.7109375" style="94" customWidth="1"/>
    <col min="1666" max="1667" width="9.140625" style="94" hidden="1" customWidth="1"/>
    <col min="1668" max="1668" width="1.7109375" style="94" customWidth="1"/>
    <col min="1669" max="1766" width="9.140625" style="94" hidden="1"/>
    <col min="1767" max="1769" width="9.140625" style="94" customWidth="1"/>
    <col min="1770" max="1770" width="11.140625" style="94" customWidth="1"/>
    <col min="1771" max="1771" width="9.140625" style="94" customWidth="1"/>
    <col min="1772" max="1772" width="9.28515625" style="94" customWidth="1"/>
    <col min="1773" max="1773" width="10.85546875" style="94" customWidth="1"/>
    <col min="1774" max="1793" width="9.140625" style="94" hidden="1" customWidth="1"/>
    <col min="1794" max="1794" width="7.28515625" style="94" customWidth="1"/>
    <col min="1795" max="1796" width="9.140625" style="94" customWidth="1"/>
    <col min="1797" max="1797" width="12" style="94" customWidth="1"/>
    <col min="1798" max="1920" width="11.7109375" style="94" customWidth="1"/>
    <col min="1921" max="1921" width="1.7109375" style="94" customWidth="1"/>
    <col min="1922" max="1923" width="9.140625" style="94" hidden="1" customWidth="1"/>
    <col min="1924" max="1924" width="1.7109375" style="94" customWidth="1"/>
    <col min="1925" max="2022" width="9.140625" style="94" hidden="1"/>
    <col min="2023" max="2025" width="9.140625" style="94" customWidth="1"/>
    <col min="2026" max="2026" width="11.140625" style="94" customWidth="1"/>
    <col min="2027" max="2027" width="9.140625" style="94" customWidth="1"/>
    <col min="2028" max="2028" width="9.28515625" style="94" customWidth="1"/>
    <col min="2029" max="2029" width="10.85546875" style="94" customWidth="1"/>
    <col min="2030" max="2049" width="9.140625" style="94" hidden="1" customWidth="1"/>
    <col min="2050" max="2050" width="7.28515625" style="94" customWidth="1"/>
    <col min="2051" max="2052" width="9.140625" style="94" customWidth="1"/>
    <col min="2053" max="2053" width="12" style="94" customWidth="1"/>
    <col min="2054" max="2176" width="11.7109375" style="94" customWidth="1"/>
    <col min="2177" max="2177" width="1.7109375" style="94" customWidth="1"/>
    <col min="2178" max="2179" width="9.140625" style="94" hidden="1" customWidth="1"/>
    <col min="2180" max="2180" width="1.7109375" style="94" customWidth="1"/>
    <col min="2181" max="2278" width="9.140625" style="94" hidden="1"/>
    <col min="2279" max="2281" width="9.140625" style="94" customWidth="1"/>
    <col min="2282" max="2282" width="11.140625" style="94" customWidth="1"/>
    <col min="2283" max="2283" width="9.140625" style="94" customWidth="1"/>
    <col min="2284" max="2284" width="9.28515625" style="94" customWidth="1"/>
    <col min="2285" max="2285" width="10.85546875" style="94" customWidth="1"/>
    <col min="2286" max="2305" width="9.140625" style="94" hidden="1" customWidth="1"/>
    <col min="2306" max="2306" width="7.28515625" style="94" customWidth="1"/>
    <col min="2307" max="2308" width="9.140625" style="94" customWidth="1"/>
    <col min="2309" max="2309" width="12" style="94" customWidth="1"/>
    <col min="2310" max="2432" width="11.7109375" style="94" customWidth="1"/>
    <col min="2433" max="2433" width="1.7109375" style="94" customWidth="1"/>
    <col min="2434" max="2435" width="9.140625" style="94" hidden="1" customWidth="1"/>
    <col min="2436" max="2436" width="1.7109375" style="94" customWidth="1"/>
    <col min="2437" max="2534" width="9.140625" style="94" hidden="1"/>
    <col min="2535" max="2537" width="9.140625" style="94" customWidth="1"/>
    <col min="2538" max="2538" width="11.140625" style="94" customWidth="1"/>
    <col min="2539" max="2539" width="9.140625" style="94" customWidth="1"/>
    <col min="2540" max="2540" width="9.28515625" style="94" customWidth="1"/>
    <col min="2541" max="2541" width="10.85546875" style="94" customWidth="1"/>
    <col min="2542" max="2561" width="9.140625" style="94" hidden="1" customWidth="1"/>
    <col min="2562" max="2562" width="7.28515625" style="94" customWidth="1"/>
    <col min="2563" max="2564" width="9.140625" style="94" customWidth="1"/>
    <col min="2565" max="2565" width="12" style="94" customWidth="1"/>
    <col min="2566" max="2688" width="11.7109375" style="94" customWidth="1"/>
    <col min="2689" max="2689" width="1.7109375" style="94" customWidth="1"/>
    <col min="2690" max="2691" width="9.140625" style="94" hidden="1" customWidth="1"/>
    <col min="2692" max="2692" width="1.7109375" style="94" customWidth="1"/>
    <col min="2693" max="2790" width="9.140625" style="94" hidden="1"/>
    <col min="2791" max="2793" width="9.140625" style="94" customWidth="1"/>
    <col min="2794" max="2794" width="11.140625" style="94" customWidth="1"/>
    <col min="2795" max="2795" width="9.140625" style="94" customWidth="1"/>
    <col min="2796" max="2796" width="9.28515625" style="94" customWidth="1"/>
    <col min="2797" max="2797" width="10.85546875" style="94" customWidth="1"/>
    <col min="2798" max="2817" width="9.140625" style="94" hidden="1" customWidth="1"/>
    <col min="2818" max="2818" width="7.28515625" style="94" customWidth="1"/>
    <col min="2819" max="2820" width="9.140625" style="94" customWidth="1"/>
    <col min="2821" max="2821" width="12" style="94" customWidth="1"/>
    <col min="2822" max="2944" width="11.7109375" style="94" customWidth="1"/>
    <col min="2945" max="2945" width="1.7109375" style="94" customWidth="1"/>
    <col min="2946" max="2947" width="9.140625" style="94" hidden="1" customWidth="1"/>
    <col min="2948" max="2948" width="1.7109375" style="94" customWidth="1"/>
    <col min="2949" max="3046" width="9.140625" style="94" hidden="1"/>
    <col min="3047" max="3049" width="9.140625" style="94" customWidth="1"/>
    <col min="3050" max="3050" width="11.140625" style="94" customWidth="1"/>
    <col min="3051" max="3051" width="9.140625" style="94" customWidth="1"/>
    <col min="3052" max="3052" width="9.28515625" style="94" customWidth="1"/>
    <col min="3053" max="3053" width="10.85546875" style="94" customWidth="1"/>
    <col min="3054" max="3073" width="9.140625" style="94" hidden="1" customWidth="1"/>
    <col min="3074" max="3074" width="7.28515625" style="94" customWidth="1"/>
    <col min="3075" max="3076" width="9.140625" style="94" customWidth="1"/>
    <col min="3077" max="3077" width="12" style="94" customWidth="1"/>
    <col min="3078" max="3200" width="11.7109375" style="94" customWidth="1"/>
    <col min="3201" max="3201" width="1.7109375" style="94" customWidth="1"/>
    <col min="3202" max="3203" width="9.140625" style="94" hidden="1" customWidth="1"/>
    <col min="3204" max="3204" width="1.7109375" style="94" customWidth="1"/>
    <col min="3205" max="3302" width="9.140625" style="94" hidden="1"/>
    <col min="3303" max="3305" width="9.140625" style="94" customWidth="1"/>
    <col min="3306" max="3306" width="11.140625" style="94" customWidth="1"/>
    <col min="3307" max="3307" width="9.140625" style="94" customWidth="1"/>
    <col min="3308" max="3308" width="9.28515625" style="94" customWidth="1"/>
    <col min="3309" max="3309" width="10.85546875" style="94" customWidth="1"/>
    <col min="3310" max="3329" width="9.140625" style="94" hidden="1" customWidth="1"/>
    <col min="3330" max="3330" width="7.28515625" style="94" customWidth="1"/>
    <col min="3331" max="3332" width="9.140625" style="94" customWidth="1"/>
    <col min="3333" max="3333" width="12" style="94" customWidth="1"/>
    <col min="3334" max="3456" width="11.7109375" style="94" customWidth="1"/>
    <col min="3457" max="3457" width="1.7109375" style="94" customWidth="1"/>
    <col min="3458" max="3459" width="9.140625" style="94" hidden="1" customWidth="1"/>
    <col min="3460" max="3460" width="1.7109375" style="94" customWidth="1"/>
    <col min="3461" max="3558" width="9.140625" style="94" hidden="1"/>
    <col min="3559" max="3561" width="9.140625" style="94" customWidth="1"/>
    <col min="3562" max="3562" width="11.140625" style="94" customWidth="1"/>
    <col min="3563" max="3563" width="9.140625" style="94" customWidth="1"/>
    <col min="3564" max="3564" width="9.28515625" style="94" customWidth="1"/>
    <col min="3565" max="3565" width="10.85546875" style="94" customWidth="1"/>
    <col min="3566" max="3585" width="9.140625" style="94" hidden="1" customWidth="1"/>
    <col min="3586" max="3586" width="7.28515625" style="94" customWidth="1"/>
    <col min="3587" max="3588" width="9.140625" style="94" customWidth="1"/>
    <col min="3589" max="3589" width="12" style="94" customWidth="1"/>
    <col min="3590" max="3712" width="11.7109375" style="94" customWidth="1"/>
    <col min="3713" max="3713" width="1.7109375" style="94" customWidth="1"/>
    <col min="3714" max="3715" width="9.140625" style="94" hidden="1" customWidth="1"/>
    <col min="3716" max="3716" width="1.7109375" style="94" customWidth="1"/>
    <col min="3717" max="3814" width="9.140625" style="94" hidden="1"/>
    <col min="3815" max="3817" width="9.140625" style="94" customWidth="1"/>
    <col min="3818" max="3818" width="11.140625" style="94" customWidth="1"/>
    <col min="3819" max="3819" width="9.140625" style="94" customWidth="1"/>
    <col min="3820" max="3820" width="9.28515625" style="94" customWidth="1"/>
    <col min="3821" max="3821" width="10.85546875" style="94" customWidth="1"/>
    <col min="3822" max="3841" width="9.140625" style="94" hidden="1" customWidth="1"/>
    <col min="3842" max="3842" width="7.28515625" style="94" customWidth="1"/>
    <col min="3843" max="3844" width="9.140625" style="94" customWidth="1"/>
    <col min="3845" max="3845" width="12" style="94" customWidth="1"/>
    <col min="3846" max="3968" width="11.7109375" style="94" customWidth="1"/>
    <col min="3969" max="3969" width="1.7109375" style="94" customWidth="1"/>
    <col min="3970" max="3971" width="9.140625" style="94" hidden="1" customWidth="1"/>
    <col min="3972" max="3972" width="1.7109375" style="94" customWidth="1"/>
    <col min="3973" max="4070" width="9.140625" style="94" hidden="1"/>
    <col min="4071" max="4073" width="9.140625" style="94" customWidth="1"/>
    <col min="4074" max="4074" width="11.140625" style="94" customWidth="1"/>
    <col min="4075" max="4075" width="9.140625" style="94" customWidth="1"/>
    <col min="4076" max="4076" width="9.28515625" style="94" customWidth="1"/>
    <col min="4077" max="4077" width="10.85546875" style="94" customWidth="1"/>
    <col min="4078" max="4097" width="9.140625" style="94" hidden="1" customWidth="1"/>
    <col min="4098" max="4098" width="7.28515625" style="94" customWidth="1"/>
    <col min="4099" max="4100" width="9.140625" style="94" customWidth="1"/>
    <col min="4101" max="4101" width="12" style="94" customWidth="1"/>
    <col min="4102" max="4224" width="11.7109375" style="94" customWidth="1"/>
    <col min="4225" max="4225" width="1.7109375" style="94" customWidth="1"/>
    <col min="4226" max="4227" width="9.140625" style="94" hidden="1" customWidth="1"/>
    <col min="4228" max="4228" width="1.7109375" style="94" customWidth="1"/>
    <col min="4229" max="4326" width="9.140625" style="94" hidden="1"/>
    <col min="4327" max="4329" width="9.140625" style="94" customWidth="1"/>
    <col min="4330" max="4330" width="11.140625" style="94" customWidth="1"/>
    <col min="4331" max="4331" width="9.140625" style="94" customWidth="1"/>
    <col min="4332" max="4332" width="9.28515625" style="94" customWidth="1"/>
    <col min="4333" max="4333" width="10.85546875" style="94" customWidth="1"/>
    <col min="4334" max="4353" width="9.140625" style="94" hidden="1" customWidth="1"/>
    <col min="4354" max="4354" width="7.28515625" style="94" customWidth="1"/>
    <col min="4355" max="4356" width="9.140625" style="94" customWidth="1"/>
    <col min="4357" max="4357" width="12" style="94" customWidth="1"/>
    <col min="4358" max="4480" width="11.7109375" style="94" customWidth="1"/>
    <col min="4481" max="4481" width="1.7109375" style="94" customWidth="1"/>
    <col min="4482" max="4483" width="9.140625" style="94" hidden="1" customWidth="1"/>
    <col min="4484" max="4484" width="1.7109375" style="94" customWidth="1"/>
    <col min="4485" max="4582" width="9.140625" style="94" hidden="1"/>
    <col min="4583" max="4585" width="9.140625" style="94" customWidth="1"/>
    <col min="4586" max="4586" width="11.140625" style="94" customWidth="1"/>
    <col min="4587" max="4587" width="9.140625" style="94" customWidth="1"/>
    <col min="4588" max="4588" width="9.28515625" style="94" customWidth="1"/>
    <col min="4589" max="4589" width="10.85546875" style="94" customWidth="1"/>
    <col min="4590" max="4609" width="9.140625" style="94" hidden="1" customWidth="1"/>
    <col min="4610" max="4610" width="7.28515625" style="94" customWidth="1"/>
    <col min="4611" max="4612" width="9.140625" style="94" customWidth="1"/>
    <col min="4613" max="4613" width="12" style="94" customWidth="1"/>
    <col min="4614" max="4736" width="11.7109375" style="94" customWidth="1"/>
    <col min="4737" max="4737" width="1.7109375" style="94" customWidth="1"/>
    <col min="4738" max="4739" width="9.140625" style="94" hidden="1" customWidth="1"/>
    <col min="4740" max="4740" width="1.7109375" style="94" customWidth="1"/>
    <col min="4741" max="4838" width="9.140625" style="94" hidden="1"/>
    <col min="4839" max="4841" width="9.140625" style="94" customWidth="1"/>
    <col min="4842" max="4842" width="11.140625" style="94" customWidth="1"/>
    <col min="4843" max="4843" width="9.140625" style="94" customWidth="1"/>
    <col min="4844" max="4844" width="9.28515625" style="94" customWidth="1"/>
    <col min="4845" max="4845" width="10.85546875" style="94" customWidth="1"/>
    <col min="4846" max="4865" width="9.140625" style="94" hidden="1" customWidth="1"/>
    <col min="4866" max="4866" width="7.28515625" style="94" customWidth="1"/>
    <col min="4867" max="4868" width="9.140625" style="94" customWidth="1"/>
    <col min="4869" max="4869" width="12" style="94" customWidth="1"/>
    <col min="4870" max="4992" width="11.7109375" style="94" customWidth="1"/>
    <col min="4993" max="4993" width="1.7109375" style="94" customWidth="1"/>
    <col min="4994" max="4995" width="9.140625" style="94" hidden="1" customWidth="1"/>
    <col min="4996" max="4996" width="1.7109375" style="94" customWidth="1"/>
    <col min="4997" max="5094" width="9.140625" style="94" hidden="1"/>
    <col min="5095" max="5097" width="9.140625" style="94" customWidth="1"/>
    <col min="5098" max="5098" width="11.140625" style="94" customWidth="1"/>
    <col min="5099" max="5099" width="9.140625" style="94" customWidth="1"/>
    <col min="5100" max="5100" width="9.28515625" style="94" customWidth="1"/>
    <col min="5101" max="5101" width="10.85546875" style="94" customWidth="1"/>
    <col min="5102" max="5121" width="9.140625" style="94" hidden="1" customWidth="1"/>
    <col min="5122" max="5122" width="7.28515625" style="94" customWidth="1"/>
    <col min="5123" max="5124" width="9.140625" style="94" customWidth="1"/>
    <col min="5125" max="5125" width="12" style="94" customWidth="1"/>
    <col min="5126" max="5248" width="11.7109375" style="94" customWidth="1"/>
    <col min="5249" max="5249" width="1.7109375" style="94" customWidth="1"/>
    <col min="5250" max="5251" width="9.140625" style="94" hidden="1" customWidth="1"/>
    <col min="5252" max="5252" width="1.7109375" style="94" customWidth="1"/>
    <col min="5253" max="5350" width="9.140625" style="94" hidden="1"/>
    <col min="5351" max="5353" width="9.140625" style="94" customWidth="1"/>
    <col min="5354" max="5354" width="11.140625" style="94" customWidth="1"/>
    <col min="5355" max="5355" width="9.140625" style="94" customWidth="1"/>
    <col min="5356" max="5356" width="9.28515625" style="94" customWidth="1"/>
    <col min="5357" max="5357" width="10.85546875" style="94" customWidth="1"/>
    <col min="5358" max="5377" width="9.140625" style="94" hidden="1" customWidth="1"/>
    <col min="5378" max="5378" width="7.28515625" style="94" customWidth="1"/>
    <col min="5379" max="5380" width="9.140625" style="94" customWidth="1"/>
    <col min="5381" max="5381" width="12" style="94" customWidth="1"/>
    <col min="5382" max="5504" width="11.7109375" style="94" customWidth="1"/>
    <col min="5505" max="5505" width="1.7109375" style="94" customWidth="1"/>
    <col min="5506" max="5507" width="9.140625" style="94" hidden="1" customWidth="1"/>
    <col min="5508" max="5508" width="1.7109375" style="94" customWidth="1"/>
    <col min="5509" max="5606" width="9.140625" style="94" hidden="1"/>
    <col min="5607" max="5609" width="9.140625" style="94" customWidth="1"/>
    <col min="5610" max="5610" width="11.140625" style="94" customWidth="1"/>
    <col min="5611" max="5611" width="9.140625" style="94" customWidth="1"/>
    <col min="5612" max="5612" width="9.28515625" style="94" customWidth="1"/>
    <col min="5613" max="5613" width="10.85546875" style="94" customWidth="1"/>
    <col min="5614" max="5633" width="9.140625" style="94" hidden="1" customWidth="1"/>
    <col min="5634" max="5634" width="7.28515625" style="94" customWidth="1"/>
    <col min="5635" max="5636" width="9.140625" style="94" customWidth="1"/>
    <col min="5637" max="5637" width="12" style="94" customWidth="1"/>
    <col min="5638" max="5760" width="11.7109375" style="94" customWidth="1"/>
    <col min="5761" max="5761" width="1.7109375" style="94" customWidth="1"/>
    <col min="5762" max="5763" width="9.140625" style="94" hidden="1" customWidth="1"/>
    <col min="5764" max="5764" width="1.7109375" style="94" customWidth="1"/>
    <col min="5765" max="5862" width="9.140625" style="94" hidden="1"/>
    <col min="5863" max="5865" width="9.140625" style="94" customWidth="1"/>
    <col min="5866" max="5866" width="11.140625" style="94" customWidth="1"/>
    <col min="5867" max="5867" width="9.140625" style="94" customWidth="1"/>
    <col min="5868" max="5868" width="9.28515625" style="94" customWidth="1"/>
    <col min="5869" max="5869" width="10.85546875" style="94" customWidth="1"/>
    <col min="5870" max="5889" width="9.140625" style="94" hidden="1" customWidth="1"/>
    <col min="5890" max="5890" width="7.28515625" style="94" customWidth="1"/>
    <col min="5891" max="5892" width="9.140625" style="94" customWidth="1"/>
    <col min="5893" max="5893" width="12" style="94" customWidth="1"/>
    <col min="5894" max="6016" width="11.7109375" style="94" customWidth="1"/>
    <col min="6017" max="6017" width="1.7109375" style="94" customWidth="1"/>
    <col min="6018" max="6019" width="9.140625" style="94" hidden="1" customWidth="1"/>
    <col min="6020" max="6020" width="1.7109375" style="94" customWidth="1"/>
    <col min="6021" max="6118" width="9.140625" style="94" hidden="1"/>
    <col min="6119" max="6121" width="9.140625" style="94" customWidth="1"/>
    <col min="6122" max="6122" width="11.140625" style="94" customWidth="1"/>
    <col min="6123" max="6123" width="9.140625" style="94" customWidth="1"/>
    <col min="6124" max="6124" width="9.28515625" style="94" customWidth="1"/>
    <col min="6125" max="6125" width="10.85546875" style="94" customWidth="1"/>
    <col min="6126" max="6145" width="9.140625" style="94" hidden="1" customWidth="1"/>
    <col min="6146" max="6146" width="7.28515625" style="94" customWidth="1"/>
    <col min="6147" max="6148" width="9.140625" style="94" customWidth="1"/>
    <col min="6149" max="6149" width="12" style="94" customWidth="1"/>
    <col min="6150" max="6272" width="11.7109375" style="94" customWidth="1"/>
    <col min="6273" max="6273" width="1.7109375" style="94" customWidth="1"/>
    <col min="6274" max="6275" width="9.140625" style="94" hidden="1" customWidth="1"/>
    <col min="6276" max="6276" width="1.7109375" style="94" customWidth="1"/>
    <col min="6277" max="6374" width="9.140625" style="94" hidden="1"/>
    <col min="6375" max="6377" width="9.140625" style="94" customWidth="1"/>
    <col min="6378" max="6378" width="11.140625" style="94" customWidth="1"/>
    <col min="6379" max="6379" width="9.140625" style="94" customWidth="1"/>
    <col min="6380" max="6380" width="9.28515625" style="94" customWidth="1"/>
    <col min="6381" max="6381" width="10.85546875" style="94" customWidth="1"/>
    <col min="6382" max="6401" width="9.140625" style="94" hidden="1" customWidth="1"/>
    <col min="6402" max="6402" width="7.28515625" style="94" customWidth="1"/>
    <col min="6403" max="6404" width="9.140625" style="94" customWidth="1"/>
    <col min="6405" max="6405" width="12" style="94" customWidth="1"/>
    <col min="6406" max="6528" width="11.7109375" style="94" customWidth="1"/>
    <col min="6529" max="6529" width="1.7109375" style="94" customWidth="1"/>
    <col min="6530" max="6531" width="9.140625" style="94" hidden="1" customWidth="1"/>
    <col min="6532" max="6532" width="1.7109375" style="94" customWidth="1"/>
    <col min="6533" max="6630" width="9.140625" style="94" hidden="1"/>
    <col min="6631" max="6633" width="9.140625" style="94" customWidth="1"/>
    <col min="6634" max="6634" width="11.140625" style="94" customWidth="1"/>
    <col min="6635" max="6635" width="9.140625" style="94" customWidth="1"/>
    <col min="6636" max="6636" width="9.28515625" style="94" customWidth="1"/>
    <col min="6637" max="6637" width="10.85546875" style="94" customWidth="1"/>
    <col min="6638" max="6657" width="9.140625" style="94" hidden="1" customWidth="1"/>
    <col min="6658" max="6658" width="7.28515625" style="94" customWidth="1"/>
    <col min="6659" max="6660" width="9.140625" style="94" customWidth="1"/>
    <col min="6661" max="6661" width="12" style="94" customWidth="1"/>
    <col min="6662" max="6784" width="11.7109375" style="94" customWidth="1"/>
    <col min="6785" max="6785" width="1.7109375" style="94" customWidth="1"/>
    <col min="6786" max="6787" width="9.140625" style="94" hidden="1" customWidth="1"/>
    <col min="6788" max="6788" width="1.7109375" style="94" customWidth="1"/>
    <col min="6789" max="6886" width="9.140625" style="94" hidden="1"/>
    <col min="6887" max="6889" width="9.140625" style="94" customWidth="1"/>
    <col min="6890" max="6890" width="11.140625" style="94" customWidth="1"/>
    <col min="6891" max="6891" width="9.140625" style="94" customWidth="1"/>
    <col min="6892" max="6892" width="9.28515625" style="94" customWidth="1"/>
    <col min="6893" max="6893" width="10.85546875" style="94" customWidth="1"/>
    <col min="6894" max="6913" width="9.140625" style="94" hidden="1" customWidth="1"/>
    <col min="6914" max="6914" width="7.28515625" style="94" customWidth="1"/>
    <col min="6915" max="6916" width="9.140625" style="94" customWidth="1"/>
    <col min="6917" max="6917" width="12" style="94" customWidth="1"/>
    <col min="6918" max="7040" width="11.7109375" style="94" customWidth="1"/>
    <col min="7041" max="7041" width="1.7109375" style="94" customWidth="1"/>
    <col min="7042" max="7043" width="9.140625" style="94" hidden="1" customWidth="1"/>
    <col min="7044" max="7044" width="1.7109375" style="94" customWidth="1"/>
    <col min="7045" max="7142" width="9.140625" style="94" hidden="1"/>
    <col min="7143" max="7145" width="9.140625" style="94" customWidth="1"/>
    <col min="7146" max="7146" width="11.140625" style="94" customWidth="1"/>
    <col min="7147" max="7147" width="9.140625" style="94" customWidth="1"/>
    <col min="7148" max="7148" width="9.28515625" style="94" customWidth="1"/>
    <col min="7149" max="7149" width="10.85546875" style="94" customWidth="1"/>
    <col min="7150" max="7169" width="9.140625" style="94" hidden="1" customWidth="1"/>
    <col min="7170" max="7170" width="7.28515625" style="94" customWidth="1"/>
    <col min="7171" max="7172" width="9.140625" style="94" customWidth="1"/>
    <col min="7173" max="7173" width="12" style="94" customWidth="1"/>
    <col min="7174" max="7296" width="11.7109375" style="94" customWidth="1"/>
    <col min="7297" max="7297" width="1.7109375" style="94" customWidth="1"/>
    <col min="7298" max="7299" width="9.140625" style="94" hidden="1" customWidth="1"/>
    <col min="7300" max="7300" width="1.7109375" style="94" customWidth="1"/>
    <col min="7301" max="7398" width="9.140625" style="94" hidden="1"/>
    <col min="7399" max="7401" width="9.140625" style="94" customWidth="1"/>
    <col min="7402" max="7402" width="11.140625" style="94" customWidth="1"/>
    <col min="7403" max="7403" width="9.140625" style="94" customWidth="1"/>
    <col min="7404" max="7404" width="9.28515625" style="94" customWidth="1"/>
    <col min="7405" max="7405" width="10.85546875" style="94" customWidth="1"/>
    <col min="7406" max="7425" width="9.140625" style="94" hidden="1" customWidth="1"/>
    <col min="7426" max="7426" width="7.28515625" style="94" customWidth="1"/>
    <col min="7427" max="7428" width="9.140625" style="94" customWidth="1"/>
    <col min="7429" max="7429" width="12" style="94" customWidth="1"/>
    <col min="7430" max="7552" width="11.7109375" style="94" customWidth="1"/>
    <col min="7553" max="7553" width="1.7109375" style="94" customWidth="1"/>
    <col min="7554" max="7555" width="9.140625" style="94" hidden="1" customWidth="1"/>
    <col min="7556" max="7556" width="1.7109375" style="94" customWidth="1"/>
    <col min="7557" max="7654" width="9.140625" style="94" hidden="1"/>
    <col min="7655" max="7657" width="9.140625" style="94" customWidth="1"/>
    <col min="7658" max="7658" width="11.140625" style="94" customWidth="1"/>
    <col min="7659" max="7659" width="9.140625" style="94" customWidth="1"/>
    <col min="7660" max="7660" width="9.28515625" style="94" customWidth="1"/>
    <col min="7661" max="7661" width="10.85546875" style="94" customWidth="1"/>
    <col min="7662" max="7681" width="9.140625" style="94" hidden="1" customWidth="1"/>
    <col min="7682" max="7682" width="7.28515625" style="94" customWidth="1"/>
    <col min="7683" max="7684" width="9.140625" style="94" customWidth="1"/>
    <col min="7685" max="7685" width="12" style="94" customWidth="1"/>
    <col min="7686" max="7808" width="11.7109375" style="94" customWidth="1"/>
    <col min="7809" max="7809" width="1.7109375" style="94" customWidth="1"/>
    <col min="7810" max="7811" width="9.140625" style="94" hidden="1" customWidth="1"/>
    <col min="7812" max="7812" width="1.7109375" style="94" customWidth="1"/>
    <col min="7813" max="7910" width="9.140625" style="94" hidden="1"/>
    <col min="7911" max="7913" width="9.140625" style="94" customWidth="1"/>
    <col min="7914" max="7914" width="11.140625" style="94" customWidth="1"/>
    <col min="7915" max="7915" width="9.140625" style="94" customWidth="1"/>
    <col min="7916" max="7916" width="9.28515625" style="94" customWidth="1"/>
    <col min="7917" max="7917" width="10.85546875" style="94" customWidth="1"/>
    <col min="7918" max="7937" width="9.140625" style="94" hidden="1" customWidth="1"/>
    <col min="7938" max="7938" width="7.28515625" style="94" customWidth="1"/>
    <col min="7939" max="7940" width="9.140625" style="94" customWidth="1"/>
    <col min="7941" max="7941" width="12" style="94" customWidth="1"/>
    <col min="7942" max="8064" width="11.7109375" style="94" customWidth="1"/>
    <col min="8065" max="8065" width="1.7109375" style="94" customWidth="1"/>
    <col min="8066" max="8067" width="9.140625" style="94" hidden="1" customWidth="1"/>
    <col min="8068" max="8068" width="1.7109375" style="94" customWidth="1"/>
    <col min="8069" max="8166" width="9.140625" style="94" hidden="1"/>
    <col min="8167" max="8169" width="9.140625" style="94" customWidth="1"/>
    <col min="8170" max="8170" width="11.140625" style="94" customWidth="1"/>
    <col min="8171" max="8171" width="9.140625" style="94" customWidth="1"/>
    <col min="8172" max="8172" width="9.28515625" style="94" customWidth="1"/>
    <col min="8173" max="8173" width="10.85546875" style="94" customWidth="1"/>
    <col min="8174" max="8193" width="9.140625" style="94" hidden="1" customWidth="1"/>
    <col min="8194" max="8194" width="7.28515625" style="94" customWidth="1"/>
    <col min="8195" max="8196" width="9.140625" style="94" customWidth="1"/>
    <col min="8197" max="8197" width="12" style="94" customWidth="1"/>
    <col min="8198" max="8320" width="11.7109375" style="94" customWidth="1"/>
    <col min="8321" max="8321" width="1.7109375" style="94" customWidth="1"/>
    <col min="8322" max="8323" width="9.140625" style="94" hidden="1" customWidth="1"/>
    <col min="8324" max="8324" width="1.7109375" style="94" customWidth="1"/>
    <col min="8325" max="8422" width="9.140625" style="94" hidden="1"/>
    <col min="8423" max="8425" width="9.140625" style="94" customWidth="1"/>
    <col min="8426" max="8426" width="11.140625" style="94" customWidth="1"/>
    <col min="8427" max="8427" width="9.140625" style="94" customWidth="1"/>
    <col min="8428" max="8428" width="9.28515625" style="94" customWidth="1"/>
    <col min="8429" max="8429" width="10.85546875" style="94" customWidth="1"/>
    <col min="8430" max="8449" width="9.140625" style="94" hidden="1" customWidth="1"/>
    <col min="8450" max="8450" width="7.28515625" style="94" customWidth="1"/>
    <col min="8451" max="8452" width="9.140625" style="94" customWidth="1"/>
    <col min="8453" max="8453" width="12" style="94" customWidth="1"/>
    <col min="8454" max="8576" width="11.7109375" style="94" customWidth="1"/>
    <col min="8577" max="8577" width="1.7109375" style="94" customWidth="1"/>
    <col min="8578" max="8579" width="9.140625" style="94" hidden="1" customWidth="1"/>
    <col min="8580" max="8580" width="1.7109375" style="94" customWidth="1"/>
    <col min="8581" max="8678" width="9.140625" style="94" hidden="1"/>
    <col min="8679" max="8681" width="9.140625" style="94" customWidth="1"/>
    <col min="8682" max="8682" width="11.140625" style="94" customWidth="1"/>
    <col min="8683" max="8683" width="9.140625" style="94" customWidth="1"/>
    <col min="8684" max="8684" width="9.28515625" style="94" customWidth="1"/>
    <col min="8685" max="8685" width="10.85546875" style="94" customWidth="1"/>
    <col min="8686" max="8705" width="9.140625" style="94" hidden="1" customWidth="1"/>
    <col min="8706" max="8706" width="7.28515625" style="94" customWidth="1"/>
    <col min="8707" max="8708" width="9.140625" style="94" customWidth="1"/>
    <col min="8709" max="8709" width="12" style="94" customWidth="1"/>
    <col min="8710" max="8832" width="11.7109375" style="94" customWidth="1"/>
    <col min="8833" max="8833" width="1.7109375" style="94" customWidth="1"/>
    <col min="8834" max="8835" width="9.140625" style="94" hidden="1" customWidth="1"/>
    <col min="8836" max="8836" width="1.7109375" style="94" customWidth="1"/>
    <col min="8837" max="8934" width="9.140625" style="94" hidden="1"/>
    <col min="8935" max="8937" width="9.140625" style="94" customWidth="1"/>
    <col min="8938" max="8938" width="11.140625" style="94" customWidth="1"/>
    <col min="8939" max="8939" width="9.140625" style="94" customWidth="1"/>
    <col min="8940" max="8940" width="9.28515625" style="94" customWidth="1"/>
    <col min="8941" max="8941" width="10.85546875" style="94" customWidth="1"/>
    <col min="8942" max="8961" width="9.140625" style="94" hidden="1" customWidth="1"/>
    <col min="8962" max="8962" width="7.28515625" style="94" customWidth="1"/>
    <col min="8963" max="8964" width="9.140625" style="94" customWidth="1"/>
    <col min="8965" max="8965" width="12" style="94" customWidth="1"/>
    <col min="8966" max="9088" width="11.7109375" style="94" customWidth="1"/>
    <col min="9089" max="9089" width="1.7109375" style="94" customWidth="1"/>
    <col min="9090" max="9091" width="9.140625" style="94" hidden="1" customWidth="1"/>
    <col min="9092" max="9092" width="1.7109375" style="94" customWidth="1"/>
    <col min="9093" max="9190" width="9.140625" style="94" hidden="1"/>
    <col min="9191" max="9193" width="9.140625" style="94" customWidth="1"/>
    <col min="9194" max="9194" width="11.140625" style="94" customWidth="1"/>
    <col min="9195" max="9195" width="9.140625" style="94" customWidth="1"/>
    <col min="9196" max="9196" width="9.28515625" style="94" customWidth="1"/>
    <col min="9197" max="9197" width="10.85546875" style="94" customWidth="1"/>
    <col min="9198" max="9217" width="9.140625" style="94" hidden="1" customWidth="1"/>
    <col min="9218" max="9218" width="7.28515625" style="94" customWidth="1"/>
    <col min="9219" max="9220" width="9.140625" style="94" customWidth="1"/>
    <col min="9221" max="9221" width="12" style="94" customWidth="1"/>
    <col min="9222" max="9344" width="11.7109375" style="94" customWidth="1"/>
    <col min="9345" max="9345" width="1.7109375" style="94" customWidth="1"/>
    <col min="9346" max="9347" width="9.140625" style="94" hidden="1" customWidth="1"/>
    <col min="9348" max="9348" width="1.7109375" style="94" customWidth="1"/>
    <col min="9349" max="9446" width="9.140625" style="94" hidden="1"/>
    <col min="9447" max="9449" width="9.140625" style="94" customWidth="1"/>
    <col min="9450" max="9450" width="11.140625" style="94" customWidth="1"/>
    <col min="9451" max="9451" width="9.140625" style="94" customWidth="1"/>
    <col min="9452" max="9452" width="9.28515625" style="94" customWidth="1"/>
    <col min="9453" max="9453" width="10.85546875" style="94" customWidth="1"/>
    <col min="9454" max="9473" width="9.140625" style="94" hidden="1" customWidth="1"/>
    <col min="9474" max="9474" width="7.28515625" style="94" customWidth="1"/>
    <col min="9475" max="9476" width="9.140625" style="94" customWidth="1"/>
    <col min="9477" max="9477" width="12" style="94" customWidth="1"/>
    <col min="9478" max="9600" width="11.7109375" style="94" customWidth="1"/>
    <col min="9601" max="9601" width="1.7109375" style="94" customWidth="1"/>
    <col min="9602" max="9603" width="9.140625" style="94" hidden="1" customWidth="1"/>
    <col min="9604" max="9604" width="1.7109375" style="94" customWidth="1"/>
    <col min="9605" max="9702" width="9.140625" style="94" hidden="1"/>
    <col min="9703" max="9705" width="9.140625" style="94" customWidth="1"/>
    <col min="9706" max="9706" width="11.140625" style="94" customWidth="1"/>
    <col min="9707" max="9707" width="9.140625" style="94" customWidth="1"/>
    <col min="9708" max="9708" width="9.28515625" style="94" customWidth="1"/>
    <col min="9709" max="9709" width="10.85546875" style="94" customWidth="1"/>
    <col min="9710" max="9729" width="9.140625" style="94" hidden="1" customWidth="1"/>
    <col min="9730" max="9730" width="7.28515625" style="94" customWidth="1"/>
    <col min="9731" max="9732" width="9.140625" style="94" customWidth="1"/>
    <col min="9733" max="9733" width="12" style="94" customWidth="1"/>
    <col min="9734" max="9856" width="11.7109375" style="94" customWidth="1"/>
    <col min="9857" max="9857" width="1.7109375" style="94" customWidth="1"/>
    <col min="9858" max="9859" width="9.140625" style="94" hidden="1" customWidth="1"/>
    <col min="9860" max="9860" width="1.7109375" style="94" customWidth="1"/>
    <col min="9861" max="9958" width="9.140625" style="94" hidden="1"/>
    <col min="9959" max="9961" width="9.140625" style="94" customWidth="1"/>
    <col min="9962" max="9962" width="11.140625" style="94" customWidth="1"/>
    <col min="9963" max="9963" width="9.140625" style="94" customWidth="1"/>
    <col min="9964" max="9964" width="9.28515625" style="94" customWidth="1"/>
    <col min="9965" max="9965" width="10.85546875" style="94" customWidth="1"/>
    <col min="9966" max="9985" width="9.140625" style="94" hidden="1" customWidth="1"/>
    <col min="9986" max="9986" width="7.28515625" style="94" customWidth="1"/>
    <col min="9987" max="9988" width="9.140625" style="94" customWidth="1"/>
    <col min="9989" max="9989" width="12" style="94" customWidth="1"/>
    <col min="9990" max="10112" width="11.7109375" style="94" customWidth="1"/>
    <col min="10113" max="10113" width="1.7109375" style="94" customWidth="1"/>
    <col min="10114" max="10115" width="9.140625" style="94" hidden="1" customWidth="1"/>
    <col min="10116" max="10116" width="1.7109375" style="94" customWidth="1"/>
    <col min="10117" max="10214" width="9.140625" style="94" hidden="1"/>
    <col min="10215" max="10217" width="9.140625" style="94" customWidth="1"/>
    <col min="10218" max="10218" width="11.140625" style="94" customWidth="1"/>
    <col min="10219" max="10219" width="9.140625" style="94" customWidth="1"/>
    <col min="10220" max="10220" width="9.28515625" style="94" customWidth="1"/>
    <col min="10221" max="10221" width="10.85546875" style="94" customWidth="1"/>
    <col min="10222" max="10241" width="9.140625" style="94" hidden="1" customWidth="1"/>
    <col min="10242" max="10242" width="7.28515625" style="94" customWidth="1"/>
    <col min="10243" max="10244" width="9.140625" style="94" customWidth="1"/>
    <col min="10245" max="10245" width="12" style="94" customWidth="1"/>
    <col min="10246" max="10368" width="11.7109375" style="94" customWidth="1"/>
    <col min="10369" max="10369" width="1.7109375" style="94" customWidth="1"/>
    <col min="10370" max="10371" width="9.140625" style="94" hidden="1" customWidth="1"/>
    <col min="10372" max="10372" width="1.7109375" style="94" customWidth="1"/>
    <col min="10373" max="10470" width="9.140625" style="94" hidden="1"/>
    <col min="10471" max="10473" width="9.140625" style="94" customWidth="1"/>
    <col min="10474" max="10474" width="11.140625" style="94" customWidth="1"/>
    <col min="10475" max="10475" width="9.140625" style="94" customWidth="1"/>
    <col min="10476" max="10476" width="9.28515625" style="94" customWidth="1"/>
    <col min="10477" max="10477" width="10.85546875" style="94" customWidth="1"/>
    <col min="10478" max="10497" width="9.140625" style="94" hidden="1" customWidth="1"/>
    <col min="10498" max="10498" width="7.28515625" style="94" customWidth="1"/>
    <col min="10499" max="10500" width="9.140625" style="94" customWidth="1"/>
    <col min="10501" max="10501" width="12" style="94" customWidth="1"/>
    <col min="10502" max="10624" width="11.7109375" style="94" customWidth="1"/>
    <col min="10625" max="10625" width="1.7109375" style="94" customWidth="1"/>
    <col min="10626" max="10627" width="9.140625" style="94" hidden="1" customWidth="1"/>
    <col min="10628" max="10628" width="1.7109375" style="94" customWidth="1"/>
    <col min="10629" max="10726" width="9.140625" style="94" hidden="1"/>
    <col min="10727" max="10729" width="9.140625" style="94" customWidth="1"/>
    <col min="10730" max="10730" width="11.140625" style="94" customWidth="1"/>
    <col min="10731" max="10731" width="9.140625" style="94" customWidth="1"/>
    <col min="10732" max="10732" width="9.28515625" style="94" customWidth="1"/>
    <col min="10733" max="10733" width="10.85546875" style="94" customWidth="1"/>
    <col min="10734" max="10753" width="9.140625" style="94" hidden="1" customWidth="1"/>
    <col min="10754" max="10754" width="7.28515625" style="94" customWidth="1"/>
    <col min="10755" max="10756" width="9.140625" style="94" customWidth="1"/>
    <col min="10757" max="10757" width="12" style="94" customWidth="1"/>
    <col min="10758" max="10880" width="11.7109375" style="94" customWidth="1"/>
    <col min="10881" max="10881" width="1.7109375" style="94" customWidth="1"/>
    <col min="10882" max="10883" width="9.140625" style="94" hidden="1" customWidth="1"/>
    <col min="10884" max="10884" width="1.7109375" style="94" customWidth="1"/>
    <col min="10885" max="10982" width="9.140625" style="94" hidden="1"/>
    <col min="10983" max="10985" width="9.140625" style="94" customWidth="1"/>
    <col min="10986" max="10986" width="11.140625" style="94" customWidth="1"/>
    <col min="10987" max="10987" width="9.140625" style="94" customWidth="1"/>
    <col min="10988" max="10988" width="9.28515625" style="94" customWidth="1"/>
    <col min="10989" max="10989" width="10.85546875" style="94" customWidth="1"/>
    <col min="10990" max="11009" width="9.140625" style="94" hidden="1" customWidth="1"/>
    <col min="11010" max="11010" width="7.28515625" style="94" customWidth="1"/>
    <col min="11011" max="11012" width="9.140625" style="94" customWidth="1"/>
    <col min="11013" max="11013" width="12" style="94" customWidth="1"/>
    <col min="11014" max="11136" width="11.7109375" style="94" customWidth="1"/>
    <col min="11137" max="11137" width="1.7109375" style="94" customWidth="1"/>
    <col min="11138" max="11139" width="9.140625" style="94" hidden="1" customWidth="1"/>
    <col min="11140" max="11140" width="1.7109375" style="94" customWidth="1"/>
    <col min="11141" max="11238" width="9.140625" style="94" hidden="1"/>
    <col min="11239" max="11241" width="9.140625" style="94" customWidth="1"/>
    <col min="11242" max="11242" width="11.140625" style="94" customWidth="1"/>
    <col min="11243" max="11243" width="9.140625" style="94" customWidth="1"/>
    <col min="11244" max="11244" width="9.28515625" style="94" customWidth="1"/>
    <col min="11245" max="11245" width="10.85546875" style="94" customWidth="1"/>
    <col min="11246" max="11265" width="9.140625" style="94" hidden="1" customWidth="1"/>
    <col min="11266" max="11266" width="7.28515625" style="94" customWidth="1"/>
    <col min="11267" max="11268" width="9.140625" style="94" customWidth="1"/>
    <col min="11269" max="11269" width="12" style="94" customWidth="1"/>
    <col min="11270" max="11392" width="11.7109375" style="94" customWidth="1"/>
    <col min="11393" max="11393" width="1.7109375" style="94" customWidth="1"/>
    <col min="11394" max="11395" width="9.140625" style="94" hidden="1" customWidth="1"/>
    <col min="11396" max="11396" width="1.7109375" style="94" customWidth="1"/>
    <col min="11397" max="11494" width="9.140625" style="94" hidden="1"/>
    <col min="11495" max="11497" width="9.140625" style="94" customWidth="1"/>
    <col min="11498" max="11498" width="11.140625" style="94" customWidth="1"/>
    <col min="11499" max="11499" width="9.140625" style="94" customWidth="1"/>
    <col min="11500" max="11500" width="9.28515625" style="94" customWidth="1"/>
    <col min="11501" max="11501" width="10.85546875" style="94" customWidth="1"/>
    <col min="11502" max="11521" width="9.140625" style="94" hidden="1" customWidth="1"/>
    <col min="11522" max="11522" width="7.28515625" style="94" customWidth="1"/>
    <col min="11523" max="11524" width="9.140625" style="94" customWidth="1"/>
    <col min="11525" max="11525" width="12" style="94" customWidth="1"/>
    <col min="11526" max="11648" width="11.7109375" style="94" customWidth="1"/>
    <col min="11649" max="11649" width="1.7109375" style="94" customWidth="1"/>
    <col min="11650" max="11651" width="9.140625" style="94" hidden="1" customWidth="1"/>
    <col min="11652" max="11652" width="1.7109375" style="94" customWidth="1"/>
    <col min="11653" max="11750" width="9.140625" style="94" hidden="1"/>
    <col min="11751" max="11753" width="9.140625" style="94" customWidth="1"/>
    <col min="11754" max="11754" width="11.140625" style="94" customWidth="1"/>
    <col min="11755" max="11755" width="9.140625" style="94" customWidth="1"/>
    <col min="11756" max="11756" width="9.28515625" style="94" customWidth="1"/>
    <col min="11757" max="11757" width="10.85546875" style="94" customWidth="1"/>
    <col min="11758" max="11777" width="9.140625" style="94" hidden="1" customWidth="1"/>
    <col min="11778" max="11778" width="7.28515625" style="94" customWidth="1"/>
    <col min="11779" max="11780" width="9.140625" style="94" customWidth="1"/>
    <col min="11781" max="11781" width="12" style="94" customWidth="1"/>
    <col min="11782" max="11904" width="11.7109375" style="94" customWidth="1"/>
    <col min="11905" max="11905" width="1.7109375" style="94" customWidth="1"/>
    <col min="11906" max="11907" width="9.140625" style="94" hidden="1" customWidth="1"/>
    <col min="11908" max="11908" width="1.7109375" style="94" customWidth="1"/>
    <col min="11909" max="12006" width="9.140625" style="94" hidden="1"/>
    <col min="12007" max="12009" width="9.140625" style="94" customWidth="1"/>
    <col min="12010" max="12010" width="11.140625" style="94" customWidth="1"/>
    <col min="12011" max="12011" width="9.140625" style="94" customWidth="1"/>
    <col min="12012" max="12012" width="9.28515625" style="94" customWidth="1"/>
    <col min="12013" max="12013" width="10.85546875" style="94" customWidth="1"/>
    <col min="12014" max="12033" width="9.140625" style="94" hidden="1" customWidth="1"/>
    <col min="12034" max="12034" width="7.28515625" style="94" customWidth="1"/>
    <col min="12035" max="12036" width="9.140625" style="94" customWidth="1"/>
    <col min="12037" max="12037" width="12" style="94" customWidth="1"/>
    <col min="12038" max="12160" width="11.7109375" style="94" customWidth="1"/>
    <col min="12161" max="12161" width="1.7109375" style="94" customWidth="1"/>
    <col min="12162" max="12163" width="9.140625" style="94" hidden="1" customWidth="1"/>
    <col min="12164" max="12164" width="1.7109375" style="94" customWidth="1"/>
    <col min="12165" max="12262" width="9.140625" style="94" hidden="1"/>
    <col min="12263" max="12265" width="9.140625" style="94" customWidth="1"/>
    <col min="12266" max="12266" width="11.140625" style="94" customWidth="1"/>
    <col min="12267" max="12267" width="9.140625" style="94" customWidth="1"/>
    <col min="12268" max="12268" width="9.28515625" style="94" customWidth="1"/>
    <col min="12269" max="12269" width="10.85546875" style="94" customWidth="1"/>
    <col min="12270" max="12289" width="9.140625" style="94" hidden="1" customWidth="1"/>
    <col min="12290" max="12290" width="7.28515625" style="94" customWidth="1"/>
    <col min="12291" max="12292" width="9.140625" style="94" customWidth="1"/>
    <col min="12293" max="12293" width="12" style="94" customWidth="1"/>
    <col min="12294" max="12416" width="11.7109375" style="94" customWidth="1"/>
    <col min="12417" max="12417" width="1.7109375" style="94" customWidth="1"/>
    <col min="12418" max="12419" width="9.140625" style="94" hidden="1" customWidth="1"/>
    <col min="12420" max="12420" width="1.7109375" style="94" customWidth="1"/>
    <col min="12421" max="12518" width="9.140625" style="94" hidden="1"/>
    <col min="12519" max="12521" width="9.140625" style="94" customWidth="1"/>
    <col min="12522" max="12522" width="11.140625" style="94" customWidth="1"/>
    <col min="12523" max="12523" width="9.140625" style="94" customWidth="1"/>
    <col min="12524" max="12524" width="9.28515625" style="94" customWidth="1"/>
    <col min="12525" max="12525" width="10.85546875" style="94" customWidth="1"/>
    <col min="12526" max="12545" width="9.140625" style="94" hidden="1" customWidth="1"/>
    <col min="12546" max="12546" width="7.28515625" style="94" customWidth="1"/>
    <col min="12547" max="12548" width="9.140625" style="94" customWidth="1"/>
    <col min="12549" max="12549" width="12" style="94" customWidth="1"/>
    <col min="12550" max="12672" width="11.7109375" style="94" customWidth="1"/>
    <col min="12673" max="12673" width="1.7109375" style="94" customWidth="1"/>
    <col min="12674" max="12675" width="9.140625" style="94" hidden="1" customWidth="1"/>
    <col min="12676" max="12676" width="1.7109375" style="94" customWidth="1"/>
    <col min="12677" max="12774" width="9.140625" style="94" hidden="1"/>
    <col min="12775" max="12777" width="9.140625" style="94" customWidth="1"/>
    <col min="12778" max="12778" width="11.140625" style="94" customWidth="1"/>
    <col min="12779" max="12779" width="9.140625" style="94" customWidth="1"/>
    <col min="12780" max="12780" width="9.28515625" style="94" customWidth="1"/>
    <col min="12781" max="12781" width="10.85546875" style="94" customWidth="1"/>
    <col min="12782" max="12801" width="9.140625" style="94" hidden="1" customWidth="1"/>
    <col min="12802" max="12802" width="7.28515625" style="94" customWidth="1"/>
    <col min="12803" max="12804" width="9.140625" style="94" customWidth="1"/>
    <col min="12805" max="12805" width="12" style="94" customWidth="1"/>
    <col min="12806" max="12928" width="11.7109375" style="94" customWidth="1"/>
    <col min="12929" max="12929" width="1.7109375" style="94" customWidth="1"/>
    <col min="12930" max="12931" width="9.140625" style="94" hidden="1" customWidth="1"/>
    <col min="12932" max="12932" width="1.7109375" style="94" customWidth="1"/>
    <col min="12933" max="13030" width="9.140625" style="94" hidden="1"/>
    <col min="13031" max="13033" width="9.140625" style="94" customWidth="1"/>
    <col min="13034" max="13034" width="11.140625" style="94" customWidth="1"/>
    <col min="13035" max="13035" width="9.140625" style="94" customWidth="1"/>
    <col min="13036" max="13036" width="9.28515625" style="94" customWidth="1"/>
    <col min="13037" max="13037" width="10.85546875" style="94" customWidth="1"/>
    <col min="13038" max="13057" width="9.140625" style="94" hidden="1" customWidth="1"/>
    <col min="13058" max="13058" width="7.28515625" style="94" customWidth="1"/>
    <col min="13059" max="13060" width="9.140625" style="94" customWidth="1"/>
    <col min="13061" max="13061" width="12" style="94" customWidth="1"/>
    <col min="13062" max="13184" width="11.7109375" style="94" customWidth="1"/>
    <col min="13185" max="13185" width="1.7109375" style="94" customWidth="1"/>
    <col min="13186" max="13187" width="9.140625" style="94" hidden="1" customWidth="1"/>
    <col min="13188" max="13188" width="1.7109375" style="94" customWidth="1"/>
    <col min="13189" max="13286" width="9.140625" style="94" hidden="1"/>
    <col min="13287" max="13289" width="9.140625" style="94" customWidth="1"/>
    <col min="13290" max="13290" width="11.140625" style="94" customWidth="1"/>
    <col min="13291" max="13291" width="9.140625" style="94" customWidth="1"/>
    <col min="13292" max="13292" width="9.28515625" style="94" customWidth="1"/>
    <col min="13293" max="13293" width="10.85546875" style="94" customWidth="1"/>
    <col min="13294" max="13313" width="9.140625" style="94" hidden="1" customWidth="1"/>
    <col min="13314" max="13314" width="7.28515625" style="94" customWidth="1"/>
    <col min="13315" max="13316" width="9.140625" style="94" customWidth="1"/>
    <col min="13317" max="13317" width="12" style="94" customWidth="1"/>
    <col min="13318" max="13440" width="11.7109375" style="94" customWidth="1"/>
    <col min="13441" max="13441" width="1.7109375" style="94" customWidth="1"/>
    <col min="13442" max="13443" width="9.140625" style="94" hidden="1" customWidth="1"/>
    <col min="13444" max="13444" width="1.7109375" style="94" customWidth="1"/>
    <col min="13445" max="13542" width="9.140625" style="94" hidden="1"/>
    <col min="13543" max="13545" width="9.140625" style="94" customWidth="1"/>
    <col min="13546" max="13546" width="11.140625" style="94" customWidth="1"/>
    <col min="13547" max="13547" width="9.140625" style="94" customWidth="1"/>
    <col min="13548" max="13548" width="9.28515625" style="94" customWidth="1"/>
    <col min="13549" max="13549" width="10.85546875" style="94" customWidth="1"/>
    <col min="13550" max="13569" width="9.140625" style="94" hidden="1" customWidth="1"/>
    <col min="13570" max="13570" width="7.28515625" style="94" customWidth="1"/>
    <col min="13571" max="13572" width="9.140625" style="94" customWidth="1"/>
    <col min="13573" max="13573" width="12" style="94" customWidth="1"/>
    <col min="13574" max="13696" width="11.7109375" style="94" customWidth="1"/>
    <col min="13697" max="13697" width="1.7109375" style="94" customWidth="1"/>
    <col min="13698" max="13699" width="9.140625" style="94" hidden="1" customWidth="1"/>
    <col min="13700" max="13700" width="1.7109375" style="94" customWidth="1"/>
    <col min="13701" max="13798" width="9.140625" style="94" hidden="1"/>
    <col min="13799" max="13801" width="9.140625" style="94" customWidth="1"/>
    <col min="13802" max="13802" width="11.140625" style="94" customWidth="1"/>
    <col min="13803" max="13803" width="9.140625" style="94" customWidth="1"/>
    <col min="13804" max="13804" width="9.28515625" style="94" customWidth="1"/>
    <col min="13805" max="13805" width="10.85546875" style="94" customWidth="1"/>
    <col min="13806" max="13825" width="9.140625" style="94" hidden="1" customWidth="1"/>
    <col min="13826" max="13826" width="7.28515625" style="94" customWidth="1"/>
    <col min="13827" max="13828" width="9.140625" style="94" customWidth="1"/>
    <col min="13829" max="13829" width="12" style="94" customWidth="1"/>
    <col min="13830" max="13952" width="11.7109375" style="94" customWidth="1"/>
    <col min="13953" max="13953" width="1.7109375" style="94" customWidth="1"/>
    <col min="13954" max="13955" width="9.140625" style="94" hidden="1" customWidth="1"/>
    <col min="13956" max="13956" width="1.7109375" style="94" customWidth="1"/>
    <col min="13957" max="14054" width="9.140625" style="94" hidden="1"/>
    <col min="14055" max="14057" width="9.140625" style="94" customWidth="1"/>
    <col min="14058" max="14058" width="11.140625" style="94" customWidth="1"/>
    <col min="14059" max="14059" width="9.140625" style="94" customWidth="1"/>
    <col min="14060" max="14060" width="9.28515625" style="94" customWidth="1"/>
    <col min="14061" max="14061" width="10.85546875" style="94" customWidth="1"/>
    <col min="14062" max="14081" width="9.140625" style="94" hidden="1" customWidth="1"/>
    <col min="14082" max="14082" width="7.28515625" style="94" customWidth="1"/>
    <col min="14083" max="14084" width="9.140625" style="94" customWidth="1"/>
    <col min="14085" max="14085" width="12" style="94" customWidth="1"/>
    <col min="14086" max="14208" width="11.7109375" style="94" customWidth="1"/>
    <col min="14209" max="14209" width="1.7109375" style="94" customWidth="1"/>
    <col min="14210" max="14211" width="9.140625" style="94" hidden="1" customWidth="1"/>
    <col min="14212" max="14212" width="1.7109375" style="94" customWidth="1"/>
    <col min="14213" max="14310" width="9.140625" style="94" hidden="1"/>
    <col min="14311" max="14313" width="9.140625" style="94" customWidth="1"/>
    <col min="14314" max="14314" width="11.140625" style="94" customWidth="1"/>
    <col min="14315" max="14315" width="9.140625" style="94" customWidth="1"/>
    <col min="14316" max="14316" width="9.28515625" style="94" customWidth="1"/>
    <col min="14317" max="14317" width="10.85546875" style="94" customWidth="1"/>
    <col min="14318" max="14337" width="9.140625" style="94" hidden="1" customWidth="1"/>
    <col min="14338" max="14338" width="7.28515625" style="94" customWidth="1"/>
    <col min="14339" max="14340" width="9.140625" style="94" customWidth="1"/>
    <col min="14341" max="14341" width="12" style="94" customWidth="1"/>
    <col min="14342" max="14464" width="11.7109375" style="94" customWidth="1"/>
    <col min="14465" max="14465" width="1.7109375" style="94" customWidth="1"/>
    <col min="14466" max="14467" width="9.140625" style="94" hidden="1" customWidth="1"/>
    <col min="14468" max="14468" width="1.7109375" style="94" customWidth="1"/>
    <col min="14469" max="14566" width="9.140625" style="94" hidden="1"/>
    <col min="14567" max="14569" width="9.140625" style="94" customWidth="1"/>
    <col min="14570" max="14570" width="11.140625" style="94" customWidth="1"/>
    <col min="14571" max="14571" width="9.140625" style="94" customWidth="1"/>
    <col min="14572" max="14572" width="9.28515625" style="94" customWidth="1"/>
    <col min="14573" max="14573" width="10.85546875" style="94" customWidth="1"/>
    <col min="14574" max="14593" width="9.140625" style="94" hidden="1" customWidth="1"/>
    <col min="14594" max="14594" width="7.28515625" style="94" customWidth="1"/>
    <col min="14595" max="14596" width="9.140625" style="94" customWidth="1"/>
    <col min="14597" max="14597" width="12" style="94" customWidth="1"/>
    <col min="14598" max="14720" width="11.7109375" style="94" customWidth="1"/>
    <col min="14721" max="14721" width="1.7109375" style="94" customWidth="1"/>
    <col min="14722" max="14723" width="9.140625" style="94" hidden="1" customWidth="1"/>
    <col min="14724" max="14724" width="1.7109375" style="94" customWidth="1"/>
    <col min="14725" max="14822" width="9.140625" style="94" hidden="1"/>
    <col min="14823" max="14825" width="9.140625" style="94" customWidth="1"/>
    <col min="14826" max="14826" width="11.140625" style="94" customWidth="1"/>
    <col min="14827" max="14827" width="9.140625" style="94" customWidth="1"/>
    <col min="14828" max="14828" width="9.28515625" style="94" customWidth="1"/>
    <col min="14829" max="14829" width="10.85546875" style="94" customWidth="1"/>
    <col min="14830" max="14849" width="9.140625" style="94" hidden="1" customWidth="1"/>
    <col min="14850" max="14850" width="7.28515625" style="94" customWidth="1"/>
    <col min="14851" max="14852" width="9.140625" style="94" customWidth="1"/>
    <col min="14853" max="14853" width="12" style="94" customWidth="1"/>
    <col min="14854" max="14976" width="11.7109375" style="94" customWidth="1"/>
    <col min="14977" max="14977" width="1.7109375" style="94" customWidth="1"/>
    <col min="14978" max="14979" width="9.140625" style="94" hidden="1" customWidth="1"/>
    <col min="14980" max="14980" width="1.7109375" style="94" customWidth="1"/>
    <col min="14981" max="15078" width="9.140625" style="94" hidden="1"/>
    <col min="15079" max="15081" width="9.140625" style="94" customWidth="1"/>
    <col min="15082" max="15082" width="11.140625" style="94" customWidth="1"/>
    <col min="15083" max="15083" width="9.140625" style="94" customWidth="1"/>
    <col min="15084" max="15084" width="9.28515625" style="94" customWidth="1"/>
    <col min="15085" max="15085" width="10.85546875" style="94" customWidth="1"/>
    <col min="15086" max="15105" width="9.140625" style="94" hidden="1" customWidth="1"/>
    <col min="15106" max="15106" width="7.28515625" style="94" customWidth="1"/>
    <col min="15107" max="15108" width="9.140625" style="94" customWidth="1"/>
    <col min="15109" max="15109" width="12" style="94" customWidth="1"/>
    <col min="15110" max="15232" width="11.7109375" style="94" customWidth="1"/>
    <col min="15233" max="15233" width="1.7109375" style="94" customWidth="1"/>
    <col min="15234" max="15235" width="9.140625" style="94" hidden="1" customWidth="1"/>
    <col min="15236" max="15236" width="1.7109375" style="94" customWidth="1"/>
    <col min="15237" max="15334" width="9.140625" style="94" hidden="1"/>
    <col min="15335" max="15337" width="9.140625" style="94" customWidth="1"/>
    <col min="15338" max="15338" width="11.140625" style="94" customWidth="1"/>
    <col min="15339" max="15339" width="9.140625" style="94" customWidth="1"/>
    <col min="15340" max="15340" width="9.28515625" style="94" customWidth="1"/>
    <col min="15341" max="15341" width="10.85546875" style="94" customWidth="1"/>
    <col min="15342" max="15361" width="9.140625" style="94" hidden="1" customWidth="1"/>
    <col min="15362" max="15362" width="7.28515625" style="94" customWidth="1"/>
    <col min="15363" max="15364" width="9.140625" style="94" customWidth="1"/>
    <col min="15365" max="15365" width="12" style="94" customWidth="1"/>
    <col min="15366" max="15488" width="11.7109375" style="94" customWidth="1"/>
    <col min="15489" max="15489" width="1.7109375" style="94" customWidth="1"/>
    <col min="15490" max="15491" width="9.140625" style="94" hidden="1" customWidth="1"/>
    <col min="15492" max="15492" width="1.7109375" style="94" customWidth="1"/>
    <col min="15493" max="15590" width="9.140625" style="94" hidden="1"/>
    <col min="15591" max="15593" width="9.140625" style="94" customWidth="1"/>
    <col min="15594" max="15594" width="11.140625" style="94" customWidth="1"/>
    <col min="15595" max="15595" width="9.140625" style="94" customWidth="1"/>
    <col min="15596" max="15596" width="9.28515625" style="94" customWidth="1"/>
    <col min="15597" max="15597" width="10.85546875" style="94" customWidth="1"/>
    <col min="15598" max="15617" width="9.140625" style="94" hidden="1" customWidth="1"/>
    <col min="15618" max="15618" width="7.28515625" style="94" customWidth="1"/>
    <col min="15619" max="15620" width="9.140625" style="94" customWidth="1"/>
    <col min="15621" max="15621" width="12" style="94" customWidth="1"/>
    <col min="15622" max="15744" width="11.7109375" style="94" customWidth="1"/>
    <col min="15745" max="15745" width="1.7109375" style="94" customWidth="1"/>
    <col min="15746" max="15747" width="9.140625" style="94" hidden="1" customWidth="1"/>
    <col min="15748" max="15748" width="1.7109375" style="94" customWidth="1"/>
    <col min="15749" max="15846" width="9.140625" style="94" hidden="1"/>
    <col min="15847" max="15849" width="9.140625" style="94" customWidth="1"/>
    <col min="15850" max="15850" width="11.140625" style="94" customWidth="1"/>
    <col min="15851" max="15851" width="9.140625" style="94" customWidth="1"/>
    <col min="15852" max="15852" width="9.28515625" style="94" customWidth="1"/>
    <col min="15853" max="15853" width="10.85546875" style="94" customWidth="1"/>
    <col min="15854" max="15873" width="9.140625" style="94" hidden="1" customWidth="1"/>
    <col min="15874" max="15874" width="7.28515625" style="94" customWidth="1"/>
    <col min="15875" max="15876" width="9.140625" style="94" customWidth="1"/>
    <col min="15877" max="15877" width="12" style="94" customWidth="1"/>
    <col min="15878" max="16000" width="11.7109375" style="94" customWidth="1"/>
    <col min="16001" max="16001" width="1.7109375" style="94" customWidth="1"/>
    <col min="16002" max="16003" width="9.140625" style="94" hidden="1" customWidth="1"/>
    <col min="16004" max="16004" width="1.7109375" style="94" customWidth="1"/>
    <col min="16005" max="16102" width="9.140625" style="94" hidden="1"/>
    <col min="16103" max="16105" width="9.140625" style="94" customWidth="1"/>
    <col min="16106" max="16106" width="11.140625" style="94" customWidth="1"/>
    <col min="16107" max="16107" width="9.140625" style="94" customWidth="1"/>
    <col min="16108" max="16108" width="9.28515625" style="94" customWidth="1"/>
    <col min="16109" max="16109" width="10.85546875" style="94" customWidth="1"/>
    <col min="16110" max="16129" width="9.140625" style="94" hidden="1" customWidth="1"/>
    <col min="16130" max="16130" width="7.28515625" style="94" customWidth="1"/>
    <col min="16131" max="16132" width="9.140625" style="94" customWidth="1"/>
    <col min="16133" max="16133" width="12" style="94" customWidth="1"/>
    <col min="16134" max="16256" width="11.7109375" style="94" customWidth="1"/>
    <col min="16257" max="16257" width="1.7109375" style="94" customWidth="1"/>
    <col min="16258" max="16259" width="9.140625" style="94" hidden="1" customWidth="1"/>
    <col min="16260" max="16260" width="1.7109375" style="94" customWidth="1"/>
    <col min="16261" max="16384" width="9.140625" style="94" hidden="1"/>
  </cols>
  <sheetData>
    <row r="1" spans="1:132" s="179" customFormat="1">
      <c r="A1" s="83" t="s">
        <v>206</v>
      </c>
      <c r="B1" s="23"/>
      <c r="C1" s="83"/>
      <c r="D1" s="83"/>
      <c r="E1" s="178">
        <f>IF(OR(([2]Constants!D508+PLA7C)&gt;0,SUM(DY:EB)&gt;ErrTol),1,0)</f>
        <v>0</v>
      </c>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row>
    <row r="2" spans="1:132" ht="15.75">
      <c r="A2" s="25" t="s">
        <v>355</v>
      </c>
      <c r="B2" s="85"/>
      <c r="C2" s="180"/>
      <c r="D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180"/>
      <c r="BN2" s="180"/>
      <c r="BO2" s="180"/>
      <c r="BP2" s="180"/>
      <c r="BQ2" s="180"/>
      <c r="BR2" s="180"/>
      <c r="BS2" s="180"/>
      <c r="BT2" s="180"/>
      <c r="BU2" s="180"/>
      <c r="BV2" s="180"/>
      <c r="BW2" s="180"/>
      <c r="BX2" s="180"/>
      <c r="BY2" s="180"/>
      <c r="BZ2" s="180"/>
      <c r="CA2" s="180"/>
      <c r="CB2" s="180"/>
      <c r="CC2" s="180"/>
      <c r="CD2" s="180"/>
      <c r="CE2" s="180"/>
      <c r="CF2" s="180"/>
      <c r="CG2" s="180"/>
      <c r="CH2" s="180"/>
      <c r="CI2" s="180"/>
      <c r="CJ2" s="180"/>
      <c r="CK2" s="180"/>
      <c r="CL2" s="180"/>
      <c r="CM2" s="180"/>
      <c r="CN2" s="180"/>
      <c r="CO2" s="180"/>
      <c r="CP2" s="180"/>
      <c r="CQ2" s="180"/>
      <c r="CR2" s="180"/>
      <c r="CS2" s="180"/>
      <c r="CT2" s="180"/>
      <c r="CU2" s="180"/>
      <c r="CV2" s="180"/>
      <c r="CW2" s="180"/>
      <c r="CX2" s="180"/>
      <c r="CY2" s="180"/>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88"/>
      <c r="EB2" s="88"/>
    </row>
    <row r="3" spans="1:132">
      <c r="A3" s="181"/>
      <c r="B3" s="180"/>
      <c r="C3" s="180"/>
      <c r="D3" s="180"/>
      <c r="F3" s="180"/>
      <c r="G3" s="180"/>
      <c r="H3" s="180"/>
      <c r="I3" s="180"/>
      <c r="J3" s="180"/>
      <c r="K3" s="180"/>
      <c r="L3" s="180"/>
      <c r="M3" s="180"/>
      <c r="N3" s="180"/>
      <c r="O3" s="180"/>
      <c r="P3" s="180"/>
      <c r="Q3" s="210">
        <v>41944</v>
      </c>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180"/>
      <c r="BN3" s="180"/>
      <c r="BO3" s="180"/>
      <c r="BP3" s="180"/>
      <c r="BQ3" s="180"/>
      <c r="BR3" s="180"/>
      <c r="BS3" s="180"/>
      <c r="BT3" s="180"/>
      <c r="BU3" s="180"/>
      <c r="BV3" s="180"/>
      <c r="BW3" s="180"/>
      <c r="BX3" s="180"/>
      <c r="BY3" s="180"/>
      <c r="BZ3" s="180"/>
      <c r="CA3" s="180"/>
      <c r="CB3" s="180"/>
      <c r="CC3" s="180"/>
      <c r="CD3" s="180"/>
      <c r="CE3" s="180"/>
      <c r="CF3" s="180"/>
      <c r="CG3" s="180"/>
      <c r="CH3" s="180"/>
      <c r="CI3" s="180"/>
      <c r="CJ3" s="180"/>
      <c r="CK3" s="180"/>
      <c r="CL3" s="180"/>
      <c r="CM3" s="180"/>
      <c r="CN3" s="180"/>
      <c r="CO3" s="180"/>
      <c r="CP3" s="180"/>
      <c r="CQ3" s="180"/>
      <c r="CR3" s="180"/>
      <c r="CS3" s="180"/>
      <c r="CT3" s="180"/>
      <c r="CU3" s="180"/>
      <c r="CV3" s="180"/>
      <c r="CW3" s="180"/>
      <c r="CX3" s="180"/>
      <c r="CY3" s="180"/>
      <c r="CZ3" s="180"/>
      <c r="DA3" s="180"/>
      <c r="DB3" s="180"/>
      <c r="DC3" s="180"/>
      <c r="DD3" s="180"/>
      <c r="DE3" s="180"/>
      <c r="DF3" s="180"/>
      <c r="DG3" s="180"/>
      <c r="DH3" s="180"/>
      <c r="DI3" s="180"/>
      <c r="DJ3" s="180"/>
      <c r="DK3" s="180"/>
      <c r="DL3" s="180"/>
      <c r="DM3" s="180"/>
      <c r="DN3" s="180"/>
      <c r="DO3" s="180"/>
      <c r="DP3" s="180"/>
      <c r="DQ3" s="180"/>
      <c r="DR3" s="180"/>
      <c r="DS3" s="180"/>
      <c r="DT3" s="180"/>
      <c r="DU3" s="180"/>
      <c r="DV3" s="180"/>
      <c r="DW3" s="180"/>
      <c r="DX3" s="180"/>
      <c r="DY3" s="88"/>
      <c r="EB3" s="88"/>
    </row>
    <row r="4" spans="1:132">
      <c r="A4" s="180"/>
      <c r="B4" s="180"/>
      <c r="C4" s="180"/>
      <c r="D4" s="180"/>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c r="BM4" s="180"/>
      <c r="BN4" s="180"/>
      <c r="BO4" s="180"/>
      <c r="BP4" s="180"/>
      <c r="BQ4" s="180"/>
      <c r="BR4" s="180"/>
      <c r="BS4" s="180"/>
      <c r="BT4" s="180"/>
      <c r="BU4" s="180"/>
      <c r="BV4" s="180"/>
      <c r="BW4" s="180"/>
      <c r="BX4" s="180"/>
      <c r="BY4" s="180"/>
      <c r="BZ4" s="180"/>
      <c r="CA4" s="180"/>
      <c r="CB4" s="180"/>
      <c r="CC4" s="180"/>
      <c r="CD4" s="180"/>
      <c r="CE4" s="180"/>
      <c r="CF4" s="180"/>
      <c r="CG4" s="180"/>
      <c r="CH4" s="180"/>
      <c r="CI4" s="180"/>
      <c r="CJ4" s="180"/>
      <c r="CK4" s="180"/>
      <c r="CL4" s="180"/>
      <c r="CM4" s="180"/>
      <c r="CN4" s="180"/>
      <c r="CO4" s="180"/>
      <c r="CP4" s="180"/>
      <c r="CQ4" s="180"/>
      <c r="CR4" s="180"/>
      <c r="CS4" s="180"/>
      <c r="CT4" s="180"/>
      <c r="CU4" s="180"/>
      <c r="CV4" s="180"/>
      <c r="CW4" s="180"/>
      <c r="CX4" s="180"/>
      <c r="CY4" s="180"/>
      <c r="CZ4" s="180"/>
      <c r="DA4" s="180"/>
      <c r="DB4" s="180"/>
      <c r="DC4" s="180"/>
      <c r="DD4" s="180"/>
      <c r="DE4" s="180"/>
      <c r="DF4" s="180"/>
      <c r="DG4" s="180"/>
      <c r="DH4" s="180"/>
      <c r="DI4" s="180"/>
      <c r="DJ4" s="180"/>
      <c r="DK4" s="180"/>
      <c r="DL4" s="180"/>
      <c r="DM4" s="180"/>
      <c r="DN4" s="180"/>
      <c r="DO4" s="180"/>
      <c r="DP4" s="180"/>
      <c r="DQ4" s="180"/>
      <c r="DR4" s="180"/>
      <c r="DS4" s="180"/>
      <c r="DT4" s="180"/>
      <c r="DU4" s="180"/>
      <c r="DV4" s="180"/>
      <c r="DW4" s="180"/>
      <c r="DX4" s="180"/>
      <c r="DY4" s="88"/>
      <c r="EB4" s="88"/>
    </row>
    <row r="5" spans="1:132" s="179" customFormat="1" collapsed="1">
      <c r="A5" s="86" t="s">
        <v>139</v>
      </c>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c r="DR5" s="86"/>
      <c r="DS5" s="86"/>
      <c r="DT5" s="86"/>
      <c r="DU5" s="86"/>
      <c r="DV5" s="86"/>
      <c r="DW5" s="86"/>
      <c r="DX5" s="86"/>
      <c r="DY5" s="86"/>
      <c r="DZ5" s="86"/>
      <c r="EA5" s="86"/>
      <c r="EB5" s="86"/>
    </row>
    <row r="6" spans="1:132" s="189" customFormat="1" hidden="1" outlineLevel="1">
      <c r="A6" s="180" t="s">
        <v>388</v>
      </c>
      <c r="B6" s="180"/>
      <c r="C6" s="180"/>
      <c r="D6" s="187">
        <f>PreContractPeriodDurationIn</f>
        <v>3</v>
      </c>
      <c r="E6" s="188"/>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88"/>
      <c r="EB6" s="88"/>
    </row>
    <row r="7" spans="1:132" s="189" customFormat="1" hidden="1" outlineLevel="1">
      <c r="A7" s="180" t="s">
        <v>389</v>
      </c>
      <c r="B7" s="180"/>
      <c r="C7" s="180"/>
      <c r="D7" s="180"/>
      <c r="E7" s="180"/>
      <c r="F7" s="190" t="s">
        <v>142</v>
      </c>
      <c r="G7" s="190" t="s">
        <v>143</v>
      </c>
      <c r="H7" s="190" t="s">
        <v>144</v>
      </c>
      <c r="I7" s="190" t="s">
        <v>145</v>
      </c>
      <c r="J7" s="190" t="s">
        <v>146</v>
      </c>
      <c r="K7" s="190" t="s">
        <v>147</v>
      </c>
      <c r="L7" s="190" t="s">
        <v>148</v>
      </c>
      <c r="M7" s="190" t="s">
        <v>149</v>
      </c>
      <c r="N7" s="190" t="s">
        <v>150</v>
      </c>
      <c r="O7" s="190" t="s">
        <v>151</v>
      </c>
      <c r="P7" s="190" t="s">
        <v>152</v>
      </c>
      <c r="Q7" s="190" t="s">
        <v>153</v>
      </c>
      <c r="R7" s="191" t="s">
        <v>390</v>
      </c>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92"/>
      <c r="CU7" s="192"/>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80"/>
      <c r="DY7" s="88"/>
      <c r="EB7" s="88"/>
    </row>
    <row r="8" spans="1:132">
      <c r="A8" s="185"/>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c r="DR8" s="185"/>
      <c r="DS8" s="185"/>
      <c r="DT8" s="185"/>
      <c r="DU8" s="185"/>
      <c r="DV8" s="185"/>
      <c r="DW8" s="185"/>
      <c r="DX8" s="185"/>
      <c r="DY8" s="182"/>
      <c r="EB8" s="182"/>
    </row>
    <row r="9" spans="1:132" s="179" customFormat="1" ht="15">
      <c r="A9" s="86" t="s">
        <v>154</v>
      </c>
      <c r="B9" s="86"/>
      <c r="C9" s="86"/>
      <c r="D9" s="86"/>
      <c r="E9" s="86"/>
      <c r="F9" s="86"/>
      <c r="G9" s="86"/>
      <c r="H9" s="86"/>
      <c r="I9" s="86"/>
      <c r="J9" s="86"/>
      <c r="K9" s="86"/>
      <c r="L9" s="86"/>
      <c r="M9" s="86"/>
      <c r="N9" s="86"/>
      <c r="O9" s="86"/>
      <c r="P9" s="86"/>
      <c r="Q9" s="86"/>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c r="DR9" s="86"/>
      <c r="DS9" s="86"/>
      <c r="DT9" s="86"/>
      <c r="DU9" s="86"/>
      <c r="DV9" s="86"/>
      <c r="DW9" s="86"/>
      <c r="DX9" s="86"/>
      <c r="DY9" s="86"/>
      <c r="DZ9" s="184"/>
      <c r="EA9" s="183"/>
      <c r="EB9" s="184"/>
    </row>
    <row r="10" spans="1:132" outlineLevel="1">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6"/>
      <c r="EB10" s="186"/>
    </row>
    <row r="11" spans="1:132" outlineLevel="1">
      <c r="A11" s="91" t="s">
        <v>155</v>
      </c>
      <c r="C11" s="180"/>
      <c r="D11" s="180"/>
      <c r="E11" s="180"/>
      <c r="F11" s="196">
        <f>Q3</f>
        <v>41944</v>
      </c>
      <c r="G11" s="197">
        <f t="shared" ref="G11:BR11" si="0">F12+1</f>
        <v>41974</v>
      </c>
      <c r="H11" s="198">
        <f t="shared" si="0"/>
        <v>42005</v>
      </c>
      <c r="I11" s="198">
        <f t="shared" si="0"/>
        <v>42036</v>
      </c>
      <c r="J11" s="198">
        <f t="shared" si="0"/>
        <v>42064</v>
      </c>
      <c r="K11" s="198">
        <f t="shared" si="0"/>
        <v>42095</v>
      </c>
      <c r="L11" s="198">
        <f t="shared" si="0"/>
        <v>42125</v>
      </c>
      <c r="M11" s="198">
        <f t="shared" si="0"/>
        <v>42156</v>
      </c>
      <c r="N11" s="198">
        <f t="shared" si="0"/>
        <v>42186</v>
      </c>
      <c r="O11" s="198">
        <f t="shared" si="0"/>
        <v>42217</v>
      </c>
      <c r="P11" s="198">
        <f t="shared" si="0"/>
        <v>42248</v>
      </c>
      <c r="Q11" s="198">
        <f t="shared" si="0"/>
        <v>42278</v>
      </c>
      <c r="R11" s="198">
        <f t="shared" si="0"/>
        <v>42309</v>
      </c>
      <c r="S11" s="198">
        <f t="shared" si="0"/>
        <v>42339</v>
      </c>
      <c r="T11" s="198">
        <f t="shared" si="0"/>
        <v>42370</v>
      </c>
      <c r="U11" s="198">
        <f t="shared" si="0"/>
        <v>42401</v>
      </c>
      <c r="V11" s="198">
        <f t="shared" si="0"/>
        <v>42430</v>
      </c>
      <c r="W11" s="198">
        <f t="shared" si="0"/>
        <v>42461</v>
      </c>
      <c r="X11" s="198">
        <f t="shared" si="0"/>
        <v>42491</v>
      </c>
      <c r="Y11" s="198">
        <f t="shared" si="0"/>
        <v>42522</v>
      </c>
      <c r="Z11" s="198">
        <f t="shared" si="0"/>
        <v>42552</v>
      </c>
      <c r="AA11" s="198">
        <f t="shared" si="0"/>
        <v>42583</v>
      </c>
      <c r="AB11" s="198">
        <f t="shared" si="0"/>
        <v>42614</v>
      </c>
      <c r="AC11" s="198">
        <f t="shared" si="0"/>
        <v>42644</v>
      </c>
      <c r="AD11" s="198">
        <f t="shared" si="0"/>
        <v>42675</v>
      </c>
      <c r="AE11" s="198">
        <f t="shared" si="0"/>
        <v>42705</v>
      </c>
      <c r="AF11" s="198">
        <f t="shared" si="0"/>
        <v>42736</v>
      </c>
      <c r="AG11" s="198">
        <f t="shared" si="0"/>
        <v>42767</v>
      </c>
      <c r="AH11" s="198">
        <f t="shared" si="0"/>
        <v>42795</v>
      </c>
      <c r="AI11" s="198">
        <f t="shared" si="0"/>
        <v>42826</v>
      </c>
      <c r="AJ11" s="198">
        <f t="shared" si="0"/>
        <v>42856</v>
      </c>
      <c r="AK11" s="198">
        <f t="shared" si="0"/>
        <v>42887</v>
      </c>
      <c r="AL11" s="198">
        <f t="shared" si="0"/>
        <v>42917</v>
      </c>
      <c r="AM11" s="198">
        <f t="shared" si="0"/>
        <v>42948</v>
      </c>
      <c r="AN11" s="198">
        <f t="shared" si="0"/>
        <v>42979</v>
      </c>
      <c r="AO11" s="198">
        <f t="shared" si="0"/>
        <v>43009</v>
      </c>
      <c r="AP11" s="198">
        <f t="shared" si="0"/>
        <v>43040</v>
      </c>
      <c r="AQ11" s="198">
        <f t="shared" si="0"/>
        <v>43070</v>
      </c>
      <c r="AR11" s="198">
        <f t="shared" si="0"/>
        <v>43101</v>
      </c>
      <c r="AS11" s="198">
        <f t="shared" si="0"/>
        <v>43132</v>
      </c>
      <c r="AT11" s="198">
        <f t="shared" si="0"/>
        <v>43160</v>
      </c>
      <c r="AU11" s="198">
        <f t="shared" si="0"/>
        <v>43191</v>
      </c>
      <c r="AV11" s="198">
        <f t="shared" si="0"/>
        <v>43221</v>
      </c>
      <c r="AW11" s="198">
        <f t="shared" si="0"/>
        <v>43252</v>
      </c>
      <c r="AX11" s="198">
        <f t="shared" si="0"/>
        <v>43282</v>
      </c>
      <c r="AY11" s="198">
        <f t="shared" si="0"/>
        <v>43313</v>
      </c>
      <c r="AZ11" s="198">
        <f t="shared" si="0"/>
        <v>43344</v>
      </c>
      <c r="BA11" s="198">
        <f t="shared" si="0"/>
        <v>43374</v>
      </c>
      <c r="BB11" s="198">
        <f t="shared" si="0"/>
        <v>43405</v>
      </c>
      <c r="BC11" s="198">
        <f t="shared" si="0"/>
        <v>43435</v>
      </c>
      <c r="BD11" s="198">
        <f t="shared" si="0"/>
        <v>43466</v>
      </c>
      <c r="BE11" s="198">
        <f t="shared" si="0"/>
        <v>43497</v>
      </c>
      <c r="BF11" s="198">
        <f t="shared" si="0"/>
        <v>43525</v>
      </c>
      <c r="BG11" s="198">
        <f t="shared" si="0"/>
        <v>43556</v>
      </c>
      <c r="BH11" s="198">
        <f t="shared" si="0"/>
        <v>43586</v>
      </c>
      <c r="BI11" s="198">
        <f t="shared" si="0"/>
        <v>43617</v>
      </c>
      <c r="BJ11" s="198">
        <f t="shared" si="0"/>
        <v>43647</v>
      </c>
      <c r="BK11" s="198">
        <f t="shared" si="0"/>
        <v>43678</v>
      </c>
      <c r="BL11" s="198">
        <f t="shared" si="0"/>
        <v>43709</v>
      </c>
      <c r="BM11" s="198">
        <f t="shared" si="0"/>
        <v>43739</v>
      </c>
      <c r="BN11" s="198">
        <f t="shared" si="0"/>
        <v>43770</v>
      </c>
      <c r="BO11" s="198">
        <f t="shared" si="0"/>
        <v>43800</v>
      </c>
      <c r="BP11" s="198">
        <f t="shared" si="0"/>
        <v>43831</v>
      </c>
      <c r="BQ11" s="198">
        <f t="shared" si="0"/>
        <v>43862</v>
      </c>
      <c r="BR11" s="198">
        <f t="shared" si="0"/>
        <v>43891</v>
      </c>
      <c r="BS11" s="198">
        <f t="shared" ref="BS11:DX11" si="1">BR12+1</f>
        <v>43922</v>
      </c>
      <c r="BT11" s="198">
        <f t="shared" si="1"/>
        <v>43952</v>
      </c>
      <c r="BU11" s="198">
        <f t="shared" si="1"/>
        <v>43983</v>
      </c>
      <c r="BV11" s="198">
        <f t="shared" si="1"/>
        <v>44013</v>
      </c>
      <c r="BW11" s="198">
        <f t="shared" si="1"/>
        <v>44044</v>
      </c>
      <c r="BX11" s="198">
        <f t="shared" si="1"/>
        <v>44075</v>
      </c>
      <c r="BY11" s="198">
        <f t="shared" si="1"/>
        <v>44105</v>
      </c>
      <c r="BZ11" s="198">
        <f t="shared" si="1"/>
        <v>44136</v>
      </c>
      <c r="CA11" s="198">
        <f t="shared" si="1"/>
        <v>44166</v>
      </c>
      <c r="CB11" s="198">
        <f t="shared" si="1"/>
        <v>44197</v>
      </c>
      <c r="CC11" s="198">
        <f t="shared" si="1"/>
        <v>44228</v>
      </c>
      <c r="CD11" s="198">
        <f t="shared" si="1"/>
        <v>44256</v>
      </c>
      <c r="CE11" s="198">
        <f t="shared" si="1"/>
        <v>44287</v>
      </c>
      <c r="CF11" s="198">
        <f t="shared" si="1"/>
        <v>44317</v>
      </c>
      <c r="CG11" s="198">
        <f t="shared" si="1"/>
        <v>44348</v>
      </c>
      <c r="CH11" s="198">
        <f t="shared" si="1"/>
        <v>44378</v>
      </c>
      <c r="CI11" s="198">
        <f t="shared" si="1"/>
        <v>44409</v>
      </c>
      <c r="CJ11" s="198">
        <f t="shared" si="1"/>
        <v>44440</v>
      </c>
      <c r="CK11" s="198">
        <f t="shared" si="1"/>
        <v>44470</v>
      </c>
      <c r="CL11" s="198">
        <f t="shared" si="1"/>
        <v>44501</v>
      </c>
      <c r="CM11" s="198">
        <f t="shared" si="1"/>
        <v>44531</v>
      </c>
      <c r="CN11" s="198">
        <f t="shared" si="1"/>
        <v>44562</v>
      </c>
      <c r="CO11" s="198">
        <f t="shared" si="1"/>
        <v>44593</v>
      </c>
      <c r="CP11" s="198">
        <f t="shared" si="1"/>
        <v>44621</v>
      </c>
      <c r="CQ11" s="198">
        <f t="shared" si="1"/>
        <v>44652</v>
      </c>
      <c r="CR11" s="198">
        <f t="shared" si="1"/>
        <v>44682</v>
      </c>
      <c r="CS11" s="198">
        <f t="shared" si="1"/>
        <v>44713</v>
      </c>
      <c r="CT11" s="198">
        <f t="shared" si="1"/>
        <v>44743</v>
      </c>
      <c r="CU11" s="198">
        <f t="shared" si="1"/>
        <v>44774</v>
      </c>
      <c r="CV11" s="198">
        <f t="shared" si="1"/>
        <v>44805</v>
      </c>
      <c r="CW11" s="198">
        <f t="shared" si="1"/>
        <v>44835</v>
      </c>
      <c r="CX11" s="198">
        <f t="shared" si="1"/>
        <v>44866</v>
      </c>
      <c r="CY11" s="198">
        <f t="shared" si="1"/>
        <v>44896</v>
      </c>
      <c r="CZ11" s="198">
        <f t="shared" si="1"/>
        <v>44927</v>
      </c>
      <c r="DA11" s="198">
        <f t="shared" si="1"/>
        <v>44958</v>
      </c>
      <c r="DB11" s="198">
        <f t="shared" si="1"/>
        <v>44986</v>
      </c>
      <c r="DC11" s="198">
        <f t="shared" si="1"/>
        <v>45017</v>
      </c>
      <c r="DD11" s="198">
        <f t="shared" si="1"/>
        <v>45047</v>
      </c>
      <c r="DE11" s="198">
        <f t="shared" si="1"/>
        <v>45078</v>
      </c>
      <c r="DF11" s="198">
        <f t="shared" si="1"/>
        <v>45108</v>
      </c>
      <c r="DG11" s="198">
        <f t="shared" si="1"/>
        <v>45139</v>
      </c>
      <c r="DH11" s="198">
        <f t="shared" si="1"/>
        <v>45170</v>
      </c>
      <c r="DI11" s="198">
        <f t="shared" si="1"/>
        <v>45200</v>
      </c>
      <c r="DJ11" s="198">
        <f t="shared" si="1"/>
        <v>45231</v>
      </c>
      <c r="DK11" s="198">
        <f t="shared" si="1"/>
        <v>45261</v>
      </c>
      <c r="DL11" s="198">
        <f t="shared" si="1"/>
        <v>45292</v>
      </c>
      <c r="DM11" s="198">
        <f t="shared" si="1"/>
        <v>45323</v>
      </c>
      <c r="DN11" s="198">
        <f t="shared" si="1"/>
        <v>45352</v>
      </c>
      <c r="DO11" s="198">
        <f t="shared" si="1"/>
        <v>45383</v>
      </c>
      <c r="DP11" s="198">
        <f t="shared" si="1"/>
        <v>45413</v>
      </c>
      <c r="DQ11" s="198">
        <f t="shared" si="1"/>
        <v>45444</v>
      </c>
      <c r="DR11" s="198">
        <f t="shared" si="1"/>
        <v>45474</v>
      </c>
      <c r="DS11" s="198">
        <f t="shared" si="1"/>
        <v>45505</v>
      </c>
      <c r="DT11" s="198">
        <f t="shared" si="1"/>
        <v>45536</v>
      </c>
      <c r="DU11" s="198">
        <f t="shared" si="1"/>
        <v>45566</v>
      </c>
      <c r="DV11" s="198">
        <f t="shared" si="1"/>
        <v>45597</v>
      </c>
      <c r="DW11" s="198">
        <f t="shared" si="1"/>
        <v>45627</v>
      </c>
      <c r="DX11" s="198">
        <f t="shared" si="1"/>
        <v>45658</v>
      </c>
      <c r="DY11" s="88"/>
      <c r="DZ11" s="193" t="s">
        <v>391</v>
      </c>
      <c r="EB11" s="88"/>
    </row>
    <row r="12" spans="1:132" outlineLevel="1">
      <c r="A12" s="91" t="s">
        <v>156</v>
      </c>
      <c r="C12" s="180"/>
      <c r="D12" s="180"/>
      <c r="E12" s="180"/>
      <c r="F12" s="199">
        <f t="shared" ref="F12:BQ12" si="2">DATE(YEAR(F11),MONTH(F11)+1,DAY(F11)-1)</f>
        <v>41973</v>
      </c>
      <c r="G12" s="200">
        <f t="shared" si="2"/>
        <v>42004</v>
      </c>
      <c r="H12" s="200">
        <f t="shared" si="2"/>
        <v>42035</v>
      </c>
      <c r="I12" s="200">
        <f t="shared" si="2"/>
        <v>42063</v>
      </c>
      <c r="J12" s="200">
        <f t="shared" si="2"/>
        <v>42094</v>
      </c>
      <c r="K12" s="200">
        <f t="shared" si="2"/>
        <v>42124</v>
      </c>
      <c r="L12" s="200">
        <f t="shared" si="2"/>
        <v>42155</v>
      </c>
      <c r="M12" s="200">
        <f t="shared" si="2"/>
        <v>42185</v>
      </c>
      <c r="N12" s="200">
        <f t="shared" si="2"/>
        <v>42216</v>
      </c>
      <c r="O12" s="200">
        <f t="shared" si="2"/>
        <v>42247</v>
      </c>
      <c r="P12" s="200">
        <f t="shared" si="2"/>
        <v>42277</v>
      </c>
      <c r="Q12" s="200">
        <f t="shared" si="2"/>
        <v>42308</v>
      </c>
      <c r="R12" s="200">
        <f t="shared" si="2"/>
        <v>42338</v>
      </c>
      <c r="S12" s="200">
        <f t="shared" si="2"/>
        <v>42369</v>
      </c>
      <c r="T12" s="200">
        <f t="shared" si="2"/>
        <v>42400</v>
      </c>
      <c r="U12" s="200">
        <f t="shared" si="2"/>
        <v>42429</v>
      </c>
      <c r="V12" s="200">
        <f t="shared" si="2"/>
        <v>42460</v>
      </c>
      <c r="W12" s="200">
        <f t="shared" si="2"/>
        <v>42490</v>
      </c>
      <c r="X12" s="200">
        <f t="shared" si="2"/>
        <v>42521</v>
      </c>
      <c r="Y12" s="200">
        <f t="shared" si="2"/>
        <v>42551</v>
      </c>
      <c r="Z12" s="200">
        <f t="shared" si="2"/>
        <v>42582</v>
      </c>
      <c r="AA12" s="200">
        <f t="shared" si="2"/>
        <v>42613</v>
      </c>
      <c r="AB12" s="200">
        <f t="shared" si="2"/>
        <v>42643</v>
      </c>
      <c r="AC12" s="200">
        <f t="shared" si="2"/>
        <v>42674</v>
      </c>
      <c r="AD12" s="200">
        <f t="shared" si="2"/>
        <v>42704</v>
      </c>
      <c r="AE12" s="200">
        <f t="shared" si="2"/>
        <v>42735</v>
      </c>
      <c r="AF12" s="200">
        <f t="shared" si="2"/>
        <v>42766</v>
      </c>
      <c r="AG12" s="200">
        <f t="shared" si="2"/>
        <v>42794</v>
      </c>
      <c r="AH12" s="200">
        <f t="shared" si="2"/>
        <v>42825</v>
      </c>
      <c r="AI12" s="200">
        <f t="shared" si="2"/>
        <v>42855</v>
      </c>
      <c r="AJ12" s="200">
        <f t="shared" si="2"/>
        <v>42886</v>
      </c>
      <c r="AK12" s="200">
        <f t="shared" si="2"/>
        <v>42916</v>
      </c>
      <c r="AL12" s="200">
        <f t="shared" si="2"/>
        <v>42947</v>
      </c>
      <c r="AM12" s="200">
        <f t="shared" si="2"/>
        <v>42978</v>
      </c>
      <c r="AN12" s="200">
        <f t="shared" si="2"/>
        <v>43008</v>
      </c>
      <c r="AO12" s="200">
        <f t="shared" si="2"/>
        <v>43039</v>
      </c>
      <c r="AP12" s="200">
        <f t="shared" si="2"/>
        <v>43069</v>
      </c>
      <c r="AQ12" s="200">
        <f t="shared" si="2"/>
        <v>43100</v>
      </c>
      <c r="AR12" s="200">
        <f t="shared" si="2"/>
        <v>43131</v>
      </c>
      <c r="AS12" s="200">
        <f t="shared" si="2"/>
        <v>43159</v>
      </c>
      <c r="AT12" s="200">
        <f t="shared" si="2"/>
        <v>43190</v>
      </c>
      <c r="AU12" s="200">
        <f t="shared" si="2"/>
        <v>43220</v>
      </c>
      <c r="AV12" s="200">
        <f t="shared" si="2"/>
        <v>43251</v>
      </c>
      <c r="AW12" s="200">
        <f t="shared" si="2"/>
        <v>43281</v>
      </c>
      <c r="AX12" s="200">
        <f t="shared" si="2"/>
        <v>43312</v>
      </c>
      <c r="AY12" s="200">
        <f t="shared" si="2"/>
        <v>43343</v>
      </c>
      <c r="AZ12" s="200">
        <f t="shared" si="2"/>
        <v>43373</v>
      </c>
      <c r="BA12" s="200">
        <f t="shared" si="2"/>
        <v>43404</v>
      </c>
      <c r="BB12" s="200">
        <f t="shared" si="2"/>
        <v>43434</v>
      </c>
      <c r="BC12" s="200">
        <f t="shared" si="2"/>
        <v>43465</v>
      </c>
      <c r="BD12" s="200">
        <f t="shared" si="2"/>
        <v>43496</v>
      </c>
      <c r="BE12" s="200">
        <f t="shared" si="2"/>
        <v>43524</v>
      </c>
      <c r="BF12" s="200">
        <f t="shared" si="2"/>
        <v>43555</v>
      </c>
      <c r="BG12" s="200">
        <f t="shared" si="2"/>
        <v>43585</v>
      </c>
      <c r="BH12" s="200">
        <f t="shared" si="2"/>
        <v>43616</v>
      </c>
      <c r="BI12" s="200">
        <f t="shared" si="2"/>
        <v>43646</v>
      </c>
      <c r="BJ12" s="200">
        <f t="shared" si="2"/>
        <v>43677</v>
      </c>
      <c r="BK12" s="200">
        <f t="shared" si="2"/>
        <v>43708</v>
      </c>
      <c r="BL12" s="200">
        <f t="shared" si="2"/>
        <v>43738</v>
      </c>
      <c r="BM12" s="200">
        <f t="shared" si="2"/>
        <v>43769</v>
      </c>
      <c r="BN12" s="200">
        <f t="shared" si="2"/>
        <v>43799</v>
      </c>
      <c r="BO12" s="200">
        <f t="shared" si="2"/>
        <v>43830</v>
      </c>
      <c r="BP12" s="200">
        <f t="shared" si="2"/>
        <v>43861</v>
      </c>
      <c r="BQ12" s="200">
        <f t="shared" si="2"/>
        <v>43890</v>
      </c>
      <c r="BR12" s="200">
        <f t="shared" ref="BR12:DX12" si="3">DATE(YEAR(BR11),MONTH(BR11)+1,DAY(BR11)-1)</f>
        <v>43921</v>
      </c>
      <c r="BS12" s="200">
        <f t="shared" si="3"/>
        <v>43951</v>
      </c>
      <c r="BT12" s="200">
        <f t="shared" si="3"/>
        <v>43982</v>
      </c>
      <c r="BU12" s="200">
        <f t="shared" si="3"/>
        <v>44012</v>
      </c>
      <c r="BV12" s="200">
        <f t="shared" si="3"/>
        <v>44043</v>
      </c>
      <c r="BW12" s="200">
        <f t="shared" si="3"/>
        <v>44074</v>
      </c>
      <c r="BX12" s="200">
        <f t="shared" si="3"/>
        <v>44104</v>
      </c>
      <c r="BY12" s="200">
        <f t="shared" si="3"/>
        <v>44135</v>
      </c>
      <c r="BZ12" s="200">
        <f t="shared" si="3"/>
        <v>44165</v>
      </c>
      <c r="CA12" s="200">
        <f t="shared" si="3"/>
        <v>44196</v>
      </c>
      <c r="CB12" s="200">
        <f t="shared" si="3"/>
        <v>44227</v>
      </c>
      <c r="CC12" s="200">
        <f t="shared" si="3"/>
        <v>44255</v>
      </c>
      <c r="CD12" s="200">
        <f t="shared" si="3"/>
        <v>44286</v>
      </c>
      <c r="CE12" s="200">
        <f t="shared" si="3"/>
        <v>44316</v>
      </c>
      <c r="CF12" s="200">
        <f t="shared" si="3"/>
        <v>44347</v>
      </c>
      <c r="CG12" s="200">
        <f t="shared" si="3"/>
        <v>44377</v>
      </c>
      <c r="CH12" s="200">
        <f t="shared" si="3"/>
        <v>44408</v>
      </c>
      <c r="CI12" s="200">
        <f t="shared" si="3"/>
        <v>44439</v>
      </c>
      <c r="CJ12" s="200">
        <f t="shared" si="3"/>
        <v>44469</v>
      </c>
      <c r="CK12" s="200">
        <f t="shared" si="3"/>
        <v>44500</v>
      </c>
      <c r="CL12" s="200">
        <f t="shared" si="3"/>
        <v>44530</v>
      </c>
      <c r="CM12" s="200">
        <f t="shared" si="3"/>
        <v>44561</v>
      </c>
      <c r="CN12" s="200">
        <f t="shared" si="3"/>
        <v>44592</v>
      </c>
      <c r="CO12" s="200">
        <f t="shared" si="3"/>
        <v>44620</v>
      </c>
      <c r="CP12" s="200">
        <f t="shared" si="3"/>
        <v>44651</v>
      </c>
      <c r="CQ12" s="200">
        <f t="shared" si="3"/>
        <v>44681</v>
      </c>
      <c r="CR12" s="200">
        <f t="shared" si="3"/>
        <v>44712</v>
      </c>
      <c r="CS12" s="200">
        <f t="shared" si="3"/>
        <v>44742</v>
      </c>
      <c r="CT12" s="200">
        <f t="shared" si="3"/>
        <v>44773</v>
      </c>
      <c r="CU12" s="200">
        <f t="shared" si="3"/>
        <v>44804</v>
      </c>
      <c r="CV12" s="200">
        <f t="shared" si="3"/>
        <v>44834</v>
      </c>
      <c r="CW12" s="200">
        <f t="shared" si="3"/>
        <v>44865</v>
      </c>
      <c r="CX12" s="200">
        <f t="shared" si="3"/>
        <v>44895</v>
      </c>
      <c r="CY12" s="200">
        <f t="shared" si="3"/>
        <v>44926</v>
      </c>
      <c r="CZ12" s="200">
        <f t="shared" si="3"/>
        <v>44957</v>
      </c>
      <c r="DA12" s="200">
        <f t="shared" si="3"/>
        <v>44985</v>
      </c>
      <c r="DB12" s="200">
        <f t="shared" si="3"/>
        <v>45016</v>
      </c>
      <c r="DC12" s="200">
        <f t="shared" si="3"/>
        <v>45046</v>
      </c>
      <c r="DD12" s="200">
        <f t="shared" si="3"/>
        <v>45077</v>
      </c>
      <c r="DE12" s="200">
        <f t="shared" si="3"/>
        <v>45107</v>
      </c>
      <c r="DF12" s="200">
        <f t="shared" si="3"/>
        <v>45138</v>
      </c>
      <c r="DG12" s="200">
        <f t="shared" si="3"/>
        <v>45169</v>
      </c>
      <c r="DH12" s="200">
        <f t="shared" si="3"/>
        <v>45199</v>
      </c>
      <c r="DI12" s="200">
        <f t="shared" si="3"/>
        <v>45230</v>
      </c>
      <c r="DJ12" s="200">
        <f t="shared" si="3"/>
        <v>45260</v>
      </c>
      <c r="DK12" s="200">
        <f t="shared" si="3"/>
        <v>45291</v>
      </c>
      <c r="DL12" s="200">
        <f t="shared" si="3"/>
        <v>45322</v>
      </c>
      <c r="DM12" s="200">
        <f t="shared" si="3"/>
        <v>45351</v>
      </c>
      <c r="DN12" s="200">
        <f t="shared" si="3"/>
        <v>45382</v>
      </c>
      <c r="DO12" s="200">
        <f t="shared" si="3"/>
        <v>45412</v>
      </c>
      <c r="DP12" s="200">
        <f t="shared" si="3"/>
        <v>45443</v>
      </c>
      <c r="DQ12" s="200">
        <f t="shared" si="3"/>
        <v>45473</v>
      </c>
      <c r="DR12" s="200">
        <f t="shared" si="3"/>
        <v>45504</v>
      </c>
      <c r="DS12" s="200">
        <f t="shared" si="3"/>
        <v>45535</v>
      </c>
      <c r="DT12" s="200">
        <f t="shared" si="3"/>
        <v>45565</v>
      </c>
      <c r="DU12" s="200">
        <f t="shared" si="3"/>
        <v>45596</v>
      </c>
      <c r="DV12" s="200">
        <f t="shared" si="3"/>
        <v>45626</v>
      </c>
      <c r="DW12" s="200">
        <f t="shared" si="3"/>
        <v>45657</v>
      </c>
      <c r="DX12" s="200">
        <f t="shared" si="3"/>
        <v>45688</v>
      </c>
      <c r="DY12" s="88"/>
      <c r="DZ12" s="193" t="s">
        <v>392</v>
      </c>
      <c r="EB12" s="88"/>
    </row>
    <row r="13" spans="1:132" outlineLevel="1">
      <c r="A13" s="91" t="s">
        <v>157</v>
      </c>
      <c r="C13" s="180"/>
      <c r="D13" s="180"/>
      <c r="E13" s="180"/>
      <c r="F13" s="201">
        <v>1</v>
      </c>
      <c r="G13" s="202">
        <f t="shared" ref="G13:BR13" si="4">F13+1</f>
        <v>2</v>
      </c>
      <c r="H13" s="203">
        <f t="shared" si="4"/>
        <v>3</v>
      </c>
      <c r="I13" s="203">
        <f t="shared" si="4"/>
        <v>4</v>
      </c>
      <c r="J13" s="203">
        <f t="shared" si="4"/>
        <v>5</v>
      </c>
      <c r="K13" s="203">
        <f t="shared" si="4"/>
        <v>6</v>
      </c>
      <c r="L13" s="203">
        <f t="shared" si="4"/>
        <v>7</v>
      </c>
      <c r="M13" s="203">
        <f t="shared" si="4"/>
        <v>8</v>
      </c>
      <c r="N13" s="203">
        <f t="shared" si="4"/>
        <v>9</v>
      </c>
      <c r="O13" s="203">
        <f t="shared" si="4"/>
        <v>10</v>
      </c>
      <c r="P13" s="203">
        <f t="shared" si="4"/>
        <v>11</v>
      </c>
      <c r="Q13" s="203">
        <f t="shared" si="4"/>
        <v>12</v>
      </c>
      <c r="R13" s="203">
        <f t="shared" si="4"/>
        <v>13</v>
      </c>
      <c r="S13" s="203">
        <f t="shared" si="4"/>
        <v>14</v>
      </c>
      <c r="T13" s="203">
        <f t="shared" si="4"/>
        <v>15</v>
      </c>
      <c r="U13" s="203">
        <f t="shared" si="4"/>
        <v>16</v>
      </c>
      <c r="V13" s="203">
        <f t="shared" si="4"/>
        <v>17</v>
      </c>
      <c r="W13" s="203">
        <f t="shared" si="4"/>
        <v>18</v>
      </c>
      <c r="X13" s="203">
        <f t="shared" si="4"/>
        <v>19</v>
      </c>
      <c r="Y13" s="203">
        <f t="shared" si="4"/>
        <v>20</v>
      </c>
      <c r="Z13" s="203">
        <f t="shared" si="4"/>
        <v>21</v>
      </c>
      <c r="AA13" s="203">
        <f t="shared" si="4"/>
        <v>22</v>
      </c>
      <c r="AB13" s="203">
        <f t="shared" si="4"/>
        <v>23</v>
      </c>
      <c r="AC13" s="203">
        <f t="shared" si="4"/>
        <v>24</v>
      </c>
      <c r="AD13" s="203">
        <f t="shared" si="4"/>
        <v>25</v>
      </c>
      <c r="AE13" s="203">
        <f t="shared" si="4"/>
        <v>26</v>
      </c>
      <c r="AF13" s="203">
        <f t="shared" si="4"/>
        <v>27</v>
      </c>
      <c r="AG13" s="203">
        <f t="shared" si="4"/>
        <v>28</v>
      </c>
      <c r="AH13" s="203">
        <f t="shared" si="4"/>
        <v>29</v>
      </c>
      <c r="AI13" s="203">
        <f t="shared" si="4"/>
        <v>30</v>
      </c>
      <c r="AJ13" s="203">
        <f t="shared" si="4"/>
        <v>31</v>
      </c>
      <c r="AK13" s="203">
        <f t="shared" si="4"/>
        <v>32</v>
      </c>
      <c r="AL13" s="203">
        <f t="shared" si="4"/>
        <v>33</v>
      </c>
      <c r="AM13" s="203">
        <f t="shared" si="4"/>
        <v>34</v>
      </c>
      <c r="AN13" s="203">
        <f t="shared" si="4"/>
        <v>35</v>
      </c>
      <c r="AO13" s="203">
        <f t="shared" si="4"/>
        <v>36</v>
      </c>
      <c r="AP13" s="203">
        <f t="shared" si="4"/>
        <v>37</v>
      </c>
      <c r="AQ13" s="203">
        <f t="shared" si="4"/>
        <v>38</v>
      </c>
      <c r="AR13" s="203">
        <f t="shared" si="4"/>
        <v>39</v>
      </c>
      <c r="AS13" s="203">
        <f t="shared" si="4"/>
        <v>40</v>
      </c>
      <c r="AT13" s="203">
        <f t="shared" si="4"/>
        <v>41</v>
      </c>
      <c r="AU13" s="203">
        <f t="shared" si="4"/>
        <v>42</v>
      </c>
      <c r="AV13" s="203">
        <f t="shared" si="4"/>
        <v>43</v>
      </c>
      <c r="AW13" s="203">
        <f t="shared" si="4"/>
        <v>44</v>
      </c>
      <c r="AX13" s="203">
        <f t="shared" si="4"/>
        <v>45</v>
      </c>
      <c r="AY13" s="203">
        <f t="shared" si="4"/>
        <v>46</v>
      </c>
      <c r="AZ13" s="203">
        <f t="shared" si="4"/>
        <v>47</v>
      </c>
      <c r="BA13" s="203">
        <f t="shared" si="4"/>
        <v>48</v>
      </c>
      <c r="BB13" s="203">
        <f t="shared" si="4"/>
        <v>49</v>
      </c>
      <c r="BC13" s="203">
        <f t="shared" si="4"/>
        <v>50</v>
      </c>
      <c r="BD13" s="203">
        <f t="shared" si="4"/>
        <v>51</v>
      </c>
      <c r="BE13" s="203">
        <f t="shared" si="4"/>
        <v>52</v>
      </c>
      <c r="BF13" s="203">
        <f t="shared" si="4"/>
        <v>53</v>
      </c>
      <c r="BG13" s="203">
        <f t="shared" si="4"/>
        <v>54</v>
      </c>
      <c r="BH13" s="203">
        <f t="shared" si="4"/>
        <v>55</v>
      </c>
      <c r="BI13" s="203">
        <f t="shared" si="4"/>
        <v>56</v>
      </c>
      <c r="BJ13" s="203">
        <f t="shared" si="4"/>
        <v>57</v>
      </c>
      <c r="BK13" s="203">
        <f t="shared" si="4"/>
        <v>58</v>
      </c>
      <c r="BL13" s="203">
        <f t="shared" si="4"/>
        <v>59</v>
      </c>
      <c r="BM13" s="203">
        <f t="shared" si="4"/>
        <v>60</v>
      </c>
      <c r="BN13" s="203">
        <f t="shared" si="4"/>
        <v>61</v>
      </c>
      <c r="BO13" s="203">
        <f t="shared" si="4"/>
        <v>62</v>
      </c>
      <c r="BP13" s="203">
        <f t="shared" si="4"/>
        <v>63</v>
      </c>
      <c r="BQ13" s="203">
        <f t="shared" si="4"/>
        <v>64</v>
      </c>
      <c r="BR13" s="203">
        <f t="shared" si="4"/>
        <v>65</v>
      </c>
      <c r="BS13" s="203">
        <f t="shared" ref="BS13:DX13" si="5">BR13+1</f>
        <v>66</v>
      </c>
      <c r="BT13" s="203">
        <f t="shared" si="5"/>
        <v>67</v>
      </c>
      <c r="BU13" s="203">
        <f t="shared" si="5"/>
        <v>68</v>
      </c>
      <c r="BV13" s="203">
        <f t="shared" si="5"/>
        <v>69</v>
      </c>
      <c r="BW13" s="203">
        <f t="shared" si="5"/>
        <v>70</v>
      </c>
      <c r="BX13" s="203">
        <f t="shared" si="5"/>
        <v>71</v>
      </c>
      <c r="BY13" s="203">
        <f t="shared" si="5"/>
        <v>72</v>
      </c>
      <c r="BZ13" s="203">
        <f t="shared" si="5"/>
        <v>73</v>
      </c>
      <c r="CA13" s="203">
        <f t="shared" si="5"/>
        <v>74</v>
      </c>
      <c r="CB13" s="203">
        <f t="shared" si="5"/>
        <v>75</v>
      </c>
      <c r="CC13" s="203">
        <f t="shared" si="5"/>
        <v>76</v>
      </c>
      <c r="CD13" s="203">
        <f t="shared" si="5"/>
        <v>77</v>
      </c>
      <c r="CE13" s="203">
        <f t="shared" si="5"/>
        <v>78</v>
      </c>
      <c r="CF13" s="203">
        <f t="shared" si="5"/>
        <v>79</v>
      </c>
      <c r="CG13" s="203">
        <f t="shared" si="5"/>
        <v>80</v>
      </c>
      <c r="CH13" s="203">
        <f t="shared" si="5"/>
        <v>81</v>
      </c>
      <c r="CI13" s="203">
        <f t="shared" si="5"/>
        <v>82</v>
      </c>
      <c r="CJ13" s="203">
        <f t="shared" si="5"/>
        <v>83</v>
      </c>
      <c r="CK13" s="203">
        <f t="shared" si="5"/>
        <v>84</v>
      </c>
      <c r="CL13" s="203">
        <f t="shared" si="5"/>
        <v>85</v>
      </c>
      <c r="CM13" s="203">
        <f t="shared" si="5"/>
        <v>86</v>
      </c>
      <c r="CN13" s="203">
        <f t="shared" si="5"/>
        <v>87</v>
      </c>
      <c r="CO13" s="203">
        <f t="shared" si="5"/>
        <v>88</v>
      </c>
      <c r="CP13" s="203">
        <f t="shared" si="5"/>
        <v>89</v>
      </c>
      <c r="CQ13" s="203">
        <f t="shared" si="5"/>
        <v>90</v>
      </c>
      <c r="CR13" s="203">
        <f t="shared" si="5"/>
        <v>91</v>
      </c>
      <c r="CS13" s="203">
        <f t="shared" si="5"/>
        <v>92</v>
      </c>
      <c r="CT13" s="203">
        <f t="shared" si="5"/>
        <v>93</v>
      </c>
      <c r="CU13" s="203">
        <f t="shared" si="5"/>
        <v>94</v>
      </c>
      <c r="CV13" s="203">
        <f t="shared" si="5"/>
        <v>95</v>
      </c>
      <c r="CW13" s="203">
        <f t="shared" si="5"/>
        <v>96</v>
      </c>
      <c r="CX13" s="203">
        <f t="shared" si="5"/>
        <v>97</v>
      </c>
      <c r="CY13" s="203">
        <f t="shared" si="5"/>
        <v>98</v>
      </c>
      <c r="CZ13" s="203">
        <f t="shared" si="5"/>
        <v>99</v>
      </c>
      <c r="DA13" s="203">
        <f t="shared" si="5"/>
        <v>100</v>
      </c>
      <c r="DB13" s="203">
        <f t="shared" si="5"/>
        <v>101</v>
      </c>
      <c r="DC13" s="203">
        <f t="shared" si="5"/>
        <v>102</v>
      </c>
      <c r="DD13" s="203">
        <f t="shared" si="5"/>
        <v>103</v>
      </c>
      <c r="DE13" s="203">
        <f t="shared" si="5"/>
        <v>104</v>
      </c>
      <c r="DF13" s="203">
        <f t="shared" si="5"/>
        <v>105</v>
      </c>
      <c r="DG13" s="203">
        <f t="shared" si="5"/>
        <v>106</v>
      </c>
      <c r="DH13" s="203">
        <f t="shared" si="5"/>
        <v>107</v>
      </c>
      <c r="DI13" s="203">
        <f t="shared" si="5"/>
        <v>108</v>
      </c>
      <c r="DJ13" s="203">
        <f t="shared" si="5"/>
        <v>109</v>
      </c>
      <c r="DK13" s="203">
        <f t="shared" si="5"/>
        <v>110</v>
      </c>
      <c r="DL13" s="203">
        <f t="shared" si="5"/>
        <v>111</v>
      </c>
      <c r="DM13" s="203">
        <f t="shared" si="5"/>
        <v>112</v>
      </c>
      <c r="DN13" s="203">
        <f t="shared" si="5"/>
        <v>113</v>
      </c>
      <c r="DO13" s="203">
        <f t="shared" si="5"/>
        <v>114</v>
      </c>
      <c r="DP13" s="203">
        <f t="shared" si="5"/>
        <v>115</v>
      </c>
      <c r="DQ13" s="203">
        <f t="shared" si="5"/>
        <v>116</v>
      </c>
      <c r="DR13" s="203">
        <f t="shared" si="5"/>
        <v>117</v>
      </c>
      <c r="DS13" s="203">
        <f t="shared" si="5"/>
        <v>118</v>
      </c>
      <c r="DT13" s="203">
        <f t="shared" si="5"/>
        <v>119</v>
      </c>
      <c r="DU13" s="203">
        <f t="shared" si="5"/>
        <v>120</v>
      </c>
      <c r="DV13" s="203">
        <f t="shared" si="5"/>
        <v>121</v>
      </c>
      <c r="DW13" s="203">
        <f t="shared" si="5"/>
        <v>122</v>
      </c>
      <c r="DX13" s="203">
        <f t="shared" si="5"/>
        <v>123</v>
      </c>
      <c r="DY13" s="88"/>
      <c r="DZ13" s="188" t="s">
        <v>393</v>
      </c>
      <c r="EB13" s="88"/>
    </row>
    <row r="14" spans="1:132" outlineLevel="1">
      <c r="A14" s="91" t="s">
        <v>158</v>
      </c>
      <c r="C14" s="180"/>
      <c r="D14" s="180"/>
      <c r="E14" s="180"/>
      <c r="F14" s="202">
        <f t="shared" ref="F14:AK14" si="6">IF(PeriodNoMth&lt;=PreContractPeriodDuration,-1-PreContractPeriodDuration+F13,PeriodNoMth-PreContractPeriodDuration)</f>
        <v>-3</v>
      </c>
      <c r="G14" s="203">
        <f t="shared" si="6"/>
        <v>-2</v>
      </c>
      <c r="H14" s="203">
        <f t="shared" si="6"/>
        <v>-1</v>
      </c>
      <c r="I14" s="203">
        <f t="shared" si="6"/>
        <v>1</v>
      </c>
      <c r="J14" s="203">
        <f t="shared" si="6"/>
        <v>2</v>
      </c>
      <c r="K14" s="203">
        <f t="shared" si="6"/>
        <v>3</v>
      </c>
      <c r="L14" s="203">
        <f t="shared" si="6"/>
        <v>4</v>
      </c>
      <c r="M14" s="203">
        <f t="shared" si="6"/>
        <v>5</v>
      </c>
      <c r="N14" s="203">
        <f t="shared" si="6"/>
        <v>6</v>
      </c>
      <c r="O14" s="203">
        <f t="shared" si="6"/>
        <v>7</v>
      </c>
      <c r="P14" s="203">
        <f t="shared" si="6"/>
        <v>8</v>
      </c>
      <c r="Q14" s="203">
        <f t="shared" si="6"/>
        <v>9</v>
      </c>
      <c r="R14" s="203">
        <f t="shared" si="6"/>
        <v>10</v>
      </c>
      <c r="S14" s="203">
        <f t="shared" si="6"/>
        <v>11</v>
      </c>
      <c r="T14" s="203">
        <f t="shared" si="6"/>
        <v>12</v>
      </c>
      <c r="U14" s="203">
        <f t="shared" si="6"/>
        <v>13</v>
      </c>
      <c r="V14" s="203">
        <f t="shared" si="6"/>
        <v>14</v>
      </c>
      <c r="W14" s="203">
        <f t="shared" si="6"/>
        <v>15</v>
      </c>
      <c r="X14" s="203">
        <f t="shared" si="6"/>
        <v>16</v>
      </c>
      <c r="Y14" s="203">
        <f t="shared" si="6"/>
        <v>17</v>
      </c>
      <c r="Z14" s="203">
        <f t="shared" si="6"/>
        <v>18</v>
      </c>
      <c r="AA14" s="203">
        <f t="shared" si="6"/>
        <v>19</v>
      </c>
      <c r="AB14" s="203">
        <f t="shared" si="6"/>
        <v>20</v>
      </c>
      <c r="AC14" s="203">
        <f t="shared" si="6"/>
        <v>21</v>
      </c>
      <c r="AD14" s="203">
        <f t="shared" si="6"/>
        <v>22</v>
      </c>
      <c r="AE14" s="203">
        <f t="shared" si="6"/>
        <v>23</v>
      </c>
      <c r="AF14" s="203">
        <f t="shared" si="6"/>
        <v>24</v>
      </c>
      <c r="AG14" s="203">
        <f t="shared" si="6"/>
        <v>25</v>
      </c>
      <c r="AH14" s="203">
        <f t="shared" si="6"/>
        <v>26</v>
      </c>
      <c r="AI14" s="203">
        <f t="shared" si="6"/>
        <v>27</v>
      </c>
      <c r="AJ14" s="203">
        <f t="shared" si="6"/>
        <v>28</v>
      </c>
      <c r="AK14" s="203">
        <f t="shared" si="6"/>
        <v>29</v>
      </c>
      <c r="AL14" s="203">
        <f t="shared" ref="AL14:BQ14" si="7">IF(PeriodNoMth&lt;=PreContractPeriodDuration,-1-PreContractPeriodDuration+AL13,PeriodNoMth-PreContractPeriodDuration)</f>
        <v>30</v>
      </c>
      <c r="AM14" s="203">
        <f t="shared" si="7"/>
        <v>31</v>
      </c>
      <c r="AN14" s="203">
        <f t="shared" si="7"/>
        <v>32</v>
      </c>
      <c r="AO14" s="203">
        <f t="shared" si="7"/>
        <v>33</v>
      </c>
      <c r="AP14" s="203">
        <f t="shared" si="7"/>
        <v>34</v>
      </c>
      <c r="AQ14" s="203">
        <f t="shared" si="7"/>
        <v>35</v>
      </c>
      <c r="AR14" s="203">
        <f t="shared" si="7"/>
        <v>36</v>
      </c>
      <c r="AS14" s="203">
        <f t="shared" si="7"/>
        <v>37</v>
      </c>
      <c r="AT14" s="203">
        <f t="shared" si="7"/>
        <v>38</v>
      </c>
      <c r="AU14" s="203">
        <f t="shared" si="7"/>
        <v>39</v>
      </c>
      <c r="AV14" s="203">
        <f t="shared" si="7"/>
        <v>40</v>
      </c>
      <c r="AW14" s="203">
        <f t="shared" si="7"/>
        <v>41</v>
      </c>
      <c r="AX14" s="203">
        <f t="shared" si="7"/>
        <v>42</v>
      </c>
      <c r="AY14" s="203">
        <f t="shared" si="7"/>
        <v>43</v>
      </c>
      <c r="AZ14" s="203">
        <f t="shared" si="7"/>
        <v>44</v>
      </c>
      <c r="BA14" s="203">
        <f t="shared" si="7"/>
        <v>45</v>
      </c>
      <c r="BB14" s="203">
        <f t="shared" si="7"/>
        <v>46</v>
      </c>
      <c r="BC14" s="203">
        <f t="shared" si="7"/>
        <v>47</v>
      </c>
      <c r="BD14" s="203">
        <f t="shared" si="7"/>
        <v>48</v>
      </c>
      <c r="BE14" s="203">
        <f t="shared" si="7"/>
        <v>49</v>
      </c>
      <c r="BF14" s="203">
        <f t="shared" si="7"/>
        <v>50</v>
      </c>
      <c r="BG14" s="203">
        <f t="shared" si="7"/>
        <v>51</v>
      </c>
      <c r="BH14" s="203">
        <f t="shared" si="7"/>
        <v>52</v>
      </c>
      <c r="BI14" s="203">
        <f t="shared" si="7"/>
        <v>53</v>
      </c>
      <c r="BJ14" s="203">
        <f t="shared" si="7"/>
        <v>54</v>
      </c>
      <c r="BK14" s="203">
        <f t="shared" si="7"/>
        <v>55</v>
      </c>
      <c r="BL14" s="203">
        <f t="shared" si="7"/>
        <v>56</v>
      </c>
      <c r="BM14" s="203">
        <f t="shared" si="7"/>
        <v>57</v>
      </c>
      <c r="BN14" s="203">
        <f t="shared" si="7"/>
        <v>58</v>
      </c>
      <c r="BO14" s="203">
        <f t="shared" si="7"/>
        <v>59</v>
      </c>
      <c r="BP14" s="203">
        <f t="shared" si="7"/>
        <v>60</v>
      </c>
      <c r="BQ14" s="203">
        <f t="shared" si="7"/>
        <v>61</v>
      </c>
      <c r="BR14" s="203">
        <f t="shared" ref="BR14:CW14" si="8">IF(PeriodNoMth&lt;=PreContractPeriodDuration,-1-PreContractPeriodDuration+BR13,PeriodNoMth-PreContractPeriodDuration)</f>
        <v>62</v>
      </c>
      <c r="BS14" s="203">
        <f t="shared" si="8"/>
        <v>63</v>
      </c>
      <c r="BT14" s="203">
        <f t="shared" si="8"/>
        <v>64</v>
      </c>
      <c r="BU14" s="203">
        <f t="shared" si="8"/>
        <v>65</v>
      </c>
      <c r="BV14" s="203">
        <f t="shared" si="8"/>
        <v>66</v>
      </c>
      <c r="BW14" s="203">
        <f t="shared" si="8"/>
        <v>67</v>
      </c>
      <c r="BX14" s="203">
        <f t="shared" si="8"/>
        <v>68</v>
      </c>
      <c r="BY14" s="203">
        <f t="shared" si="8"/>
        <v>69</v>
      </c>
      <c r="BZ14" s="203">
        <f t="shared" si="8"/>
        <v>70</v>
      </c>
      <c r="CA14" s="203">
        <f t="shared" si="8"/>
        <v>71</v>
      </c>
      <c r="CB14" s="203">
        <f t="shared" si="8"/>
        <v>72</v>
      </c>
      <c r="CC14" s="203">
        <f t="shared" si="8"/>
        <v>73</v>
      </c>
      <c r="CD14" s="203">
        <f t="shared" si="8"/>
        <v>74</v>
      </c>
      <c r="CE14" s="203">
        <f t="shared" si="8"/>
        <v>75</v>
      </c>
      <c r="CF14" s="203">
        <f t="shared" si="8"/>
        <v>76</v>
      </c>
      <c r="CG14" s="203">
        <f t="shared" si="8"/>
        <v>77</v>
      </c>
      <c r="CH14" s="203">
        <f t="shared" si="8"/>
        <v>78</v>
      </c>
      <c r="CI14" s="203">
        <f t="shared" si="8"/>
        <v>79</v>
      </c>
      <c r="CJ14" s="203">
        <f t="shared" si="8"/>
        <v>80</v>
      </c>
      <c r="CK14" s="203">
        <f t="shared" si="8"/>
        <v>81</v>
      </c>
      <c r="CL14" s="203">
        <f t="shared" si="8"/>
        <v>82</v>
      </c>
      <c r="CM14" s="203">
        <f t="shared" si="8"/>
        <v>83</v>
      </c>
      <c r="CN14" s="203">
        <f t="shared" si="8"/>
        <v>84</v>
      </c>
      <c r="CO14" s="203">
        <f t="shared" si="8"/>
        <v>85</v>
      </c>
      <c r="CP14" s="203">
        <f t="shared" si="8"/>
        <v>86</v>
      </c>
      <c r="CQ14" s="203">
        <f t="shared" si="8"/>
        <v>87</v>
      </c>
      <c r="CR14" s="203">
        <f t="shared" si="8"/>
        <v>88</v>
      </c>
      <c r="CS14" s="203">
        <f t="shared" si="8"/>
        <v>89</v>
      </c>
      <c r="CT14" s="203">
        <f t="shared" si="8"/>
        <v>90</v>
      </c>
      <c r="CU14" s="203">
        <f t="shared" si="8"/>
        <v>91</v>
      </c>
      <c r="CV14" s="203">
        <f t="shared" si="8"/>
        <v>92</v>
      </c>
      <c r="CW14" s="203">
        <f t="shared" si="8"/>
        <v>93</v>
      </c>
      <c r="CX14" s="203">
        <f t="shared" ref="CX14:DX14" si="9">IF(PeriodNoMth&lt;=PreContractPeriodDuration,-1-PreContractPeriodDuration+CX13,PeriodNoMth-PreContractPeriodDuration)</f>
        <v>94</v>
      </c>
      <c r="CY14" s="203">
        <f t="shared" si="9"/>
        <v>95</v>
      </c>
      <c r="CZ14" s="203">
        <f t="shared" si="9"/>
        <v>96</v>
      </c>
      <c r="DA14" s="203">
        <f t="shared" si="9"/>
        <v>97</v>
      </c>
      <c r="DB14" s="203">
        <f t="shared" si="9"/>
        <v>98</v>
      </c>
      <c r="DC14" s="203">
        <f t="shared" si="9"/>
        <v>99</v>
      </c>
      <c r="DD14" s="203">
        <f t="shared" si="9"/>
        <v>100</v>
      </c>
      <c r="DE14" s="203">
        <f t="shared" si="9"/>
        <v>101</v>
      </c>
      <c r="DF14" s="203">
        <f t="shared" si="9"/>
        <v>102</v>
      </c>
      <c r="DG14" s="203">
        <f t="shared" si="9"/>
        <v>103</v>
      </c>
      <c r="DH14" s="203">
        <f t="shared" si="9"/>
        <v>104</v>
      </c>
      <c r="DI14" s="203">
        <f t="shared" si="9"/>
        <v>105</v>
      </c>
      <c r="DJ14" s="203">
        <f t="shared" si="9"/>
        <v>106</v>
      </c>
      <c r="DK14" s="203">
        <f t="shared" si="9"/>
        <v>107</v>
      </c>
      <c r="DL14" s="203">
        <f t="shared" si="9"/>
        <v>108</v>
      </c>
      <c r="DM14" s="203">
        <f t="shared" si="9"/>
        <v>109</v>
      </c>
      <c r="DN14" s="203">
        <f t="shared" si="9"/>
        <v>110</v>
      </c>
      <c r="DO14" s="203">
        <f t="shared" si="9"/>
        <v>111</v>
      </c>
      <c r="DP14" s="203">
        <f t="shared" si="9"/>
        <v>112</v>
      </c>
      <c r="DQ14" s="203">
        <f t="shared" si="9"/>
        <v>113</v>
      </c>
      <c r="DR14" s="203">
        <f t="shared" si="9"/>
        <v>114</v>
      </c>
      <c r="DS14" s="203">
        <f t="shared" si="9"/>
        <v>115</v>
      </c>
      <c r="DT14" s="203">
        <f t="shared" si="9"/>
        <v>116</v>
      </c>
      <c r="DU14" s="203">
        <f t="shared" si="9"/>
        <v>117</v>
      </c>
      <c r="DV14" s="203">
        <f t="shared" si="9"/>
        <v>118</v>
      </c>
      <c r="DW14" s="203">
        <f t="shared" si="9"/>
        <v>119</v>
      </c>
      <c r="DX14" s="203">
        <f t="shared" si="9"/>
        <v>120</v>
      </c>
      <c r="DY14" s="88"/>
      <c r="DZ14" s="188" t="s">
        <v>394</v>
      </c>
      <c r="EB14" s="88"/>
    </row>
    <row r="15" spans="1:132" outlineLevel="1">
      <c r="A15" s="91" t="s">
        <v>159</v>
      </c>
      <c r="C15" s="180"/>
      <c r="D15" s="180"/>
      <c r="E15" s="180"/>
      <c r="F15" s="202">
        <f t="shared" ref="F15:AK15" si="10">IF(PeriodNoMth&lt;=PreContractPeriodDuration,0,INT((PeriodCounter-1)/MinY)+1)</f>
        <v>0</v>
      </c>
      <c r="G15" s="203">
        <f t="shared" si="10"/>
        <v>0</v>
      </c>
      <c r="H15" s="203">
        <f t="shared" si="10"/>
        <v>0</v>
      </c>
      <c r="I15" s="203">
        <f t="shared" si="10"/>
        <v>1</v>
      </c>
      <c r="J15" s="203">
        <f t="shared" si="10"/>
        <v>1</v>
      </c>
      <c r="K15" s="203">
        <f t="shared" si="10"/>
        <v>1</v>
      </c>
      <c r="L15" s="203">
        <f t="shared" si="10"/>
        <v>1</v>
      </c>
      <c r="M15" s="203">
        <f t="shared" si="10"/>
        <v>1</v>
      </c>
      <c r="N15" s="203">
        <f t="shared" si="10"/>
        <v>1</v>
      </c>
      <c r="O15" s="203">
        <f t="shared" si="10"/>
        <v>1</v>
      </c>
      <c r="P15" s="203">
        <f t="shared" si="10"/>
        <v>1</v>
      </c>
      <c r="Q15" s="203">
        <f t="shared" si="10"/>
        <v>1</v>
      </c>
      <c r="R15" s="203">
        <f t="shared" si="10"/>
        <v>1</v>
      </c>
      <c r="S15" s="203">
        <f t="shared" si="10"/>
        <v>1</v>
      </c>
      <c r="T15" s="203">
        <f t="shared" si="10"/>
        <v>1</v>
      </c>
      <c r="U15" s="203">
        <f t="shared" si="10"/>
        <v>2</v>
      </c>
      <c r="V15" s="203">
        <f t="shared" si="10"/>
        <v>2</v>
      </c>
      <c r="W15" s="203">
        <f t="shared" si="10"/>
        <v>2</v>
      </c>
      <c r="X15" s="203">
        <f t="shared" si="10"/>
        <v>2</v>
      </c>
      <c r="Y15" s="203">
        <f t="shared" si="10"/>
        <v>2</v>
      </c>
      <c r="Z15" s="203">
        <f t="shared" si="10"/>
        <v>2</v>
      </c>
      <c r="AA15" s="203">
        <f t="shared" si="10"/>
        <v>2</v>
      </c>
      <c r="AB15" s="203">
        <f t="shared" si="10"/>
        <v>2</v>
      </c>
      <c r="AC15" s="203">
        <f t="shared" si="10"/>
        <v>2</v>
      </c>
      <c r="AD15" s="203">
        <f t="shared" si="10"/>
        <v>2</v>
      </c>
      <c r="AE15" s="203">
        <f t="shared" si="10"/>
        <v>2</v>
      </c>
      <c r="AF15" s="203">
        <f t="shared" si="10"/>
        <v>2</v>
      </c>
      <c r="AG15" s="203">
        <f t="shared" si="10"/>
        <v>3</v>
      </c>
      <c r="AH15" s="203">
        <f t="shared" si="10"/>
        <v>3</v>
      </c>
      <c r="AI15" s="203">
        <f t="shared" si="10"/>
        <v>3</v>
      </c>
      <c r="AJ15" s="203">
        <f t="shared" si="10"/>
        <v>3</v>
      </c>
      <c r="AK15" s="203">
        <f t="shared" si="10"/>
        <v>3</v>
      </c>
      <c r="AL15" s="203">
        <f t="shared" ref="AL15:BQ15" si="11">IF(PeriodNoMth&lt;=PreContractPeriodDuration,0,INT((PeriodCounter-1)/MinY)+1)</f>
        <v>3</v>
      </c>
      <c r="AM15" s="203">
        <f t="shared" si="11"/>
        <v>3</v>
      </c>
      <c r="AN15" s="203">
        <f t="shared" si="11"/>
        <v>3</v>
      </c>
      <c r="AO15" s="203">
        <f t="shared" si="11"/>
        <v>3</v>
      </c>
      <c r="AP15" s="203">
        <f t="shared" si="11"/>
        <v>3</v>
      </c>
      <c r="AQ15" s="203">
        <f t="shared" si="11"/>
        <v>3</v>
      </c>
      <c r="AR15" s="203">
        <f t="shared" si="11"/>
        <v>3</v>
      </c>
      <c r="AS15" s="203">
        <f t="shared" si="11"/>
        <v>4</v>
      </c>
      <c r="AT15" s="203">
        <f t="shared" si="11"/>
        <v>4</v>
      </c>
      <c r="AU15" s="203">
        <f t="shared" si="11"/>
        <v>4</v>
      </c>
      <c r="AV15" s="203">
        <f t="shared" si="11"/>
        <v>4</v>
      </c>
      <c r="AW15" s="203">
        <f t="shared" si="11"/>
        <v>4</v>
      </c>
      <c r="AX15" s="203">
        <f t="shared" si="11"/>
        <v>4</v>
      </c>
      <c r="AY15" s="203">
        <f t="shared" si="11"/>
        <v>4</v>
      </c>
      <c r="AZ15" s="203">
        <f t="shared" si="11"/>
        <v>4</v>
      </c>
      <c r="BA15" s="203">
        <f t="shared" si="11"/>
        <v>4</v>
      </c>
      <c r="BB15" s="203">
        <f t="shared" si="11"/>
        <v>4</v>
      </c>
      <c r="BC15" s="203">
        <f t="shared" si="11"/>
        <v>4</v>
      </c>
      <c r="BD15" s="203">
        <f t="shared" si="11"/>
        <v>4</v>
      </c>
      <c r="BE15" s="203">
        <f t="shared" si="11"/>
        <v>5</v>
      </c>
      <c r="BF15" s="203">
        <f t="shared" si="11"/>
        <v>5</v>
      </c>
      <c r="BG15" s="203">
        <f t="shared" si="11"/>
        <v>5</v>
      </c>
      <c r="BH15" s="203">
        <f t="shared" si="11"/>
        <v>5</v>
      </c>
      <c r="BI15" s="203">
        <f t="shared" si="11"/>
        <v>5</v>
      </c>
      <c r="BJ15" s="203">
        <f t="shared" si="11"/>
        <v>5</v>
      </c>
      <c r="BK15" s="203">
        <f t="shared" si="11"/>
        <v>5</v>
      </c>
      <c r="BL15" s="203">
        <f t="shared" si="11"/>
        <v>5</v>
      </c>
      <c r="BM15" s="203">
        <f t="shared" si="11"/>
        <v>5</v>
      </c>
      <c r="BN15" s="203">
        <f t="shared" si="11"/>
        <v>5</v>
      </c>
      <c r="BO15" s="203">
        <f t="shared" si="11"/>
        <v>5</v>
      </c>
      <c r="BP15" s="203">
        <f t="shared" si="11"/>
        <v>5</v>
      </c>
      <c r="BQ15" s="203">
        <f t="shared" si="11"/>
        <v>6</v>
      </c>
      <c r="BR15" s="203">
        <f t="shared" ref="BR15:CW15" si="12">IF(PeriodNoMth&lt;=PreContractPeriodDuration,0,INT((PeriodCounter-1)/MinY)+1)</f>
        <v>6</v>
      </c>
      <c r="BS15" s="203">
        <f t="shared" si="12"/>
        <v>6</v>
      </c>
      <c r="BT15" s="203">
        <f t="shared" si="12"/>
        <v>6</v>
      </c>
      <c r="BU15" s="203">
        <f t="shared" si="12"/>
        <v>6</v>
      </c>
      <c r="BV15" s="203">
        <f t="shared" si="12"/>
        <v>6</v>
      </c>
      <c r="BW15" s="203">
        <f t="shared" si="12"/>
        <v>6</v>
      </c>
      <c r="BX15" s="203">
        <f t="shared" si="12"/>
        <v>6</v>
      </c>
      <c r="BY15" s="203">
        <f t="shared" si="12"/>
        <v>6</v>
      </c>
      <c r="BZ15" s="203">
        <f t="shared" si="12"/>
        <v>6</v>
      </c>
      <c r="CA15" s="203">
        <f t="shared" si="12"/>
        <v>6</v>
      </c>
      <c r="CB15" s="203">
        <f t="shared" si="12"/>
        <v>6</v>
      </c>
      <c r="CC15" s="203">
        <f t="shared" si="12"/>
        <v>7</v>
      </c>
      <c r="CD15" s="203">
        <f t="shared" si="12"/>
        <v>7</v>
      </c>
      <c r="CE15" s="203">
        <f t="shared" si="12"/>
        <v>7</v>
      </c>
      <c r="CF15" s="203">
        <f t="shared" si="12"/>
        <v>7</v>
      </c>
      <c r="CG15" s="203">
        <f t="shared" si="12"/>
        <v>7</v>
      </c>
      <c r="CH15" s="203">
        <f t="shared" si="12"/>
        <v>7</v>
      </c>
      <c r="CI15" s="203">
        <f t="shared" si="12"/>
        <v>7</v>
      </c>
      <c r="CJ15" s="203">
        <f t="shared" si="12"/>
        <v>7</v>
      </c>
      <c r="CK15" s="203">
        <f t="shared" si="12"/>
        <v>7</v>
      </c>
      <c r="CL15" s="203">
        <f t="shared" si="12"/>
        <v>7</v>
      </c>
      <c r="CM15" s="203">
        <f t="shared" si="12"/>
        <v>7</v>
      </c>
      <c r="CN15" s="203">
        <f t="shared" si="12"/>
        <v>7</v>
      </c>
      <c r="CO15" s="203">
        <f t="shared" si="12"/>
        <v>8</v>
      </c>
      <c r="CP15" s="203">
        <f t="shared" si="12"/>
        <v>8</v>
      </c>
      <c r="CQ15" s="203">
        <f t="shared" si="12"/>
        <v>8</v>
      </c>
      <c r="CR15" s="203">
        <f t="shared" si="12"/>
        <v>8</v>
      </c>
      <c r="CS15" s="203">
        <f t="shared" si="12"/>
        <v>8</v>
      </c>
      <c r="CT15" s="203">
        <f t="shared" si="12"/>
        <v>8</v>
      </c>
      <c r="CU15" s="203">
        <f t="shared" si="12"/>
        <v>8</v>
      </c>
      <c r="CV15" s="203">
        <f t="shared" si="12"/>
        <v>8</v>
      </c>
      <c r="CW15" s="203">
        <f t="shared" si="12"/>
        <v>8</v>
      </c>
      <c r="CX15" s="203">
        <f t="shared" ref="CX15:DX15" si="13">IF(PeriodNoMth&lt;=PreContractPeriodDuration,0,INT((PeriodCounter-1)/MinY)+1)</f>
        <v>8</v>
      </c>
      <c r="CY15" s="203">
        <f t="shared" si="13"/>
        <v>8</v>
      </c>
      <c r="CZ15" s="203">
        <f t="shared" si="13"/>
        <v>8</v>
      </c>
      <c r="DA15" s="203">
        <f t="shared" si="13"/>
        <v>9</v>
      </c>
      <c r="DB15" s="203">
        <f t="shared" si="13"/>
        <v>9</v>
      </c>
      <c r="DC15" s="203">
        <f t="shared" si="13"/>
        <v>9</v>
      </c>
      <c r="DD15" s="203">
        <f t="shared" si="13"/>
        <v>9</v>
      </c>
      <c r="DE15" s="203">
        <f t="shared" si="13"/>
        <v>9</v>
      </c>
      <c r="DF15" s="203">
        <f t="shared" si="13"/>
        <v>9</v>
      </c>
      <c r="DG15" s="203">
        <f t="shared" si="13"/>
        <v>9</v>
      </c>
      <c r="DH15" s="203">
        <f t="shared" si="13"/>
        <v>9</v>
      </c>
      <c r="DI15" s="203">
        <f t="shared" si="13"/>
        <v>9</v>
      </c>
      <c r="DJ15" s="203">
        <f t="shared" si="13"/>
        <v>9</v>
      </c>
      <c r="DK15" s="203">
        <f t="shared" si="13"/>
        <v>9</v>
      </c>
      <c r="DL15" s="203">
        <f t="shared" si="13"/>
        <v>9</v>
      </c>
      <c r="DM15" s="203">
        <f t="shared" si="13"/>
        <v>10</v>
      </c>
      <c r="DN15" s="203">
        <f t="shared" si="13"/>
        <v>10</v>
      </c>
      <c r="DO15" s="203">
        <f t="shared" si="13"/>
        <v>10</v>
      </c>
      <c r="DP15" s="203">
        <f t="shared" si="13"/>
        <v>10</v>
      </c>
      <c r="DQ15" s="203">
        <f t="shared" si="13"/>
        <v>10</v>
      </c>
      <c r="DR15" s="203">
        <f t="shared" si="13"/>
        <v>10</v>
      </c>
      <c r="DS15" s="203">
        <f t="shared" si="13"/>
        <v>10</v>
      </c>
      <c r="DT15" s="203">
        <f t="shared" si="13"/>
        <v>10</v>
      </c>
      <c r="DU15" s="203">
        <f t="shared" si="13"/>
        <v>10</v>
      </c>
      <c r="DV15" s="203">
        <f t="shared" si="13"/>
        <v>10</v>
      </c>
      <c r="DW15" s="203">
        <f t="shared" si="13"/>
        <v>10</v>
      </c>
      <c r="DX15" s="203">
        <f t="shared" si="13"/>
        <v>10</v>
      </c>
      <c r="DY15" s="88"/>
      <c r="DZ15" s="188" t="s">
        <v>395</v>
      </c>
      <c r="EB15" s="88"/>
    </row>
    <row r="16" spans="1:132" outlineLevel="1">
      <c r="A16" s="91" t="s">
        <v>160</v>
      </c>
      <c r="C16" s="185"/>
      <c r="D16" s="185"/>
      <c r="E16" s="194"/>
      <c r="F16" s="202">
        <f t="shared" ref="F16:AK16" si="14">IF(MOD(F14,MinY)=0,MinY,MOD(F14,MinY))</f>
        <v>9</v>
      </c>
      <c r="G16" s="204">
        <f t="shared" si="14"/>
        <v>10</v>
      </c>
      <c r="H16" s="204">
        <f t="shared" si="14"/>
        <v>11</v>
      </c>
      <c r="I16" s="204">
        <f t="shared" si="14"/>
        <v>1</v>
      </c>
      <c r="J16" s="203">
        <f t="shared" si="14"/>
        <v>2</v>
      </c>
      <c r="K16" s="203">
        <f t="shared" si="14"/>
        <v>3</v>
      </c>
      <c r="L16" s="203">
        <f t="shared" si="14"/>
        <v>4</v>
      </c>
      <c r="M16" s="203">
        <f t="shared" si="14"/>
        <v>5</v>
      </c>
      <c r="N16" s="203">
        <f t="shared" si="14"/>
        <v>6</v>
      </c>
      <c r="O16" s="203">
        <f t="shared" si="14"/>
        <v>7</v>
      </c>
      <c r="P16" s="203">
        <f t="shared" si="14"/>
        <v>8</v>
      </c>
      <c r="Q16" s="203">
        <f t="shared" si="14"/>
        <v>9</v>
      </c>
      <c r="R16" s="203">
        <f t="shared" si="14"/>
        <v>10</v>
      </c>
      <c r="S16" s="203">
        <f t="shared" si="14"/>
        <v>11</v>
      </c>
      <c r="T16" s="203">
        <f t="shared" si="14"/>
        <v>12</v>
      </c>
      <c r="U16" s="203">
        <f t="shared" si="14"/>
        <v>1</v>
      </c>
      <c r="V16" s="203">
        <f t="shared" si="14"/>
        <v>2</v>
      </c>
      <c r="W16" s="203">
        <f t="shared" si="14"/>
        <v>3</v>
      </c>
      <c r="X16" s="203">
        <f t="shared" si="14"/>
        <v>4</v>
      </c>
      <c r="Y16" s="203">
        <f t="shared" si="14"/>
        <v>5</v>
      </c>
      <c r="Z16" s="203">
        <f t="shared" si="14"/>
        <v>6</v>
      </c>
      <c r="AA16" s="203">
        <f t="shared" si="14"/>
        <v>7</v>
      </c>
      <c r="AB16" s="203">
        <f t="shared" si="14"/>
        <v>8</v>
      </c>
      <c r="AC16" s="203">
        <f t="shared" si="14"/>
        <v>9</v>
      </c>
      <c r="AD16" s="203">
        <f t="shared" si="14"/>
        <v>10</v>
      </c>
      <c r="AE16" s="203">
        <f t="shared" si="14"/>
        <v>11</v>
      </c>
      <c r="AF16" s="203">
        <f t="shared" si="14"/>
        <v>12</v>
      </c>
      <c r="AG16" s="203">
        <f t="shared" si="14"/>
        <v>1</v>
      </c>
      <c r="AH16" s="203">
        <f t="shared" si="14"/>
        <v>2</v>
      </c>
      <c r="AI16" s="203">
        <f t="shared" si="14"/>
        <v>3</v>
      </c>
      <c r="AJ16" s="203">
        <f t="shared" si="14"/>
        <v>4</v>
      </c>
      <c r="AK16" s="203">
        <f t="shared" si="14"/>
        <v>5</v>
      </c>
      <c r="AL16" s="203">
        <f t="shared" ref="AL16:BQ16" si="15">IF(MOD(AL14,MinY)=0,MinY,MOD(AL14,MinY))</f>
        <v>6</v>
      </c>
      <c r="AM16" s="203">
        <f t="shared" si="15"/>
        <v>7</v>
      </c>
      <c r="AN16" s="203">
        <f t="shared" si="15"/>
        <v>8</v>
      </c>
      <c r="AO16" s="203">
        <f t="shared" si="15"/>
        <v>9</v>
      </c>
      <c r="AP16" s="203">
        <f t="shared" si="15"/>
        <v>10</v>
      </c>
      <c r="AQ16" s="203">
        <f t="shared" si="15"/>
        <v>11</v>
      </c>
      <c r="AR16" s="203">
        <f t="shared" si="15"/>
        <v>12</v>
      </c>
      <c r="AS16" s="203">
        <f t="shared" si="15"/>
        <v>1</v>
      </c>
      <c r="AT16" s="203">
        <f t="shared" si="15"/>
        <v>2</v>
      </c>
      <c r="AU16" s="203">
        <f t="shared" si="15"/>
        <v>3</v>
      </c>
      <c r="AV16" s="203">
        <f t="shared" si="15"/>
        <v>4</v>
      </c>
      <c r="AW16" s="203">
        <f t="shared" si="15"/>
        <v>5</v>
      </c>
      <c r="AX16" s="203">
        <f t="shared" si="15"/>
        <v>6</v>
      </c>
      <c r="AY16" s="203">
        <f t="shared" si="15"/>
        <v>7</v>
      </c>
      <c r="AZ16" s="203">
        <f t="shared" si="15"/>
        <v>8</v>
      </c>
      <c r="BA16" s="203">
        <f t="shared" si="15"/>
        <v>9</v>
      </c>
      <c r="BB16" s="203">
        <f t="shared" si="15"/>
        <v>10</v>
      </c>
      <c r="BC16" s="203">
        <f t="shared" si="15"/>
        <v>11</v>
      </c>
      <c r="BD16" s="203">
        <f t="shared" si="15"/>
        <v>12</v>
      </c>
      <c r="BE16" s="203">
        <f t="shared" si="15"/>
        <v>1</v>
      </c>
      <c r="BF16" s="203">
        <f t="shared" si="15"/>
        <v>2</v>
      </c>
      <c r="BG16" s="203">
        <f t="shared" si="15"/>
        <v>3</v>
      </c>
      <c r="BH16" s="203">
        <f t="shared" si="15"/>
        <v>4</v>
      </c>
      <c r="BI16" s="203">
        <f t="shared" si="15"/>
        <v>5</v>
      </c>
      <c r="BJ16" s="203">
        <f t="shared" si="15"/>
        <v>6</v>
      </c>
      <c r="BK16" s="203">
        <f t="shared" si="15"/>
        <v>7</v>
      </c>
      <c r="BL16" s="203">
        <f t="shared" si="15"/>
        <v>8</v>
      </c>
      <c r="BM16" s="203">
        <f t="shared" si="15"/>
        <v>9</v>
      </c>
      <c r="BN16" s="203">
        <f t="shared" si="15"/>
        <v>10</v>
      </c>
      <c r="BO16" s="203">
        <f t="shared" si="15"/>
        <v>11</v>
      </c>
      <c r="BP16" s="203">
        <f t="shared" si="15"/>
        <v>12</v>
      </c>
      <c r="BQ16" s="203">
        <f t="shared" si="15"/>
        <v>1</v>
      </c>
      <c r="BR16" s="203">
        <f t="shared" ref="BR16:CW16" si="16">IF(MOD(BR14,MinY)=0,MinY,MOD(BR14,MinY))</f>
        <v>2</v>
      </c>
      <c r="BS16" s="203">
        <f t="shared" si="16"/>
        <v>3</v>
      </c>
      <c r="BT16" s="203">
        <f t="shared" si="16"/>
        <v>4</v>
      </c>
      <c r="BU16" s="203">
        <f t="shared" si="16"/>
        <v>5</v>
      </c>
      <c r="BV16" s="203">
        <f t="shared" si="16"/>
        <v>6</v>
      </c>
      <c r="BW16" s="203">
        <f t="shared" si="16"/>
        <v>7</v>
      </c>
      <c r="BX16" s="203">
        <f t="shared" si="16"/>
        <v>8</v>
      </c>
      <c r="BY16" s="203">
        <f t="shared" si="16"/>
        <v>9</v>
      </c>
      <c r="BZ16" s="203">
        <f t="shared" si="16"/>
        <v>10</v>
      </c>
      <c r="CA16" s="203">
        <f t="shared" si="16"/>
        <v>11</v>
      </c>
      <c r="CB16" s="203">
        <f t="shared" si="16"/>
        <v>12</v>
      </c>
      <c r="CC16" s="203">
        <f t="shared" si="16"/>
        <v>1</v>
      </c>
      <c r="CD16" s="203">
        <f t="shared" si="16"/>
        <v>2</v>
      </c>
      <c r="CE16" s="203">
        <f t="shared" si="16"/>
        <v>3</v>
      </c>
      <c r="CF16" s="203">
        <f t="shared" si="16"/>
        <v>4</v>
      </c>
      <c r="CG16" s="203">
        <f t="shared" si="16"/>
        <v>5</v>
      </c>
      <c r="CH16" s="203">
        <f t="shared" si="16"/>
        <v>6</v>
      </c>
      <c r="CI16" s="203">
        <f t="shared" si="16"/>
        <v>7</v>
      </c>
      <c r="CJ16" s="203">
        <f t="shared" si="16"/>
        <v>8</v>
      </c>
      <c r="CK16" s="203">
        <f t="shared" si="16"/>
        <v>9</v>
      </c>
      <c r="CL16" s="203">
        <f t="shared" si="16"/>
        <v>10</v>
      </c>
      <c r="CM16" s="203">
        <f t="shared" si="16"/>
        <v>11</v>
      </c>
      <c r="CN16" s="203">
        <f t="shared" si="16"/>
        <v>12</v>
      </c>
      <c r="CO16" s="203">
        <f t="shared" si="16"/>
        <v>1</v>
      </c>
      <c r="CP16" s="203">
        <f t="shared" si="16"/>
        <v>2</v>
      </c>
      <c r="CQ16" s="203">
        <f t="shared" si="16"/>
        <v>3</v>
      </c>
      <c r="CR16" s="203">
        <f t="shared" si="16"/>
        <v>4</v>
      </c>
      <c r="CS16" s="203">
        <f t="shared" si="16"/>
        <v>5</v>
      </c>
      <c r="CT16" s="203">
        <f t="shared" si="16"/>
        <v>6</v>
      </c>
      <c r="CU16" s="203">
        <f t="shared" si="16"/>
        <v>7</v>
      </c>
      <c r="CV16" s="203">
        <f t="shared" si="16"/>
        <v>8</v>
      </c>
      <c r="CW16" s="203">
        <f t="shared" si="16"/>
        <v>9</v>
      </c>
      <c r="CX16" s="203">
        <f t="shared" ref="CX16:DX16" si="17">IF(MOD(CX14,MinY)=0,MinY,MOD(CX14,MinY))</f>
        <v>10</v>
      </c>
      <c r="CY16" s="203">
        <f t="shared" si="17"/>
        <v>11</v>
      </c>
      <c r="CZ16" s="203">
        <f t="shared" si="17"/>
        <v>12</v>
      </c>
      <c r="DA16" s="203">
        <f t="shared" si="17"/>
        <v>1</v>
      </c>
      <c r="DB16" s="203">
        <f t="shared" si="17"/>
        <v>2</v>
      </c>
      <c r="DC16" s="203">
        <f t="shared" si="17"/>
        <v>3</v>
      </c>
      <c r="DD16" s="203">
        <f t="shared" si="17"/>
        <v>4</v>
      </c>
      <c r="DE16" s="203">
        <f t="shared" si="17"/>
        <v>5</v>
      </c>
      <c r="DF16" s="203">
        <f t="shared" si="17"/>
        <v>6</v>
      </c>
      <c r="DG16" s="203">
        <f t="shared" si="17"/>
        <v>7</v>
      </c>
      <c r="DH16" s="203">
        <f t="shared" si="17"/>
        <v>8</v>
      </c>
      <c r="DI16" s="203">
        <f t="shared" si="17"/>
        <v>9</v>
      </c>
      <c r="DJ16" s="203">
        <f t="shared" si="17"/>
        <v>10</v>
      </c>
      <c r="DK16" s="203">
        <f t="shared" si="17"/>
        <v>11</v>
      </c>
      <c r="DL16" s="203">
        <f t="shared" si="17"/>
        <v>12</v>
      </c>
      <c r="DM16" s="203">
        <f t="shared" si="17"/>
        <v>1</v>
      </c>
      <c r="DN16" s="203">
        <f t="shared" si="17"/>
        <v>2</v>
      </c>
      <c r="DO16" s="203">
        <f t="shared" si="17"/>
        <v>3</v>
      </c>
      <c r="DP16" s="203">
        <f t="shared" si="17"/>
        <v>4</v>
      </c>
      <c r="DQ16" s="203">
        <f t="shared" si="17"/>
        <v>5</v>
      </c>
      <c r="DR16" s="203">
        <f t="shared" si="17"/>
        <v>6</v>
      </c>
      <c r="DS16" s="203">
        <f t="shared" si="17"/>
        <v>7</v>
      </c>
      <c r="DT16" s="203">
        <f t="shared" si="17"/>
        <v>8</v>
      </c>
      <c r="DU16" s="203">
        <f t="shared" si="17"/>
        <v>9</v>
      </c>
      <c r="DV16" s="203">
        <f t="shared" si="17"/>
        <v>10</v>
      </c>
      <c r="DW16" s="203">
        <f t="shared" si="17"/>
        <v>11</v>
      </c>
      <c r="DX16" s="203">
        <f t="shared" si="17"/>
        <v>12</v>
      </c>
      <c r="DY16" s="88"/>
      <c r="DZ16" s="188" t="s">
        <v>396</v>
      </c>
      <c r="EB16" s="88"/>
    </row>
    <row r="17" spans="1:132" outlineLevel="1">
      <c r="A17" s="91" t="s">
        <v>161</v>
      </c>
      <c r="C17" s="185"/>
      <c r="D17" s="185"/>
      <c r="E17" s="185"/>
      <c r="F17" s="202">
        <f>MONTH(F11)</f>
        <v>11</v>
      </c>
      <c r="G17" s="204">
        <f>MONTH(G11)</f>
        <v>12</v>
      </c>
      <c r="H17" s="204">
        <f t="shared" ref="H17:BS17" si="18">MONTH(H11)</f>
        <v>1</v>
      </c>
      <c r="I17" s="204">
        <f t="shared" si="18"/>
        <v>2</v>
      </c>
      <c r="J17" s="203">
        <f t="shared" si="18"/>
        <v>3</v>
      </c>
      <c r="K17" s="203">
        <f t="shared" si="18"/>
        <v>4</v>
      </c>
      <c r="L17" s="203">
        <f t="shared" si="18"/>
        <v>5</v>
      </c>
      <c r="M17" s="203">
        <f t="shared" si="18"/>
        <v>6</v>
      </c>
      <c r="N17" s="203">
        <f t="shared" si="18"/>
        <v>7</v>
      </c>
      <c r="O17" s="203">
        <f t="shared" si="18"/>
        <v>8</v>
      </c>
      <c r="P17" s="203">
        <f t="shared" si="18"/>
        <v>9</v>
      </c>
      <c r="Q17" s="203">
        <f t="shared" si="18"/>
        <v>10</v>
      </c>
      <c r="R17" s="203">
        <f t="shared" si="18"/>
        <v>11</v>
      </c>
      <c r="S17" s="203">
        <f t="shared" si="18"/>
        <v>12</v>
      </c>
      <c r="T17" s="203">
        <f t="shared" si="18"/>
        <v>1</v>
      </c>
      <c r="U17" s="203">
        <f t="shared" si="18"/>
        <v>2</v>
      </c>
      <c r="V17" s="203">
        <f t="shared" si="18"/>
        <v>3</v>
      </c>
      <c r="W17" s="203">
        <f t="shared" si="18"/>
        <v>4</v>
      </c>
      <c r="X17" s="203">
        <f t="shared" si="18"/>
        <v>5</v>
      </c>
      <c r="Y17" s="203">
        <f t="shared" si="18"/>
        <v>6</v>
      </c>
      <c r="Z17" s="203">
        <f t="shared" si="18"/>
        <v>7</v>
      </c>
      <c r="AA17" s="203">
        <f t="shared" si="18"/>
        <v>8</v>
      </c>
      <c r="AB17" s="203">
        <f t="shared" si="18"/>
        <v>9</v>
      </c>
      <c r="AC17" s="203">
        <f t="shared" si="18"/>
        <v>10</v>
      </c>
      <c r="AD17" s="203">
        <f t="shared" si="18"/>
        <v>11</v>
      </c>
      <c r="AE17" s="203">
        <f t="shared" si="18"/>
        <v>12</v>
      </c>
      <c r="AF17" s="203">
        <f t="shared" si="18"/>
        <v>1</v>
      </c>
      <c r="AG17" s="203">
        <f t="shared" si="18"/>
        <v>2</v>
      </c>
      <c r="AH17" s="203">
        <f t="shared" si="18"/>
        <v>3</v>
      </c>
      <c r="AI17" s="203">
        <f t="shared" si="18"/>
        <v>4</v>
      </c>
      <c r="AJ17" s="203">
        <f t="shared" si="18"/>
        <v>5</v>
      </c>
      <c r="AK17" s="203">
        <f t="shared" si="18"/>
        <v>6</v>
      </c>
      <c r="AL17" s="203">
        <f t="shared" si="18"/>
        <v>7</v>
      </c>
      <c r="AM17" s="203">
        <f t="shared" si="18"/>
        <v>8</v>
      </c>
      <c r="AN17" s="203">
        <f t="shared" si="18"/>
        <v>9</v>
      </c>
      <c r="AO17" s="203">
        <f t="shared" si="18"/>
        <v>10</v>
      </c>
      <c r="AP17" s="203">
        <f t="shared" si="18"/>
        <v>11</v>
      </c>
      <c r="AQ17" s="203">
        <f t="shared" si="18"/>
        <v>12</v>
      </c>
      <c r="AR17" s="203">
        <f t="shared" si="18"/>
        <v>1</v>
      </c>
      <c r="AS17" s="203">
        <f t="shared" si="18"/>
        <v>2</v>
      </c>
      <c r="AT17" s="203">
        <f t="shared" si="18"/>
        <v>3</v>
      </c>
      <c r="AU17" s="203">
        <f t="shared" si="18"/>
        <v>4</v>
      </c>
      <c r="AV17" s="203">
        <f t="shared" si="18"/>
        <v>5</v>
      </c>
      <c r="AW17" s="203">
        <f t="shared" si="18"/>
        <v>6</v>
      </c>
      <c r="AX17" s="203">
        <f t="shared" si="18"/>
        <v>7</v>
      </c>
      <c r="AY17" s="203">
        <f t="shared" si="18"/>
        <v>8</v>
      </c>
      <c r="AZ17" s="203">
        <f t="shared" si="18"/>
        <v>9</v>
      </c>
      <c r="BA17" s="203">
        <f t="shared" si="18"/>
        <v>10</v>
      </c>
      <c r="BB17" s="203">
        <f t="shared" si="18"/>
        <v>11</v>
      </c>
      <c r="BC17" s="203">
        <f t="shared" si="18"/>
        <v>12</v>
      </c>
      <c r="BD17" s="203">
        <f t="shared" si="18"/>
        <v>1</v>
      </c>
      <c r="BE17" s="203">
        <f t="shared" si="18"/>
        <v>2</v>
      </c>
      <c r="BF17" s="203">
        <f t="shared" si="18"/>
        <v>3</v>
      </c>
      <c r="BG17" s="203">
        <f t="shared" si="18"/>
        <v>4</v>
      </c>
      <c r="BH17" s="203">
        <f t="shared" si="18"/>
        <v>5</v>
      </c>
      <c r="BI17" s="203">
        <f t="shared" si="18"/>
        <v>6</v>
      </c>
      <c r="BJ17" s="203">
        <f t="shared" si="18"/>
        <v>7</v>
      </c>
      <c r="BK17" s="203">
        <f t="shared" si="18"/>
        <v>8</v>
      </c>
      <c r="BL17" s="203">
        <f t="shared" si="18"/>
        <v>9</v>
      </c>
      <c r="BM17" s="203">
        <f t="shared" si="18"/>
        <v>10</v>
      </c>
      <c r="BN17" s="203">
        <f t="shared" si="18"/>
        <v>11</v>
      </c>
      <c r="BO17" s="203">
        <f t="shared" si="18"/>
        <v>12</v>
      </c>
      <c r="BP17" s="203">
        <f t="shared" si="18"/>
        <v>1</v>
      </c>
      <c r="BQ17" s="203">
        <f t="shared" si="18"/>
        <v>2</v>
      </c>
      <c r="BR17" s="203">
        <f t="shared" si="18"/>
        <v>3</v>
      </c>
      <c r="BS17" s="203">
        <f t="shared" si="18"/>
        <v>4</v>
      </c>
      <c r="BT17" s="203">
        <f t="shared" ref="BT17:DX17" si="19">MONTH(BT11)</f>
        <v>5</v>
      </c>
      <c r="BU17" s="203">
        <f t="shared" si="19"/>
        <v>6</v>
      </c>
      <c r="BV17" s="203">
        <f t="shared" si="19"/>
        <v>7</v>
      </c>
      <c r="BW17" s="203">
        <f t="shared" si="19"/>
        <v>8</v>
      </c>
      <c r="BX17" s="203">
        <f t="shared" si="19"/>
        <v>9</v>
      </c>
      <c r="BY17" s="203">
        <f t="shared" si="19"/>
        <v>10</v>
      </c>
      <c r="BZ17" s="203">
        <f t="shared" si="19"/>
        <v>11</v>
      </c>
      <c r="CA17" s="203">
        <f t="shared" si="19"/>
        <v>12</v>
      </c>
      <c r="CB17" s="203">
        <f t="shared" si="19"/>
        <v>1</v>
      </c>
      <c r="CC17" s="203">
        <f t="shared" si="19"/>
        <v>2</v>
      </c>
      <c r="CD17" s="203">
        <f t="shared" si="19"/>
        <v>3</v>
      </c>
      <c r="CE17" s="203">
        <f t="shared" si="19"/>
        <v>4</v>
      </c>
      <c r="CF17" s="203">
        <f t="shared" si="19"/>
        <v>5</v>
      </c>
      <c r="CG17" s="203">
        <f t="shared" si="19"/>
        <v>6</v>
      </c>
      <c r="CH17" s="203">
        <f t="shared" si="19"/>
        <v>7</v>
      </c>
      <c r="CI17" s="203">
        <f t="shared" si="19"/>
        <v>8</v>
      </c>
      <c r="CJ17" s="203">
        <f t="shared" si="19"/>
        <v>9</v>
      </c>
      <c r="CK17" s="203">
        <f t="shared" si="19"/>
        <v>10</v>
      </c>
      <c r="CL17" s="203">
        <f t="shared" si="19"/>
        <v>11</v>
      </c>
      <c r="CM17" s="203">
        <f t="shared" si="19"/>
        <v>12</v>
      </c>
      <c r="CN17" s="203">
        <f t="shared" si="19"/>
        <v>1</v>
      </c>
      <c r="CO17" s="203">
        <f t="shared" si="19"/>
        <v>2</v>
      </c>
      <c r="CP17" s="203">
        <f t="shared" si="19"/>
        <v>3</v>
      </c>
      <c r="CQ17" s="203">
        <f t="shared" si="19"/>
        <v>4</v>
      </c>
      <c r="CR17" s="203">
        <f t="shared" si="19"/>
        <v>5</v>
      </c>
      <c r="CS17" s="203">
        <f t="shared" si="19"/>
        <v>6</v>
      </c>
      <c r="CT17" s="203">
        <f t="shared" si="19"/>
        <v>7</v>
      </c>
      <c r="CU17" s="203">
        <f t="shared" si="19"/>
        <v>8</v>
      </c>
      <c r="CV17" s="203">
        <f t="shared" si="19"/>
        <v>9</v>
      </c>
      <c r="CW17" s="203">
        <f t="shared" si="19"/>
        <v>10</v>
      </c>
      <c r="CX17" s="203">
        <f t="shared" si="19"/>
        <v>11</v>
      </c>
      <c r="CY17" s="203">
        <f t="shared" si="19"/>
        <v>12</v>
      </c>
      <c r="CZ17" s="203">
        <f t="shared" si="19"/>
        <v>1</v>
      </c>
      <c r="DA17" s="203">
        <f t="shared" si="19"/>
        <v>2</v>
      </c>
      <c r="DB17" s="203">
        <f t="shared" si="19"/>
        <v>3</v>
      </c>
      <c r="DC17" s="203">
        <f t="shared" si="19"/>
        <v>4</v>
      </c>
      <c r="DD17" s="203">
        <f t="shared" si="19"/>
        <v>5</v>
      </c>
      <c r="DE17" s="203">
        <f t="shared" si="19"/>
        <v>6</v>
      </c>
      <c r="DF17" s="203">
        <f t="shared" si="19"/>
        <v>7</v>
      </c>
      <c r="DG17" s="203">
        <f t="shared" si="19"/>
        <v>8</v>
      </c>
      <c r="DH17" s="203">
        <f t="shared" si="19"/>
        <v>9</v>
      </c>
      <c r="DI17" s="203">
        <f t="shared" si="19"/>
        <v>10</v>
      </c>
      <c r="DJ17" s="203">
        <f t="shared" si="19"/>
        <v>11</v>
      </c>
      <c r="DK17" s="203">
        <f t="shared" si="19"/>
        <v>12</v>
      </c>
      <c r="DL17" s="203">
        <f t="shared" si="19"/>
        <v>1</v>
      </c>
      <c r="DM17" s="203">
        <f t="shared" si="19"/>
        <v>2</v>
      </c>
      <c r="DN17" s="203">
        <f t="shared" si="19"/>
        <v>3</v>
      </c>
      <c r="DO17" s="203">
        <f t="shared" si="19"/>
        <v>4</v>
      </c>
      <c r="DP17" s="203">
        <f t="shared" si="19"/>
        <v>5</v>
      </c>
      <c r="DQ17" s="203">
        <f t="shared" si="19"/>
        <v>6</v>
      </c>
      <c r="DR17" s="203">
        <f t="shared" si="19"/>
        <v>7</v>
      </c>
      <c r="DS17" s="203">
        <f t="shared" si="19"/>
        <v>8</v>
      </c>
      <c r="DT17" s="203">
        <f t="shared" si="19"/>
        <v>9</v>
      </c>
      <c r="DU17" s="203">
        <f t="shared" si="19"/>
        <v>10</v>
      </c>
      <c r="DV17" s="203">
        <f t="shared" si="19"/>
        <v>11</v>
      </c>
      <c r="DW17" s="203">
        <f t="shared" si="19"/>
        <v>12</v>
      </c>
      <c r="DX17" s="203">
        <f t="shared" si="19"/>
        <v>1</v>
      </c>
      <c r="DY17" s="88"/>
      <c r="DZ17" s="188" t="s">
        <v>397</v>
      </c>
      <c r="EB17" s="88"/>
    </row>
    <row r="18" spans="1:132" outlineLevel="1">
      <c r="A18" s="91" t="s">
        <v>162</v>
      </c>
      <c r="C18" s="185"/>
      <c r="D18" s="185"/>
      <c r="E18" s="185"/>
      <c r="F18" s="202" t="str">
        <f t="shared" ref="F18:AK18" si="20">INDEX(MonthListIn,MONTH(F11))</f>
        <v>November</v>
      </c>
      <c r="G18" s="205" t="str">
        <f t="shared" si="20"/>
        <v>December</v>
      </c>
      <c r="H18" s="205" t="str">
        <f t="shared" si="20"/>
        <v>January</v>
      </c>
      <c r="I18" s="205" t="str">
        <f t="shared" si="20"/>
        <v>February</v>
      </c>
      <c r="J18" s="205" t="str">
        <f t="shared" si="20"/>
        <v>March</v>
      </c>
      <c r="K18" s="205" t="str">
        <f t="shared" si="20"/>
        <v>April</v>
      </c>
      <c r="L18" s="205" t="str">
        <f t="shared" si="20"/>
        <v>May</v>
      </c>
      <c r="M18" s="205" t="str">
        <f t="shared" si="20"/>
        <v>June</v>
      </c>
      <c r="N18" s="205" t="str">
        <f t="shared" si="20"/>
        <v>July</v>
      </c>
      <c r="O18" s="205" t="str">
        <f t="shared" si="20"/>
        <v>August</v>
      </c>
      <c r="P18" s="205" t="str">
        <f t="shared" si="20"/>
        <v>September</v>
      </c>
      <c r="Q18" s="205" t="str">
        <f t="shared" si="20"/>
        <v>October</v>
      </c>
      <c r="R18" s="205" t="str">
        <f t="shared" si="20"/>
        <v>November</v>
      </c>
      <c r="S18" s="205" t="str">
        <f t="shared" si="20"/>
        <v>December</v>
      </c>
      <c r="T18" s="205" t="str">
        <f t="shared" si="20"/>
        <v>January</v>
      </c>
      <c r="U18" s="205" t="str">
        <f t="shared" si="20"/>
        <v>February</v>
      </c>
      <c r="V18" s="205" t="str">
        <f t="shared" si="20"/>
        <v>March</v>
      </c>
      <c r="W18" s="205" t="str">
        <f t="shared" si="20"/>
        <v>April</v>
      </c>
      <c r="X18" s="205" t="str">
        <f t="shared" si="20"/>
        <v>May</v>
      </c>
      <c r="Y18" s="205" t="str">
        <f t="shared" si="20"/>
        <v>June</v>
      </c>
      <c r="Z18" s="205" t="str">
        <f t="shared" si="20"/>
        <v>July</v>
      </c>
      <c r="AA18" s="205" t="str">
        <f t="shared" si="20"/>
        <v>August</v>
      </c>
      <c r="AB18" s="205" t="str">
        <f t="shared" si="20"/>
        <v>September</v>
      </c>
      <c r="AC18" s="205" t="str">
        <f t="shared" si="20"/>
        <v>October</v>
      </c>
      <c r="AD18" s="205" t="str">
        <f t="shared" si="20"/>
        <v>November</v>
      </c>
      <c r="AE18" s="205" t="str">
        <f t="shared" si="20"/>
        <v>December</v>
      </c>
      <c r="AF18" s="205" t="str">
        <f t="shared" si="20"/>
        <v>January</v>
      </c>
      <c r="AG18" s="205" t="str">
        <f t="shared" si="20"/>
        <v>February</v>
      </c>
      <c r="AH18" s="205" t="str">
        <f t="shared" si="20"/>
        <v>March</v>
      </c>
      <c r="AI18" s="205" t="str">
        <f t="shared" si="20"/>
        <v>April</v>
      </c>
      <c r="AJ18" s="205" t="str">
        <f t="shared" si="20"/>
        <v>May</v>
      </c>
      <c r="AK18" s="205" t="str">
        <f t="shared" si="20"/>
        <v>June</v>
      </c>
      <c r="AL18" s="205" t="str">
        <f t="shared" ref="AL18:BQ18" si="21">INDEX(MonthListIn,MONTH(AL11))</f>
        <v>July</v>
      </c>
      <c r="AM18" s="205" t="str">
        <f t="shared" si="21"/>
        <v>August</v>
      </c>
      <c r="AN18" s="205" t="str">
        <f t="shared" si="21"/>
        <v>September</v>
      </c>
      <c r="AO18" s="205" t="str">
        <f t="shared" si="21"/>
        <v>October</v>
      </c>
      <c r="AP18" s="205" t="str">
        <f t="shared" si="21"/>
        <v>November</v>
      </c>
      <c r="AQ18" s="205" t="str">
        <f t="shared" si="21"/>
        <v>December</v>
      </c>
      <c r="AR18" s="205" t="str">
        <f t="shared" si="21"/>
        <v>January</v>
      </c>
      <c r="AS18" s="205" t="str">
        <f t="shared" si="21"/>
        <v>February</v>
      </c>
      <c r="AT18" s="205" t="str">
        <f t="shared" si="21"/>
        <v>March</v>
      </c>
      <c r="AU18" s="205" t="str">
        <f t="shared" si="21"/>
        <v>April</v>
      </c>
      <c r="AV18" s="205" t="str">
        <f t="shared" si="21"/>
        <v>May</v>
      </c>
      <c r="AW18" s="205" t="str">
        <f t="shared" si="21"/>
        <v>June</v>
      </c>
      <c r="AX18" s="205" t="str">
        <f t="shared" si="21"/>
        <v>July</v>
      </c>
      <c r="AY18" s="205" t="str">
        <f t="shared" si="21"/>
        <v>August</v>
      </c>
      <c r="AZ18" s="205" t="str">
        <f t="shared" si="21"/>
        <v>September</v>
      </c>
      <c r="BA18" s="205" t="str">
        <f t="shared" si="21"/>
        <v>October</v>
      </c>
      <c r="BB18" s="205" t="str">
        <f t="shared" si="21"/>
        <v>November</v>
      </c>
      <c r="BC18" s="205" t="str">
        <f t="shared" si="21"/>
        <v>December</v>
      </c>
      <c r="BD18" s="205" t="str">
        <f t="shared" si="21"/>
        <v>January</v>
      </c>
      <c r="BE18" s="205" t="str">
        <f t="shared" si="21"/>
        <v>February</v>
      </c>
      <c r="BF18" s="205" t="str">
        <f t="shared" si="21"/>
        <v>March</v>
      </c>
      <c r="BG18" s="205" t="str">
        <f t="shared" si="21"/>
        <v>April</v>
      </c>
      <c r="BH18" s="205" t="str">
        <f t="shared" si="21"/>
        <v>May</v>
      </c>
      <c r="BI18" s="205" t="str">
        <f t="shared" si="21"/>
        <v>June</v>
      </c>
      <c r="BJ18" s="205" t="str">
        <f t="shared" si="21"/>
        <v>July</v>
      </c>
      <c r="BK18" s="205" t="str">
        <f t="shared" si="21"/>
        <v>August</v>
      </c>
      <c r="BL18" s="205" t="str">
        <f t="shared" si="21"/>
        <v>September</v>
      </c>
      <c r="BM18" s="205" t="str">
        <f t="shared" si="21"/>
        <v>October</v>
      </c>
      <c r="BN18" s="205" t="str">
        <f t="shared" si="21"/>
        <v>November</v>
      </c>
      <c r="BO18" s="205" t="str">
        <f t="shared" si="21"/>
        <v>December</v>
      </c>
      <c r="BP18" s="205" t="str">
        <f t="shared" si="21"/>
        <v>January</v>
      </c>
      <c r="BQ18" s="205" t="str">
        <f t="shared" si="21"/>
        <v>February</v>
      </c>
      <c r="BR18" s="205" t="str">
        <f t="shared" ref="BR18:CW18" si="22">INDEX(MonthListIn,MONTH(BR11))</f>
        <v>March</v>
      </c>
      <c r="BS18" s="205" t="str">
        <f t="shared" si="22"/>
        <v>April</v>
      </c>
      <c r="BT18" s="205" t="str">
        <f t="shared" si="22"/>
        <v>May</v>
      </c>
      <c r="BU18" s="205" t="str">
        <f t="shared" si="22"/>
        <v>June</v>
      </c>
      <c r="BV18" s="205" t="str">
        <f t="shared" si="22"/>
        <v>July</v>
      </c>
      <c r="BW18" s="205" t="str">
        <f t="shared" si="22"/>
        <v>August</v>
      </c>
      <c r="BX18" s="205" t="str">
        <f t="shared" si="22"/>
        <v>September</v>
      </c>
      <c r="BY18" s="205" t="str">
        <f t="shared" si="22"/>
        <v>October</v>
      </c>
      <c r="BZ18" s="205" t="str">
        <f t="shared" si="22"/>
        <v>November</v>
      </c>
      <c r="CA18" s="205" t="str">
        <f t="shared" si="22"/>
        <v>December</v>
      </c>
      <c r="CB18" s="205" t="str">
        <f t="shared" si="22"/>
        <v>January</v>
      </c>
      <c r="CC18" s="205" t="str">
        <f t="shared" si="22"/>
        <v>February</v>
      </c>
      <c r="CD18" s="205" t="str">
        <f t="shared" si="22"/>
        <v>March</v>
      </c>
      <c r="CE18" s="205" t="str">
        <f t="shared" si="22"/>
        <v>April</v>
      </c>
      <c r="CF18" s="205" t="str">
        <f t="shared" si="22"/>
        <v>May</v>
      </c>
      <c r="CG18" s="205" t="str">
        <f t="shared" si="22"/>
        <v>June</v>
      </c>
      <c r="CH18" s="205" t="str">
        <f t="shared" si="22"/>
        <v>July</v>
      </c>
      <c r="CI18" s="205" t="str">
        <f t="shared" si="22"/>
        <v>August</v>
      </c>
      <c r="CJ18" s="205" t="str">
        <f t="shared" si="22"/>
        <v>September</v>
      </c>
      <c r="CK18" s="205" t="str">
        <f t="shared" si="22"/>
        <v>October</v>
      </c>
      <c r="CL18" s="205" t="str">
        <f t="shared" si="22"/>
        <v>November</v>
      </c>
      <c r="CM18" s="205" t="str">
        <f t="shared" si="22"/>
        <v>December</v>
      </c>
      <c r="CN18" s="205" t="str">
        <f t="shared" si="22"/>
        <v>January</v>
      </c>
      <c r="CO18" s="205" t="str">
        <f t="shared" si="22"/>
        <v>February</v>
      </c>
      <c r="CP18" s="205" t="str">
        <f t="shared" si="22"/>
        <v>March</v>
      </c>
      <c r="CQ18" s="205" t="str">
        <f t="shared" si="22"/>
        <v>April</v>
      </c>
      <c r="CR18" s="205" t="str">
        <f t="shared" si="22"/>
        <v>May</v>
      </c>
      <c r="CS18" s="205" t="str">
        <f t="shared" si="22"/>
        <v>June</v>
      </c>
      <c r="CT18" s="205" t="str">
        <f t="shared" si="22"/>
        <v>July</v>
      </c>
      <c r="CU18" s="205" t="str">
        <f t="shared" si="22"/>
        <v>August</v>
      </c>
      <c r="CV18" s="205" t="str">
        <f t="shared" si="22"/>
        <v>September</v>
      </c>
      <c r="CW18" s="205" t="str">
        <f t="shared" si="22"/>
        <v>October</v>
      </c>
      <c r="CX18" s="205" t="str">
        <f t="shared" ref="CX18:DX18" si="23">INDEX(MonthListIn,MONTH(CX11))</f>
        <v>November</v>
      </c>
      <c r="CY18" s="205" t="str">
        <f t="shared" si="23"/>
        <v>December</v>
      </c>
      <c r="CZ18" s="205" t="str">
        <f t="shared" si="23"/>
        <v>January</v>
      </c>
      <c r="DA18" s="205" t="str">
        <f t="shared" si="23"/>
        <v>February</v>
      </c>
      <c r="DB18" s="205" t="str">
        <f t="shared" si="23"/>
        <v>March</v>
      </c>
      <c r="DC18" s="205" t="str">
        <f t="shared" si="23"/>
        <v>April</v>
      </c>
      <c r="DD18" s="205" t="str">
        <f t="shared" si="23"/>
        <v>May</v>
      </c>
      <c r="DE18" s="205" t="str">
        <f t="shared" si="23"/>
        <v>June</v>
      </c>
      <c r="DF18" s="205" t="str">
        <f t="shared" si="23"/>
        <v>July</v>
      </c>
      <c r="DG18" s="205" t="str">
        <f t="shared" si="23"/>
        <v>August</v>
      </c>
      <c r="DH18" s="205" t="str">
        <f t="shared" si="23"/>
        <v>September</v>
      </c>
      <c r="DI18" s="205" t="str">
        <f t="shared" si="23"/>
        <v>October</v>
      </c>
      <c r="DJ18" s="205" t="str">
        <f t="shared" si="23"/>
        <v>November</v>
      </c>
      <c r="DK18" s="205" t="str">
        <f t="shared" si="23"/>
        <v>December</v>
      </c>
      <c r="DL18" s="205" t="str">
        <f t="shared" si="23"/>
        <v>January</v>
      </c>
      <c r="DM18" s="205" t="str">
        <f t="shared" si="23"/>
        <v>February</v>
      </c>
      <c r="DN18" s="205" t="str">
        <f t="shared" si="23"/>
        <v>March</v>
      </c>
      <c r="DO18" s="205" t="str">
        <f t="shared" si="23"/>
        <v>April</v>
      </c>
      <c r="DP18" s="205" t="str">
        <f t="shared" si="23"/>
        <v>May</v>
      </c>
      <c r="DQ18" s="205" t="str">
        <f t="shared" si="23"/>
        <v>June</v>
      </c>
      <c r="DR18" s="205" t="str">
        <f t="shared" si="23"/>
        <v>July</v>
      </c>
      <c r="DS18" s="205" t="str">
        <f t="shared" si="23"/>
        <v>August</v>
      </c>
      <c r="DT18" s="205" t="str">
        <f t="shared" si="23"/>
        <v>September</v>
      </c>
      <c r="DU18" s="205" t="str">
        <f t="shared" si="23"/>
        <v>October</v>
      </c>
      <c r="DV18" s="205" t="str">
        <f t="shared" si="23"/>
        <v>November</v>
      </c>
      <c r="DW18" s="205" t="str">
        <f t="shared" si="23"/>
        <v>December</v>
      </c>
      <c r="DX18" s="205" t="str">
        <f t="shared" si="23"/>
        <v>January</v>
      </c>
      <c r="DY18" s="88"/>
      <c r="DZ18" s="188" t="s">
        <v>398</v>
      </c>
      <c r="EB18" s="88"/>
    </row>
    <row r="19" spans="1:132" outlineLevel="1">
      <c r="A19" s="91" t="s">
        <v>355</v>
      </c>
      <c r="C19" s="185"/>
      <c r="D19" s="185"/>
      <c r="E19" s="185"/>
      <c r="F19" s="206" t="str">
        <f t="shared" ref="F19:BQ19" si="24">IF(F15=0,"M"&amp;F14,"Y"&amp;F15&amp;"M"&amp;F16)</f>
        <v>M-3</v>
      </c>
      <c r="G19" s="207" t="str">
        <f t="shared" si="24"/>
        <v>M-2</v>
      </c>
      <c r="H19" s="207" t="str">
        <f t="shared" si="24"/>
        <v>M-1</v>
      </c>
      <c r="I19" s="207" t="str">
        <f t="shared" si="24"/>
        <v>Y1M1</v>
      </c>
      <c r="J19" s="207" t="str">
        <f t="shared" si="24"/>
        <v>Y1M2</v>
      </c>
      <c r="K19" s="207" t="str">
        <f t="shared" si="24"/>
        <v>Y1M3</v>
      </c>
      <c r="L19" s="207" t="str">
        <f t="shared" si="24"/>
        <v>Y1M4</v>
      </c>
      <c r="M19" s="207" t="str">
        <f t="shared" si="24"/>
        <v>Y1M5</v>
      </c>
      <c r="N19" s="207" t="str">
        <f t="shared" si="24"/>
        <v>Y1M6</v>
      </c>
      <c r="O19" s="207" t="str">
        <f t="shared" si="24"/>
        <v>Y1M7</v>
      </c>
      <c r="P19" s="207" t="str">
        <f t="shared" si="24"/>
        <v>Y1M8</v>
      </c>
      <c r="Q19" s="207" t="str">
        <f t="shared" si="24"/>
        <v>Y1M9</v>
      </c>
      <c r="R19" s="207" t="str">
        <f t="shared" si="24"/>
        <v>Y1M10</v>
      </c>
      <c r="S19" s="207" t="str">
        <f t="shared" si="24"/>
        <v>Y1M11</v>
      </c>
      <c r="T19" s="207" t="str">
        <f t="shared" si="24"/>
        <v>Y1M12</v>
      </c>
      <c r="U19" s="207" t="str">
        <f t="shared" si="24"/>
        <v>Y2M1</v>
      </c>
      <c r="V19" s="207" t="str">
        <f t="shared" si="24"/>
        <v>Y2M2</v>
      </c>
      <c r="W19" s="207" t="str">
        <f t="shared" si="24"/>
        <v>Y2M3</v>
      </c>
      <c r="X19" s="207" t="str">
        <f t="shared" si="24"/>
        <v>Y2M4</v>
      </c>
      <c r="Y19" s="207" t="str">
        <f t="shared" si="24"/>
        <v>Y2M5</v>
      </c>
      <c r="Z19" s="207" t="str">
        <f t="shared" si="24"/>
        <v>Y2M6</v>
      </c>
      <c r="AA19" s="207" t="str">
        <f t="shared" si="24"/>
        <v>Y2M7</v>
      </c>
      <c r="AB19" s="207" t="str">
        <f t="shared" si="24"/>
        <v>Y2M8</v>
      </c>
      <c r="AC19" s="207" t="str">
        <f t="shared" si="24"/>
        <v>Y2M9</v>
      </c>
      <c r="AD19" s="207" t="str">
        <f t="shared" si="24"/>
        <v>Y2M10</v>
      </c>
      <c r="AE19" s="207" t="str">
        <f t="shared" si="24"/>
        <v>Y2M11</v>
      </c>
      <c r="AF19" s="207" t="str">
        <f t="shared" si="24"/>
        <v>Y2M12</v>
      </c>
      <c r="AG19" s="207" t="str">
        <f t="shared" si="24"/>
        <v>Y3M1</v>
      </c>
      <c r="AH19" s="207" t="str">
        <f t="shared" si="24"/>
        <v>Y3M2</v>
      </c>
      <c r="AI19" s="207" t="str">
        <f t="shared" si="24"/>
        <v>Y3M3</v>
      </c>
      <c r="AJ19" s="207" t="str">
        <f t="shared" si="24"/>
        <v>Y3M4</v>
      </c>
      <c r="AK19" s="207" t="str">
        <f t="shared" si="24"/>
        <v>Y3M5</v>
      </c>
      <c r="AL19" s="207" t="str">
        <f t="shared" si="24"/>
        <v>Y3M6</v>
      </c>
      <c r="AM19" s="207" t="str">
        <f t="shared" si="24"/>
        <v>Y3M7</v>
      </c>
      <c r="AN19" s="207" t="str">
        <f t="shared" si="24"/>
        <v>Y3M8</v>
      </c>
      <c r="AO19" s="207" t="str">
        <f t="shared" si="24"/>
        <v>Y3M9</v>
      </c>
      <c r="AP19" s="207" t="str">
        <f t="shared" si="24"/>
        <v>Y3M10</v>
      </c>
      <c r="AQ19" s="207" t="str">
        <f t="shared" si="24"/>
        <v>Y3M11</v>
      </c>
      <c r="AR19" s="207" t="str">
        <f t="shared" si="24"/>
        <v>Y3M12</v>
      </c>
      <c r="AS19" s="207" t="str">
        <f t="shared" si="24"/>
        <v>Y4M1</v>
      </c>
      <c r="AT19" s="207" t="str">
        <f t="shared" si="24"/>
        <v>Y4M2</v>
      </c>
      <c r="AU19" s="207" t="str">
        <f t="shared" si="24"/>
        <v>Y4M3</v>
      </c>
      <c r="AV19" s="207" t="str">
        <f t="shared" si="24"/>
        <v>Y4M4</v>
      </c>
      <c r="AW19" s="207" t="str">
        <f t="shared" si="24"/>
        <v>Y4M5</v>
      </c>
      <c r="AX19" s="207" t="str">
        <f t="shared" si="24"/>
        <v>Y4M6</v>
      </c>
      <c r="AY19" s="207" t="str">
        <f t="shared" si="24"/>
        <v>Y4M7</v>
      </c>
      <c r="AZ19" s="207" t="str">
        <f t="shared" si="24"/>
        <v>Y4M8</v>
      </c>
      <c r="BA19" s="207" t="str">
        <f t="shared" si="24"/>
        <v>Y4M9</v>
      </c>
      <c r="BB19" s="207" t="str">
        <f t="shared" si="24"/>
        <v>Y4M10</v>
      </c>
      <c r="BC19" s="207" t="str">
        <f t="shared" si="24"/>
        <v>Y4M11</v>
      </c>
      <c r="BD19" s="207" t="str">
        <f t="shared" si="24"/>
        <v>Y4M12</v>
      </c>
      <c r="BE19" s="207" t="str">
        <f t="shared" si="24"/>
        <v>Y5M1</v>
      </c>
      <c r="BF19" s="207" t="str">
        <f t="shared" si="24"/>
        <v>Y5M2</v>
      </c>
      <c r="BG19" s="207" t="str">
        <f t="shared" si="24"/>
        <v>Y5M3</v>
      </c>
      <c r="BH19" s="207" t="str">
        <f t="shared" si="24"/>
        <v>Y5M4</v>
      </c>
      <c r="BI19" s="207" t="str">
        <f t="shared" si="24"/>
        <v>Y5M5</v>
      </c>
      <c r="BJ19" s="207" t="str">
        <f t="shared" si="24"/>
        <v>Y5M6</v>
      </c>
      <c r="BK19" s="207" t="str">
        <f t="shared" si="24"/>
        <v>Y5M7</v>
      </c>
      <c r="BL19" s="207" t="str">
        <f t="shared" si="24"/>
        <v>Y5M8</v>
      </c>
      <c r="BM19" s="207" t="str">
        <f t="shared" si="24"/>
        <v>Y5M9</v>
      </c>
      <c r="BN19" s="207" t="str">
        <f t="shared" si="24"/>
        <v>Y5M10</v>
      </c>
      <c r="BO19" s="207" t="str">
        <f t="shared" si="24"/>
        <v>Y5M11</v>
      </c>
      <c r="BP19" s="207" t="str">
        <f t="shared" si="24"/>
        <v>Y5M12</v>
      </c>
      <c r="BQ19" s="207" t="str">
        <f t="shared" si="24"/>
        <v>Y6M1</v>
      </c>
      <c r="BR19" s="207" t="str">
        <f t="shared" ref="BR19:DX19" si="25">IF(BR15=0,"M"&amp;BR14,"Y"&amp;BR15&amp;"M"&amp;BR16)</f>
        <v>Y6M2</v>
      </c>
      <c r="BS19" s="207" t="str">
        <f t="shared" si="25"/>
        <v>Y6M3</v>
      </c>
      <c r="BT19" s="207" t="str">
        <f t="shared" si="25"/>
        <v>Y6M4</v>
      </c>
      <c r="BU19" s="207" t="str">
        <f t="shared" si="25"/>
        <v>Y6M5</v>
      </c>
      <c r="BV19" s="207" t="str">
        <f t="shared" si="25"/>
        <v>Y6M6</v>
      </c>
      <c r="BW19" s="207" t="str">
        <f t="shared" si="25"/>
        <v>Y6M7</v>
      </c>
      <c r="BX19" s="207" t="str">
        <f t="shared" si="25"/>
        <v>Y6M8</v>
      </c>
      <c r="BY19" s="207" t="str">
        <f t="shared" si="25"/>
        <v>Y6M9</v>
      </c>
      <c r="BZ19" s="207" t="str">
        <f t="shared" si="25"/>
        <v>Y6M10</v>
      </c>
      <c r="CA19" s="207" t="str">
        <f t="shared" si="25"/>
        <v>Y6M11</v>
      </c>
      <c r="CB19" s="207" t="str">
        <f t="shared" si="25"/>
        <v>Y6M12</v>
      </c>
      <c r="CC19" s="207" t="str">
        <f t="shared" si="25"/>
        <v>Y7M1</v>
      </c>
      <c r="CD19" s="207" t="str">
        <f t="shared" si="25"/>
        <v>Y7M2</v>
      </c>
      <c r="CE19" s="207" t="str">
        <f t="shared" si="25"/>
        <v>Y7M3</v>
      </c>
      <c r="CF19" s="207" t="str">
        <f t="shared" si="25"/>
        <v>Y7M4</v>
      </c>
      <c r="CG19" s="207" t="str">
        <f t="shared" si="25"/>
        <v>Y7M5</v>
      </c>
      <c r="CH19" s="207" t="str">
        <f t="shared" si="25"/>
        <v>Y7M6</v>
      </c>
      <c r="CI19" s="207" t="str">
        <f t="shared" si="25"/>
        <v>Y7M7</v>
      </c>
      <c r="CJ19" s="207" t="str">
        <f t="shared" si="25"/>
        <v>Y7M8</v>
      </c>
      <c r="CK19" s="207" t="str">
        <f t="shared" si="25"/>
        <v>Y7M9</v>
      </c>
      <c r="CL19" s="207" t="str">
        <f t="shared" si="25"/>
        <v>Y7M10</v>
      </c>
      <c r="CM19" s="207" t="str">
        <f t="shared" si="25"/>
        <v>Y7M11</v>
      </c>
      <c r="CN19" s="207" t="str">
        <f t="shared" si="25"/>
        <v>Y7M12</v>
      </c>
      <c r="CO19" s="207" t="str">
        <f t="shared" si="25"/>
        <v>Y8M1</v>
      </c>
      <c r="CP19" s="207" t="str">
        <f t="shared" si="25"/>
        <v>Y8M2</v>
      </c>
      <c r="CQ19" s="207" t="str">
        <f t="shared" si="25"/>
        <v>Y8M3</v>
      </c>
      <c r="CR19" s="207" t="str">
        <f t="shared" si="25"/>
        <v>Y8M4</v>
      </c>
      <c r="CS19" s="207" t="str">
        <f t="shared" si="25"/>
        <v>Y8M5</v>
      </c>
      <c r="CT19" s="207" t="str">
        <f t="shared" si="25"/>
        <v>Y8M6</v>
      </c>
      <c r="CU19" s="207" t="str">
        <f t="shared" si="25"/>
        <v>Y8M7</v>
      </c>
      <c r="CV19" s="207" t="str">
        <f t="shared" si="25"/>
        <v>Y8M8</v>
      </c>
      <c r="CW19" s="207" t="str">
        <f t="shared" si="25"/>
        <v>Y8M9</v>
      </c>
      <c r="CX19" s="207" t="str">
        <f t="shared" si="25"/>
        <v>Y8M10</v>
      </c>
      <c r="CY19" s="207" t="str">
        <f t="shared" si="25"/>
        <v>Y8M11</v>
      </c>
      <c r="CZ19" s="207" t="str">
        <f t="shared" si="25"/>
        <v>Y8M12</v>
      </c>
      <c r="DA19" s="207" t="str">
        <f t="shared" si="25"/>
        <v>Y9M1</v>
      </c>
      <c r="DB19" s="207" t="str">
        <f t="shared" si="25"/>
        <v>Y9M2</v>
      </c>
      <c r="DC19" s="207" t="str">
        <f t="shared" si="25"/>
        <v>Y9M3</v>
      </c>
      <c r="DD19" s="207" t="str">
        <f t="shared" si="25"/>
        <v>Y9M4</v>
      </c>
      <c r="DE19" s="207" t="str">
        <f t="shared" si="25"/>
        <v>Y9M5</v>
      </c>
      <c r="DF19" s="207" t="str">
        <f t="shared" si="25"/>
        <v>Y9M6</v>
      </c>
      <c r="DG19" s="207" t="str">
        <f t="shared" si="25"/>
        <v>Y9M7</v>
      </c>
      <c r="DH19" s="207" t="str">
        <f t="shared" si="25"/>
        <v>Y9M8</v>
      </c>
      <c r="DI19" s="207" t="str">
        <f t="shared" si="25"/>
        <v>Y9M9</v>
      </c>
      <c r="DJ19" s="207" t="str">
        <f t="shared" si="25"/>
        <v>Y9M10</v>
      </c>
      <c r="DK19" s="207" t="str">
        <f t="shared" si="25"/>
        <v>Y9M11</v>
      </c>
      <c r="DL19" s="207" t="str">
        <f t="shared" si="25"/>
        <v>Y9M12</v>
      </c>
      <c r="DM19" s="207" t="str">
        <f t="shared" si="25"/>
        <v>Y10M1</v>
      </c>
      <c r="DN19" s="207" t="str">
        <f t="shared" si="25"/>
        <v>Y10M2</v>
      </c>
      <c r="DO19" s="207" t="str">
        <f t="shared" si="25"/>
        <v>Y10M3</v>
      </c>
      <c r="DP19" s="207" t="str">
        <f t="shared" si="25"/>
        <v>Y10M4</v>
      </c>
      <c r="DQ19" s="207" t="str">
        <f t="shared" si="25"/>
        <v>Y10M5</v>
      </c>
      <c r="DR19" s="207" t="str">
        <f t="shared" si="25"/>
        <v>Y10M6</v>
      </c>
      <c r="DS19" s="207" t="str">
        <f t="shared" si="25"/>
        <v>Y10M7</v>
      </c>
      <c r="DT19" s="207" t="str">
        <f t="shared" si="25"/>
        <v>Y10M8</v>
      </c>
      <c r="DU19" s="207" t="str">
        <f t="shared" si="25"/>
        <v>Y10M9</v>
      </c>
      <c r="DV19" s="207" t="str">
        <f t="shared" si="25"/>
        <v>Y10M10</v>
      </c>
      <c r="DW19" s="207" t="str">
        <f t="shared" si="25"/>
        <v>Y10M11</v>
      </c>
      <c r="DX19" s="207" t="str">
        <f t="shared" si="25"/>
        <v>Y10M12</v>
      </c>
      <c r="DY19" s="88"/>
      <c r="DZ19" s="188" t="s">
        <v>399</v>
      </c>
      <c r="EB19" s="88"/>
    </row>
    <row r="20" spans="1:132" outlineLevel="1">
      <c r="A20" s="91" t="s">
        <v>163</v>
      </c>
      <c r="C20" s="185"/>
      <c r="D20" s="185"/>
      <c r="E20" s="185"/>
      <c r="F20" s="206" t="str">
        <f t="shared" ref="F20:BQ20" si="26">IF(F14&lt;0,"Pre","Q"&amp;INT((F14-1)/3)+1)</f>
        <v>Pre</v>
      </c>
      <c r="G20" s="207" t="str">
        <f t="shared" si="26"/>
        <v>Pre</v>
      </c>
      <c r="H20" s="207" t="str">
        <f t="shared" si="26"/>
        <v>Pre</v>
      </c>
      <c r="I20" s="207" t="str">
        <f t="shared" si="26"/>
        <v>Q1</v>
      </c>
      <c r="J20" s="207" t="str">
        <f t="shared" si="26"/>
        <v>Q1</v>
      </c>
      <c r="K20" s="207" t="str">
        <f t="shared" si="26"/>
        <v>Q1</v>
      </c>
      <c r="L20" s="207" t="str">
        <f t="shared" si="26"/>
        <v>Q2</v>
      </c>
      <c r="M20" s="207" t="str">
        <f t="shared" si="26"/>
        <v>Q2</v>
      </c>
      <c r="N20" s="207" t="str">
        <f t="shared" si="26"/>
        <v>Q2</v>
      </c>
      <c r="O20" s="207" t="str">
        <f t="shared" si="26"/>
        <v>Q3</v>
      </c>
      <c r="P20" s="207" t="str">
        <f t="shared" si="26"/>
        <v>Q3</v>
      </c>
      <c r="Q20" s="207" t="str">
        <f t="shared" si="26"/>
        <v>Q3</v>
      </c>
      <c r="R20" s="207" t="str">
        <f t="shared" si="26"/>
        <v>Q4</v>
      </c>
      <c r="S20" s="207" t="str">
        <f t="shared" si="26"/>
        <v>Q4</v>
      </c>
      <c r="T20" s="207" t="str">
        <f t="shared" si="26"/>
        <v>Q4</v>
      </c>
      <c r="U20" s="207" t="str">
        <f t="shared" si="26"/>
        <v>Q5</v>
      </c>
      <c r="V20" s="207" t="str">
        <f t="shared" si="26"/>
        <v>Q5</v>
      </c>
      <c r="W20" s="207" t="str">
        <f t="shared" si="26"/>
        <v>Q5</v>
      </c>
      <c r="X20" s="207" t="str">
        <f t="shared" si="26"/>
        <v>Q6</v>
      </c>
      <c r="Y20" s="207" t="str">
        <f t="shared" si="26"/>
        <v>Q6</v>
      </c>
      <c r="Z20" s="207" t="str">
        <f t="shared" si="26"/>
        <v>Q6</v>
      </c>
      <c r="AA20" s="207" t="str">
        <f t="shared" si="26"/>
        <v>Q7</v>
      </c>
      <c r="AB20" s="207" t="str">
        <f t="shared" si="26"/>
        <v>Q7</v>
      </c>
      <c r="AC20" s="207" t="str">
        <f t="shared" si="26"/>
        <v>Q7</v>
      </c>
      <c r="AD20" s="207" t="str">
        <f t="shared" si="26"/>
        <v>Q8</v>
      </c>
      <c r="AE20" s="207" t="str">
        <f t="shared" si="26"/>
        <v>Q8</v>
      </c>
      <c r="AF20" s="207" t="str">
        <f t="shared" si="26"/>
        <v>Q8</v>
      </c>
      <c r="AG20" s="207" t="str">
        <f t="shared" si="26"/>
        <v>Q9</v>
      </c>
      <c r="AH20" s="207" t="str">
        <f t="shared" si="26"/>
        <v>Q9</v>
      </c>
      <c r="AI20" s="207" t="str">
        <f t="shared" si="26"/>
        <v>Q9</v>
      </c>
      <c r="AJ20" s="207" t="str">
        <f t="shared" si="26"/>
        <v>Q10</v>
      </c>
      <c r="AK20" s="207" t="str">
        <f t="shared" si="26"/>
        <v>Q10</v>
      </c>
      <c r="AL20" s="207" t="str">
        <f t="shared" si="26"/>
        <v>Q10</v>
      </c>
      <c r="AM20" s="207" t="str">
        <f t="shared" si="26"/>
        <v>Q11</v>
      </c>
      <c r="AN20" s="207" t="str">
        <f t="shared" si="26"/>
        <v>Q11</v>
      </c>
      <c r="AO20" s="207" t="str">
        <f t="shared" si="26"/>
        <v>Q11</v>
      </c>
      <c r="AP20" s="207" t="str">
        <f t="shared" si="26"/>
        <v>Q12</v>
      </c>
      <c r="AQ20" s="207" t="str">
        <f t="shared" si="26"/>
        <v>Q12</v>
      </c>
      <c r="AR20" s="207" t="str">
        <f t="shared" si="26"/>
        <v>Q12</v>
      </c>
      <c r="AS20" s="207" t="str">
        <f t="shared" si="26"/>
        <v>Q13</v>
      </c>
      <c r="AT20" s="207" t="str">
        <f t="shared" si="26"/>
        <v>Q13</v>
      </c>
      <c r="AU20" s="207" t="str">
        <f t="shared" si="26"/>
        <v>Q13</v>
      </c>
      <c r="AV20" s="207" t="str">
        <f t="shared" si="26"/>
        <v>Q14</v>
      </c>
      <c r="AW20" s="207" t="str">
        <f t="shared" si="26"/>
        <v>Q14</v>
      </c>
      <c r="AX20" s="207" t="str">
        <f t="shared" si="26"/>
        <v>Q14</v>
      </c>
      <c r="AY20" s="207" t="str">
        <f t="shared" si="26"/>
        <v>Q15</v>
      </c>
      <c r="AZ20" s="207" t="str">
        <f t="shared" si="26"/>
        <v>Q15</v>
      </c>
      <c r="BA20" s="207" t="str">
        <f t="shared" si="26"/>
        <v>Q15</v>
      </c>
      <c r="BB20" s="207" t="str">
        <f t="shared" si="26"/>
        <v>Q16</v>
      </c>
      <c r="BC20" s="207" t="str">
        <f t="shared" si="26"/>
        <v>Q16</v>
      </c>
      <c r="BD20" s="207" t="str">
        <f t="shared" si="26"/>
        <v>Q16</v>
      </c>
      <c r="BE20" s="207" t="str">
        <f t="shared" si="26"/>
        <v>Q17</v>
      </c>
      <c r="BF20" s="207" t="str">
        <f t="shared" si="26"/>
        <v>Q17</v>
      </c>
      <c r="BG20" s="207" t="str">
        <f t="shared" si="26"/>
        <v>Q17</v>
      </c>
      <c r="BH20" s="207" t="str">
        <f t="shared" si="26"/>
        <v>Q18</v>
      </c>
      <c r="BI20" s="207" t="str">
        <f t="shared" si="26"/>
        <v>Q18</v>
      </c>
      <c r="BJ20" s="207" t="str">
        <f t="shared" si="26"/>
        <v>Q18</v>
      </c>
      <c r="BK20" s="207" t="str">
        <f t="shared" si="26"/>
        <v>Q19</v>
      </c>
      <c r="BL20" s="207" t="str">
        <f t="shared" si="26"/>
        <v>Q19</v>
      </c>
      <c r="BM20" s="207" t="str">
        <f t="shared" si="26"/>
        <v>Q19</v>
      </c>
      <c r="BN20" s="207" t="str">
        <f t="shared" si="26"/>
        <v>Q20</v>
      </c>
      <c r="BO20" s="207" t="str">
        <f t="shared" si="26"/>
        <v>Q20</v>
      </c>
      <c r="BP20" s="207" t="str">
        <f t="shared" si="26"/>
        <v>Q20</v>
      </c>
      <c r="BQ20" s="207" t="str">
        <f t="shared" si="26"/>
        <v>Q21</v>
      </c>
      <c r="BR20" s="207" t="str">
        <f t="shared" ref="BR20:DX20" si="27">IF(BR14&lt;0,"Pre","Q"&amp;INT((BR14-1)/3)+1)</f>
        <v>Q21</v>
      </c>
      <c r="BS20" s="207" t="str">
        <f t="shared" si="27"/>
        <v>Q21</v>
      </c>
      <c r="BT20" s="207" t="str">
        <f t="shared" si="27"/>
        <v>Q22</v>
      </c>
      <c r="BU20" s="207" t="str">
        <f t="shared" si="27"/>
        <v>Q22</v>
      </c>
      <c r="BV20" s="207" t="str">
        <f t="shared" si="27"/>
        <v>Q22</v>
      </c>
      <c r="BW20" s="207" t="str">
        <f t="shared" si="27"/>
        <v>Q23</v>
      </c>
      <c r="BX20" s="207" t="str">
        <f t="shared" si="27"/>
        <v>Q23</v>
      </c>
      <c r="BY20" s="207" t="str">
        <f t="shared" si="27"/>
        <v>Q23</v>
      </c>
      <c r="BZ20" s="207" t="str">
        <f t="shared" si="27"/>
        <v>Q24</v>
      </c>
      <c r="CA20" s="207" t="str">
        <f t="shared" si="27"/>
        <v>Q24</v>
      </c>
      <c r="CB20" s="207" t="str">
        <f t="shared" si="27"/>
        <v>Q24</v>
      </c>
      <c r="CC20" s="207" t="str">
        <f t="shared" si="27"/>
        <v>Q25</v>
      </c>
      <c r="CD20" s="207" t="str">
        <f t="shared" si="27"/>
        <v>Q25</v>
      </c>
      <c r="CE20" s="207" t="str">
        <f t="shared" si="27"/>
        <v>Q25</v>
      </c>
      <c r="CF20" s="207" t="str">
        <f t="shared" si="27"/>
        <v>Q26</v>
      </c>
      <c r="CG20" s="207" t="str">
        <f t="shared" si="27"/>
        <v>Q26</v>
      </c>
      <c r="CH20" s="207" t="str">
        <f t="shared" si="27"/>
        <v>Q26</v>
      </c>
      <c r="CI20" s="207" t="str">
        <f t="shared" si="27"/>
        <v>Q27</v>
      </c>
      <c r="CJ20" s="207" t="str">
        <f t="shared" si="27"/>
        <v>Q27</v>
      </c>
      <c r="CK20" s="207" t="str">
        <f t="shared" si="27"/>
        <v>Q27</v>
      </c>
      <c r="CL20" s="207" t="str">
        <f t="shared" si="27"/>
        <v>Q28</v>
      </c>
      <c r="CM20" s="207" t="str">
        <f t="shared" si="27"/>
        <v>Q28</v>
      </c>
      <c r="CN20" s="207" t="str">
        <f t="shared" si="27"/>
        <v>Q28</v>
      </c>
      <c r="CO20" s="207" t="str">
        <f t="shared" si="27"/>
        <v>Q29</v>
      </c>
      <c r="CP20" s="207" t="str">
        <f t="shared" si="27"/>
        <v>Q29</v>
      </c>
      <c r="CQ20" s="207" t="str">
        <f t="shared" si="27"/>
        <v>Q29</v>
      </c>
      <c r="CR20" s="207" t="str">
        <f t="shared" si="27"/>
        <v>Q30</v>
      </c>
      <c r="CS20" s="207" t="str">
        <f t="shared" si="27"/>
        <v>Q30</v>
      </c>
      <c r="CT20" s="207" t="str">
        <f t="shared" si="27"/>
        <v>Q30</v>
      </c>
      <c r="CU20" s="207" t="str">
        <f t="shared" si="27"/>
        <v>Q31</v>
      </c>
      <c r="CV20" s="207" t="str">
        <f t="shared" si="27"/>
        <v>Q31</v>
      </c>
      <c r="CW20" s="207" t="str">
        <f t="shared" si="27"/>
        <v>Q31</v>
      </c>
      <c r="CX20" s="207" t="str">
        <f t="shared" si="27"/>
        <v>Q32</v>
      </c>
      <c r="CY20" s="207" t="str">
        <f t="shared" si="27"/>
        <v>Q32</v>
      </c>
      <c r="CZ20" s="207" t="str">
        <f t="shared" si="27"/>
        <v>Q32</v>
      </c>
      <c r="DA20" s="207" t="str">
        <f t="shared" si="27"/>
        <v>Q33</v>
      </c>
      <c r="DB20" s="207" t="str">
        <f t="shared" si="27"/>
        <v>Q33</v>
      </c>
      <c r="DC20" s="207" t="str">
        <f t="shared" si="27"/>
        <v>Q33</v>
      </c>
      <c r="DD20" s="207" t="str">
        <f t="shared" si="27"/>
        <v>Q34</v>
      </c>
      <c r="DE20" s="207" t="str">
        <f t="shared" si="27"/>
        <v>Q34</v>
      </c>
      <c r="DF20" s="207" t="str">
        <f t="shared" si="27"/>
        <v>Q34</v>
      </c>
      <c r="DG20" s="207" t="str">
        <f t="shared" si="27"/>
        <v>Q35</v>
      </c>
      <c r="DH20" s="207" t="str">
        <f t="shared" si="27"/>
        <v>Q35</v>
      </c>
      <c r="DI20" s="207" t="str">
        <f t="shared" si="27"/>
        <v>Q35</v>
      </c>
      <c r="DJ20" s="207" t="str">
        <f t="shared" si="27"/>
        <v>Q36</v>
      </c>
      <c r="DK20" s="207" t="str">
        <f t="shared" si="27"/>
        <v>Q36</v>
      </c>
      <c r="DL20" s="207" t="str">
        <f t="shared" si="27"/>
        <v>Q36</v>
      </c>
      <c r="DM20" s="207" t="str">
        <f t="shared" si="27"/>
        <v>Q37</v>
      </c>
      <c r="DN20" s="207" t="str">
        <f t="shared" si="27"/>
        <v>Q37</v>
      </c>
      <c r="DO20" s="207" t="str">
        <f t="shared" si="27"/>
        <v>Q37</v>
      </c>
      <c r="DP20" s="207" t="str">
        <f t="shared" si="27"/>
        <v>Q38</v>
      </c>
      <c r="DQ20" s="207" t="str">
        <f t="shared" si="27"/>
        <v>Q38</v>
      </c>
      <c r="DR20" s="207" t="str">
        <f t="shared" si="27"/>
        <v>Q38</v>
      </c>
      <c r="DS20" s="207" t="str">
        <f t="shared" si="27"/>
        <v>Q39</v>
      </c>
      <c r="DT20" s="207" t="str">
        <f t="shared" si="27"/>
        <v>Q39</v>
      </c>
      <c r="DU20" s="207" t="str">
        <f t="shared" si="27"/>
        <v>Q39</v>
      </c>
      <c r="DV20" s="207" t="str">
        <f t="shared" si="27"/>
        <v>Q40</v>
      </c>
      <c r="DW20" s="207" t="str">
        <f t="shared" si="27"/>
        <v>Q40</v>
      </c>
      <c r="DX20" s="207" t="str">
        <f t="shared" si="27"/>
        <v>Q40</v>
      </c>
      <c r="DY20" s="88"/>
      <c r="DZ20" s="188" t="s">
        <v>400</v>
      </c>
      <c r="EB20" s="88"/>
    </row>
    <row r="21" spans="1:132" outlineLevel="1">
      <c r="A21" s="91" t="s">
        <v>164</v>
      </c>
      <c r="C21" s="185"/>
      <c r="D21" s="185"/>
      <c r="E21" s="185"/>
      <c r="F21" s="202">
        <v>1</v>
      </c>
      <c r="G21" s="203">
        <v>1</v>
      </c>
      <c r="H21" s="203">
        <v>1</v>
      </c>
      <c r="I21" s="203">
        <v>1</v>
      </c>
      <c r="J21" s="203">
        <v>1</v>
      </c>
      <c r="K21" s="203">
        <v>1</v>
      </c>
      <c r="L21" s="203">
        <v>1</v>
      </c>
      <c r="M21" s="203">
        <v>1</v>
      </c>
      <c r="N21" s="203">
        <v>1</v>
      </c>
      <c r="O21" s="203">
        <v>1</v>
      </c>
      <c r="P21" s="203">
        <v>1</v>
      </c>
      <c r="Q21" s="203">
        <v>1</v>
      </c>
      <c r="R21" s="203">
        <v>1</v>
      </c>
      <c r="S21" s="203">
        <v>1</v>
      </c>
      <c r="T21" s="203">
        <v>1</v>
      </c>
      <c r="U21" s="203">
        <v>1</v>
      </c>
      <c r="V21" s="203">
        <f t="shared" ref="V21:AK21" si="28">IF(AND(PreContractStartDateIn&lt;=DateToMth,DateToMth&lt;=ContractEndDateIn),1,0)</f>
        <v>0</v>
      </c>
      <c r="W21" s="203">
        <f t="shared" si="28"/>
        <v>0</v>
      </c>
      <c r="X21" s="203">
        <f t="shared" si="28"/>
        <v>0</v>
      </c>
      <c r="Y21" s="203">
        <f t="shared" si="28"/>
        <v>0</v>
      </c>
      <c r="Z21" s="203">
        <f t="shared" si="28"/>
        <v>0</v>
      </c>
      <c r="AA21" s="203">
        <f t="shared" si="28"/>
        <v>0</v>
      </c>
      <c r="AB21" s="203">
        <f t="shared" si="28"/>
        <v>0</v>
      </c>
      <c r="AC21" s="203">
        <f t="shared" si="28"/>
        <v>0</v>
      </c>
      <c r="AD21" s="203">
        <f t="shared" si="28"/>
        <v>0</v>
      </c>
      <c r="AE21" s="203">
        <f t="shared" si="28"/>
        <v>0</v>
      </c>
      <c r="AF21" s="203">
        <f t="shared" si="28"/>
        <v>0</v>
      </c>
      <c r="AG21" s="203">
        <f t="shared" si="28"/>
        <v>0</v>
      </c>
      <c r="AH21" s="203">
        <f t="shared" si="28"/>
        <v>0</v>
      </c>
      <c r="AI21" s="203">
        <f t="shared" si="28"/>
        <v>0</v>
      </c>
      <c r="AJ21" s="203">
        <f t="shared" si="28"/>
        <v>0</v>
      </c>
      <c r="AK21" s="203">
        <f t="shared" si="28"/>
        <v>0</v>
      </c>
      <c r="AL21" s="203">
        <f t="shared" ref="AL21:BQ21" si="29">IF(AND(PreContractStartDateIn&lt;=DateToMth,DateToMth&lt;=ContractEndDateIn),1,0)</f>
        <v>0</v>
      </c>
      <c r="AM21" s="203">
        <f t="shared" si="29"/>
        <v>0</v>
      </c>
      <c r="AN21" s="203">
        <f t="shared" si="29"/>
        <v>0</v>
      </c>
      <c r="AO21" s="203">
        <f t="shared" si="29"/>
        <v>0</v>
      </c>
      <c r="AP21" s="203">
        <f t="shared" si="29"/>
        <v>0</v>
      </c>
      <c r="AQ21" s="203">
        <f t="shared" si="29"/>
        <v>0</v>
      </c>
      <c r="AR21" s="203">
        <f t="shared" si="29"/>
        <v>0</v>
      </c>
      <c r="AS21" s="203">
        <f t="shared" si="29"/>
        <v>0</v>
      </c>
      <c r="AT21" s="203">
        <f t="shared" si="29"/>
        <v>0</v>
      </c>
      <c r="AU21" s="203">
        <f t="shared" si="29"/>
        <v>0</v>
      </c>
      <c r="AV21" s="203">
        <f t="shared" si="29"/>
        <v>0</v>
      </c>
      <c r="AW21" s="203">
        <f t="shared" si="29"/>
        <v>0</v>
      </c>
      <c r="AX21" s="203">
        <f t="shared" si="29"/>
        <v>0</v>
      </c>
      <c r="AY21" s="203">
        <f t="shared" si="29"/>
        <v>0</v>
      </c>
      <c r="AZ21" s="203">
        <f t="shared" si="29"/>
        <v>0</v>
      </c>
      <c r="BA21" s="203">
        <f t="shared" si="29"/>
        <v>0</v>
      </c>
      <c r="BB21" s="203">
        <f t="shared" si="29"/>
        <v>0</v>
      </c>
      <c r="BC21" s="203">
        <f t="shared" si="29"/>
        <v>0</v>
      </c>
      <c r="BD21" s="203">
        <f t="shared" si="29"/>
        <v>0</v>
      </c>
      <c r="BE21" s="203">
        <f t="shared" si="29"/>
        <v>0</v>
      </c>
      <c r="BF21" s="203">
        <f t="shared" si="29"/>
        <v>0</v>
      </c>
      <c r="BG21" s="203">
        <f t="shared" si="29"/>
        <v>0</v>
      </c>
      <c r="BH21" s="203">
        <f t="shared" si="29"/>
        <v>0</v>
      </c>
      <c r="BI21" s="203">
        <f t="shared" si="29"/>
        <v>0</v>
      </c>
      <c r="BJ21" s="203">
        <f t="shared" si="29"/>
        <v>0</v>
      </c>
      <c r="BK21" s="203">
        <f t="shared" si="29"/>
        <v>0</v>
      </c>
      <c r="BL21" s="203">
        <f t="shared" si="29"/>
        <v>0</v>
      </c>
      <c r="BM21" s="203">
        <f t="shared" si="29"/>
        <v>0</v>
      </c>
      <c r="BN21" s="203">
        <f t="shared" si="29"/>
        <v>0</v>
      </c>
      <c r="BO21" s="203">
        <f t="shared" si="29"/>
        <v>0</v>
      </c>
      <c r="BP21" s="203">
        <f t="shared" si="29"/>
        <v>0</v>
      </c>
      <c r="BQ21" s="203">
        <f t="shared" si="29"/>
        <v>0</v>
      </c>
      <c r="BR21" s="203">
        <f t="shared" ref="BR21:CW21" si="30">IF(AND(PreContractStartDateIn&lt;=DateToMth,DateToMth&lt;=ContractEndDateIn),1,0)</f>
        <v>0</v>
      </c>
      <c r="BS21" s="203">
        <f t="shared" si="30"/>
        <v>0</v>
      </c>
      <c r="BT21" s="203">
        <f t="shared" si="30"/>
        <v>0</v>
      </c>
      <c r="BU21" s="203">
        <f t="shared" si="30"/>
        <v>0</v>
      </c>
      <c r="BV21" s="203">
        <f t="shared" si="30"/>
        <v>0</v>
      </c>
      <c r="BW21" s="203">
        <f t="shared" si="30"/>
        <v>0</v>
      </c>
      <c r="BX21" s="203">
        <f t="shared" si="30"/>
        <v>0</v>
      </c>
      <c r="BY21" s="203">
        <f t="shared" si="30"/>
        <v>0</v>
      </c>
      <c r="BZ21" s="203">
        <f t="shared" si="30"/>
        <v>0</v>
      </c>
      <c r="CA21" s="203">
        <f t="shared" si="30"/>
        <v>0</v>
      </c>
      <c r="CB21" s="203">
        <f t="shared" si="30"/>
        <v>0</v>
      </c>
      <c r="CC21" s="203">
        <f t="shared" si="30"/>
        <v>0</v>
      </c>
      <c r="CD21" s="203">
        <f t="shared" si="30"/>
        <v>0</v>
      </c>
      <c r="CE21" s="203">
        <f t="shared" si="30"/>
        <v>0</v>
      </c>
      <c r="CF21" s="203">
        <f t="shared" si="30"/>
        <v>0</v>
      </c>
      <c r="CG21" s="203">
        <f t="shared" si="30"/>
        <v>0</v>
      </c>
      <c r="CH21" s="203">
        <f t="shared" si="30"/>
        <v>0</v>
      </c>
      <c r="CI21" s="203">
        <f t="shared" si="30"/>
        <v>0</v>
      </c>
      <c r="CJ21" s="203">
        <f t="shared" si="30"/>
        <v>0</v>
      </c>
      <c r="CK21" s="203">
        <f t="shared" si="30"/>
        <v>0</v>
      </c>
      <c r="CL21" s="203">
        <f t="shared" si="30"/>
        <v>0</v>
      </c>
      <c r="CM21" s="203">
        <f t="shared" si="30"/>
        <v>0</v>
      </c>
      <c r="CN21" s="203">
        <f t="shared" si="30"/>
        <v>0</v>
      </c>
      <c r="CO21" s="203">
        <f t="shared" si="30"/>
        <v>0</v>
      </c>
      <c r="CP21" s="203">
        <f t="shared" si="30"/>
        <v>0</v>
      </c>
      <c r="CQ21" s="203">
        <f t="shared" si="30"/>
        <v>0</v>
      </c>
      <c r="CR21" s="203">
        <f t="shared" si="30"/>
        <v>0</v>
      </c>
      <c r="CS21" s="203">
        <f t="shared" si="30"/>
        <v>0</v>
      </c>
      <c r="CT21" s="203">
        <f t="shared" si="30"/>
        <v>0</v>
      </c>
      <c r="CU21" s="203">
        <f t="shared" si="30"/>
        <v>0</v>
      </c>
      <c r="CV21" s="203">
        <f t="shared" si="30"/>
        <v>0</v>
      </c>
      <c r="CW21" s="203">
        <f t="shared" si="30"/>
        <v>0</v>
      </c>
      <c r="CX21" s="203">
        <f t="shared" ref="CX21:DX21" si="31">IF(AND(PreContractStartDateIn&lt;=DateToMth,DateToMth&lt;=ContractEndDateIn),1,0)</f>
        <v>0</v>
      </c>
      <c r="CY21" s="203">
        <f t="shared" si="31"/>
        <v>0</v>
      </c>
      <c r="CZ21" s="203">
        <f t="shared" si="31"/>
        <v>0</v>
      </c>
      <c r="DA21" s="203">
        <f t="shared" si="31"/>
        <v>0</v>
      </c>
      <c r="DB21" s="203">
        <f t="shared" si="31"/>
        <v>0</v>
      </c>
      <c r="DC21" s="203">
        <f t="shared" si="31"/>
        <v>0</v>
      </c>
      <c r="DD21" s="203">
        <f t="shared" si="31"/>
        <v>0</v>
      </c>
      <c r="DE21" s="203">
        <f t="shared" si="31"/>
        <v>0</v>
      </c>
      <c r="DF21" s="203">
        <f t="shared" si="31"/>
        <v>0</v>
      </c>
      <c r="DG21" s="203">
        <f t="shared" si="31"/>
        <v>0</v>
      </c>
      <c r="DH21" s="203">
        <f t="shared" si="31"/>
        <v>0</v>
      </c>
      <c r="DI21" s="203">
        <f t="shared" si="31"/>
        <v>0</v>
      </c>
      <c r="DJ21" s="203">
        <f t="shared" si="31"/>
        <v>0</v>
      </c>
      <c r="DK21" s="203">
        <f t="shared" si="31"/>
        <v>0</v>
      </c>
      <c r="DL21" s="203">
        <f t="shared" si="31"/>
        <v>0</v>
      </c>
      <c r="DM21" s="203">
        <f t="shared" si="31"/>
        <v>0</v>
      </c>
      <c r="DN21" s="203">
        <f t="shared" si="31"/>
        <v>0</v>
      </c>
      <c r="DO21" s="203">
        <f t="shared" si="31"/>
        <v>0</v>
      </c>
      <c r="DP21" s="203">
        <f t="shared" si="31"/>
        <v>0</v>
      </c>
      <c r="DQ21" s="203">
        <f t="shared" si="31"/>
        <v>0</v>
      </c>
      <c r="DR21" s="203">
        <f t="shared" si="31"/>
        <v>0</v>
      </c>
      <c r="DS21" s="203">
        <f t="shared" si="31"/>
        <v>0</v>
      </c>
      <c r="DT21" s="203">
        <f t="shared" si="31"/>
        <v>0</v>
      </c>
      <c r="DU21" s="203">
        <f t="shared" si="31"/>
        <v>0</v>
      </c>
      <c r="DV21" s="203">
        <f t="shared" si="31"/>
        <v>0</v>
      </c>
      <c r="DW21" s="203">
        <f t="shared" si="31"/>
        <v>0</v>
      </c>
      <c r="DX21" s="203">
        <f t="shared" si="31"/>
        <v>0</v>
      </c>
      <c r="DY21" s="88"/>
      <c r="DZ21" s="188" t="s">
        <v>401</v>
      </c>
      <c r="EB21" s="88"/>
    </row>
    <row r="22" spans="1:132" outlineLevel="1">
      <c r="A22" s="91" t="s">
        <v>165</v>
      </c>
      <c r="C22" s="185"/>
      <c r="D22" s="185"/>
      <c r="E22" s="185"/>
      <c r="F22" s="202">
        <f>SUM(ActivePeriodFlag)</f>
        <v>16</v>
      </c>
      <c r="G22" s="203">
        <f>IF(F22&gt;0,F22-1,0)</f>
        <v>15</v>
      </c>
      <c r="H22" s="203">
        <f t="shared" ref="H22:BS22" si="32">IF(G22&gt;0,G22-1,0)</f>
        <v>14</v>
      </c>
      <c r="I22" s="203">
        <f t="shared" si="32"/>
        <v>13</v>
      </c>
      <c r="J22" s="203">
        <f t="shared" si="32"/>
        <v>12</v>
      </c>
      <c r="K22" s="203">
        <f t="shared" si="32"/>
        <v>11</v>
      </c>
      <c r="L22" s="203">
        <f t="shared" si="32"/>
        <v>10</v>
      </c>
      <c r="M22" s="203">
        <f t="shared" si="32"/>
        <v>9</v>
      </c>
      <c r="N22" s="203">
        <f t="shared" si="32"/>
        <v>8</v>
      </c>
      <c r="O22" s="203">
        <f t="shared" si="32"/>
        <v>7</v>
      </c>
      <c r="P22" s="203">
        <f t="shared" si="32"/>
        <v>6</v>
      </c>
      <c r="Q22" s="203">
        <f t="shared" si="32"/>
        <v>5</v>
      </c>
      <c r="R22" s="203">
        <f t="shared" si="32"/>
        <v>4</v>
      </c>
      <c r="S22" s="203">
        <f t="shared" si="32"/>
        <v>3</v>
      </c>
      <c r="T22" s="203">
        <f t="shared" si="32"/>
        <v>2</v>
      </c>
      <c r="U22" s="203">
        <f t="shared" si="32"/>
        <v>1</v>
      </c>
      <c r="V22" s="203">
        <f t="shared" si="32"/>
        <v>0</v>
      </c>
      <c r="W22" s="203">
        <f t="shared" si="32"/>
        <v>0</v>
      </c>
      <c r="X22" s="203">
        <f t="shared" si="32"/>
        <v>0</v>
      </c>
      <c r="Y22" s="203">
        <f t="shared" si="32"/>
        <v>0</v>
      </c>
      <c r="Z22" s="203">
        <f t="shared" si="32"/>
        <v>0</v>
      </c>
      <c r="AA22" s="203">
        <f t="shared" si="32"/>
        <v>0</v>
      </c>
      <c r="AB22" s="203">
        <f t="shared" si="32"/>
        <v>0</v>
      </c>
      <c r="AC22" s="203">
        <f t="shared" si="32"/>
        <v>0</v>
      </c>
      <c r="AD22" s="203">
        <f t="shared" si="32"/>
        <v>0</v>
      </c>
      <c r="AE22" s="203">
        <f t="shared" si="32"/>
        <v>0</v>
      </c>
      <c r="AF22" s="203">
        <f t="shared" si="32"/>
        <v>0</v>
      </c>
      <c r="AG22" s="203">
        <f t="shared" si="32"/>
        <v>0</v>
      </c>
      <c r="AH22" s="203">
        <f t="shared" si="32"/>
        <v>0</v>
      </c>
      <c r="AI22" s="203">
        <f t="shared" si="32"/>
        <v>0</v>
      </c>
      <c r="AJ22" s="203">
        <f t="shared" si="32"/>
        <v>0</v>
      </c>
      <c r="AK22" s="203">
        <f t="shared" si="32"/>
        <v>0</v>
      </c>
      <c r="AL22" s="203">
        <f t="shared" si="32"/>
        <v>0</v>
      </c>
      <c r="AM22" s="203">
        <f t="shared" si="32"/>
        <v>0</v>
      </c>
      <c r="AN22" s="203">
        <f t="shared" si="32"/>
        <v>0</v>
      </c>
      <c r="AO22" s="203">
        <f t="shared" si="32"/>
        <v>0</v>
      </c>
      <c r="AP22" s="203">
        <f t="shared" si="32"/>
        <v>0</v>
      </c>
      <c r="AQ22" s="203">
        <f t="shared" si="32"/>
        <v>0</v>
      </c>
      <c r="AR22" s="203">
        <f t="shared" si="32"/>
        <v>0</v>
      </c>
      <c r="AS22" s="203">
        <f t="shared" si="32"/>
        <v>0</v>
      </c>
      <c r="AT22" s="203">
        <f t="shared" si="32"/>
        <v>0</v>
      </c>
      <c r="AU22" s="203">
        <f t="shared" si="32"/>
        <v>0</v>
      </c>
      <c r="AV22" s="203">
        <f t="shared" si="32"/>
        <v>0</v>
      </c>
      <c r="AW22" s="203">
        <f t="shared" si="32"/>
        <v>0</v>
      </c>
      <c r="AX22" s="203">
        <f t="shared" si="32"/>
        <v>0</v>
      </c>
      <c r="AY22" s="203">
        <f t="shared" si="32"/>
        <v>0</v>
      </c>
      <c r="AZ22" s="203">
        <f t="shared" si="32"/>
        <v>0</v>
      </c>
      <c r="BA22" s="203">
        <f t="shared" si="32"/>
        <v>0</v>
      </c>
      <c r="BB22" s="203">
        <f t="shared" si="32"/>
        <v>0</v>
      </c>
      <c r="BC22" s="203">
        <f t="shared" si="32"/>
        <v>0</v>
      </c>
      <c r="BD22" s="203">
        <f t="shared" si="32"/>
        <v>0</v>
      </c>
      <c r="BE22" s="203">
        <f t="shared" si="32"/>
        <v>0</v>
      </c>
      <c r="BF22" s="203">
        <f t="shared" si="32"/>
        <v>0</v>
      </c>
      <c r="BG22" s="203">
        <f t="shared" si="32"/>
        <v>0</v>
      </c>
      <c r="BH22" s="203">
        <f t="shared" si="32"/>
        <v>0</v>
      </c>
      <c r="BI22" s="203">
        <f t="shared" si="32"/>
        <v>0</v>
      </c>
      <c r="BJ22" s="203">
        <f t="shared" si="32"/>
        <v>0</v>
      </c>
      <c r="BK22" s="203">
        <f t="shared" si="32"/>
        <v>0</v>
      </c>
      <c r="BL22" s="203">
        <f t="shared" si="32"/>
        <v>0</v>
      </c>
      <c r="BM22" s="203">
        <f t="shared" si="32"/>
        <v>0</v>
      </c>
      <c r="BN22" s="203">
        <f t="shared" si="32"/>
        <v>0</v>
      </c>
      <c r="BO22" s="203">
        <f t="shared" si="32"/>
        <v>0</v>
      </c>
      <c r="BP22" s="203">
        <f t="shared" si="32"/>
        <v>0</v>
      </c>
      <c r="BQ22" s="203">
        <f t="shared" si="32"/>
        <v>0</v>
      </c>
      <c r="BR22" s="203">
        <f t="shared" si="32"/>
        <v>0</v>
      </c>
      <c r="BS22" s="203">
        <f t="shared" si="32"/>
        <v>0</v>
      </c>
      <c r="BT22" s="203">
        <f t="shared" ref="BT22:DX22" si="33">IF(BS22&gt;0,BS22-1,0)</f>
        <v>0</v>
      </c>
      <c r="BU22" s="203">
        <f t="shared" si="33"/>
        <v>0</v>
      </c>
      <c r="BV22" s="203">
        <f t="shared" si="33"/>
        <v>0</v>
      </c>
      <c r="BW22" s="203">
        <f t="shared" si="33"/>
        <v>0</v>
      </c>
      <c r="BX22" s="203">
        <f t="shared" si="33"/>
        <v>0</v>
      </c>
      <c r="BY22" s="203">
        <f t="shared" si="33"/>
        <v>0</v>
      </c>
      <c r="BZ22" s="203">
        <f t="shared" si="33"/>
        <v>0</v>
      </c>
      <c r="CA22" s="203">
        <f t="shared" si="33"/>
        <v>0</v>
      </c>
      <c r="CB22" s="203">
        <f t="shared" si="33"/>
        <v>0</v>
      </c>
      <c r="CC22" s="203">
        <f t="shared" si="33"/>
        <v>0</v>
      </c>
      <c r="CD22" s="203">
        <f t="shared" si="33"/>
        <v>0</v>
      </c>
      <c r="CE22" s="203">
        <f t="shared" si="33"/>
        <v>0</v>
      </c>
      <c r="CF22" s="203">
        <f t="shared" si="33"/>
        <v>0</v>
      </c>
      <c r="CG22" s="203">
        <f t="shared" si="33"/>
        <v>0</v>
      </c>
      <c r="CH22" s="203">
        <f t="shared" si="33"/>
        <v>0</v>
      </c>
      <c r="CI22" s="203">
        <f t="shared" si="33"/>
        <v>0</v>
      </c>
      <c r="CJ22" s="203">
        <f t="shared" si="33"/>
        <v>0</v>
      </c>
      <c r="CK22" s="203">
        <f t="shared" si="33"/>
        <v>0</v>
      </c>
      <c r="CL22" s="203">
        <f t="shared" si="33"/>
        <v>0</v>
      </c>
      <c r="CM22" s="203">
        <f t="shared" si="33"/>
        <v>0</v>
      </c>
      <c r="CN22" s="203">
        <f t="shared" si="33"/>
        <v>0</v>
      </c>
      <c r="CO22" s="203">
        <f t="shared" si="33"/>
        <v>0</v>
      </c>
      <c r="CP22" s="203">
        <f t="shared" si="33"/>
        <v>0</v>
      </c>
      <c r="CQ22" s="203">
        <f t="shared" si="33"/>
        <v>0</v>
      </c>
      <c r="CR22" s="203">
        <f t="shared" si="33"/>
        <v>0</v>
      </c>
      <c r="CS22" s="203">
        <f t="shared" si="33"/>
        <v>0</v>
      </c>
      <c r="CT22" s="203">
        <f t="shared" si="33"/>
        <v>0</v>
      </c>
      <c r="CU22" s="203">
        <f t="shared" si="33"/>
        <v>0</v>
      </c>
      <c r="CV22" s="203">
        <f t="shared" si="33"/>
        <v>0</v>
      </c>
      <c r="CW22" s="203">
        <f t="shared" si="33"/>
        <v>0</v>
      </c>
      <c r="CX22" s="203">
        <f t="shared" si="33"/>
        <v>0</v>
      </c>
      <c r="CY22" s="203">
        <f t="shared" si="33"/>
        <v>0</v>
      </c>
      <c r="CZ22" s="203">
        <f t="shared" si="33"/>
        <v>0</v>
      </c>
      <c r="DA22" s="203">
        <f t="shared" si="33"/>
        <v>0</v>
      </c>
      <c r="DB22" s="203">
        <f t="shared" si="33"/>
        <v>0</v>
      </c>
      <c r="DC22" s="203">
        <f t="shared" si="33"/>
        <v>0</v>
      </c>
      <c r="DD22" s="203">
        <f t="shared" si="33"/>
        <v>0</v>
      </c>
      <c r="DE22" s="203">
        <f t="shared" si="33"/>
        <v>0</v>
      </c>
      <c r="DF22" s="203">
        <f t="shared" si="33"/>
        <v>0</v>
      </c>
      <c r="DG22" s="203">
        <f t="shared" si="33"/>
        <v>0</v>
      </c>
      <c r="DH22" s="203">
        <f t="shared" si="33"/>
        <v>0</v>
      </c>
      <c r="DI22" s="203">
        <f t="shared" si="33"/>
        <v>0</v>
      </c>
      <c r="DJ22" s="203">
        <f t="shared" si="33"/>
        <v>0</v>
      </c>
      <c r="DK22" s="203">
        <f t="shared" si="33"/>
        <v>0</v>
      </c>
      <c r="DL22" s="203">
        <f t="shared" si="33"/>
        <v>0</v>
      </c>
      <c r="DM22" s="203">
        <f t="shared" si="33"/>
        <v>0</v>
      </c>
      <c r="DN22" s="203">
        <f t="shared" si="33"/>
        <v>0</v>
      </c>
      <c r="DO22" s="203">
        <f t="shared" si="33"/>
        <v>0</v>
      </c>
      <c r="DP22" s="203">
        <f t="shared" si="33"/>
        <v>0</v>
      </c>
      <c r="DQ22" s="203">
        <f t="shared" si="33"/>
        <v>0</v>
      </c>
      <c r="DR22" s="203">
        <f t="shared" si="33"/>
        <v>0</v>
      </c>
      <c r="DS22" s="203">
        <f t="shared" si="33"/>
        <v>0</v>
      </c>
      <c r="DT22" s="203">
        <f t="shared" si="33"/>
        <v>0</v>
      </c>
      <c r="DU22" s="203">
        <f t="shared" si="33"/>
        <v>0</v>
      </c>
      <c r="DV22" s="203">
        <f t="shared" si="33"/>
        <v>0</v>
      </c>
      <c r="DW22" s="203">
        <f t="shared" si="33"/>
        <v>0</v>
      </c>
      <c r="DX22" s="203">
        <f t="shared" si="33"/>
        <v>0</v>
      </c>
      <c r="DY22" s="88"/>
      <c r="DZ22" s="188" t="s">
        <v>402</v>
      </c>
      <c r="EB22" s="88"/>
    </row>
    <row r="23" spans="1:132" outlineLevel="1">
      <c r="A23" s="91" t="s">
        <v>166</v>
      </c>
      <c r="C23" s="185"/>
      <c r="D23" s="185"/>
      <c r="E23" s="195"/>
      <c r="F23" s="202" t="str">
        <f>YEAR(CompanyYearStartDateIn)&amp;"/"&amp;RIGHT(YEAR(CompanyYearStartDateIn)+1,1)</f>
        <v>2008/9</v>
      </c>
      <c r="G23" s="203" t="str">
        <f t="shared" ref="G23:U23" si="34">IF(MONTH(G11)=4,YEAR(G11)&amp;"/"&amp;RIGHT(YEAR(G11)+1,IF(YEAR(G11)&gt;2008,2,1)),F23)</f>
        <v>2008/9</v>
      </c>
      <c r="H23" s="203" t="str">
        <f t="shared" si="34"/>
        <v>2008/9</v>
      </c>
      <c r="I23" s="203" t="str">
        <f t="shared" si="34"/>
        <v>2008/9</v>
      </c>
      <c r="J23" s="203" t="str">
        <f t="shared" si="34"/>
        <v>2008/9</v>
      </c>
      <c r="K23" s="203" t="str">
        <f t="shared" si="34"/>
        <v>2015/16</v>
      </c>
      <c r="L23" s="203" t="str">
        <f t="shared" si="34"/>
        <v>2015/16</v>
      </c>
      <c r="M23" s="203" t="str">
        <f t="shared" si="34"/>
        <v>2015/16</v>
      </c>
      <c r="N23" s="203" t="str">
        <f t="shared" si="34"/>
        <v>2015/16</v>
      </c>
      <c r="O23" s="203" t="str">
        <f t="shared" si="34"/>
        <v>2015/16</v>
      </c>
      <c r="P23" s="203" t="str">
        <f t="shared" si="34"/>
        <v>2015/16</v>
      </c>
      <c r="Q23" s="203" t="str">
        <f t="shared" si="34"/>
        <v>2015/16</v>
      </c>
      <c r="R23" s="203" t="str">
        <f t="shared" si="34"/>
        <v>2015/16</v>
      </c>
      <c r="S23" s="203" t="str">
        <f t="shared" si="34"/>
        <v>2015/16</v>
      </c>
      <c r="T23" s="203" t="str">
        <f t="shared" si="34"/>
        <v>2015/16</v>
      </c>
      <c r="U23" s="203" t="str">
        <f t="shared" si="34"/>
        <v>2015/16</v>
      </c>
      <c r="V23" s="203" t="str">
        <f>IF(MONTH(V11)=4,YEAR(V11)&amp;"/"&amp;RIGHT(YEAR(V11)+1,IF(YEAR(V11)&gt;2008,2,1)),U23)</f>
        <v>2015/16</v>
      </c>
      <c r="W23" s="203" t="str">
        <f t="shared" ref="W23:CH23" si="35">IF(MONTH(W11)=4,YEAR(W11)&amp;"/"&amp;RIGHT(YEAR(W11)+1,IF(YEAR(W11)&gt;2009,2,1)),V23)</f>
        <v>2016/17</v>
      </c>
      <c r="X23" s="203" t="str">
        <f t="shared" si="35"/>
        <v>2016/17</v>
      </c>
      <c r="Y23" s="203" t="str">
        <f t="shared" si="35"/>
        <v>2016/17</v>
      </c>
      <c r="Z23" s="203" t="str">
        <f t="shared" si="35"/>
        <v>2016/17</v>
      </c>
      <c r="AA23" s="203" t="str">
        <f t="shared" si="35"/>
        <v>2016/17</v>
      </c>
      <c r="AB23" s="203" t="str">
        <f t="shared" si="35"/>
        <v>2016/17</v>
      </c>
      <c r="AC23" s="203" t="str">
        <f t="shared" si="35"/>
        <v>2016/17</v>
      </c>
      <c r="AD23" s="203" t="str">
        <f t="shared" si="35"/>
        <v>2016/17</v>
      </c>
      <c r="AE23" s="203" t="str">
        <f t="shared" si="35"/>
        <v>2016/17</v>
      </c>
      <c r="AF23" s="203" t="str">
        <f t="shared" si="35"/>
        <v>2016/17</v>
      </c>
      <c r="AG23" s="203" t="str">
        <f t="shared" si="35"/>
        <v>2016/17</v>
      </c>
      <c r="AH23" s="203" t="str">
        <f t="shared" si="35"/>
        <v>2016/17</v>
      </c>
      <c r="AI23" s="203" t="str">
        <f t="shared" si="35"/>
        <v>2017/18</v>
      </c>
      <c r="AJ23" s="203" t="str">
        <f t="shared" si="35"/>
        <v>2017/18</v>
      </c>
      <c r="AK23" s="203" t="str">
        <f t="shared" si="35"/>
        <v>2017/18</v>
      </c>
      <c r="AL23" s="203" t="str">
        <f t="shared" si="35"/>
        <v>2017/18</v>
      </c>
      <c r="AM23" s="203" t="str">
        <f t="shared" si="35"/>
        <v>2017/18</v>
      </c>
      <c r="AN23" s="203" t="str">
        <f t="shared" si="35"/>
        <v>2017/18</v>
      </c>
      <c r="AO23" s="203" t="str">
        <f t="shared" si="35"/>
        <v>2017/18</v>
      </c>
      <c r="AP23" s="203" t="str">
        <f t="shared" si="35"/>
        <v>2017/18</v>
      </c>
      <c r="AQ23" s="203" t="str">
        <f t="shared" si="35"/>
        <v>2017/18</v>
      </c>
      <c r="AR23" s="203" t="str">
        <f t="shared" si="35"/>
        <v>2017/18</v>
      </c>
      <c r="AS23" s="203" t="str">
        <f t="shared" si="35"/>
        <v>2017/18</v>
      </c>
      <c r="AT23" s="203" t="str">
        <f t="shared" si="35"/>
        <v>2017/18</v>
      </c>
      <c r="AU23" s="203" t="str">
        <f t="shared" si="35"/>
        <v>2018/19</v>
      </c>
      <c r="AV23" s="203" t="str">
        <f t="shared" si="35"/>
        <v>2018/19</v>
      </c>
      <c r="AW23" s="203" t="str">
        <f t="shared" si="35"/>
        <v>2018/19</v>
      </c>
      <c r="AX23" s="203" t="str">
        <f t="shared" si="35"/>
        <v>2018/19</v>
      </c>
      <c r="AY23" s="203" t="str">
        <f t="shared" si="35"/>
        <v>2018/19</v>
      </c>
      <c r="AZ23" s="203" t="str">
        <f t="shared" si="35"/>
        <v>2018/19</v>
      </c>
      <c r="BA23" s="203" t="str">
        <f t="shared" si="35"/>
        <v>2018/19</v>
      </c>
      <c r="BB23" s="203" t="str">
        <f t="shared" si="35"/>
        <v>2018/19</v>
      </c>
      <c r="BC23" s="203" t="str">
        <f t="shared" si="35"/>
        <v>2018/19</v>
      </c>
      <c r="BD23" s="203" t="str">
        <f t="shared" si="35"/>
        <v>2018/19</v>
      </c>
      <c r="BE23" s="203" t="str">
        <f t="shared" si="35"/>
        <v>2018/19</v>
      </c>
      <c r="BF23" s="203" t="str">
        <f t="shared" si="35"/>
        <v>2018/19</v>
      </c>
      <c r="BG23" s="203" t="str">
        <f t="shared" si="35"/>
        <v>2019/20</v>
      </c>
      <c r="BH23" s="203" t="str">
        <f t="shared" si="35"/>
        <v>2019/20</v>
      </c>
      <c r="BI23" s="203" t="str">
        <f t="shared" si="35"/>
        <v>2019/20</v>
      </c>
      <c r="BJ23" s="203" t="str">
        <f t="shared" si="35"/>
        <v>2019/20</v>
      </c>
      <c r="BK23" s="203" t="str">
        <f t="shared" si="35"/>
        <v>2019/20</v>
      </c>
      <c r="BL23" s="203" t="str">
        <f t="shared" si="35"/>
        <v>2019/20</v>
      </c>
      <c r="BM23" s="203" t="str">
        <f t="shared" si="35"/>
        <v>2019/20</v>
      </c>
      <c r="BN23" s="203" t="str">
        <f t="shared" si="35"/>
        <v>2019/20</v>
      </c>
      <c r="BO23" s="203" t="str">
        <f t="shared" si="35"/>
        <v>2019/20</v>
      </c>
      <c r="BP23" s="203" t="str">
        <f t="shared" si="35"/>
        <v>2019/20</v>
      </c>
      <c r="BQ23" s="203" t="str">
        <f t="shared" si="35"/>
        <v>2019/20</v>
      </c>
      <c r="BR23" s="203" t="str">
        <f t="shared" si="35"/>
        <v>2019/20</v>
      </c>
      <c r="BS23" s="203" t="str">
        <f t="shared" si="35"/>
        <v>2020/21</v>
      </c>
      <c r="BT23" s="203" t="str">
        <f t="shared" si="35"/>
        <v>2020/21</v>
      </c>
      <c r="BU23" s="203" t="str">
        <f t="shared" si="35"/>
        <v>2020/21</v>
      </c>
      <c r="BV23" s="203" t="str">
        <f t="shared" si="35"/>
        <v>2020/21</v>
      </c>
      <c r="BW23" s="203" t="str">
        <f t="shared" si="35"/>
        <v>2020/21</v>
      </c>
      <c r="BX23" s="203" t="str">
        <f t="shared" si="35"/>
        <v>2020/21</v>
      </c>
      <c r="BY23" s="203" t="str">
        <f t="shared" si="35"/>
        <v>2020/21</v>
      </c>
      <c r="BZ23" s="203" t="str">
        <f t="shared" si="35"/>
        <v>2020/21</v>
      </c>
      <c r="CA23" s="203" t="str">
        <f t="shared" si="35"/>
        <v>2020/21</v>
      </c>
      <c r="CB23" s="203" t="str">
        <f t="shared" si="35"/>
        <v>2020/21</v>
      </c>
      <c r="CC23" s="203" t="str">
        <f t="shared" si="35"/>
        <v>2020/21</v>
      </c>
      <c r="CD23" s="203" t="str">
        <f t="shared" si="35"/>
        <v>2020/21</v>
      </c>
      <c r="CE23" s="203" t="str">
        <f t="shared" si="35"/>
        <v>2021/22</v>
      </c>
      <c r="CF23" s="203" t="str">
        <f t="shared" si="35"/>
        <v>2021/22</v>
      </c>
      <c r="CG23" s="203" t="str">
        <f t="shared" si="35"/>
        <v>2021/22</v>
      </c>
      <c r="CH23" s="203" t="str">
        <f t="shared" si="35"/>
        <v>2021/22</v>
      </c>
      <c r="CI23" s="203" t="str">
        <f t="shared" ref="CI23:DX23" si="36">IF(MONTH(CI11)=4,YEAR(CI11)&amp;"/"&amp;RIGHT(YEAR(CI11)+1,IF(YEAR(CI11)&gt;2009,2,1)),CH23)</f>
        <v>2021/22</v>
      </c>
      <c r="CJ23" s="203" t="str">
        <f t="shared" si="36"/>
        <v>2021/22</v>
      </c>
      <c r="CK23" s="203" t="str">
        <f t="shared" si="36"/>
        <v>2021/22</v>
      </c>
      <c r="CL23" s="203" t="str">
        <f t="shared" si="36"/>
        <v>2021/22</v>
      </c>
      <c r="CM23" s="203" t="str">
        <f t="shared" si="36"/>
        <v>2021/22</v>
      </c>
      <c r="CN23" s="203" t="str">
        <f t="shared" si="36"/>
        <v>2021/22</v>
      </c>
      <c r="CO23" s="203" t="str">
        <f t="shared" si="36"/>
        <v>2021/22</v>
      </c>
      <c r="CP23" s="203" t="str">
        <f t="shared" si="36"/>
        <v>2021/22</v>
      </c>
      <c r="CQ23" s="203" t="str">
        <f t="shared" si="36"/>
        <v>2022/23</v>
      </c>
      <c r="CR23" s="203" t="str">
        <f t="shared" si="36"/>
        <v>2022/23</v>
      </c>
      <c r="CS23" s="203" t="str">
        <f t="shared" si="36"/>
        <v>2022/23</v>
      </c>
      <c r="CT23" s="203" t="str">
        <f t="shared" si="36"/>
        <v>2022/23</v>
      </c>
      <c r="CU23" s="203" t="str">
        <f t="shared" si="36"/>
        <v>2022/23</v>
      </c>
      <c r="CV23" s="203" t="str">
        <f t="shared" si="36"/>
        <v>2022/23</v>
      </c>
      <c r="CW23" s="203" t="str">
        <f t="shared" si="36"/>
        <v>2022/23</v>
      </c>
      <c r="CX23" s="203" t="str">
        <f t="shared" si="36"/>
        <v>2022/23</v>
      </c>
      <c r="CY23" s="203" t="str">
        <f t="shared" si="36"/>
        <v>2022/23</v>
      </c>
      <c r="CZ23" s="203" t="str">
        <f t="shared" si="36"/>
        <v>2022/23</v>
      </c>
      <c r="DA23" s="203" t="str">
        <f t="shared" si="36"/>
        <v>2022/23</v>
      </c>
      <c r="DB23" s="203" t="str">
        <f t="shared" si="36"/>
        <v>2022/23</v>
      </c>
      <c r="DC23" s="203" t="str">
        <f t="shared" si="36"/>
        <v>2023/24</v>
      </c>
      <c r="DD23" s="203" t="str">
        <f t="shared" si="36"/>
        <v>2023/24</v>
      </c>
      <c r="DE23" s="203" t="str">
        <f t="shared" si="36"/>
        <v>2023/24</v>
      </c>
      <c r="DF23" s="203" t="str">
        <f t="shared" si="36"/>
        <v>2023/24</v>
      </c>
      <c r="DG23" s="203" t="str">
        <f t="shared" si="36"/>
        <v>2023/24</v>
      </c>
      <c r="DH23" s="203" t="str">
        <f t="shared" si="36"/>
        <v>2023/24</v>
      </c>
      <c r="DI23" s="203" t="str">
        <f t="shared" si="36"/>
        <v>2023/24</v>
      </c>
      <c r="DJ23" s="203" t="str">
        <f t="shared" si="36"/>
        <v>2023/24</v>
      </c>
      <c r="DK23" s="203" t="str">
        <f t="shared" si="36"/>
        <v>2023/24</v>
      </c>
      <c r="DL23" s="203" t="str">
        <f t="shared" si="36"/>
        <v>2023/24</v>
      </c>
      <c r="DM23" s="203" t="str">
        <f t="shared" si="36"/>
        <v>2023/24</v>
      </c>
      <c r="DN23" s="203" t="str">
        <f t="shared" si="36"/>
        <v>2023/24</v>
      </c>
      <c r="DO23" s="203" t="str">
        <f t="shared" si="36"/>
        <v>2024/25</v>
      </c>
      <c r="DP23" s="203" t="str">
        <f t="shared" si="36"/>
        <v>2024/25</v>
      </c>
      <c r="DQ23" s="203" t="str">
        <f t="shared" si="36"/>
        <v>2024/25</v>
      </c>
      <c r="DR23" s="203" t="str">
        <f t="shared" si="36"/>
        <v>2024/25</v>
      </c>
      <c r="DS23" s="203" t="str">
        <f t="shared" si="36"/>
        <v>2024/25</v>
      </c>
      <c r="DT23" s="203" t="str">
        <f t="shared" si="36"/>
        <v>2024/25</v>
      </c>
      <c r="DU23" s="203" t="str">
        <f t="shared" si="36"/>
        <v>2024/25</v>
      </c>
      <c r="DV23" s="203" t="str">
        <f t="shared" si="36"/>
        <v>2024/25</v>
      </c>
      <c r="DW23" s="203" t="str">
        <f t="shared" si="36"/>
        <v>2024/25</v>
      </c>
      <c r="DX23" s="203" t="str">
        <f t="shared" si="36"/>
        <v>2024/25</v>
      </c>
      <c r="DY23" s="88"/>
      <c r="DZ23" s="188" t="s">
        <v>403</v>
      </c>
      <c r="EB23" s="88"/>
    </row>
    <row r="24" spans="1:132" outlineLevel="1">
      <c r="A24" s="91" t="s">
        <v>167</v>
      </c>
      <c r="C24" s="185"/>
      <c r="D24" s="185"/>
      <c r="E24" s="185"/>
      <c r="F24" s="202">
        <f>MONTH(F11)-3</f>
        <v>8</v>
      </c>
      <c r="G24" s="203">
        <f>IF(F24=12,1,F24+1)</f>
        <v>9</v>
      </c>
      <c r="H24" s="203">
        <f>IF(G24=12,1,G24+1)</f>
        <v>10</v>
      </c>
      <c r="I24" s="203">
        <f>IF(H24=12,1,H24+1)</f>
        <v>11</v>
      </c>
      <c r="J24" s="203">
        <f>IF(I24=12,1,I24+1)</f>
        <v>12</v>
      </c>
      <c r="K24" s="203">
        <f t="shared" ref="K24:BV24" si="37">IF(J24=12,1,J24+1)</f>
        <v>1</v>
      </c>
      <c r="L24" s="203">
        <f t="shared" si="37"/>
        <v>2</v>
      </c>
      <c r="M24" s="203">
        <f t="shared" si="37"/>
        <v>3</v>
      </c>
      <c r="N24" s="203">
        <f t="shared" si="37"/>
        <v>4</v>
      </c>
      <c r="O24" s="203">
        <f t="shared" si="37"/>
        <v>5</v>
      </c>
      <c r="P24" s="203">
        <f t="shared" si="37"/>
        <v>6</v>
      </c>
      <c r="Q24" s="203">
        <f t="shared" si="37"/>
        <v>7</v>
      </c>
      <c r="R24" s="203">
        <f t="shared" si="37"/>
        <v>8</v>
      </c>
      <c r="S24" s="203">
        <f t="shared" si="37"/>
        <v>9</v>
      </c>
      <c r="T24" s="203">
        <f t="shared" si="37"/>
        <v>10</v>
      </c>
      <c r="U24" s="203">
        <f t="shared" si="37"/>
        <v>11</v>
      </c>
      <c r="V24" s="203">
        <f t="shared" si="37"/>
        <v>12</v>
      </c>
      <c r="W24" s="203">
        <f t="shared" si="37"/>
        <v>1</v>
      </c>
      <c r="X24" s="203">
        <f t="shared" si="37"/>
        <v>2</v>
      </c>
      <c r="Y24" s="203">
        <f t="shared" si="37"/>
        <v>3</v>
      </c>
      <c r="Z24" s="203">
        <f t="shared" si="37"/>
        <v>4</v>
      </c>
      <c r="AA24" s="203">
        <f t="shared" si="37"/>
        <v>5</v>
      </c>
      <c r="AB24" s="203">
        <f t="shared" si="37"/>
        <v>6</v>
      </c>
      <c r="AC24" s="203">
        <f t="shared" si="37"/>
        <v>7</v>
      </c>
      <c r="AD24" s="203">
        <f t="shared" si="37"/>
        <v>8</v>
      </c>
      <c r="AE24" s="203">
        <f t="shared" si="37"/>
        <v>9</v>
      </c>
      <c r="AF24" s="203">
        <f t="shared" si="37"/>
        <v>10</v>
      </c>
      <c r="AG24" s="203">
        <f t="shared" si="37"/>
        <v>11</v>
      </c>
      <c r="AH24" s="203">
        <f t="shared" si="37"/>
        <v>12</v>
      </c>
      <c r="AI24" s="203">
        <f t="shared" si="37"/>
        <v>1</v>
      </c>
      <c r="AJ24" s="203">
        <f t="shared" si="37"/>
        <v>2</v>
      </c>
      <c r="AK24" s="203">
        <f t="shared" si="37"/>
        <v>3</v>
      </c>
      <c r="AL24" s="203">
        <f t="shared" si="37"/>
        <v>4</v>
      </c>
      <c r="AM24" s="203">
        <f t="shared" si="37"/>
        <v>5</v>
      </c>
      <c r="AN24" s="203">
        <f t="shared" si="37"/>
        <v>6</v>
      </c>
      <c r="AO24" s="203">
        <f t="shared" si="37"/>
        <v>7</v>
      </c>
      <c r="AP24" s="203">
        <f t="shared" si="37"/>
        <v>8</v>
      </c>
      <c r="AQ24" s="203">
        <f t="shared" si="37"/>
        <v>9</v>
      </c>
      <c r="AR24" s="203">
        <f t="shared" si="37"/>
        <v>10</v>
      </c>
      <c r="AS24" s="203">
        <f t="shared" si="37"/>
        <v>11</v>
      </c>
      <c r="AT24" s="203">
        <f t="shared" si="37"/>
        <v>12</v>
      </c>
      <c r="AU24" s="203">
        <f t="shared" si="37"/>
        <v>1</v>
      </c>
      <c r="AV24" s="203">
        <f t="shared" si="37"/>
        <v>2</v>
      </c>
      <c r="AW24" s="203">
        <f t="shared" si="37"/>
        <v>3</v>
      </c>
      <c r="AX24" s="203">
        <f t="shared" si="37"/>
        <v>4</v>
      </c>
      <c r="AY24" s="203">
        <f t="shared" si="37"/>
        <v>5</v>
      </c>
      <c r="AZ24" s="203">
        <f t="shared" si="37"/>
        <v>6</v>
      </c>
      <c r="BA24" s="203">
        <f t="shared" si="37"/>
        <v>7</v>
      </c>
      <c r="BB24" s="203">
        <f t="shared" si="37"/>
        <v>8</v>
      </c>
      <c r="BC24" s="203">
        <f t="shared" si="37"/>
        <v>9</v>
      </c>
      <c r="BD24" s="203">
        <f t="shared" si="37"/>
        <v>10</v>
      </c>
      <c r="BE24" s="203">
        <f t="shared" si="37"/>
        <v>11</v>
      </c>
      <c r="BF24" s="203">
        <f t="shared" si="37"/>
        <v>12</v>
      </c>
      <c r="BG24" s="203">
        <f t="shared" si="37"/>
        <v>1</v>
      </c>
      <c r="BH24" s="203">
        <f t="shared" si="37"/>
        <v>2</v>
      </c>
      <c r="BI24" s="203">
        <f t="shared" si="37"/>
        <v>3</v>
      </c>
      <c r="BJ24" s="203">
        <f t="shared" si="37"/>
        <v>4</v>
      </c>
      <c r="BK24" s="203">
        <f t="shared" si="37"/>
        <v>5</v>
      </c>
      <c r="BL24" s="203">
        <f t="shared" si="37"/>
        <v>6</v>
      </c>
      <c r="BM24" s="203">
        <f t="shared" si="37"/>
        <v>7</v>
      </c>
      <c r="BN24" s="203">
        <f t="shared" si="37"/>
        <v>8</v>
      </c>
      <c r="BO24" s="203">
        <f t="shared" si="37"/>
        <v>9</v>
      </c>
      <c r="BP24" s="203">
        <f t="shared" si="37"/>
        <v>10</v>
      </c>
      <c r="BQ24" s="203">
        <f t="shared" si="37"/>
        <v>11</v>
      </c>
      <c r="BR24" s="203">
        <f t="shared" si="37"/>
        <v>12</v>
      </c>
      <c r="BS24" s="203">
        <f t="shared" si="37"/>
        <v>1</v>
      </c>
      <c r="BT24" s="203">
        <f t="shared" si="37"/>
        <v>2</v>
      </c>
      <c r="BU24" s="203">
        <f t="shared" si="37"/>
        <v>3</v>
      </c>
      <c r="BV24" s="203">
        <f t="shared" si="37"/>
        <v>4</v>
      </c>
      <c r="BW24" s="203">
        <f t="shared" ref="BW24:DX24" si="38">IF(BV24=12,1,BV24+1)</f>
        <v>5</v>
      </c>
      <c r="BX24" s="203">
        <f t="shared" si="38"/>
        <v>6</v>
      </c>
      <c r="BY24" s="203">
        <f t="shared" si="38"/>
        <v>7</v>
      </c>
      <c r="BZ24" s="203">
        <f t="shared" si="38"/>
        <v>8</v>
      </c>
      <c r="CA24" s="203">
        <f t="shared" si="38"/>
        <v>9</v>
      </c>
      <c r="CB24" s="203">
        <f t="shared" si="38"/>
        <v>10</v>
      </c>
      <c r="CC24" s="203">
        <f t="shared" si="38"/>
        <v>11</v>
      </c>
      <c r="CD24" s="203">
        <f t="shared" si="38"/>
        <v>12</v>
      </c>
      <c r="CE24" s="203">
        <f t="shared" si="38"/>
        <v>1</v>
      </c>
      <c r="CF24" s="203">
        <f t="shared" si="38"/>
        <v>2</v>
      </c>
      <c r="CG24" s="203">
        <f t="shared" si="38"/>
        <v>3</v>
      </c>
      <c r="CH24" s="203">
        <f t="shared" si="38"/>
        <v>4</v>
      </c>
      <c r="CI24" s="203">
        <f t="shared" si="38"/>
        <v>5</v>
      </c>
      <c r="CJ24" s="203">
        <f t="shared" si="38"/>
        <v>6</v>
      </c>
      <c r="CK24" s="203">
        <f t="shared" si="38"/>
        <v>7</v>
      </c>
      <c r="CL24" s="203">
        <f t="shared" si="38"/>
        <v>8</v>
      </c>
      <c r="CM24" s="203">
        <f t="shared" si="38"/>
        <v>9</v>
      </c>
      <c r="CN24" s="203">
        <f t="shared" si="38"/>
        <v>10</v>
      </c>
      <c r="CO24" s="203">
        <f t="shared" si="38"/>
        <v>11</v>
      </c>
      <c r="CP24" s="203">
        <f t="shared" si="38"/>
        <v>12</v>
      </c>
      <c r="CQ24" s="203">
        <f t="shared" si="38"/>
        <v>1</v>
      </c>
      <c r="CR24" s="203">
        <f t="shared" si="38"/>
        <v>2</v>
      </c>
      <c r="CS24" s="203">
        <f t="shared" si="38"/>
        <v>3</v>
      </c>
      <c r="CT24" s="203">
        <f t="shared" si="38"/>
        <v>4</v>
      </c>
      <c r="CU24" s="203">
        <f t="shared" si="38"/>
        <v>5</v>
      </c>
      <c r="CV24" s="203">
        <f t="shared" si="38"/>
        <v>6</v>
      </c>
      <c r="CW24" s="203">
        <f t="shared" si="38"/>
        <v>7</v>
      </c>
      <c r="CX24" s="203">
        <f t="shared" si="38"/>
        <v>8</v>
      </c>
      <c r="CY24" s="203">
        <f t="shared" si="38"/>
        <v>9</v>
      </c>
      <c r="CZ24" s="203">
        <f t="shared" si="38"/>
        <v>10</v>
      </c>
      <c r="DA24" s="203">
        <f t="shared" si="38"/>
        <v>11</v>
      </c>
      <c r="DB24" s="203">
        <f t="shared" si="38"/>
        <v>12</v>
      </c>
      <c r="DC24" s="203">
        <f t="shared" si="38"/>
        <v>1</v>
      </c>
      <c r="DD24" s="203">
        <f t="shared" si="38"/>
        <v>2</v>
      </c>
      <c r="DE24" s="203">
        <f t="shared" si="38"/>
        <v>3</v>
      </c>
      <c r="DF24" s="203">
        <f t="shared" si="38"/>
        <v>4</v>
      </c>
      <c r="DG24" s="203">
        <f t="shared" si="38"/>
        <v>5</v>
      </c>
      <c r="DH24" s="203">
        <f t="shared" si="38"/>
        <v>6</v>
      </c>
      <c r="DI24" s="203">
        <f t="shared" si="38"/>
        <v>7</v>
      </c>
      <c r="DJ24" s="203">
        <f t="shared" si="38"/>
        <v>8</v>
      </c>
      <c r="DK24" s="203">
        <f t="shared" si="38"/>
        <v>9</v>
      </c>
      <c r="DL24" s="203">
        <f t="shared" si="38"/>
        <v>10</v>
      </c>
      <c r="DM24" s="203">
        <f t="shared" si="38"/>
        <v>11</v>
      </c>
      <c r="DN24" s="203">
        <f t="shared" si="38"/>
        <v>12</v>
      </c>
      <c r="DO24" s="203">
        <f t="shared" si="38"/>
        <v>1</v>
      </c>
      <c r="DP24" s="203">
        <f t="shared" si="38"/>
        <v>2</v>
      </c>
      <c r="DQ24" s="203">
        <f t="shared" si="38"/>
        <v>3</v>
      </c>
      <c r="DR24" s="203">
        <f t="shared" si="38"/>
        <v>4</v>
      </c>
      <c r="DS24" s="203">
        <f t="shared" si="38"/>
        <v>5</v>
      </c>
      <c r="DT24" s="203">
        <f t="shared" si="38"/>
        <v>6</v>
      </c>
      <c r="DU24" s="203">
        <f t="shared" si="38"/>
        <v>7</v>
      </c>
      <c r="DV24" s="203">
        <f t="shared" si="38"/>
        <v>8</v>
      </c>
      <c r="DW24" s="203">
        <f t="shared" si="38"/>
        <v>9</v>
      </c>
      <c r="DX24" s="203">
        <f t="shared" si="38"/>
        <v>10</v>
      </c>
      <c r="DY24" s="88"/>
      <c r="DZ24" s="188" t="s">
        <v>404</v>
      </c>
      <c r="EB24" s="88"/>
    </row>
    <row r="25" spans="1:132">
      <c r="A25" s="185"/>
      <c r="B25" s="185"/>
      <c r="C25" s="1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5"/>
      <c r="CU25" s="185"/>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2"/>
      <c r="EB25" s="182"/>
    </row>
    <row r="26" spans="1:132" s="179" customFormat="1">
      <c r="A26" s="208" t="s">
        <v>405</v>
      </c>
      <c r="B26" s="209"/>
      <c r="C26" s="209"/>
      <c r="D26" s="209"/>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09"/>
      <c r="BC26" s="209"/>
      <c r="BD26" s="209"/>
      <c r="BE26" s="209"/>
      <c r="BF26" s="209"/>
      <c r="BG26" s="209"/>
      <c r="BH26" s="209"/>
      <c r="BI26" s="209"/>
      <c r="BJ26" s="209"/>
      <c r="BK26" s="209"/>
      <c r="BL26" s="209"/>
      <c r="BM26" s="209"/>
      <c r="BN26" s="209"/>
      <c r="BO26" s="209"/>
      <c r="BP26" s="209"/>
      <c r="BQ26" s="209"/>
      <c r="BR26" s="209"/>
      <c r="BS26" s="209"/>
      <c r="BT26" s="209"/>
      <c r="BU26" s="209"/>
      <c r="BV26" s="209"/>
      <c r="BW26" s="209"/>
      <c r="BX26" s="209"/>
      <c r="BY26" s="209"/>
      <c r="BZ26" s="209"/>
      <c r="CA26" s="209"/>
      <c r="CB26" s="209"/>
      <c r="CC26" s="209"/>
      <c r="CD26" s="209"/>
      <c r="CE26" s="209"/>
      <c r="CF26" s="209"/>
      <c r="CG26" s="209"/>
      <c r="CH26" s="209"/>
      <c r="CI26" s="209"/>
      <c r="CJ26" s="209"/>
      <c r="CK26" s="209"/>
      <c r="CL26" s="209"/>
      <c r="CM26" s="209"/>
      <c r="CN26" s="209"/>
      <c r="CO26" s="209"/>
      <c r="CP26" s="209"/>
      <c r="CQ26" s="209"/>
      <c r="CR26" s="209"/>
      <c r="CS26" s="209"/>
      <c r="CT26" s="209"/>
      <c r="CU26" s="209"/>
      <c r="CV26" s="209"/>
      <c r="CW26" s="209"/>
      <c r="CX26" s="209"/>
      <c r="CY26" s="209"/>
      <c r="CZ26" s="209"/>
      <c r="DA26" s="209"/>
      <c r="DB26" s="209"/>
      <c r="DC26" s="209"/>
      <c r="DD26" s="209"/>
      <c r="DE26" s="209"/>
      <c r="DF26" s="209"/>
      <c r="DG26" s="209"/>
      <c r="DH26" s="209"/>
      <c r="DI26" s="209"/>
      <c r="DJ26" s="209"/>
      <c r="DK26" s="209"/>
      <c r="DL26" s="209"/>
      <c r="DM26" s="209"/>
      <c r="DN26" s="209"/>
      <c r="DO26" s="209"/>
      <c r="DP26" s="209"/>
      <c r="DQ26" s="209"/>
      <c r="DR26" s="209"/>
      <c r="DS26" s="209"/>
      <c r="DT26" s="209"/>
      <c r="DU26" s="209"/>
      <c r="DV26" s="209"/>
      <c r="DW26" s="209"/>
      <c r="DX26" s="209"/>
      <c r="DY26" s="209"/>
      <c r="DZ26" s="209"/>
      <c r="EA26" s="209"/>
      <c r="EB26" s="209"/>
    </row>
    <row r="27" spans="1:132" outlineLevel="1">
      <c r="A27" s="185"/>
      <c r="B27" s="185"/>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K27" s="185"/>
      <c r="BL27" s="185"/>
      <c r="BM27" s="185"/>
      <c r="BN27" s="185"/>
      <c r="BO27" s="185"/>
      <c r="BP27" s="185"/>
      <c r="BQ27" s="185"/>
      <c r="BR27" s="185"/>
      <c r="BS27" s="185"/>
      <c r="BT27" s="185"/>
      <c r="BU27" s="185"/>
      <c r="BV27" s="185"/>
      <c r="BW27" s="185"/>
      <c r="BX27" s="185"/>
      <c r="BY27" s="185"/>
      <c r="BZ27" s="185"/>
      <c r="CA27" s="185"/>
      <c r="CB27" s="185"/>
      <c r="CC27" s="185"/>
      <c r="CD27" s="185"/>
      <c r="CE27" s="185"/>
      <c r="CF27" s="185"/>
      <c r="CG27" s="185"/>
      <c r="CH27" s="185"/>
      <c r="CI27" s="185"/>
      <c r="CJ27" s="185"/>
      <c r="CK27" s="185"/>
      <c r="CL27" s="185"/>
      <c r="CM27" s="185"/>
      <c r="CN27" s="185"/>
      <c r="CO27" s="185"/>
      <c r="CP27" s="185"/>
      <c r="CQ27" s="185"/>
      <c r="CR27" s="185"/>
      <c r="CS27" s="185"/>
      <c r="CT27" s="185"/>
      <c r="CU27" s="185"/>
      <c r="CV27" s="185"/>
      <c r="CW27" s="185"/>
      <c r="CX27" s="185"/>
      <c r="CY27" s="185"/>
      <c r="CZ27" s="185"/>
      <c r="DA27" s="185"/>
      <c r="DB27" s="185"/>
      <c r="DC27" s="185"/>
      <c r="DD27" s="185"/>
      <c r="DE27" s="185"/>
      <c r="DF27" s="185"/>
      <c r="DG27" s="185"/>
      <c r="DH27" s="185"/>
      <c r="DI27" s="185"/>
      <c r="DJ27" s="185"/>
      <c r="DK27" s="185"/>
      <c r="DL27" s="185"/>
      <c r="DM27" s="185"/>
      <c r="DN27" s="185"/>
      <c r="DO27" s="185"/>
      <c r="DP27" s="185"/>
      <c r="DQ27" s="185"/>
      <c r="DR27" s="185"/>
      <c r="DS27" s="185"/>
      <c r="DT27" s="185"/>
      <c r="DU27" s="185"/>
      <c r="DV27" s="185"/>
      <c r="DW27" s="185"/>
      <c r="DX27" s="185"/>
      <c r="DY27" s="186"/>
      <c r="EB27" s="186"/>
    </row>
    <row r="28" spans="1:132" hidden="1"/>
    <row r="29" spans="1:132" hidden="1"/>
    <row r="30" spans="1:132" hidden="1"/>
    <row r="31" spans="1:132" hidden="1"/>
    <row r="32" spans="1:1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spans="1:1" hidden="1"/>
    <row r="162" spans="1:1" hidden="1"/>
    <row r="163" spans="1:1" hidden="1">
      <c r="A163" s="24"/>
    </row>
    <row r="164" spans="1:1" hidden="1">
      <c r="A164" s="24"/>
    </row>
    <row r="165" spans="1:1" ht="12.75" hidden="1" customHeight="1"/>
    <row r="166" spans="1:1" ht="12.75" hidden="1" customHeight="1"/>
    <row r="167" spans="1:1" ht="12.75" hidden="1" customHeight="1"/>
    <row r="168" spans="1:1" ht="12.75" hidden="1" customHeight="1"/>
    <row r="169" spans="1:1" ht="12.75" hidden="1" customHeight="1"/>
    <row r="170" spans="1:1" ht="12.75" hidden="1" customHeight="1"/>
    <row r="171" spans="1:1" ht="12.75" hidden="1" customHeight="1"/>
    <row r="172" spans="1:1" ht="12.75" hidden="1" customHeight="1"/>
    <row r="173" spans="1:1" ht="12.75" hidden="1" customHeight="1"/>
    <row r="174" spans="1:1" ht="12.75" hidden="1" customHeight="1"/>
    <row r="175" spans="1:1" ht="12.75" hidden="1" customHeight="1"/>
    <row r="176" spans="1:1" ht="12.75" hidden="1" customHeight="1"/>
    <row r="177" ht="12.75" hidden="1" customHeight="1"/>
    <row r="178" ht="12.75" hidden="1" customHeight="1"/>
    <row r="179" ht="12.75" hidden="1" customHeight="1"/>
    <row r="180" ht="12.75" hidden="1" customHeight="1"/>
    <row r="181" ht="12.75" hidden="1" customHeight="1"/>
    <row r="182" ht="12.75" hidden="1" customHeight="1"/>
    <row r="183" ht="12.75" hidden="1" customHeight="1"/>
    <row r="184" ht="12.75" hidden="1" customHeight="1"/>
    <row r="185" ht="12.75" hidden="1" customHeight="1"/>
    <row r="186" ht="12.75" hidden="1" customHeight="1"/>
    <row r="187" ht="12.75" hidden="1" customHeight="1"/>
    <row r="188" ht="12.75" hidden="1" customHeight="1"/>
    <row r="189" ht="12.75" hidden="1" customHeight="1"/>
    <row r="190" ht="12.75" hidden="1" customHeight="1"/>
    <row r="191" ht="12.75" hidden="1" customHeight="1"/>
    <row r="192" ht="12.75" hidden="1" customHeight="1"/>
    <row r="193" ht="12.75" hidden="1" customHeight="1"/>
    <row r="194" ht="12.75" hidden="1" customHeight="1"/>
    <row r="195" ht="12.75" hidden="1" customHeight="1"/>
    <row r="196" ht="12.75" hidden="1" customHeight="1"/>
    <row r="197" ht="12.75" hidden="1" customHeight="1"/>
    <row r="198" ht="12.75" hidden="1" customHeight="1"/>
    <row r="199" ht="12.75" hidden="1" customHeight="1"/>
    <row r="200" ht="12.75" hidden="1" customHeight="1"/>
    <row r="201" ht="12.75" hidden="1" customHeight="1"/>
    <row r="202" ht="12.75" hidden="1" customHeight="1"/>
    <row r="203" ht="12.75" customHeight="1"/>
    <row r="204" ht="12.75" customHeight="1"/>
    <row r="205" ht="12.75" customHeight="1"/>
    <row r="206" ht="12.75" customHeight="1"/>
    <row r="207" ht="12.75" customHeight="1"/>
  </sheetData>
  <sheetProtection autoFilter="0"/>
  <conditionalFormatting sqref="F11:DX11">
    <cfRule type="cellIs" dxfId="93" priority="11" stopIfTrue="1" operator="between">
      <formula>PreContractStartDateIn</formula>
      <formula>ContractEndDateIn</formula>
    </cfRule>
  </conditionalFormatting>
  <conditionalFormatting sqref="E1">
    <cfRule type="cellIs" dxfId="92" priority="12" stopIfTrue="1" operator="greaterThan">
      <formula>0</formula>
    </cfRule>
    <cfRule type="cellIs" dxfId="91" priority="13" stopIfTrue="1" operator="lessThan">
      <formula>0</formula>
    </cfRule>
  </conditionalFormatting>
  <conditionalFormatting sqref="F1:EB1 B5:EB5 B9:DY9">
    <cfRule type="expression" dxfId="90" priority="1" stopIfTrue="1">
      <formula>ErrorsPresent&gt;0</formula>
    </cfRule>
    <cfRule type="expression" dxfId="89" priority="2" stopIfTrue="1">
      <formula>ErrorsPresent&lt;0</formula>
    </cfRule>
  </conditionalFormatting>
  <conditionalFormatting sqref="A1:B1">
    <cfRule type="expression" dxfId="88" priority="9" stopIfTrue="1">
      <formula>ErrorsPresent&gt;0</formula>
    </cfRule>
    <cfRule type="expression" dxfId="87" priority="10" stopIfTrue="1">
      <formula>ErrorsPresent&lt;0</formula>
    </cfRule>
  </conditionalFormatting>
  <conditionalFormatting sqref="A9">
    <cfRule type="expression" dxfId="86" priority="7" stopIfTrue="1">
      <formula>ErrorsPresent&gt;0</formula>
    </cfRule>
    <cfRule type="expression" dxfId="85" priority="8" stopIfTrue="1">
      <formula>ErrorsPresent&lt;0</formula>
    </cfRule>
  </conditionalFormatting>
  <conditionalFormatting sqref="C1:D1">
    <cfRule type="expression" dxfId="84" priority="5" stopIfTrue="1">
      <formula>ErrorsPresent&gt;0</formula>
    </cfRule>
    <cfRule type="expression" dxfId="83" priority="6" stopIfTrue="1">
      <formula>ErrorsPresent&lt;0</formula>
    </cfRule>
  </conditionalFormatting>
  <conditionalFormatting sqref="A5">
    <cfRule type="expression" dxfId="82" priority="3" stopIfTrue="1">
      <formula>ErrorsPresent&gt;0</formula>
    </cfRule>
    <cfRule type="expression" dxfId="81" priority="4" stopIfTrue="1">
      <formula>ErrorsPresent&lt;0</formula>
    </cfRule>
  </conditionalFormatting>
  <conditionalFormatting sqref="F12:DX24">
    <cfRule type="expression" dxfId="80" priority="14" stopIfTrue="1">
      <formula>#REF!&lt;&gt;""</formula>
    </cfRule>
  </conditionalFormatting>
  <hyperlinks>
    <hyperlink ref="E1" location="PLA5A" tooltip="Hyperlink to &quot;Error Checks&quot; sheet" display="PLA5A"/>
  </hyperlinks>
  <pageMargins left="0.4" right="0.4" top="1" bottom="1" header="0.5" footer="0.5"/>
  <pageSetup scale="53" orientation="landscape" r:id="rId1"/>
  <headerFooter alignWithMargins="0">
    <oddHeader>&amp;LFUJITSU SERVICES&amp;RCOMMERCIAL IN CONFIDENCE</oddHeader>
    <oddFooter>&amp;L&amp;"Arial,Italic"&amp;F&amp;C&amp;"Arial,Italic"Printed on &amp;D at &amp;T&amp;R&amp;"Arial,Italic"Page &amp;P of &amp;N</oddFooter>
  </headerFooter>
  <colBreaks count="1" manualBreakCount="1">
    <brk id="17" min="4" max="139"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D259"/>
  <sheetViews>
    <sheetView showGridLines="0" zoomScale="90" zoomScaleNormal="90" workbookViewId="0">
      <pane ySplit="2" topLeftCell="A13" activePane="bottomLeft" state="frozen"/>
      <selection pane="bottomLeft" activeCell="E34" sqref="E34"/>
    </sheetView>
  </sheetViews>
  <sheetFormatPr defaultColWidth="0" defaultRowHeight="0" customHeight="1" zeroHeight="1"/>
  <cols>
    <col min="1" max="1" width="7.28515625" style="101" customWidth="1"/>
    <col min="2" max="2" width="21.85546875" style="101" customWidth="1"/>
    <col min="3" max="3" width="7.7109375" style="101" bestFit="1" customWidth="1"/>
    <col min="4" max="4" width="11.7109375" style="101" customWidth="1"/>
    <col min="5" max="5" width="23" style="101" customWidth="1"/>
    <col min="6" max="6" width="10" style="101" customWidth="1"/>
    <col min="7" max="12" width="7.5703125" style="101" customWidth="1"/>
    <col min="13" max="13" width="13.28515625" style="101" customWidth="1"/>
    <col min="14" max="14" width="7.7109375" style="101" bestFit="1" customWidth="1"/>
    <col min="15" max="15" width="10.140625" style="101" customWidth="1"/>
    <col min="16" max="44" width="11.42578125" style="101" customWidth="1"/>
    <col min="45" max="45" width="6.140625" style="101" customWidth="1"/>
    <col min="46" max="49" width="11.42578125" style="101" customWidth="1"/>
    <col min="50" max="50" width="2.28515625" style="101" customWidth="1"/>
    <col min="51" max="52" width="11.42578125" style="101" hidden="1" customWidth="1"/>
    <col min="53" max="53" width="2.28515625" style="101" hidden="1" customWidth="1"/>
    <col min="54" max="56" width="0" style="101" hidden="1" customWidth="1"/>
    <col min="57" max="16384" width="11.42578125" style="101" hidden="1"/>
  </cols>
  <sheetData>
    <row r="1" spans="1:53" ht="12.75">
      <c r="A1" s="83" t="s">
        <v>206</v>
      </c>
      <c r="B1" s="105"/>
      <c r="C1" s="105"/>
      <c r="D1" s="106">
        <v>0</v>
      </c>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105"/>
      <c r="AP1" s="105"/>
      <c r="AQ1" s="105"/>
      <c r="AR1" s="105"/>
      <c r="AS1" s="105"/>
      <c r="AT1" s="105"/>
      <c r="AU1" s="105"/>
      <c r="AV1" s="105"/>
      <c r="AW1" s="105"/>
      <c r="AX1" s="105"/>
      <c r="AY1" s="105"/>
      <c r="AZ1" s="105"/>
      <c r="BA1" s="105"/>
    </row>
    <row r="2" spans="1:53" ht="12.75">
      <c r="A2" s="107" t="s">
        <v>133</v>
      </c>
    </row>
    <row r="3" spans="1:53" ht="12.75"/>
    <row r="4" spans="1:53" ht="12.75"/>
    <row r="5" spans="1:53" ht="12.75"/>
    <row r="6" spans="1:53" ht="18" customHeight="1">
      <c r="A6" s="108" t="s">
        <v>186</v>
      </c>
    </row>
    <row r="7" spans="1:53" ht="12" customHeight="1">
      <c r="A7" s="109"/>
      <c r="B7" s="109" t="s">
        <v>187</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row>
    <row r="8" spans="1:53" ht="15" customHeight="1">
      <c r="F8" s="110" t="s">
        <v>188</v>
      </c>
      <c r="G8" s="110" t="s">
        <v>188</v>
      </c>
      <c r="H8" s="110" t="s">
        <v>188</v>
      </c>
      <c r="I8" s="110" t="s">
        <v>188</v>
      </c>
      <c r="J8" s="110" t="s">
        <v>188</v>
      </c>
      <c r="K8" s="110" t="s">
        <v>188</v>
      </c>
      <c r="L8" s="110" t="s">
        <v>188</v>
      </c>
      <c r="M8" s="110" t="s">
        <v>188</v>
      </c>
      <c r="N8" s="110" t="s">
        <v>188</v>
      </c>
      <c r="O8" s="110" t="s">
        <v>188</v>
      </c>
      <c r="P8" s="110" t="s">
        <v>188</v>
      </c>
      <c r="Q8" s="110" t="s">
        <v>188</v>
      </c>
      <c r="R8" s="110" t="s">
        <v>188</v>
      </c>
      <c r="S8" s="110" t="s">
        <v>188</v>
      </c>
      <c r="T8" s="110" t="s">
        <v>188</v>
      </c>
      <c r="U8" s="110" t="s">
        <v>188</v>
      </c>
      <c r="V8" s="110" t="s">
        <v>188</v>
      </c>
      <c r="W8" s="110" t="s">
        <v>188</v>
      </c>
      <c r="X8" s="110" t="s">
        <v>188</v>
      </c>
      <c r="Y8" s="110" t="s">
        <v>188</v>
      </c>
      <c r="Z8" s="110" t="s">
        <v>188</v>
      </c>
      <c r="AA8" s="110" t="s">
        <v>188</v>
      </c>
      <c r="AB8" s="110" t="s">
        <v>188</v>
      </c>
      <c r="AC8" s="110" t="s">
        <v>188</v>
      </c>
      <c r="AD8" s="110" t="s">
        <v>188</v>
      </c>
      <c r="AE8" s="110" t="s">
        <v>188</v>
      </c>
      <c r="AF8" s="110" t="s">
        <v>188</v>
      </c>
      <c r="AG8" s="110" t="s">
        <v>188</v>
      </c>
      <c r="AH8" s="110" t="s">
        <v>188</v>
      </c>
      <c r="AI8" s="110" t="s">
        <v>188</v>
      </c>
      <c r="AJ8" s="110" t="s">
        <v>188</v>
      </c>
      <c r="AK8" s="110" t="s">
        <v>188</v>
      </c>
      <c r="AL8" s="110" t="s">
        <v>188</v>
      </c>
      <c r="AM8" s="110" t="s">
        <v>188</v>
      </c>
      <c r="AN8" s="110" t="s">
        <v>188</v>
      </c>
      <c r="AO8" s="110" t="s">
        <v>188</v>
      </c>
      <c r="AP8" s="110" t="s">
        <v>188</v>
      </c>
      <c r="AQ8" s="110" t="s">
        <v>188</v>
      </c>
      <c r="AR8" s="110" t="s">
        <v>188</v>
      </c>
    </row>
    <row r="9" spans="1:53" ht="15" customHeight="1">
      <c r="B9" s="111" t="s">
        <v>189</v>
      </c>
      <c r="F9" s="112" t="str">
        <f t="shared" ref="F9:AR9" si="0">Timeperiod</f>
        <v>Y1M1</v>
      </c>
      <c r="G9" s="112" t="str">
        <f t="shared" si="0"/>
        <v>Y1M2</v>
      </c>
      <c r="H9" s="112" t="str">
        <f t="shared" si="0"/>
        <v>Y1M3</v>
      </c>
      <c r="I9" s="112" t="str">
        <f t="shared" si="0"/>
        <v>Y1M4</v>
      </c>
      <c r="J9" s="112" t="str">
        <f t="shared" si="0"/>
        <v>Y1M5</v>
      </c>
      <c r="K9" s="112" t="str">
        <f t="shared" si="0"/>
        <v>Y1M6</v>
      </c>
      <c r="L9" s="112" t="str">
        <f t="shared" si="0"/>
        <v>Y1M7</v>
      </c>
      <c r="M9" s="112" t="str">
        <f t="shared" si="0"/>
        <v>Y1M8</v>
      </c>
      <c r="N9" s="112" t="str">
        <f t="shared" si="0"/>
        <v>Y1M9</v>
      </c>
      <c r="O9" s="112" t="str">
        <f t="shared" si="0"/>
        <v>Y1M10</v>
      </c>
      <c r="P9" s="112" t="str">
        <f t="shared" si="0"/>
        <v>Y1M11</v>
      </c>
      <c r="Q9" s="112" t="str">
        <f t="shared" si="0"/>
        <v>Y1M12</v>
      </c>
      <c r="R9" s="112" t="str">
        <f t="shared" si="0"/>
        <v>Y2M1</v>
      </c>
      <c r="S9" s="112" t="str">
        <f t="shared" si="0"/>
        <v>Y2M2</v>
      </c>
      <c r="T9" s="112" t="str">
        <f t="shared" si="0"/>
        <v>Y2M3</v>
      </c>
      <c r="U9" s="112" t="str">
        <f t="shared" si="0"/>
        <v>Y2M4</v>
      </c>
      <c r="V9" s="112" t="str">
        <f t="shared" si="0"/>
        <v>Y2M5</v>
      </c>
      <c r="W9" s="112" t="str">
        <f t="shared" si="0"/>
        <v>Y2M6</v>
      </c>
      <c r="X9" s="112" t="str">
        <f t="shared" si="0"/>
        <v>Y2M7</v>
      </c>
      <c r="Y9" s="112" t="str">
        <f t="shared" si="0"/>
        <v>Y2M8</v>
      </c>
      <c r="Z9" s="112" t="str">
        <f t="shared" si="0"/>
        <v>Y2M9</v>
      </c>
      <c r="AA9" s="112" t="str">
        <f t="shared" si="0"/>
        <v>Y2M10</v>
      </c>
      <c r="AB9" s="112" t="str">
        <f t="shared" si="0"/>
        <v>Y2M11</v>
      </c>
      <c r="AC9" s="112" t="str">
        <f t="shared" si="0"/>
        <v>Y2M12</v>
      </c>
      <c r="AD9" s="112" t="str">
        <f t="shared" si="0"/>
        <v>Y3M1</v>
      </c>
      <c r="AE9" s="112" t="str">
        <f t="shared" si="0"/>
        <v>Y3M2</v>
      </c>
      <c r="AF9" s="112" t="str">
        <f t="shared" si="0"/>
        <v>Y3M3</v>
      </c>
      <c r="AG9" s="112" t="str">
        <f t="shared" si="0"/>
        <v>Y3M4</v>
      </c>
      <c r="AH9" s="112" t="str">
        <f t="shared" si="0"/>
        <v>Y3M5</v>
      </c>
      <c r="AI9" s="112" t="str">
        <f t="shared" si="0"/>
        <v>Y3M6</v>
      </c>
      <c r="AJ9" s="112" t="str">
        <f t="shared" si="0"/>
        <v>Y3M7</v>
      </c>
      <c r="AK9" s="112" t="str">
        <f t="shared" si="0"/>
        <v>Y3M8</v>
      </c>
      <c r="AL9" s="112" t="str">
        <f t="shared" si="0"/>
        <v>Y3M9</v>
      </c>
      <c r="AM9" s="112" t="str">
        <f t="shared" si="0"/>
        <v>Y3M10</v>
      </c>
      <c r="AN9" s="112" t="str">
        <f t="shared" si="0"/>
        <v>Y3M11</v>
      </c>
      <c r="AO9" s="112" t="str">
        <f t="shared" si="0"/>
        <v>Y3M12</v>
      </c>
      <c r="AP9" s="112" t="str">
        <f t="shared" si="0"/>
        <v>Y4M1</v>
      </c>
      <c r="AQ9" s="112" t="str">
        <f t="shared" si="0"/>
        <v>Y4M2</v>
      </c>
      <c r="AR9" s="112" t="str">
        <f t="shared" si="0"/>
        <v>Y4M3</v>
      </c>
    </row>
    <row r="10" spans="1:53" ht="15" customHeight="1">
      <c r="A10" s="113"/>
      <c r="B10" s="114"/>
      <c r="F10" s="115"/>
      <c r="G10" s="115"/>
      <c r="H10" s="115"/>
      <c r="I10" s="115"/>
      <c r="J10" s="115"/>
      <c r="K10" s="115"/>
      <c r="L10" s="115"/>
      <c r="M10" s="115"/>
      <c r="N10" s="115"/>
      <c r="O10" s="115"/>
      <c r="P10" s="115"/>
      <c r="Q10" s="115"/>
      <c r="R10" s="115"/>
      <c r="S10" s="115"/>
      <c r="T10" s="115"/>
      <c r="U10" s="115"/>
      <c r="V10" s="115"/>
      <c r="W10" s="115"/>
      <c r="X10" s="115"/>
      <c r="Y10" s="115"/>
      <c r="Z10" s="115"/>
      <c r="AA10" s="115"/>
      <c r="AB10" s="115"/>
      <c r="AC10" s="115"/>
      <c r="AD10" s="115"/>
      <c r="AE10" s="115"/>
      <c r="AF10" s="115"/>
      <c r="AG10" s="115"/>
      <c r="AH10" s="115"/>
      <c r="AI10" s="115"/>
      <c r="AJ10" s="115"/>
      <c r="AK10" s="115"/>
      <c r="AL10" s="115"/>
      <c r="AM10" s="115"/>
      <c r="AN10" s="115"/>
      <c r="AO10" s="115"/>
      <c r="AP10" s="115"/>
      <c r="AQ10" s="115"/>
      <c r="AR10" s="115"/>
    </row>
    <row r="11" spans="1:53" ht="15" customHeight="1">
      <c r="A11" s="113"/>
      <c r="B11" s="114"/>
      <c r="F11" s="115"/>
      <c r="G11" s="115"/>
      <c r="H11" s="115"/>
      <c r="I11" s="115"/>
      <c r="J11" s="115"/>
      <c r="K11" s="115"/>
      <c r="L11" s="115"/>
      <c r="M11" s="115"/>
      <c r="N11" s="115"/>
      <c r="O11" s="115"/>
      <c r="P11" s="115"/>
      <c r="Q11" s="115"/>
      <c r="R11" s="115"/>
      <c r="S11" s="115"/>
      <c r="T11" s="115"/>
      <c r="U11" s="115"/>
      <c r="V11" s="115"/>
      <c r="W11" s="115"/>
      <c r="X11" s="115"/>
      <c r="Y11" s="115"/>
      <c r="Z11" s="115"/>
      <c r="AA11" s="115"/>
      <c r="AB11" s="115"/>
      <c r="AC11" s="115"/>
      <c r="AD11" s="115"/>
      <c r="AE11" s="115"/>
      <c r="AF11" s="115"/>
      <c r="AG11" s="115"/>
      <c r="AH11" s="115"/>
      <c r="AI11" s="115"/>
      <c r="AJ11" s="115"/>
      <c r="AK11" s="115"/>
      <c r="AL11" s="115"/>
      <c r="AM11" s="115"/>
      <c r="AN11" s="115"/>
      <c r="AO11" s="115"/>
      <c r="AP11" s="115"/>
      <c r="AQ11" s="115"/>
      <c r="AR11" s="115"/>
    </row>
    <row r="12" spans="1:53" ht="15" customHeight="1">
      <c r="A12" s="113"/>
      <c r="B12" s="114"/>
      <c r="F12" s="115"/>
      <c r="G12" s="115"/>
      <c r="H12" s="115"/>
      <c r="I12" s="115"/>
      <c r="J12" s="115"/>
      <c r="K12" s="115"/>
      <c r="L12" s="115"/>
      <c r="M12" s="115"/>
      <c r="N12" s="115"/>
      <c r="O12" s="115"/>
      <c r="P12" s="115"/>
      <c r="Q12" s="115"/>
      <c r="R12" s="115"/>
      <c r="S12" s="115"/>
      <c r="T12" s="115"/>
      <c r="U12" s="115"/>
      <c r="V12" s="115"/>
      <c r="W12" s="115"/>
      <c r="X12" s="115"/>
      <c r="Y12" s="115"/>
      <c r="Z12" s="115"/>
      <c r="AA12" s="115"/>
      <c r="AB12" s="115"/>
      <c r="AC12" s="115"/>
      <c r="AD12" s="115"/>
      <c r="AE12" s="115"/>
      <c r="AF12" s="115"/>
      <c r="AG12" s="115"/>
      <c r="AH12" s="115"/>
      <c r="AI12" s="115"/>
      <c r="AJ12" s="115"/>
      <c r="AK12" s="115"/>
      <c r="AL12" s="115"/>
      <c r="AM12" s="115"/>
      <c r="AN12" s="115"/>
      <c r="AO12" s="115"/>
      <c r="AP12" s="115"/>
      <c r="AQ12" s="115"/>
      <c r="AR12" s="115"/>
    </row>
    <row r="13" spans="1:53" ht="15" customHeight="1"/>
    <row r="14" spans="1:53" ht="15" customHeight="1">
      <c r="A14" s="116"/>
      <c r="B14" s="116" t="s">
        <v>190</v>
      </c>
      <c r="C14" s="116"/>
      <c r="D14" s="116"/>
      <c r="E14" s="116"/>
      <c r="F14" s="116"/>
      <c r="G14" s="116"/>
      <c r="H14" s="116"/>
      <c r="I14" s="116"/>
      <c r="J14" s="116"/>
      <c r="K14" s="116"/>
      <c r="L14" s="116"/>
      <c r="M14" s="116"/>
      <c r="N14" s="116"/>
      <c r="O14" s="116"/>
      <c r="P14" s="116"/>
      <c r="Q14" s="116"/>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row>
    <row r="15" spans="1:53" ht="15" customHeight="1"/>
    <row r="16" spans="1:53" ht="15" customHeight="1">
      <c r="B16" s="117" t="s">
        <v>191</v>
      </c>
      <c r="C16" s="132"/>
      <c r="F16" s="118" t="str">
        <f>IF(C16&gt;=1, "Scenario "&amp;C16&amp;" Is activated", "There are no active scenarios")</f>
        <v>There are no active scenarios</v>
      </c>
      <c r="G16" s="119"/>
      <c r="H16" s="119"/>
      <c r="I16" s="119"/>
      <c r="J16" s="120"/>
    </row>
    <row r="17" spans="1:44" ht="15" customHeight="1"/>
    <row r="18" spans="1:44" ht="15" customHeight="1">
      <c r="B18" s="121" t="s">
        <v>192</v>
      </c>
      <c r="F18" s="110" t="s">
        <v>188</v>
      </c>
      <c r="G18" s="110" t="s">
        <v>188</v>
      </c>
      <c r="H18" s="110" t="s">
        <v>188</v>
      </c>
      <c r="I18" s="110" t="s">
        <v>188</v>
      </c>
      <c r="J18" s="110" t="s">
        <v>188</v>
      </c>
      <c r="K18" s="110" t="s">
        <v>188</v>
      </c>
      <c r="L18" s="110" t="s">
        <v>188</v>
      </c>
      <c r="M18" s="110" t="s">
        <v>188</v>
      </c>
      <c r="N18" s="110" t="s">
        <v>188</v>
      </c>
      <c r="O18" s="110" t="s">
        <v>188</v>
      </c>
      <c r="P18" s="110" t="s">
        <v>188</v>
      </c>
      <c r="Q18" s="110" t="s">
        <v>188</v>
      </c>
      <c r="R18" s="110" t="s">
        <v>188</v>
      </c>
      <c r="S18" s="110" t="s">
        <v>188</v>
      </c>
      <c r="T18" s="110" t="s">
        <v>188</v>
      </c>
      <c r="U18" s="110" t="s">
        <v>188</v>
      </c>
      <c r="V18" s="110" t="s">
        <v>188</v>
      </c>
      <c r="W18" s="110" t="s">
        <v>188</v>
      </c>
      <c r="X18" s="110" t="s">
        <v>188</v>
      </c>
      <c r="Y18" s="110" t="s">
        <v>188</v>
      </c>
      <c r="Z18" s="110" t="s">
        <v>188</v>
      </c>
      <c r="AA18" s="110" t="s">
        <v>188</v>
      </c>
      <c r="AB18" s="110" t="s">
        <v>188</v>
      </c>
      <c r="AC18" s="110" t="s">
        <v>188</v>
      </c>
      <c r="AD18" s="110" t="s">
        <v>188</v>
      </c>
      <c r="AE18" s="110" t="s">
        <v>188</v>
      </c>
      <c r="AF18" s="110" t="s">
        <v>188</v>
      </c>
      <c r="AG18" s="110" t="s">
        <v>188</v>
      </c>
      <c r="AH18" s="110" t="s">
        <v>188</v>
      </c>
      <c r="AI18" s="110" t="s">
        <v>188</v>
      </c>
      <c r="AJ18" s="110" t="s">
        <v>188</v>
      </c>
      <c r="AK18" s="110" t="s">
        <v>188</v>
      </c>
      <c r="AL18" s="110" t="s">
        <v>188</v>
      </c>
      <c r="AM18" s="110" t="s">
        <v>188</v>
      </c>
      <c r="AN18" s="110" t="s">
        <v>188</v>
      </c>
      <c r="AO18" s="110" t="s">
        <v>188</v>
      </c>
      <c r="AP18" s="110" t="s">
        <v>188</v>
      </c>
      <c r="AQ18" s="110" t="s">
        <v>188</v>
      </c>
      <c r="AR18" s="110" t="s">
        <v>188</v>
      </c>
    </row>
    <row r="19" spans="1:44" ht="15" customHeight="1">
      <c r="B19" s="111" t="s">
        <v>189</v>
      </c>
      <c r="C19" s="111" t="s">
        <v>136</v>
      </c>
      <c r="F19" s="112" t="str">
        <f t="shared" ref="F19:AR19" si="1">Timeperiod</f>
        <v>Y1M1</v>
      </c>
      <c r="G19" s="112" t="str">
        <f t="shared" si="1"/>
        <v>Y1M2</v>
      </c>
      <c r="H19" s="112" t="str">
        <f t="shared" si="1"/>
        <v>Y1M3</v>
      </c>
      <c r="I19" s="112" t="str">
        <f t="shared" si="1"/>
        <v>Y1M4</v>
      </c>
      <c r="J19" s="112" t="str">
        <f t="shared" si="1"/>
        <v>Y1M5</v>
      </c>
      <c r="K19" s="112" t="str">
        <f t="shared" si="1"/>
        <v>Y1M6</v>
      </c>
      <c r="L19" s="112" t="str">
        <f t="shared" si="1"/>
        <v>Y1M7</v>
      </c>
      <c r="M19" s="112" t="str">
        <f t="shared" si="1"/>
        <v>Y1M8</v>
      </c>
      <c r="N19" s="112" t="str">
        <f t="shared" si="1"/>
        <v>Y1M9</v>
      </c>
      <c r="O19" s="112" t="str">
        <f t="shared" si="1"/>
        <v>Y1M10</v>
      </c>
      <c r="P19" s="112" t="str">
        <f t="shared" si="1"/>
        <v>Y1M11</v>
      </c>
      <c r="Q19" s="112" t="str">
        <f t="shared" si="1"/>
        <v>Y1M12</v>
      </c>
      <c r="R19" s="112" t="str">
        <f t="shared" si="1"/>
        <v>Y2M1</v>
      </c>
      <c r="S19" s="112" t="str">
        <f t="shared" si="1"/>
        <v>Y2M2</v>
      </c>
      <c r="T19" s="112" t="str">
        <f t="shared" si="1"/>
        <v>Y2M3</v>
      </c>
      <c r="U19" s="112" t="str">
        <f t="shared" si="1"/>
        <v>Y2M4</v>
      </c>
      <c r="V19" s="112" t="str">
        <f t="shared" si="1"/>
        <v>Y2M5</v>
      </c>
      <c r="W19" s="112" t="str">
        <f t="shared" si="1"/>
        <v>Y2M6</v>
      </c>
      <c r="X19" s="112" t="str">
        <f t="shared" si="1"/>
        <v>Y2M7</v>
      </c>
      <c r="Y19" s="112" t="str">
        <f t="shared" si="1"/>
        <v>Y2M8</v>
      </c>
      <c r="Z19" s="112" t="str">
        <f t="shared" si="1"/>
        <v>Y2M9</v>
      </c>
      <c r="AA19" s="112" t="str">
        <f t="shared" si="1"/>
        <v>Y2M10</v>
      </c>
      <c r="AB19" s="112" t="str">
        <f t="shared" si="1"/>
        <v>Y2M11</v>
      </c>
      <c r="AC19" s="112" t="str">
        <f t="shared" si="1"/>
        <v>Y2M12</v>
      </c>
      <c r="AD19" s="112" t="str">
        <f t="shared" si="1"/>
        <v>Y3M1</v>
      </c>
      <c r="AE19" s="112" t="str">
        <f t="shared" si="1"/>
        <v>Y3M2</v>
      </c>
      <c r="AF19" s="112" t="str">
        <f t="shared" si="1"/>
        <v>Y3M3</v>
      </c>
      <c r="AG19" s="112" t="str">
        <f t="shared" si="1"/>
        <v>Y3M4</v>
      </c>
      <c r="AH19" s="112" t="str">
        <f t="shared" si="1"/>
        <v>Y3M5</v>
      </c>
      <c r="AI19" s="112" t="str">
        <f t="shared" si="1"/>
        <v>Y3M6</v>
      </c>
      <c r="AJ19" s="112" t="str">
        <f t="shared" si="1"/>
        <v>Y3M7</v>
      </c>
      <c r="AK19" s="112" t="str">
        <f t="shared" si="1"/>
        <v>Y3M8</v>
      </c>
      <c r="AL19" s="112" t="str">
        <f t="shared" si="1"/>
        <v>Y3M9</v>
      </c>
      <c r="AM19" s="112" t="str">
        <f t="shared" si="1"/>
        <v>Y3M10</v>
      </c>
      <c r="AN19" s="112" t="str">
        <f t="shared" si="1"/>
        <v>Y3M11</v>
      </c>
      <c r="AO19" s="112" t="str">
        <f t="shared" si="1"/>
        <v>Y3M12</v>
      </c>
      <c r="AP19" s="112" t="str">
        <f t="shared" si="1"/>
        <v>Y4M1</v>
      </c>
      <c r="AQ19" s="112" t="str">
        <f t="shared" si="1"/>
        <v>Y4M2</v>
      </c>
      <c r="AR19" s="112" t="str">
        <f t="shared" si="1"/>
        <v>Y4M3</v>
      </c>
    </row>
    <row r="20" spans="1:44" ht="15" customHeight="1">
      <c r="A20" s="122"/>
      <c r="B20" s="123" t="str">
        <f>IF(ISBLANK($B$10),"",$B$10)</f>
        <v/>
      </c>
      <c r="C20" s="124">
        <v>1</v>
      </c>
      <c r="F20" s="115"/>
      <c r="G20" s="115"/>
      <c r="H20" s="115"/>
      <c r="I20" s="115"/>
      <c r="J20" s="115"/>
      <c r="K20" s="115"/>
      <c r="L20" s="115"/>
      <c r="M20" s="115"/>
      <c r="N20" s="115"/>
      <c r="O20" s="115"/>
      <c r="P20" s="115"/>
      <c r="Q20" s="115"/>
      <c r="R20" s="115"/>
      <c r="S20" s="115"/>
      <c r="T20" s="115"/>
      <c r="U20" s="115"/>
      <c r="V20" s="115"/>
      <c r="W20" s="115"/>
      <c r="X20" s="115"/>
      <c r="Y20" s="115"/>
      <c r="Z20" s="115"/>
      <c r="AA20" s="115"/>
      <c r="AB20" s="115"/>
      <c r="AC20" s="115"/>
      <c r="AD20" s="115"/>
      <c r="AE20" s="115"/>
      <c r="AF20" s="115"/>
      <c r="AG20" s="115"/>
      <c r="AH20" s="115"/>
      <c r="AI20" s="115"/>
      <c r="AJ20" s="115"/>
      <c r="AK20" s="115"/>
      <c r="AL20" s="115"/>
      <c r="AM20" s="115"/>
      <c r="AN20" s="115"/>
      <c r="AO20" s="115"/>
      <c r="AP20" s="115"/>
      <c r="AQ20" s="115"/>
      <c r="AR20" s="115"/>
    </row>
    <row r="21" spans="1:44" ht="15" customHeight="1">
      <c r="A21" s="113"/>
      <c r="B21" s="123" t="str">
        <f>IF(ISBLANK($B$11),"",$B$11)</f>
        <v/>
      </c>
      <c r="C21" s="125">
        <v>1</v>
      </c>
      <c r="F21" s="115"/>
      <c r="G21" s="115"/>
      <c r="H21" s="115"/>
      <c r="I21" s="115"/>
      <c r="J21" s="115"/>
      <c r="K21" s="115"/>
      <c r="L21" s="115"/>
      <c r="M21" s="115"/>
      <c r="N21" s="115"/>
      <c r="O21" s="115"/>
      <c r="P21" s="115"/>
      <c r="Q21" s="115"/>
      <c r="R21" s="115"/>
      <c r="S21" s="115"/>
      <c r="T21" s="115"/>
      <c r="U21" s="115"/>
      <c r="V21" s="115"/>
      <c r="W21" s="115"/>
      <c r="X21" s="115"/>
      <c r="Y21" s="115"/>
      <c r="Z21" s="115"/>
      <c r="AA21" s="115"/>
      <c r="AB21" s="115"/>
      <c r="AC21" s="115"/>
      <c r="AD21" s="115"/>
      <c r="AE21" s="115"/>
      <c r="AF21" s="115"/>
      <c r="AG21" s="115"/>
      <c r="AH21" s="115"/>
      <c r="AI21" s="115"/>
      <c r="AJ21" s="115"/>
      <c r="AK21" s="115"/>
      <c r="AL21" s="115"/>
      <c r="AM21" s="115"/>
      <c r="AN21" s="115"/>
      <c r="AO21" s="115"/>
      <c r="AP21" s="115"/>
      <c r="AQ21" s="115"/>
      <c r="AR21" s="115"/>
    </row>
    <row r="22" spans="1:44" ht="15" customHeight="1">
      <c r="A22" s="113"/>
      <c r="B22" s="123" t="str">
        <f>IF(ISBLANK($B$12),"",$B$12)</f>
        <v/>
      </c>
      <c r="C22" s="125">
        <v>1</v>
      </c>
      <c r="F22" s="115"/>
      <c r="G22" s="115"/>
      <c r="H22" s="115"/>
      <c r="I22" s="115"/>
      <c r="J22" s="115"/>
      <c r="K22" s="115"/>
      <c r="L22" s="115"/>
      <c r="M22" s="115"/>
      <c r="N22" s="115"/>
      <c r="O22" s="115"/>
      <c r="P22" s="115"/>
      <c r="Q22" s="115"/>
      <c r="R22" s="115"/>
      <c r="S22" s="115"/>
      <c r="T22" s="115"/>
      <c r="U22" s="115"/>
      <c r="V22" s="115"/>
      <c r="W22" s="115"/>
      <c r="X22" s="115"/>
      <c r="Y22" s="115"/>
      <c r="Z22" s="115"/>
      <c r="AA22" s="115"/>
      <c r="AB22" s="115"/>
      <c r="AC22" s="115"/>
      <c r="AD22" s="115"/>
      <c r="AE22" s="115"/>
      <c r="AF22" s="115"/>
      <c r="AG22" s="115"/>
      <c r="AH22" s="115"/>
      <c r="AI22" s="115"/>
      <c r="AJ22" s="115"/>
      <c r="AK22" s="115"/>
      <c r="AL22" s="115"/>
      <c r="AM22" s="115"/>
      <c r="AN22" s="115"/>
      <c r="AO22" s="115"/>
      <c r="AP22" s="115"/>
      <c r="AQ22" s="115"/>
      <c r="AR22" s="115"/>
    </row>
    <row r="23" spans="1:44" ht="15" customHeight="1"/>
    <row r="24" spans="1:44" ht="15" customHeight="1">
      <c r="B24" s="121" t="s">
        <v>193</v>
      </c>
      <c r="F24" s="110" t="s">
        <v>188</v>
      </c>
      <c r="G24" s="110" t="s">
        <v>188</v>
      </c>
      <c r="H24" s="110" t="s">
        <v>188</v>
      </c>
      <c r="I24" s="110" t="s">
        <v>188</v>
      </c>
      <c r="J24" s="110" t="s">
        <v>188</v>
      </c>
      <c r="K24" s="110" t="s">
        <v>188</v>
      </c>
      <c r="L24" s="110" t="s">
        <v>188</v>
      </c>
      <c r="M24" s="110" t="s">
        <v>188</v>
      </c>
      <c r="N24" s="110" t="s">
        <v>188</v>
      </c>
      <c r="O24" s="110" t="s">
        <v>188</v>
      </c>
      <c r="P24" s="110" t="s">
        <v>188</v>
      </c>
      <c r="Q24" s="110" t="s">
        <v>188</v>
      </c>
      <c r="R24" s="110" t="s">
        <v>188</v>
      </c>
      <c r="S24" s="110" t="s">
        <v>188</v>
      </c>
      <c r="T24" s="110" t="s">
        <v>188</v>
      </c>
      <c r="U24" s="110" t="s">
        <v>188</v>
      </c>
      <c r="V24" s="110" t="s">
        <v>188</v>
      </c>
      <c r="W24" s="110" t="s">
        <v>188</v>
      </c>
      <c r="X24" s="110" t="s">
        <v>188</v>
      </c>
      <c r="Y24" s="110" t="s">
        <v>188</v>
      </c>
      <c r="Z24" s="110" t="s">
        <v>188</v>
      </c>
      <c r="AA24" s="110" t="s">
        <v>188</v>
      </c>
      <c r="AB24" s="110" t="s">
        <v>188</v>
      </c>
      <c r="AC24" s="110" t="s">
        <v>188</v>
      </c>
      <c r="AD24" s="110" t="s">
        <v>188</v>
      </c>
      <c r="AE24" s="110" t="s">
        <v>188</v>
      </c>
      <c r="AF24" s="110" t="s">
        <v>188</v>
      </c>
      <c r="AG24" s="110" t="s">
        <v>188</v>
      </c>
      <c r="AH24" s="110" t="s">
        <v>188</v>
      </c>
      <c r="AI24" s="110" t="s">
        <v>188</v>
      </c>
      <c r="AJ24" s="110" t="s">
        <v>188</v>
      </c>
      <c r="AK24" s="110" t="s">
        <v>188</v>
      </c>
      <c r="AL24" s="110" t="s">
        <v>188</v>
      </c>
      <c r="AM24" s="110" t="s">
        <v>188</v>
      </c>
      <c r="AN24" s="110" t="s">
        <v>188</v>
      </c>
      <c r="AO24" s="110" t="s">
        <v>188</v>
      </c>
      <c r="AP24" s="110" t="s">
        <v>188</v>
      </c>
      <c r="AQ24" s="110" t="s">
        <v>188</v>
      </c>
      <c r="AR24" s="110" t="s">
        <v>188</v>
      </c>
    </row>
    <row r="25" spans="1:44" ht="15" customHeight="1">
      <c r="B25" s="111" t="s">
        <v>189</v>
      </c>
      <c r="C25" s="111" t="s">
        <v>136</v>
      </c>
      <c r="F25" s="112" t="str">
        <f t="shared" ref="F25:AR25" si="2">Timeperiod</f>
        <v>Y1M1</v>
      </c>
      <c r="G25" s="112" t="str">
        <f t="shared" si="2"/>
        <v>Y1M2</v>
      </c>
      <c r="H25" s="112" t="str">
        <f t="shared" si="2"/>
        <v>Y1M3</v>
      </c>
      <c r="I25" s="112" t="str">
        <f t="shared" si="2"/>
        <v>Y1M4</v>
      </c>
      <c r="J25" s="112" t="str">
        <f t="shared" si="2"/>
        <v>Y1M5</v>
      </c>
      <c r="K25" s="112" t="str">
        <f t="shared" si="2"/>
        <v>Y1M6</v>
      </c>
      <c r="L25" s="112" t="str">
        <f t="shared" si="2"/>
        <v>Y1M7</v>
      </c>
      <c r="M25" s="112" t="str">
        <f t="shared" si="2"/>
        <v>Y1M8</v>
      </c>
      <c r="N25" s="112" t="str">
        <f t="shared" si="2"/>
        <v>Y1M9</v>
      </c>
      <c r="O25" s="112" t="str">
        <f t="shared" si="2"/>
        <v>Y1M10</v>
      </c>
      <c r="P25" s="112" t="str">
        <f t="shared" si="2"/>
        <v>Y1M11</v>
      </c>
      <c r="Q25" s="112" t="str">
        <f t="shared" si="2"/>
        <v>Y1M12</v>
      </c>
      <c r="R25" s="112" t="str">
        <f t="shared" si="2"/>
        <v>Y2M1</v>
      </c>
      <c r="S25" s="112" t="str">
        <f t="shared" si="2"/>
        <v>Y2M2</v>
      </c>
      <c r="T25" s="112" t="str">
        <f t="shared" si="2"/>
        <v>Y2M3</v>
      </c>
      <c r="U25" s="112" t="str">
        <f t="shared" si="2"/>
        <v>Y2M4</v>
      </c>
      <c r="V25" s="112" t="str">
        <f t="shared" si="2"/>
        <v>Y2M5</v>
      </c>
      <c r="W25" s="112" t="str">
        <f t="shared" si="2"/>
        <v>Y2M6</v>
      </c>
      <c r="X25" s="112" t="str">
        <f t="shared" si="2"/>
        <v>Y2M7</v>
      </c>
      <c r="Y25" s="112" t="str">
        <f t="shared" si="2"/>
        <v>Y2M8</v>
      </c>
      <c r="Z25" s="112" t="str">
        <f t="shared" si="2"/>
        <v>Y2M9</v>
      </c>
      <c r="AA25" s="112" t="str">
        <f t="shared" si="2"/>
        <v>Y2M10</v>
      </c>
      <c r="AB25" s="112" t="str">
        <f t="shared" si="2"/>
        <v>Y2M11</v>
      </c>
      <c r="AC25" s="112" t="str">
        <f t="shared" si="2"/>
        <v>Y2M12</v>
      </c>
      <c r="AD25" s="112" t="str">
        <f t="shared" si="2"/>
        <v>Y3M1</v>
      </c>
      <c r="AE25" s="112" t="str">
        <f t="shared" si="2"/>
        <v>Y3M2</v>
      </c>
      <c r="AF25" s="112" t="str">
        <f t="shared" si="2"/>
        <v>Y3M3</v>
      </c>
      <c r="AG25" s="112" t="str">
        <f t="shared" si="2"/>
        <v>Y3M4</v>
      </c>
      <c r="AH25" s="112" t="str">
        <f t="shared" si="2"/>
        <v>Y3M5</v>
      </c>
      <c r="AI25" s="112" t="str">
        <f t="shared" si="2"/>
        <v>Y3M6</v>
      </c>
      <c r="AJ25" s="112" t="str">
        <f t="shared" si="2"/>
        <v>Y3M7</v>
      </c>
      <c r="AK25" s="112" t="str">
        <f t="shared" si="2"/>
        <v>Y3M8</v>
      </c>
      <c r="AL25" s="112" t="str">
        <f t="shared" si="2"/>
        <v>Y3M9</v>
      </c>
      <c r="AM25" s="112" t="str">
        <f t="shared" si="2"/>
        <v>Y3M10</v>
      </c>
      <c r="AN25" s="112" t="str">
        <f t="shared" si="2"/>
        <v>Y3M11</v>
      </c>
      <c r="AO25" s="112" t="str">
        <f t="shared" si="2"/>
        <v>Y3M12</v>
      </c>
      <c r="AP25" s="112" t="str">
        <f t="shared" si="2"/>
        <v>Y4M1</v>
      </c>
      <c r="AQ25" s="112" t="str">
        <f t="shared" si="2"/>
        <v>Y4M2</v>
      </c>
      <c r="AR25" s="112" t="str">
        <f t="shared" si="2"/>
        <v>Y4M3</v>
      </c>
    </row>
    <row r="26" spans="1:44" ht="15" customHeight="1">
      <c r="A26" s="122"/>
      <c r="B26" s="123" t="str">
        <f>IF(ISBLANK($B$10),"",$B$10)</f>
        <v/>
      </c>
      <c r="C26" s="124">
        <v>2</v>
      </c>
      <c r="F26" s="115"/>
      <c r="G26" s="115"/>
      <c r="H26" s="115"/>
      <c r="I26" s="115"/>
      <c r="J26" s="115"/>
      <c r="K26" s="115"/>
      <c r="L26" s="115"/>
      <c r="M26" s="115"/>
      <c r="N26" s="115"/>
      <c r="O26" s="115"/>
      <c r="P26" s="115"/>
      <c r="Q26" s="115"/>
      <c r="R26" s="115"/>
      <c r="S26" s="115"/>
      <c r="T26" s="115"/>
      <c r="U26" s="115"/>
      <c r="V26" s="115"/>
      <c r="W26" s="115"/>
      <c r="X26" s="115"/>
      <c r="Y26" s="115"/>
      <c r="Z26" s="115"/>
      <c r="AA26" s="115"/>
      <c r="AB26" s="115"/>
      <c r="AC26" s="115"/>
      <c r="AD26" s="115"/>
      <c r="AE26" s="115"/>
      <c r="AF26" s="115"/>
      <c r="AG26" s="115"/>
      <c r="AH26" s="115"/>
      <c r="AI26" s="115"/>
      <c r="AJ26" s="115"/>
      <c r="AK26" s="115"/>
      <c r="AL26" s="115"/>
      <c r="AM26" s="115"/>
      <c r="AN26" s="115"/>
      <c r="AO26" s="115"/>
      <c r="AP26" s="115"/>
      <c r="AQ26" s="115"/>
      <c r="AR26" s="115"/>
    </row>
    <row r="27" spans="1:44" ht="15" customHeight="1">
      <c r="A27" s="113"/>
      <c r="B27" s="123" t="str">
        <f>IF(ISBLANK($B$11),"",$B$11)</f>
        <v/>
      </c>
      <c r="C27" s="125">
        <v>2</v>
      </c>
      <c r="F27" s="115"/>
      <c r="G27" s="115"/>
      <c r="H27" s="115"/>
      <c r="I27" s="115"/>
      <c r="J27" s="115"/>
      <c r="K27" s="115"/>
      <c r="L27" s="115"/>
      <c r="M27" s="115"/>
      <c r="N27" s="115"/>
      <c r="O27" s="115"/>
      <c r="P27" s="115"/>
      <c r="Q27" s="115"/>
      <c r="R27" s="115"/>
      <c r="S27" s="115"/>
      <c r="T27" s="115"/>
      <c r="U27" s="115"/>
      <c r="V27" s="115"/>
      <c r="W27" s="115"/>
      <c r="X27" s="115"/>
      <c r="Y27" s="115"/>
      <c r="Z27" s="115"/>
      <c r="AA27" s="115"/>
      <c r="AB27" s="115"/>
      <c r="AC27" s="115"/>
      <c r="AD27" s="115"/>
      <c r="AE27" s="115"/>
      <c r="AF27" s="115"/>
      <c r="AG27" s="115"/>
      <c r="AH27" s="115"/>
      <c r="AI27" s="115"/>
      <c r="AJ27" s="115"/>
      <c r="AK27" s="115"/>
      <c r="AL27" s="115"/>
      <c r="AM27" s="115"/>
      <c r="AN27" s="115"/>
      <c r="AO27" s="115"/>
      <c r="AP27" s="115"/>
      <c r="AQ27" s="115"/>
      <c r="AR27" s="115"/>
    </row>
    <row r="28" spans="1:44" ht="15" customHeight="1">
      <c r="A28" s="113"/>
      <c r="B28" s="123" t="str">
        <f>IF(ISBLANK($B$12),"",$B$12)</f>
        <v/>
      </c>
      <c r="C28" s="125">
        <v>2</v>
      </c>
      <c r="F28" s="115"/>
      <c r="G28" s="115"/>
      <c r="H28" s="115"/>
      <c r="I28" s="115"/>
      <c r="J28" s="115"/>
      <c r="K28" s="115"/>
      <c r="L28" s="115"/>
      <c r="M28" s="115"/>
      <c r="N28" s="115"/>
      <c r="O28" s="115"/>
      <c r="P28" s="115"/>
      <c r="Q28" s="115"/>
      <c r="R28" s="115"/>
      <c r="S28" s="115"/>
      <c r="T28" s="115"/>
      <c r="U28" s="115"/>
      <c r="V28" s="115"/>
      <c r="W28" s="115"/>
      <c r="X28" s="115"/>
      <c r="Y28" s="115"/>
      <c r="Z28" s="115"/>
      <c r="AA28" s="115"/>
      <c r="AB28" s="115"/>
      <c r="AC28" s="115"/>
      <c r="AD28" s="115"/>
      <c r="AE28" s="115"/>
      <c r="AF28" s="115"/>
      <c r="AG28" s="115"/>
      <c r="AH28" s="115"/>
      <c r="AI28" s="115"/>
      <c r="AJ28" s="115"/>
      <c r="AK28" s="115"/>
      <c r="AL28" s="115"/>
      <c r="AM28" s="115"/>
      <c r="AN28" s="115"/>
      <c r="AO28" s="115"/>
      <c r="AP28" s="115"/>
      <c r="AQ28" s="115"/>
      <c r="AR28" s="115"/>
    </row>
    <row r="29" spans="1:44" ht="15" customHeight="1"/>
    <row r="30" spans="1:44" ht="15" customHeight="1">
      <c r="B30" s="121" t="s">
        <v>194</v>
      </c>
      <c r="F30" s="110" t="s">
        <v>188</v>
      </c>
      <c r="G30" s="110" t="s">
        <v>188</v>
      </c>
      <c r="H30" s="110" t="s">
        <v>188</v>
      </c>
      <c r="I30" s="110" t="s">
        <v>188</v>
      </c>
      <c r="J30" s="110" t="s">
        <v>188</v>
      </c>
      <c r="K30" s="110" t="s">
        <v>188</v>
      </c>
      <c r="L30" s="110" t="s">
        <v>188</v>
      </c>
      <c r="M30" s="110" t="s">
        <v>188</v>
      </c>
      <c r="N30" s="110" t="s">
        <v>188</v>
      </c>
      <c r="O30" s="110" t="s">
        <v>188</v>
      </c>
      <c r="P30" s="110" t="s">
        <v>188</v>
      </c>
      <c r="Q30" s="110" t="s">
        <v>188</v>
      </c>
      <c r="R30" s="110" t="s">
        <v>188</v>
      </c>
      <c r="S30" s="110" t="s">
        <v>188</v>
      </c>
      <c r="T30" s="110" t="s">
        <v>188</v>
      </c>
      <c r="U30" s="110" t="s">
        <v>188</v>
      </c>
      <c r="V30" s="110" t="s">
        <v>188</v>
      </c>
      <c r="W30" s="110" t="s">
        <v>188</v>
      </c>
      <c r="X30" s="110" t="s">
        <v>188</v>
      </c>
      <c r="Y30" s="110" t="s">
        <v>188</v>
      </c>
      <c r="Z30" s="110" t="s">
        <v>188</v>
      </c>
      <c r="AA30" s="110" t="s">
        <v>188</v>
      </c>
      <c r="AB30" s="110" t="s">
        <v>188</v>
      </c>
      <c r="AC30" s="110" t="s">
        <v>188</v>
      </c>
      <c r="AD30" s="110" t="s">
        <v>188</v>
      </c>
      <c r="AE30" s="110" t="s">
        <v>188</v>
      </c>
      <c r="AF30" s="110" t="s">
        <v>188</v>
      </c>
      <c r="AG30" s="110" t="s">
        <v>188</v>
      </c>
      <c r="AH30" s="110" t="s">
        <v>188</v>
      </c>
      <c r="AI30" s="110" t="s">
        <v>188</v>
      </c>
      <c r="AJ30" s="110" t="s">
        <v>188</v>
      </c>
      <c r="AK30" s="110" t="s">
        <v>188</v>
      </c>
      <c r="AL30" s="110" t="s">
        <v>188</v>
      </c>
      <c r="AM30" s="110" t="s">
        <v>188</v>
      </c>
      <c r="AN30" s="110" t="s">
        <v>188</v>
      </c>
      <c r="AO30" s="110" t="s">
        <v>188</v>
      </c>
      <c r="AP30" s="110" t="s">
        <v>188</v>
      </c>
      <c r="AQ30" s="110" t="s">
        <v>188</v>
      </c>
      <c r="AR30" s="110" t="s">
        <v>188</v>
      </c>
    </row>
    <row r="31" spans="1:44" ht="15" customHeight="1">
      <c r="B31" s="111" t="s">
        <v>189</v>
      </c>
      <c r="C31" s="111" t="s">
        <v>136</v>
      </c>
      <c r="F31" s="112" t="str">
        <f t="shared" ref="F31:AR31" si="3">Timeperiod</f>
        <v>Y1M1</v>
      </c>
      <c r="G31" s="112" t="str">
        <f t="shared" si="3"/>
        <v>Y1M2</v>
      </c>
      <c r="H31" s="112" t="str">
        <f t="shared" si="3"/>
        <v>Y1M3</v>
      </c>
      <c r="I31" s="112" t="str">
        <f t="shared" si="3"/>
        <v>Y1M4</v>
      </c>
      <c r="J31" s="112" t="str">
        <f t="shared" si="3"/>
        <v>Y1M5</v>
      </c>
      <c r="K31" s="112" t="str">
        <f t="shared" si="3"/>
        <v>Y1M6</v>
      </c>
      <c r="L31" s="112" t="str">
        <f t="shared" si="3"/>
        <v>Y1M7</v>
      </c>
      <c r="M31" s="112" t="str">
        <f t="shared" si="3"/>
        <v>Y1M8</v>
      </c>
      <c r="N31" s="112" t="str">
        <f t="shared" si="3"/>
        <v>Y1M9</v>
      </c>
      <c r="O31" s="112" t="str">
        <f t="shared" si="3"/>
        <v>Y1M10</v>
      </c>
      <c r="P31" s="112" t="str">
        <f t="shared" si="3"/>
        <v>Y1M11</v>
      </c>
      <c r="Q31" s="112" t="str">
        <f t="shared" si="3"/>
        <v>Y1M12</v>
      </c>
      <c r="R31" s="112" t="str">
        <f t="shared" si="3"/>
        <v>Y2M1</v>
      </c>
      <c r="S31" s="112" t="str">
        <f t="shared" si="3"/>
        <v>Y2M2</v>
      </c>
      <c r="T31" s="112" t="str">
        <f t="shared" si="3"/>
        <v>Y2M3</v>
      </c>
      <c r="U31" s="112" t="str">
        <f t="shared" si="3"/>
        <v>Y2M4</v>
      </c>
      <c r="V31" s="112" t="str">
        <f t="shared" si="3"/>
        <v>Y2M5</v>
      </c>
      <c r="W31" s="112" t="str">
        <f t="shared" si="3"/>
        <v>Y2M6</v>
      </c>
      <c r="X31" s="112" t="str">
        <f t="shared" si="3"/>
        <v>Y2M7</v>
      </c>
      <c r="Y31" s="112" t="str">
        <f t="shared" si="3"/>
        <v>Y2M8</v>
      </c>
      <c r="Z31" s="112" t="str">
        <f t="shared" si="3"/>
        <v>Y2M9</v>
      </c>
      <c r="AA31" s="112" t="str">
        <f t="shared" si="3"/>
        <v>Y2M10</v>
      </c>
      <c r="AB31" s="112" t="str">
        <f t="shared" si="3"/>
        <v>Y2M11</v>
      </c>
      <c r="AC31" s="112" t="str">
        <f t="shared" si="3"/>
        <v>Y2M12</v>
      </c>
      <c r="AD31" s="112" t="str">
        <f t="shared" si="3"/>
        <v>Y3M1</v>
      </c>
      <c r="AE31" s="112" t="str">
        <f t="shared" si="3"/>
        <v>Y3M2</v>
      </c>
      <c r="AF31" s="112" t="str">
        <f t="shared" si="3"/>
        <v>Y3M3</v>
      </c>
      <c r="AG31" s="112" t="str">
        <f t="shared" si="3"/>
        <v>Y3M4</v>
      </c>
      <c r="AH31" s="112" t="str">
        <f t="shared" si="3"/>
        <v>Y3M5</v>
      </c>
      <c r="AI31" s="112" t="str">
        <f t="shared" si="3"/>
        <v>Y3M6</v>
      </c>
      <c r="AJ31" s="112" t="str">
        <f t="shared" si="3"/>
        <v>Y3M7</v>
      </c>
      <c r="AK31" s="112" t="str">
        <f t="shared" si="3"/>
        <v>Y3M8</v>
      </c>
      <c r="AL31" s="112" t="str">
        <f t="shared" si="3"/>
        <v>Y3M9</v>
      </c>
      <c r="AM31" s="112" t="str">
        <f t="shared" si="3"/>
        <v>Y3M10</v>
      </c>
      <c r="AN31" s="112" t="str">
        <f t="shared" si="3"/>
        <v>Y3M11</v>
      </c>
      <c r="AO31" s="112" t="str">
        <f t="shared" si="3"/>
        <v>Y3M12</v>
      </c>
      <c r="AP31" s="112" t="str">
        <f t="shared" si="3"/>
        <v>Y4M1</v>
      </c>
      <c r="AQ31" s="112" t="str">
        <f t="shared" si="3"/>
        <v>Y4M2</v>
      </c>
      <c r="AR31" s="112" t="str">
        <f t="shared" si="3"/>
        <v>Y4M3</v>
      </c>
    </row>
    <row r="32" spans="1:44" ht="15" customHeight="1">
      <c r="A32" s="122"/>
      <c r="B32" s="123" t="str">
        <f>IF(ISBLANK($B$10),"",$B$10)</f>
        <v/>
      </c>
      <c r="C32" s="124">
        <v>3</v>
      </c>
      <c r="F32" s="115"/>
      <c r="G32" s="115"/>
      <c r="H32" s="115"/>
      <c r="I32" s="115"/>
      <c r="J32" s="115"/>
      <c r="K32" s="115"/>
      <c r="L32" s="115"/>
      <c r="M32" s="115"/>
      <c r="N32" s="115"/>
      <c r="O32" s="115"/>
      <c r="P32" s="115"/>
      <c r="Q32" s="115"/>
      <c r="R32" s="115"/>
      <c r="S32" s="115"/>
      <c r="T32" s="115"/>
      <c r="U32" s="115"/>
      <c r="V32" s="115"/>
      <c r="W32" s="115"/>
      <c r="X32" s="115"/>
      <c r="Y32" s="115"/>
      <c r="Z32" s="115"/>
      <c r="AA32" s="115"/>
      <c r="AB32" s="115"/>
      <c r="AC32" s="115"/>
      <c r="AD32" s="115"/>
      <c r="AE32" s="115"/>
      <c r="AF32" s="115"/>
      <c r="AG32" s="115"/>
      <c r="AH32" s="115"/>
      <c r="AI32" s="115"/>
      <c r="AJ32" s="115"/>
      <c r="AK32" s="115"/>
      <c r="AL32" s="115"/>
      <c r="AM32" s="115"/>
      <c r="AN32" s="115"/>
      <c r="AO32" s="115"/>
      <c r="AP32" s="115"/>
      <c r="AQ32" s="115"/>
      <c r="AR32" s="115"/>
    </row>
    <row r="33" spans="1:44" ht="15" customHeight="1">
      <c r="A33" s="113"/>
      <c r="B33" s="123" t="str">
        <f>IF(ISBLANK($B$11),"",$B$11)</f>
        <v/>
      </c>
      <c r="C33" s="125">
        <v>3</v>
      </c>
      <c r="F33" s="115"/>
      <c r="G33" s="115"/>
      <c r="H33" s="115"/>
      <c r="I33" s="115"/>
      <c r="J33" s="115"/>
      <c r="K33" s="115"/>
      <c r="L33" s="115"/>
      <c r="M33" s="115"/>
      <c r="N33" s="115"/>
      <c r="O33" s="115"/>
      <c r="P33" s="115"/>
      <c r="Q33" s="115"/>
      <c r="R33" s="115"/>
      <c r="S33" s="115"/>
      <c r="T33" s="115"/>
      <c r="U33" s="115"/>
      <c r="V33" s="115"/>
      <c r="W33" s="115"/>
      <c r="X33" s="115"/>
      <c r="Y33" s="115"/>
      <c r="Z33" s="115"/>
      <c r="AA33" s="115"/>
      <c r="AB33" s="115"/>
      <c r="AC33" s="115"/>
      <c r="AD33" s="115"/>
      <c r="AE33" s="115"/>
      <c r="AF33" s="115"/>
      <c r="AG33" s="115"/>
      <c r="AH33" s="115"/>
      <c r="AI33" s="115"/>
      <c r="AJ33" s="115"/>
      <c r="AK33" s="115"/>
      <c r="AL33" s="115"/>
      <c r="AM33" s="115"/>
      <c r="AN33" s="115"/>
      <c r="AO33" s="115"/>
      <c r="AP33" s="115"/>
      <c r="AQ33" s="115"/>
      <c r="AR33" s="115"/>
    </row>
    <row r="34" spans="1:44" ht="15" customHeight="1">
      <c r="A34" s="113"/>
      <c r="B34" s="123" t="str">
        <f>IF(ISBLANK($B$12),"",$B$12)</f>
        <v/>
      </c>
      <c r="C34" s="125">
        <v>3</v>
      </c>
      <c r="F34" s="115"/>
      <c r="G34" s="115"/>
      <c r="H34" s="115"/>
      <c r="I34" s="115"/>
      <c r="J34" s="115"/>
      <c r="K34" s="115"/>
      <c r="L34" s="115"/>
      <c r="M34" s="115"/>
      <c r="N34" s="115"/>
      <c r="O34" s="115"/>
      <c r="P34" s="115"/>
      <c r="Q34" s="115"/>
      <c r="R34" s="115"/>
      <c r="S34" s="115"/>
      <c r="T34" s="115"/>
      <c r="U34" s="115"/>
      <c r="V34" s="115"/>
      <c r="W34" s="115"/>
      <c r="X34" s="115"/>
      <c r="Y34" s="115"/>
      <c r="Z34" s="115"/>
      <c r="AA34" s="115"/>
      <c r="AB34" s="115"/>
      <c r="AC34" s="115"/>
      <c r="AD34" s="115"/>
      <c r="AE34" s="115"/>
      <c r="AF34" s="115"/>
      <c r="AG34" s="115"/>
      <c r="AH34" s="115"/>
      <c r="AI34" s="115"/>
      <c r="AJ34" s="115"/>
      <c r="AK34" s="115"/>
      <c r="AL34" s="115"/>
      <c r="AM34" s="115"/>
      <c r="AN34" s="115"/>
      <c r="AO34" s="115"/>
      <c r="AP34" s="115"/>
      <c r="AQ34" s="115"/>
      <c r="AR34" s="115"/>
    </row>
    <row r="35" spans="1:44" ht="15" customHeight="1"/>
    <row r="36" spans="1:44" ht="15" customHeight="1"/>
    <row r="37" spans="1:44" ht="15" customHeight="1">
      <c r="A37" s="109"/>
      <c r="B37" s="109" t="s">
        <v>195</v>
      </c>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row>
    <row r="38" spans="1:44" s="85" customFormat="1" ht="15" customHeight="1"/>
    <row r="39" spans="1:44" ht="15" customHeight="1">
      <c r="B39" s="111" t="s">
        <v>196</v>
      </c>
      <c r="F39" s="110" t="s">
        <v>197</v>
      </c>
      <c r="G39" s="110" t="s">
        <v>197</v>
      </c>
      <c r="H39" s="110" t="s">
        <v>197</v>
      </c>
      <c r="I39" s="110" t="s">
        <v>197</v>
      </c>
      <c r="J39" s="110" t="s">
        <v>197</v>
      </c>
      <c r="K39" s="110" t="s">
        <v>197</v>
      </c>
      <c r="L39" s="110" t="s">
        <v>197</v>
      </c>
      <c r="M39" s="110" t="s">
        <v>197</v>
      </c>
      <c r="N39" s="110" t="s">
        <v>197</v>
      </c>
      <c r="O39" s="110" t="s">
        <v>197</v>
      </c>
      <c r="P39" s="110" t="s">
        <v>197</v>
      </c>
      <c r="Q39" s="110" t="s">
        <v>197</v>
      </c>
      <c r="R39" s="110" t="s">
        <v>197</v>
      </c>
      <c r="S39" s="110" t="s">
        <v>197</v>
      </c>
      <c r="T39" s="110" t="s">
        <v>197</v>
      </c>
      <c r="U39" s="110" t="s">
        <v>197</v>
      </c>
      <c r="V39" s="110" t="s">
        <v>197</v>
      </c>
      <c r="W39" s="110" t="s">
        <v>197</v>
      </c>
      <c r="X39" s="110" t="s">
        <v>197</v>
      </c>
      <c r="Y39" s="110" t="s">
        <v>197</v>
      </c>
      <c r="Z39" s="110" t="s">
        <v>197</v>
      </c>
      <c r="AA39" s="110" t="s">
        <v>197</v>
      </c>
      <c r="AB39" s="110" t="s">
        <v>197</v>
      </c>
      <c r="AC39" s="110" t="s">
        <v>197</v>
      </c>
      <c r="AD39" s="110" t="s">
        <v>197</v>
      </c>
      <c r="AE39" s="110" t="s">
        <v>197</v>
      </c>
      <c r="AF39" s="110" t="s">
        <v>197</v>
      </c>
      <c r="AG39" s="110" t="s">
        <v>197</v>
      </c>
      <c r="AH39" s="110" t="s">
        <v>197</v>
      </c>
      <c r="AI39" s="110" t="s">
        <v>197</v>
      </c>
      <c r="AJ39" s="110" t="s">
        <v>197</v>
      </c>
      <c r="AK39" s="110" t="s">
        <v>197</v>
      </c>
      <c r="AL39" s="110" t="s">
        <v>197</v>
      </c>
      <c r="AM39" s="110" t="s">
        <v>197</v>
      </c>
      <c r="AN39" s="110" t="s">
        <v>197</v>
      </c>
      <c r="AO39" s="110" t="s">
        <v>197</v>
      </c>
      <c r="AP39" s="110" t="s">
        <v>197</v>
      </c>
      <c r="AQ39" s="110" t="s">
        <v>197</v>
      </c>
      <c r="AR39" s="110" t="s">
        <v>197</v>
      </c>
    </row>
    <row r="40" spans="1:44" ht="15" customHeight="1">
      <c r="B40" s="111" t="s">
        <v>189</v>
      </c>
      <c r="F40" s="112" t="str">
        <f t="shared" ref="F40:AR40" si="4">Timeperiod</f>
        <v>Y1M1</v>
      </c>
      <c r="G40" s="112" t="str">
        <f t="shared" si="4"/>
        <v>Y1M2</v>
      </c>
      <c r="H40" s="112" t="str">
        <f t="shared" si="4"/>
        <v>Y1M3</v>
      </c>
      <c r="I40" s="112" t="str">
        <f t="shared" si="4"/>
        <v>Y1M4</v>
      </c>
      <c r="J40" s="112" t="str">
        <f t="shared" si="4"/>
        <v>Y1M5</v>
      </c>
      <c r="K40" s="112" t="str">
        <f t="shared" si="4"/>
        <v>Y1M6</v>
      </c>
      <c r="L40" s="112" t="str">
        <f t="shared" si="4"/>
        <v>Y1M7</v>
      </c>
      <c r="M40" s="112" t="str">
        <f t="shared" si="4"/>
        <v>Y1M8</v>
      </c>
      <c r="N40" s="112" t="str">
        <f t="shared" si="4"/>
        <v>Y1M9</v>
      </c>
      <c r="O40" s="112" t="str">
        <f t="shared" si="4"/>
        <v>Y1M10</v>
      </c>
      <c r="P40" s="112" t="str">
        <f t="shared" si="4"/>
        <v>Y1M11</v>
      </c>
      <c r="Q40" s="112" t="str">
        <f t="shared" si="4"/>
        <v>Y1M12</v>
      </c>
      <c r="R40" s="112" t="str">
        <f t="shared" si="4"/>
        <v>Y2M1</v>
      </c>
      <c r="S40" s="112" t="str">
        <f t="shared" si="4"/>
        <v>Y2M2</v>
      </c>
      <c r="T40" s="112" t="str">
        <f t="shared" si="4"/>
        <v>Y2M3</v>
      </c>
      <c r="U40" s="112" t="str">
        <f t="shared" si="4"/>
        <v>Y2M4</v>
      </c>
      <c r="V40" s="112" t="str">
        <f t="shared" si="4"/>
        <v>Y2M5</v>
      </c>
      <c r="W40" s="112" t="str">
        <f t="shared" si="4"/>
        <v>Y2M6</v>
      </c>
      <c r="X40" s="112" t="str">
        <f t="shared" si="4"/>
        <v>Y2M7</v>
      </c>
      <c r="Y40" s="112" t="str">
        <f t="shared" si="4"/>
        <v>Y2M8</v>
      </c>
      <c r="Z40" s="112" t="str">
        <f t="shared" si="4"/>
        <v>Y2M9</v>
      </c>
      <c r="AA40" s="112" t="str">
        <f t="shared" si="4"/>
        <v>Y2M10</v>
      </c>
      <c r="AB40" s="112" t="str">
        <f t="shared" si="4"/>
        <v>Y2M11</v>
      </c>
      <c r="AC40" s="112" t="str">
        <f t="shared" si="4"/>
        <v>Y2M12</v>
      </c>
      <c r="AD40" s="112" t="str">
        <f t="shared" si="4"/>
        <v>Y3M1</v>
      </c>
      <c r="AE40" s="112" t="str">
        <f t="shared" si="4"/>
        <v>Y3M2</v>
      </c>
      <c r="AF40" s="112" t="str">
        <f t="shared" si="4"/>
        <v>Y3M3</v>
      </c>
      <c r="AG40" s="112" t="str">
        <f t="shared" si="4"/>
        <v>Y3M4</v>
      </c>
      <c r="AH40" s="112" t="str">
        <f t="shared" si="4"/>
        <v>Y3M5</v>
      </c>
      <c r="AI40" s="112" t="str">
        <f t="shared" si="4"/>
        <v>Y3M6</v>
      </c>
      <c r="AJ40" s="112" t="str">
        <f t="shared" si="4"/>
        <v>Y3M7</v>
      </c>
      <c r="AK40" s="112" t="str">
        <f t="shared" si="4"/>
        <v>Y3M8</v>
      </c>
      <c r="AL40" s="112" t="str">
        <f t="shared" si="4"/>
        <v>Y3M9</v>
      </c>
      <c r="AM40" s="112" t="str">
        <f t="shared" si="4"/>
        <v>Y3M10</v>
      </c>
      <c r="AN40" s="112" t="str">
        <f t="shared" si="4"/>
        <v>Y3M11</v>
      </c>
      <c r="AO40" s="112" t="str">
        <f t="shared" si="4"/>
        <v>Y3M12</v>
      </c>
      <c r="AP40" s="112" t="str">
        <f t="shared" si="4"/>
        <v>Y4M1</v>
      </c>
      <c r="AQ40" s="112" t="str">
        <f t="shared" si="4"/>
        <v>Y4M2</v>
      </c>
      <c r="AR40" s="112" t="str">
        <f t="shared" si="4"/>
        <v>Y4M3</v>
      </c>
    </row>
    <row r="41" spans="1:44" ht="15" customHeight="1">
      <c r="A41" s="113"/>
      <c r="B41" s="123" t="str">
        <f>IF(ISBLANK($B$10),"",$B$10)</f>
        <v/>
      </c>
      <c r="F41" s="115"/>
      <c r="G41" s="115"/>
      <c r="H41" s="115"/>
      <c r="I41" s="115"/>
      <c r="J41" s="115"/>
      <c r="K41" s="115"/>
      <c r="L41" s="115"/>
      <c r="M41" s="115"/>
      <c r="N41" s="115"/>
      <c r="O41" s="115"/>
      <c r="P41" s="115"/>
      <c r="Q41" s="115"/>
      <c r="R41" s="115"/>
      <c r="S41" s="115"/>
      <c r="T41" s="115"/>
      <c r="U41" s="115"/>
      <c r="V41" s="115"/>
      <c r="W41" s="115"/>
      <c r="X41" s="115"/>
      <c r="Y41" s="115"/>
      <c r="Z41" s="115"/>
      <c r="AA41" s="115"/>
      <c r="AB41" s="115"/>
      <c r="AC41" s="115"/>
      <c r="AD41" s="115"/>
      <c r="AE41" s="115"/>
      <c r="AF41" s="115"/>
      <c r="AG41" s="115"/>
      <c r="AH41" s="115"/>
      <c r="AI41" s="115"/>
      <c r="AJ41" s="115"/>
      <c r="AK41" s="115"/>
      <c r="AL41" s="115"/>
      <c r="AM41" s="115"/>
      <c r="AN41" s="115"/>
      <c r="AO41" s="115"/>
      <c r="AP41" s="115"/>
      <c r="AQ41" s="115"/>
      <c r="AR41" s="115"/>
    </row>
    <row r="42" spans="1:44" ht="15" customHeight="1">
      <c r="A42" s="113"/>
      <c r="B42" s="123" t="str">
        <f>IF(ISBLANK($B$11),"",$B$11)</f>
        <v/>
      </c>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5"/>
      <c r="AO42" s="115"/>
      <c r="AP42" s="115"/>
      <c r="AQ42" s="115"/>
      <c r="AR42" s="115"/>
    </row>
    <row r="43" spans="1:44" ht="15" customHeight="1">
      <c r="A43" s="113"/>
      <c r="B43" s="123" t="str">
        <f>IF(ISBLANK($B$12),"",$B$12)</f>
        <v/>
      </c>
      <c r="F43" s="115"/>
      <c r="G43" s="115"/>
      <c r="H43" s="115"/>
      <c r="I43" s="115"/>
      <c r="J43" s="115"/>
      <c r="K43" s="115"/>
      <c r="L43" s="115"/>
      <c r="M43" s="115"/>
      <c r="N43" s="115"/>
      <c r="O43" s="115"/>
      <c r="P43" s="115"/>
      <c r="Q43" s="115"/>
      <c r="R43" s="115"/>
      <c r="S43" s="115"/>
      <c r="T43" s="115"/>
      <c r="U43" s="115"/>
      <c r="V43" s="115"/>
      <c r="W43" s="115"/>
      <c r="X43" s="115"/>
      <c r="Y43" s="115"/>
      <c r="Z43" s="115"/>
      <c r="AA43" s="115"/>
      <c r="AB43" s="115"/>
      <c r="AC43" s="115"/>
      <c r="AD43" s="115"/>
      <c r="AE43" s="115"/>
      <c r="AF43" s="115"/>
      <c r="AG43" s="115"/>
      <c r="AH43" s="115"/>
      <c r="AI43" s="115"/>
      <c r="AJ43" s="115"/>
      <c r="AK43" s="115"/>
      <c r="AL43" s="115"/>
      <c r="AM43" s="115"/>
      <c r="AN43" s="115"/>
      <c r="AO43" s="115"/>
      <c r="AP43" s="115"/>
      <c r="AQ43" s="115"/>
      <c r="AR43" s="115"/>
    </row>
    <row r="44" spans="1:44" ht="15" customHeight="1"/>
    <row r="45" spans="1:44" ht="15" customHeight="1">
      <c r="B45" s="111" t="s">
        <v>198</v>
      </c>
      <c r="F45" s="110" t="s">
        <v>197</v>
      </c>
      <c r="G45" s="110" t="s">
        <v>197</v>
      </c>
      <c r="H45" s="110" t="s">
        <v>197</v>
      </c>
      <c r="I45" s="110" t="s">
        <v>197</v>
      </c>
      <c r="J45" s="110" t="s">
        <v>197</v>
      </c>
      <c r="K45" s="110" t="s">
        <v>197</v>
      </c>
      <c r="L45" s="110" t="s">
        <v>197</v>
      </c>
      <c r="M45" s="110" t="s">
        <v>197</v>
      </c>
      <c r="N45" s="110" t="s">
        <v>197</v>
      </c>
      <c r="O45" s="110" t="s">
        <v>197</v>
      </c>
      <c r="P45" s="110" t="s">
        <v>197</v>
      </c>
      <c r="Q45" s="110" t="s">
        <v>197</v>
      </c>
      <c r="R45" s="110" t="s">
        <v>197</v>
      </c>
      <c r="S45" s="110" t="s">
        <v>197</v>
      </c>
      <c r="T45" s="110" t="s">
        <v>197</v>
      </c>
      <c r="U45" s="110" t="s">
        <v>197</v>
      </c>
      <c r="V45" s="110" t="s">
        <v>197</v>
      </c>
      <c r="W45" s="110" t="s">
        <v>197</v>
      </c>
      <c r="X45" s="110" t="s">
        <v>197</v>
      </c>
      <c r="Y45" s="110" t="s">
        <v>197</v>
      </c>
      <c r="Z45" s="110" t="s">
        <v>197</v>
      </c>
      <c r="AA45" s="110" t="s">
        <v>197</v>
      </c>
      <c r="AB45" s="110" t="s">
        <v>197</v>
      </c>
      <c r="AC45" s="110" t="s">
        <v>197</v>
      </c>
      <c r="AD45" s="110" t="s">
        <v>197</v>
      </c>
      <c r="AE45" s="110" t="s">
        <v>197</v>
      </c>
      <c r="AF45" s="110" t="s">
        <v>197</v>
      </c>
      <c r="AG45" s="110" t="s">
        <v>197</v>
      </c>
      <c r="AH45" s="110" t="s">
        <v>197</v>
      </c>
      <c r="AI45" s="110" t="s">
        <v>197</v>
      </c>
      <c r="AJ45" s="110" t="s">
        <v>197</v>
      </c>
      <c r="AK45" s="110" t="s">
        <v>197</v>
      </c>
      <c r="AL45" s="110" t="s">
        <v>197</v>
      </c>
      <c r="AM45" s="110" t="s">
        <v>197</v>
      </c>
      <c r="AN45" s="110" t="s">
        <v>197</v>
      </c>
      <c r="AO45" s="110" t="s">
        <v>197</v>
      </c>
      <c r="AP45" s="110" t="s">
        <v>197</v>
      </c>
      <c r="AQ45" s="110" t="s">
        <v>197</v>
      </c>
      <c r="AR45" s="110" t="s">
        <v>197</v>
      </c>
    </row>
    <row r="46" spans="1:44" ht="15" customHeight="1">
      <c r="B46" s="111" t="s">
        <v>189</v>
      </c>
      <c r="F46" s="112" t="str">
        <f t="shared" ref="F46:AR46" si="5">Timeperiod</f>
        <v>Y1M1</v>
      </c>
      <c r="G46" s="112" t="str">
        <f t="shared" si="5"/>
        <v>Y1M2</v>
      </c>
      <c r="H46" s="112" t="str">
        <f t="shared" si="5"/>
        <v>Y1M3</v>
      </c>
      <c r="I46" s="112" t="str">
        <f t="shared" si="5"/>
        <v>Y1M4</v>
      </c>
      <c r="J46" s="112" t="str">
        <f t="shared" si="5"/>
        <v>Y1M5</v>
      </c>
      <c r="K46" s="112" t="str">
        <f t="shared" si="5"/>
        <v>Y1M6</v>
      </c>
      <c r="L46" s="112" t="str">
        <f t="shared" si="5"/>
        <v>Y1M7</v>
      </c>
      <c r="M46" s="112" t="str">
        <f t="shared" si="5"/>
        <v>Y1M8</v>
      </c>
      <c r="N46" s="112" t="str">
        <f t="shared" si="5"/>
        <v>Y1M9</v>
      </c>
      <c r="O46" s="112" t="str">
        <f t="shared" si="5"/>
        <v>Y1M10</v>
      </c>
      <c r="P46" s="112" t="str">
        <f t="shared" si="5"/>
        <v>Y1M11</v>
      </c>
      <c r="Q46" s="112" t="str">
        <f t="shared" si="5"/>
        <v>Y1M12</v>
      </c>
      <c r="R46" s="112" t="str">
        <f t="shared" si="5"/>
        <v>Y2M1</v>
      </c>
      <c r="S46" s="112" t="str">
        <f t="shared" si="5"/>
        <v>Y2M2</v>
      </c>
      <c r="T46" s="112" t="str">
        <f t="shared" si="5"/>
        <v>Y2M3</v>
      </c>
      <c r="U46" s="112" t="str">
        <f t="shared" si="5"/>
        <v>Y2M4</v>
      </c>
      <c r="V46" s="112" t="str">
        <f t="shared" si="5"/>
        <v>Y2M5</v>
      </c>
      <c r="W46" s="112" t="str">
        <f t="shared" si="5"/>
        <v>Y2M6</v>
      </c>
      <c r="X46" s="112" t="str">
        <f t="shared" si="5"/>
        <v>Y2M7</v>
      </c>
      <c r="Y46" s="112" t="str">
        <f t="shared" si="5"/>
        <v>Y2M8</v>
      </c>
      <c r="Z46" s="112" t="str">
        <f t="shared" si="5"/>
        <v>Y2M9</v>
      </c>
      <c r="AA46" s="112" t="str">
        <f t="shared" si="5"/>
        <v>Y2M10</v>
      </c>
      <c r="AB46" s="112" t="str">
        <f t="shared" si="5"/>
        <v>Y2M11</v>
      </c>
      <c r="AC46" s="112" t="str">
        <f t="shared" si="5"/>
        <v>Y2M12</v>
      </c>
      <c r="AD46" s="112" t="str">
        <f t="shared" si="5"/>
        <v>Y3M1</v>
      </c>
      <c r="AE46" s="112" t="str">
        <f t="shared" si="5"/>
        <v>Y3M2</v>
      </c>
      <c r="AF46" s="112" t="str">
        <f t="shared" si="5"/>
        <v>Y3M3</v>
      </c>
      <c r="AG46" s="112" t="str">
        <f t="shared" si="5"/>
        <v>Y3M4</v>
      </c>
      <c r="AH46" s="112" t="str">
        <f t="shared" si="5"/>
        <v>Y3M5</v>
      </c>
      <c r="AI46" s="112" t="str">
        <f t="shared" si="5"/>
        <v>Y3M6</v>
      </c>
      <c r="AJ46" s="112" t="str">
        <f t="shared" si="5"/>
        <v>Y3M7</v>
      </c>
      <c r="AK46" s="112" t="str">
        <f t="shared" si="5"/>
        <v>Y3M8</v>
      </c>
      <c r="AL46" s="112" t="str">
        <f t="shared" si="5"/>
        <v>Y3M9</v>
      </c>
      <c r="AM46" s="112" t="str">
        <f t="shared" si="5"/>
        <v>Y3M10</v>
      </c>
      <c r="AN46" s="112" t="str">
        <f t="shared" si="5"/>
        <v>Y3M11</v>
      </c>
      <c r="AO46" s="112" t="str">
        <f t="shared" si="5"/>
        <v>Y3M12</v>
      </c>
      <c r="AP46" s="112" t="str">
        <f t="shared" si="5"/>
        <v>Y4M1</v>
      </c>
      <c r="AQ46" s="112" t="str">
        <f t="shared" si="5"/>
        <v>Y4M2</v>
      </c>
      <c r="AR46" s="112" t="str">
        <f t="shared" si="5"/>
        <v>Y4M3</v>
      </c>
    </row>
    <row r="47" spans="1:44" ht="15" customHeight="1">
      <c r="A47" s="113"/>
      <c r="B47" s="123" t="str">
        <f>IF(ISBLANK($B$10),"",$B$10)</f>
        <v/>
      </c>
      <c r="F47" s="115"/>
      <c r="G47" s="115"/>
      <c r="H47" s="115"/>
      <c r="I47" s="115"/>
      <c r="J47" s="115"/>
      <c r="K47" s="115"/>
      <c r="L47" s="115"/>
      <c r="M47" s="115"/>
      <c r="N47" s="115"/>
      <c r="O47" s="115"/>
      <c r="P47" s="115"/>
      <c r="Q47" s="115"/>
      <c r="R47" s="115"/>
      <c r="S47" s="115"/>
      <c r="T47" s="115"/>
      <c r="U47" s="115"/>
      <c r="V47" s="115"/>
      <c r="W47" s="115"/>
      <c r="X47" s="115"/>
      <c r="Y47" s="115"/>
      <c r="Z47" s="115"/>
      <c r="AA47" s="115"/>
      <c r="AB47" s="115"/>
      <c r="AC47" s="115"/>
      <c r="AD47" s="115"/>
      <c r="AE47" s="115"/>
      <c r="AF47" s="115"/>
      <c r="AG47" s="115"/>
      <c r="AH47" s="115"/>
      <c r="AI47" s="115"/>
      <c r="AJ47" s="115"/>
      <c r="AK47" s="115"/>
      <c r="AL47" s="115"/>
      <c r="AM47" s="115"/>
      <c r="AN47" s="115"/>
      <c r="AO47" s="115"/>
      <c r="AP47" s="115"/>
      <c r="AQ47" s="115"/>
      <c r="AR47" s="115"/>
    </row>
    <row r="48" spans="1:44" ht="15" customHeight="1">
      <c r="A48" s="113"/>
      <c r="B48" s="123" t="str">
        <f>IF(ISBLANK($B$11),"",$B$11)</f>
        <v/>
      </c>
      <c r="F48" s="115"/>
      <c r="G48" s="115"/>
      <c r="H48" s="115"/>
      <c r="I48" s="115"/>
      <c r="J48" s="115"/>
      <c r="K48" s="115"/>
      <c r="L48" s="115"/>
      <c r="M48" s="115"/>
      <c r="N48" s="115"/>
      <c r="O48" s="115"/>
      <c r="P48" s="115"/>
      <c r="Q48" s="115"/>
      <c r="R48" s="115"/>
      <c r="S48" s="115"/>
      <c r="T48" s="115"/>
      <c r="U48" s="115"/>
      <c r="V48" s="115"/>
      <c r="W48" s="115"/>
      <c r="X48" s="115"/>
      <c r="Y48" s="115"/>
      <c r="Z48" s="115"/>
      <c r="AA48" s="115"/>
      <c r="AB48" s="115"/>
      <c r="AC48" s="115"/>
      <c r="AD48" s="115"/>
      <c r="AE48" s="115"/>
      <c r="AF48" s="115"/>
      <c r="AG48" s="115"/>
      <c r="AH48" s="115"/>
      <c r="AI48" s="115"/>
      <c r="AJ48" s="115"/>
      <c r="AK48" s="115"/>
      <c r="AL48" s="115"/>
      <c r="AM48" s="115"/>
      <c r="AN48" s="115"/>
      <c r="AO48" s="115"/>
      <c r="AP48" s="115"/>
      <c r="AQ48" s="115"/>
      <c r="AR48" s="115"/>
    </row>
    <row r="49" spans="1:45" ht="15" customHeight="1">
      <c r="A49" s="113"/>
      <c r="B49" s="123" t="str">
        <f>IF(ISBLANK($B$12),"",$B$12)</f>
        <v/>
      </c>
      <c r="F49" s="115"/>
      <c r="G49" s="115"/>
      <c r="H49" s="115"/>
      <c r="I49" s="115"/>
      <c r="J49" s="115"/>
      <c r="K49" s="115"/>
      <c r="L49" s="115"/>
      <c r="M49" s="115"/>
      <c r="N49" s="115"/>
      <c r="O49" s="115"/>
      <c r="P49" s="115"/>
      <c r="Q49" s="115"/>
      <c r="R49" s="115"/>
      <c r="S49" s="115"/>
      <c r="T49" s="115"/>
      <c r="U49" s="115"/>
      <c r="V49" s="115"/>
      <c r="W49" s="115"/>
      <c r="X49" s="115"/>
      <c r="Y49" s="115"/>
      <c r="Z49" s="115"/>
      <c r="AA49" s="115"/>
      <c r="AB49" s="115"/>
      <c r="AC49" s="115"/>
      <c r="AD49" s="115"/>
      <c r="AE49" s="115"/>
      <c r="AF49" s="115"/>
      <c r="AG49" s="115"/>
      <c r="AH49" s="115"/>
      <c r="AI49" s="115"/>
      <c r="AJ49" s="115"/>
      <c r="AK49" s="115"/>
      <c r="AL49" s="115"/>
      <c r="AM49" s="115"/>
      <c r="AN49" s="115"/>
      <c r="AO49" s="115"/>
      <c r="AP49" s="115"/>
      <c r="AQ49" s="115"/>
      <c r="AR49" s="115"/>
    </row>
    <row r="50" spans="1:45" ht="15" customHeight="1"/>
    <row r="51" spans="1:45" ht="15" customHeight="1"/>
    <row r="52" spans="1:45" ht="15" customHeight="1">
      <c r="A52" s="116"/>
      <c r="B52" s="116" t="s">
        <v>199</v>
      </c>
      <c r="C52" s="116"/>
      <c r="D52" s="116"/>
      <c r="E52" s="116"/>
      <c r="F52" s="116"/>
      <c r="G52" s="116"/>
      <c r="H52" s="116"/>
      <c r="I52" s="116"/>
      <c r="J52" s="116"/>
      <c r="K52" s="116"/>
      <c r="L52" s="116"/>
      <c r="M52" s="116"/>
      <c r="N52" s="116"/>
      <c r="O52" s="116"/>
      <c r="P52" s="116"/>
      <c r="Q52" s="116"/>
      <c r="R52" s="116"/>
      <c r="S52" s="116"/>
      <c r="T52" s="116"/>
      <c r="U52" s="116"/>
      <c r="V52" s="116"/>
      <c r="W52" s="116"/>
      <c r="X52" s="116"/>
      <c r="Y52" s="116"/>
      <c r="Z52" s="116"/>
      <c r="AA52" s="116"/>
      <c r="AB52" s="116"/>
      <c r="AC52" s="116"/>
      <c r="AD52" s="116"/>
      <c r="AE52" s="116"/>
      <c r="AF52" s="116"/>
      <c r="AG52" s="116"/>
      <c r="AH52" s="116"/>
      <c r="AI52" s="116"/>
      <c r="AJ52" s="116"/>
      <c r="AK52" s="116"/>
      <c r="AL52" s="116"/>
      <c r="AM52" s="116"/>
      <c r="AN52" s="116"/>
      <c r="AO52" s="116"/>
      <c r="AP52" s="116"/>
      <c r="AQ52" s="116"/>
      <c r="AR52" s="116"/>
      <c r="AS52" s="116"/>
    </row>
    <row r="53" spans="1:45" ht="15" customHeight="1">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c r="AA53" s="126"/>
      <c r="AB53" s="126"/>
      <c r="AC53" s="126"/>
      <c r="AD53" s="126"/>
      <c r="AE53" s="126"/>
      <c r="AF53" s="126"/>
      <c r="AG53" s="126"/>
      <c r="AH53" s="126"/>
      <c r="AI53" s="126"/>
      <c r="AJ53" s="126"/>
      <c r="AK53" s="126"/>
      <c r="AL53" s="126"/>
      <c r="AM53" s="126"/>
      <c r="AN53" s="126"/>
      <c r="AO53" s="126"/>
      <c r="AP53" s="126"/>
      <c r="AQ53" s="126"/>
      <c r="AR53" s="126"/>
      <c r="AS53" s="126"/>
    </row>
    <row r="54" spans="1:45" ht="15" customHeight="1">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7"/>
      <c r="AQ54" s="127"/>
      <c r="AR54" s="127"/>
      <c r="AS54" s="128"/>
    </row>
    <row r="55" spans="1:45" ht="15" customHeight="1">
      <c r="B55" s="121" t="s">
        <v>200</v>
      </c>
      <c r="F55" s="110" t="s">
        <v>197</v>
      </c>
      <c r="G55" s="110" t="s">
        <v>197</v>
      </c>
      <c r="H55" s="110" t="s">
        <v>197</v>
      </c>
      <c r="I55" s="110" t="s">
        <v>197</v>
      </c>
      <c r="J55" s="110" t="s">
        <v>197</v>
      </c>
      <c r="K55" s="110" t="s">
        <v>197</v>
      </c>
      <c r="L55" s="110" t="s">
        <v>197</v>
      </c>
      <c r="M55" s="110" t="s">
        <v>197</v>
      </c>
      <c r="N55" s="110" t="s">
        <v>197</v>
      </c>
      <c r="O55" s="110" t="s">
        <v>197</v>
      </c>
      <c r="P55" s="110" t="s">
        <v>197</v>
      </c>
      <c r="Q55" s="110" t="s">
        <v>197</v>
      </c>
      <c r="R55" s="110" t="s">
        <v>197</v>
      </c>
      <c r="S55" s="110" t="s">
        <v>197</v>
      </c>
      <c r="T55" s="110" t="s">
        <v>197</v>
      </c>
      <c r="U55" s="110" t="s">
        <v>197</v>
      </c>
      <c r="V55" s="110" t="s">
        <v>197</v>
      </c>
      <c r="W55" s="110" t="s">
        <v>197</v>
      </c>
      <c r="X55" s="110" t="s">
        <v>197</v>
      </c>
      <c r="Y55" s="110" t="s">
        <v>197</v>
      </c>
      <c r="Z55" s="110" t="s">
        <v>197</v>
      </c>
      <c r="AA55" s="110" t="s">
        <v>197</v>
      </c>
      <c r="AB55" s="110" t="s">
        <v>197</v>
      </c>
      <c r="AC55" s="110" t="s">
        <v>197</v>
      </c>
      <c r="AD55" s="110" t="s">
        <v>197</v>
      </c>
      <c r="AE55" s="110" t="s">
        <v>197</v>
      </c>
      <c r="AF55" s="110" t="s">
        <v>197</v>
      </c>
      <c r="AG55" s="110" t="s">
        <v>197</v>
      </c>
      <c r="AH55" s="110" t="s">
        <v>197</v>
      </c>
      <c r="AI55" s="110" t="s">
        <v>197</v>
      </c>
      <c r="AJ55" s="110" t="s">
        <v>197</v>
      </c>
      <c r="AK55" s="110" t="s">
        <v>197</v>
      </c>
      <c r="AL55" s="110" t="s">
        <v>197</v>
      </c>
      <c r="AM55" s="110" t="s">
        <v>197</v>
      </c>
      <c r="AN55" s="110" t="s">
        <v>197</v>
      </c>
      <c r="AO55" s="110" t="s">
        <v>197</v>
      </c>
      <c r="AP55" s="110" t="s">
        <v>197</v>
      </c>
      <c r="AQ55" s="110" t="s">
        <v>197</v>
      </c>
      <c r="AR55" s="110" t="s">
        <v>197</v>
      </c>
      <c r="AS55" s="129"/>
    </row>
    <row r="56" spans="1:45" ht="15" customHeight="1">
      <c r="B56" s="111" t="s">
        <v>189</v>
      </c>
      <c r="C56" s="111" t="s">
        <v>136</v>
      </c>
      <c r="F56" s="112" t="str">
        <f t="shared" ref="F56:AR56" si="6">Timeperiod</f>
        <v>Y1M1</v>
      </c>
      <c r="G56" s="112" t="str">
        <f t="shared" si="6"/>
        <v>Y1M2</v>
      </c>
      <c r="H56" s="112" t="str">
        <f t="shared" si="6"/>
        <v>Y1M3</v>
      </c>
      <c r="I56" s="112" t="str">
        <f t="shared" si="6"/>
        <v>Y1M4</v>
      </c>
      <c r="J56" s="112" t="str">
        <f t="shared" si="6"/>
        <v>Y1M5</v>
      </c>
      <c r="K56" s="112" t="str">
        <f t="shared" si="6"/>
        <v>Y1M6</v>
      </c>
      <c r="L56" s="112" t="str">
        <f t="shared" si="6"/>
        <v>Y1M7</v>
      </c>
      <c r="M56" s="112" t="str">
        <f t="shared" si="6"/>
        <v>Y1M8</v>
      </c>
      <c r="N56" s="112" t="str">
        <f t="shared" si="6"/>
        <v>Y1M9</v>
      </c>
      <c r="O56" s="112" t="str">
        <f t="shared" si="6"/>
        <v>Y1M10</v>
      </c>
      <c r="P56" s="112" t="str">
        <f t="shared" si="6"/>
        <v>Y1M11</v>
      </c>
      <c r="Q56" s="112" t="str">
        <f t="shared" si="6"/>
        <v>Y1M12</v>
      </c>
      <c r="R56" s="112" t="str">
        <f t="shared" si="6"/>
        <v>Y2M1</v>
      </c>
      <c r="S56" s="112" t="str">
        <f t="shared" si="6"/>
        <v>Y2M2</v>
      </c>
      <c r="T56" s="112" t="str">
        <f t="shared" si="6"/>
        <v>Y2M3</v>
      </c>
      <c r="U56" s="112" t="str">
        <f t="shared" si="6"/>
        <v>Y2M4</v>
      </c>
      <c r="V56" s="112" t="str">
        <f t="shared" si="6"/>
        <v>Y2M5</v>
      </c>
      <c r="W56" s="112" t="str">
        <f t="shared" si="6"/>
        <v>Y2M6</v>
      </c>
      <c r="X56" s="112" t="str">
        <f t="shared" si="6"/>
        <v>Y2M7</v>
      </c>
      <c r="Y56" s="112" t="str">
        <f t="shared" si="6"/>
        <v>Y2M8</v>
      </c>
      <c r="Z56" s="112" t="str">
        <f t="shared" si="6"/>
        <v>Y2M9</v>
      </c>
      <c r="AA56" s="112" t="str">
        <f t="shared" si="6"/>
        <v>Y2M10</v>
      </c>
      <c r="AB56" s="112" t="str">
        <f t="shared" si="6"/>
        <v>Y2M11</v>
      </c>
      <c r="AC56" s="112" t="str">
        <f t="shared" si="6"/>
        <v>Y2M12</v>
      </c>
      <c r="AD56" s="112" t="str">
        <f t="shared" si="6"/>
        <v>Y3M1</v>
      </c>
      <c r="AE56" s="112" t="str">
        <f t="shared" si="6"/>
        <v>Y3M2</v>
      </c>
      <c r="AF56" s="112" t="str">
        <f t="shared" si="6"/>
        <v>Y3M3</v>
      </c>
      <c r="AG56" s="112" t="str">
        <f t="shared" si="6"/>
        <v>Y3M4</v>
      </c>
      <c r="AH56" s="112" t="str">
        <f t="shared" si="6"/>
        <v>Y3M5</v>
      </c>
      <c r="AI56" s="112" t="str">
        <f t="shared" si="6"/>
        <v>Y3M6</v>
      </c>
      <c r="AJ56" s="112" t="str">
        <f t="shared" si="6"/>
        <v>Y3M7</v>
      </c>
      <c r="AK56" s="112" t="str">
        <f t="shared" si="6"/>
        <v>Y3M8</v>
      </c>
      <c r="AL56" s="112" t="str">
        <f t="shared" si="6"/>
        <v>Y3M9</v>
      </c>
      <c r="AM56" s="112" t="str">
        <f t="shared" si="6"/>
        <v>Y3M10</v>
      </c>
      <c r="AN56" s="112" t="str">
        <f t="shared" si="6"/>
        <v>Y3M11</v>
      </c>
      <c r="AO56" s="112" t="str">
        <f t="shared" si="6"/>
        <v>Y3M12</v>
      </c>
      <c r="AP56" s="112" t="str">
        <f t="shared" si="6"/>
        <v>Y4M1</v>
      </c>
      <c r="AQ56" s="112" t="str">
        <f t="shared" si="6"/>
        <v>Y4M2</v>
      </c>
      <c r="AR56" s="112" t="str">
        <f t="shared" si="6"/>
        <v>Y4M3</v>
      </c>
      <c r="AS56" s="129"/>
    </row>
    <row r="57" spans="1:45" ht="15" customHeight="1">
      <c r="A57" s="122"/>
      <c r="B57" s="123" t="str">
        <f>IF(ISBLANK($B$10),"",$B$10)</f>
        <v/>
      </c>
      <c r="C57" s="124">
        <v>1</v>
      </c>
      <c r="F57" s="115"/>
      <c r="G57" s="115"/>
      <c r="H57" s="115"/>
      <c r="I57" s="115"/>
      <c r="J57" s="115"/>
      <c r="K57" s="115"/>
      <c r="L57" s="115"/>
      <c r="M57" s="115"/>
      <c r="N57" s="115"/>
      <c r="O57" s="115"/>
      <c r="P57" s="115"/>
      <c r="Q57" s="115"/>
      <c r="R57" s="115"/>
      <c r="S57" s="115"/>
      <c r="T57" s="115"/>
      <c r="U57" s="115"/>
      <c r="V57" s="115"/>
      <c r="W57" s="115"/>
      <c r="X57" s="115"/>
      <c r="Y57" s="115"/>
      <c r="Z57" s="115"/>
      <c r="AA57" s="115"/>
      <c r="AB57" s="115"/>
      <c r="AC57" s="115"/>
      <c r="AD57" s="115"/>
      <c r="AE57" s="115"/>
      <c r="AF57" s="115"/>
      <c r="AG57" s="115"/>
      <c r="AH57" s="115"/>
      <c r="AI57" s="115"/>
      <c r="AJ57" s="115"/>
      <c r="AK57" s="115"/>
      <c r="AL57" s="115"/>
      <c r="AM57" s="115"/>
      <c r="AN57" s="115"/>
      <c r="AO57" s="115"/>
      <c r="AP57" s="115"/>
      <c r="AQ57" s="115"/>
      <c r="AR57" s="115"/>
      <c r="AS57" s="129"/>
    </row>
    <row r="58" spans="1:45" ht="15" customHeight="1">
      <c r="A58" s="113"/>
      <c r="B58" s="123" t="str">
        <f>IF(ISBLANK($B$11),"",$B$11)</f>
        <v/>
      </c>
      <c r="C58" s="125">
        <v>1</v>
      </c>
      <c r="F58" s="115"/>
      <c r="G58" s="115"/>
      <c r="H58" s="115"/>
      <c r="I58" s="115"/>
      <c r="J58" s="115"/>
      <c r="K58" s="115"/>
      <c r="L58" s="115"/>
      <c r="M58" s="115"/>
      <c r="N58" s="115"/>
      <c r="O58" s="115"/>
      <c r="P58" s="115"/>
      <c r="Q58" s="115"/>
      <c r="R58" s="115"/>
      <c r="S58" s="115"/>
      <c r="T58" s="115"/>
      <c r="U58" s="115"/>
      <c r="V58" s="115"/>
      <c r="W58" s="115"/>
      <c r="X58" s="115"/>
      <c r="Y58" s="115"/>
      <c r="Z58" s="115"/>
      <c r="AA58" s="115"/>
      <c r="AB58" s="115"/>
      <c r="AC58" s="115"/>
      <c r="AD58" s="115"/>
      <c r="AE58" s="115"/>
      <c r="AF58" s="115"/>
      <c r="AG58" s="115"/>
      <c r="AH58" s="115"/>
      <c r="AI58" s="115"/>
      <c r="AJ58" s="115"/>
      <c r="AK58" s="115"/>
      <c r="AL58" s="115"/>
      <c r="AM58" s="115"/>
      <c r="AN58" s="115"/>
      <c r="AO58" s="115"/>
      <c r="AP58" s="115"/>
      <c r="AQ58" s="115"/>
      <c r="AR58" s="115"/>
      <c r="AS58" s="129"/>
    </row>
    <row r="59" spans="1:45" ht="15" customHeight="1">
      <c r="A59" s="113"/>
      <c r="B59" s="123" t="str">
        <f>IF(ISBLANK($B$12),"",$B$12)</f>
        <v/>
      </c>
      <c r="C59" s="125">
        <v>1</v>
      </c>
      <c r="F59" s="115"/>
      <c r="G59" s="115"/>
      <c r="H59" s="115"/>
      <c r="I59" s="115"/>
      <c r="J59" s="115"/>
      <c r="K59" s="115"/>
      <c r="L59" s="115"/>
      <c r="M59" s="115"/>
      <c r="N59" s="115"/>
      <c r="O59" s="115"/>
      <c r="P59" s="115"/>
      <c r="Q59" s="115"/>
      <c r="R59" s="115"/>
      <c r="S59" s="115"/>
      <c r="T59" s="115"/>
      <c r="U59" s="115"/>
      <c r="V59" s="115"/>
      <c r="W59" s="115"/>
      <c r="X59" s="115"/>
      <c r="Y59" s="115"/>
      <c r="Z59" s="115"/>
      <c r="AA59" s="115"/>
      <c r="AB59" s="115"/>
      <c r="AC59" s="115"/>
      <c r="AD59" s="115"/>
      <c r="AE59" s="115"/>
      <c r="AF59" s="115"/>
      <c r="AG59" s="115"/>
      <c r="AH59" s="115"/>
      <c r="AI59" s="115"/>
      <c r="AJ59" s="115"/>
      <c r="AK59" s="115"/>
      <c r="AL59" s="115"/>
      <c r="AM59" s="115"/>
      <c r="AN59" s="115"/>
      <c r="AO59" s="115"/>
      <c r="AP59" s="115"/>
      <c r="AQ59" s="115"/>
      <c r="AR59" s="115"/>
      <c r="AS59" s="129"/>
    </row>
    <row r="60" spans="1:45" ht="15" customHeight="1">
      <c r="AS60" s="129"/>
    </row>
    <row r="61" spans="1:45" ht="15" customHeight="1">
      <c r="B61" s="121" t="s">
        <v>201</v>
      </c>
      <c r="F61" s="110" t="s">
        <v>197</v>
      </c>
      <c r="G61" s="110" t="s">
        <v>197</v>
      </c>
      <c r="H61" s="110" t="s">
        <v>197</v>
      </c>
      <c r="I61" s="110" t="s">
        <v>197</v>
      </c>
      <c r="J61" s="110" t="s">
        <v>197</v>
      </c>
      <c r="K61" s="110" t="s">
        <v>197</v>
      </c>
      <c r="L61" s="110" t="s">
        <v>197</v>
      </c>
      <c r="M61" s="110" t="s">
        <v>197</v>
      </c>
      <c r="N61" s="110" t="s">
        <v>197</v>
      </c>
      <c r="O61" s="110" t="s">
        <v>197</v>
      </c>
      <c r="P61" s="110" t="s">
        <v>197</v>
      </c>
      <c r="Q61" s="110" t="s">
        <v>197</v>
      </c>
      <c r="R61" s="110" t="s">
        <v>197</v>
      </c>
      <c r="S61" s="110" t="s">
        <v>197</v>
      </c>
      <c r="T61" s="110" t="s">
        <v>197</v>
      </c>
      <c r="U61" s="110" t="s">
        <v>197</v>
      </c>
      <c r="V61" s="110" t="s">
        <v>197</v>
      </c>
      <c r="W61" s="110" t="s">
        <v>197</v>
      </c>
      <c r="X61" s="110" t="s">
        <v>197</v>
      </c>
      <c r="Y61" s="110" t="s">
        <v>197</v>
      </c>
      <c r="Z61" s="110" t="s">
        <v>197</v>
      </c>
      <c r="AA61" s="110" t="s">
        <v>197</v>
      </c>
      <c r="AB61" s="110" t="s">
        <v>197</v>
      </c>
      <c r="AC61" s="110" t="s">
        <v>197</v>
      </c>
      <c r="AD61" s="110" t="s">
        <v>197</v>
      </c>
      <c r="AE61" s="110" t="s">
        <v>197</v>
      </c>
      <c r="AF61" s="110" t="s">
        <v>197</v>
      </c>
      <c r="AG61" s="110" t="s">
        <v>197</v>
      </c>
      <c r="AH61" s="110" t="s">
        <v>197</v>
      </c>
      <c r="AI61" s="110" t="s">
        <v>197</v>
      </c>
      <c r="AJ61" s="110" t="s">
        <v>197</v>
      </c>
      <c r="AK61" s="110" t="s">
        <v>197</v>
      </c>
      <c r="AL61" s="110" t="s">
        <v>197</v>
      </c>
      <c r="AM61" s="110" t="s">
        <v>197</v>
      </c>
      <c r="AN61" s="110" t="s">
        <v>197</v>
      </c>
      <c r="AO61" s="110" t="s">
        <v>197</v>
      </c>
      <c r="AP61" s="110" t="s">
        <v>197</v>
      </c>
      <c r="AQ61" s="110" t="s">
        <v>197</v>
      </c>
      <c r="AR61" s="110" t="s">
        <v>197</v>
      </c>
      <c r="AS61" s="129"/>
    </row>
    <row r="62" spans="1:45" ht="15" customHeight="1">
      <c r="B62" s="111" t="s">
        <v>189</v>
      </c>
      <c r="C62" s="111" t="s">
        <v>136</v>
      </c>
      <c r="F62" s="112" t="str">
        <f t="shared" ref="F62:AR62" si="7">Timeperiod</f>
        <v>Y1M1</v>
      </c>
      <c r="G62" s="112" t="str">
        <f t="shared" si="7"/>
        <v>Y1M2</v>
      </c>
      <c r="H62" s="112" t="str">
        <f t="shared" si="7"/>
        <v>Y1M3</v>
      </c>
      <c r="I62" s="112" t="str">
        <f t="shared" si="7"/>
        <v>Y1M4</v>
      </c>
      <c r="J62" s="112" t="str">
        <f t="shared" si="7"/>
        <v>Y1M5</v>
      </c>
      <c r="K62" s="112" t="str">
        <f t="shared" si="7"/>
        <v>Y1M6</v>
      </c>
      <c r="L62" s="112" t="str">
        <f t="shared" si="7"/>
        <v>Y1M7</v>
      </c>
      <c r="M62" s="112" t="str">
        <f t="shared" si="7"/>
        <v>Y1M8</v>
      </c>
      <c r="N62" s="112" t="str">
        <f t="shared" si="7"/>
        <v>Y1M9</v>
      </c>
      <c r="O62" s="112" t="str">
        <f t="shared" si="7"/>
        <v>Y1M10</v>
      </c>
      <c r="P62" s="112" t="str">
        <f t="shared" si="7"/>
        <v>Y1M11</v>
      </c>
      <c r="Q62" s="112" t="str">
        <f t="shared" si="7"/>
        <v>Y1M12</v>
      </c>
      <c r="R62" s="112" t="str">
        <f t="shared" si="7"/>
        <v>Y2M1</v>
      </c>
      <c r="S62" s="112" t="str">
        <f t="shared" si="7"/>
        <v>Y2M2</v>
      </c>
      <c r="T62" s="112" t="str">
        <f t="shared" si="7"/>
        <v>Y2M3</v>
      </c>
      <c r="U62" s="112" t="str">
        <f t="shared" si="7"/>
        <v>Y2M4</v>
      </c>
      <c r="V62" s="112" t="str">
        <f t="shared" si="7"/>
        <v>Y2M5</v>
      </c>
      <c r="W62" s="112" t="str">
        <f t="shared" si="7"/>
        <v>Y2M6</v>
      </c>
      <c r="X62" s="112" t="str">
        <f t="shared" si="7"/>
        <v>Y2M7</v>
      </c>
      <c r="Y62" s="112" t="str">
        <f t="shared" si="7"/>
        <v>Y2M8</v>
      </c>
      <c r="Z62" s="112" t="str">
        <f t="shared" si="7"/>
        <v>Y2M9</v>
      </c>
      <c r="AA62" s="112" t="str">
        <f t="shared" si="7"/>
        <v>Y2M10</v>
      </c>
      <c r="AB62" s="112" t="str">
        <f t="shared" si="7"/>
        <v>Y2M11</v>
      </c>
      <c r="AC62" s="112" t="str">
        <f t="shared" si="7"/>
        <v>Y2M12</v>
      </c>
      <c r="AD62" s="112" t="str">
        <f t="shared" si="7"/>
        <v>Y3M1</v>
      </c>
      <c r="AE62" s="112" t="str">
        <f t="shared" si="7"/>
        <v>Y3M2</v>
      </c>
      <c r="AF62" s="112" t="str">
        <f t="shared" si="7"/>
        <v>Y3M3</v>
      </c>
      <c r="AG62" s="112" t="str">
        <f t="shared" si="7"/>
        <v>Y3M4</v>
      </c>
      <c r="AH62" s="112" t="str">
        <f t="shared" si="7"/>
        <v>Y3M5</v>
      </c>
      <c r="AI62" s="112" t="str">
        <f t="shared" si="7"/>
        <v>Y3M6</v>
      </c>
      <c r="AJ62" s="112" t="str">
        <f t="shared" si="7"/>
        <v>Y3M7</v>
      </c>
      <c r="AK62" s="112" t="str">
        <f t="shared" si="7"/>
        <v>Y3M8</v>
      </c>
      <c r="AL62" s="112" t="str">
        <f t="shared" si="7"/>
        <v>Y3M9</v>
      </c>
      <c r="AM62" s="112" t="str">
        <f t="shared" si="7"/>
        <v>Y3M10</v>
      </c>
      <c r="AN62" s="112" t="str">
        <f t="shared" si="7"/>
        <v>Y3M11</v>
      </c>
      <c r="AO62" s="112" t="str">
        <f t="shared" si="7"/>
        <v>Y3M12</v>
      </c>
      <c r="AP62" s="112" t="str">
        <f t="shared" si="7"/>
        <v>Y4M1</v>
      </c>
      <c r="AQ62" s="112" t="str">
        <f t="shared" si="7"/>
        <v>Y4M2</v>
      </c>
      <c r="AR62" s="112" t="str">
        <f t="shared" si="7"/>
        <v>Y4M3</v>
      </c>
      <c r="AS62" s="129"/>
    </row>
    <row r="63" spans="1:45" ht="15" customHeight="1">
      <c r="A63" s="122"/>
      <c r="B63" s="123" t="str">
        <f>IF(ISBLANK($B$10),"",$B$10)</f>
        <v/>
      </c>
      <c r="C63" s="124">
        <v>1</v>
      </c>
      <c r="F63" s="115"/>
      <c r="G63" s="115"/>
      <c r="H63" s="115"/>
      <c r="I63" s="115"/>
      <c r="J63" s="115"/>
      <c r="K63" s="115"/>
      <c r="L63" s="115"/>
      <c r="M63" s="115"/>
      <c r="N63" s="115"/>
      <c r="O63" s="115"/>
      <c r="P63" s="115"/>
      <c r="Q63" s="115"/>
      <c r="R63" s="115"/>
      <c r="S63" s="115"/>
      <c r="T63" s="115"/>
      <c r="U63" s="115"/>
      <c r="V63" s="115"/>
      <c r="W63" s="115"/>
      <c r="X63" s="115"/>
      <c r="Y63" s="115"/>
      <c r="Z63" s="115"/>
      <c r="AA63" s="115"/>
      <c r="AB63" s="115"/>
      <c r="AC63" s="115"/>
      <c r="AD63" s="115"/>
      <c r="AE63" s="115"/>
      <c r="AF63" s="115"/>
      <c r="AG63" s="115"/>
      <c r="AH63" s="115"/>
      <c r="AI63" s="115"/>
      <c r="AJ63" s="115"/>
      <c r="AK63" s="115"/>
      <c r="AL63" s="115"/>
      <c r="AM63" s="115"/>
      <c r="AN63" s="115"/>
      <c r="AO63" s="115"/>
      <c r="AP63" s="115"/>
      <c r="AQ63" s="115"/>
      <c r="AR63" s="115"/>
      <c r="AS63" s="129"/>
    </row>
    <row r="64" spans="1:45" ht="15" customHeight="1">
      <c r="A64" s="113"/>
      <c r="B64" s="123" t="str">
        <f>IF(ISBLANK($B$11),"",$B$11)</f>
        <v/>
      </c>
      <c r="C64" s="125">
        <v>1</v>
      </c>
      <c r="F64" s="115"/>
      <c r="G64" s="115"/>
      <c r="H64" s="115"/>
      <c r="I64" s="115"/>
      <c r="J64" s="115"/>
      <c r="K64" s="115"/>
      <c r="L64" s="115"/>
      <c r="M64" s="115"/>
      <c r="N64" s="115"/>
      <c r="O64" s="115"/>
      <c r="P64" s="115"/>
      <c r="Q64" s="115"/>
      <c r="R64" s="115"/>
      <c r="S64" s="115"/>
      <c r="T64" s="115"/>
      <c r="U64" s="115"/>
      <c r="V64" s="115"/>
      <c r="W64" s="115"/>
      <c r="X64" s="115"/>
      <c r="Y64" s="115"/>
      <c r="Z64" s="115"/>
      <c r="AA64" s="115"/>
      <c r="AB64" s="115"/>
      <c r="AC64" s="115"/>
      <c r="AD64" s="115"/>
      <c r="AE64" s="115"/>
      <c r="AF64" s="115"/>
      <c r="AG64" s="115"/>
      <c r="AH64" s="115"/>
      <c r="AI64" s="115"/>
      <c r="AJ64" s="115"/>
      <c r="AK64" s="115"/>
      <c r="AL64" s="115"/>
      <c r="AM64" s="115"/>
      <c r="AN64" s="115"/>
      <c r="AO64" s="115"/>
      <c r="AP64" s="115"/>
      <c r="AQ64" s="115"/>
      <c r="AR64" s="115"/>
      <c r="AS64" s="129"/>
    </row>
    <row r="65" spans="1:45" ht="15" customHeight="1">
      <c r="A65" s="113"/>
      <c r="B65" s="123" t="str">
        <f>IF(ISBLANK($B$12),"",$B$12)</f>
        <v/>
      </c>
      <c r="C65" s="125">
        <v>1</v>
      </c>
      <c r="F65" s="115"/>
      <c r="G65" s="115"/>
      <c r="H65" s="115"/>
      <c r="I65" s="115"/>
      <c r="J65" s="115"/>
      <c r="K65" s="115"/>
      <c r="L65" s="115"/>
      <c r="M65" s="115"/>
      <c r="N65" s="115"/>
      <c r="O65" s="115"/>
      <c r="P65" s="115"/>
      <c r="Q65" s="115"/>
      <c r="R65" s="115"/>
      <c r="S65" s="115"/>
      <c r="T65" s="115"/>
      <c r="U65" s="115"/>
      <c r="V65" s="115"/>
      <c r="W65" s="115"/>
      <c r="X65" s="115"/>
      <c r="Y65" s="115"/>
      <c r="Z65" s="115"/>
      <c r="AA65" s="115"/>
      <c r="AB65" s="115"/>
      <c r="AC65" s="115"/>
      <c r="AD65" s="115"/>
      <c r="AE65" s="115"/>
      <c r="AF65" s="115"/>
      <c r="AG65" s="115"/>
      <c r="AH65" s="115"/>
      <c r="AI65" s="115"/>
      <c r="AJ65" s="115"/>
      <c r="AK65" s="115"/>
      <c r="AL65" s="115"/>
      <c r="AM65" s="115"/>
      <c r="AN65" s="115"/>
      <c r="AO65" s="115"/>
      <c r="AP65" s="115"/>
      <c r="AQ65" s="115"/>
      <c r="AR65" s="115"/>
      <c r="AS65" s="129"/>
    </row>
    <row r="66" spans="1:45" ht="15" customHeight="1">
      <c r="AS66" s="129"/>
    </row>
    <row r="67" spans="1:45" ht="15" customHeight="1">
      <c r="A67" s="130"/>
      <c r="B67" s="130"/>
      <c r="C67" s="130"/>
      <c r="D67" s="130"/>
      <c r="E67" s="130"/>
      <c r="F67" s="130"/>
      <c r="G67" s="130"/>
      <c r="H67" s="130"/>
      <c r="I67" s="130"/>
      <c r="J67" s="130"/>
      <c r="K67" s="130"/>
      <c r="L67" s="130"/>
      <c r="M67" s="130"/>
      <c r="N67" s="130"/>
      <c r="O67" s="130"/>
      <c r="P67" s="130"/>
      <c r="Q67" s="130"/>
      <c r="R67" s="130"/>
      <c r="S67" s="130"/>
      <c r="T67" s="130"/>
      <c r="U67" s="130"/>
      <c r="V67" s="130"/>
      <c r="W67" s="130"/>
      <c r="X67" s="130"/>
      <c r="Y67" s="130"/>
      <c r="Z67" s="130"/>
      <c r="AA67" s="130"/>
      <c r="AB67" s="130"/>
      <c r="AC67" s="130"/>
      <c r="AD67" s="130"/>
      <c r="AE67" s="130"/>
      <c r="AF67" s="130"/>
      <c r="AG67" s="130"/>
      <c r="AH67" s="130"/>
      <c r="AI67" s="130"/>
      <c r="AJ67" s="130"/>
      <c r="AK67" s="130"/>
      <c r="AL67" s="130"/>
      <c r="AM67" s="130"/>
      <c r="AN67" s="130"/>
      <c r="AO67" s="130"/>
      <c r="AP67" s="130"/>
      <c r="AQ67" s="130"/>
      <c r="AR67" s="130"/>
      <c r="AS67" s="131"/>
    </row>
    <row r="68" spans="1:45" ht="15" customHeight="1">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c r="AA68" s="126"/>
      <c r="AB68" s="126"/>
      <c r="AC68" s="126"/>
      <c r="AD68" s="126"/>
      <c r="AE68" s="126"/>
      <c r="AF68" s="126"/>
      <c r="AG68" s="126"/>
      <c r="AH68" s="126"/>
      <c r="AI68" s="126"/>
      <c r="AJ68" s="126"/>
      <c r="AK68" s="126"/>
      <c r="AL68" s="126"/>
      <c r="AM68" s="126"/>
      <c r="AN68" s="126"/>
      <c r="AO68" s="126"/>
      <c r="AP68" s="126"/>
      <c r="AQ68" s="126"/>
      <c r="AR68" s="126"/>
      <c r="AS68" s="126"/>
    </row>
    <row r="69" spans="1:45" ht="15" customHeight="1">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c r="AA69" s="127"/>
      <c r="AB69" s="127"/>
      <c r="AC69" s="127"/>
      <c r="AD69" s="127"/>
      <c r="AE69" s="127"/>
      <c r="AF69" s="127"/>
      <c r="AG69" s="127"/>
      <c r="AH69" s="127"/>
      <c r="AI69" s="127"/>
      <c r="AJ69" s="127"/>
      <c r="AK69" s="127"/>
      <c r="AL69" s="127"/>
      <c r="AM69" s="127"/>
      <c r="AN69" s="127"/>
      <c r="AO69" s="127"/>
      <c r="AP69" s="127"/>
      <c r="AQ69" s="127"/>
      <c r="AR69" s="127"/>
      <c r="AS69" s="128"/>
    </row>
    <row r="70" spans="1:45" ht="15" customHeight="1">
      <c r="B70" s="121" t="s">
        <v>202</v>
      </c>
      <c r="F70" s="110" t="s">
        <v>197</v>
      </c>
      <c r="G70" s="110" t="s">
        <v>197</v>
      </c>
      <c r="H70" s="110" t="s">
        <v>197</v>
      </c>
      <c r="I70" s="110" t="s">
        <v>197</v>
      </c>
      <c r="J70" s="110" t="s">
        <v>197</v>
      </c>
      <c r="K70" s="110" t="s">
        <v>197</v>
      </c>
      <c r="L70" s="110" t="s">
        <v>197</v>
      </c>
      <c r="M70" s="110" t="s">
        <v>197</v>
      </c>
      <c r="N70" s="110" t="s">
        <v>197</v>
      </c>
      <c r="O70" s="110" t="s">
        <v>197</v>
      </c>
      <c r="P70" s="110" t="s">
        <v>197</v>
      </c>
      <c r="Q70" s="110" t="s">
        <v>197</v>
      </c>
      <c r="R70" s="110" t="s">
        <v>197</v>
      </c>
      <c r="S70" s="110" t="s">
        <v>197</v>
      </c>
      <c r="T70" s="110" t="s">
        <v>197</v>
      </c>
      <c r="U70" s="110" t="s">
        <v>197</v>
      </c>
      <c r="V70" s="110" t="s">
        <v>197</v>
      </c>
      <c r="W70" s="110" t="s">
        <v>197</v>
      </c>
      <c r="X70" s="110" t="s">
        <v>197</v>
      </c>
      <c r="Y70" s="110" t="s">
        <v>197</v>
      </c>
      <c r="Z70" s="110" t="s">
        <v>197</v>
      </c>
      <c r="AA70" s="110" t="s">
        <v>197</v>
      </c>
      <c r="AB70" s="110" t="s">
        <v>197</v>
      </c>
      <c r="AC70" s="110" t="s">
        <v>197</v>
      </c>
      <c r="AD70" s="110" t="s">
        <v>197</v>
      </c>
      <c r="AE70" s="110" t="s">
        <v>197</v>
      </c>
      <c r="AF70" s="110" t="s">
        <v>197</v>
      </c>
      <c r="AG70" s="110" t="s">
        <v>197</v>
      </c>
      <c r="AH70" s="110" t="s">
        <v>197</v>
      </c>
      <c r="AI70" s="110" t="s">
        <v>197</v>
      </c>
      <c r="AJ70" s="110" t="s">
        <v>197</v>
      </c>
      <c r="AK70" s="110" t="s">
        <v>197</v>
      </c>
      <c r="AL70" s="110" t="s">
        <v>197</v>
      </c>
      <c r="AM70" s="110" t="s">
        <v>197</v>
      </c>
      <c r="AN70" s="110" t="s">
        <v>197</v>
      </c>
      <c r="AO70" s="110" t="s">
        <v>197</v>
      </c>
      <c r="AP70" s="110" t="s">
        <v>197</v>
      </c>
      <c r="AQ70" s="110" t="s">
        <v>197</v>
      </c>
      <c r="AR70" s="110" t="s">
        <v>197</v>
      </c>
      <c r="AS70" s="129"/>
    </row>
    <row r="71" spans="1:45" ht="15" customHeight="1">
      <c r="B71" s="111" t="s">
        <v>189</v>
      </c>
      <c r="C71" s="111" t="s">
        <v>136</v>
      </c>
      <c r="F71" s="112" t="str">
        <f t="shared" ref="F71:AR71" si="8">Timeperiod</f>
        <v>Y1M1</v>
      </c>
      <c r="G71" s="112" t="str">
        <f t="shared" si="8"/>
        <v>Y1M2</v>
      </c>
      <c r="H71" s="112" t="str">
        <f t="shared" si="8"/>
        <v>Y1M3</v>
      </c>
      <c r="I71" s="112" t="str">
        <f t="shared" si="8"/>
        <v>Y1M4</v>
      </c>
      <c r="J71" s="112" t="str">
        <f t="shared" si="8"/>
        <v>Y1M5</v>
      </c>
      <c r="K71" s="112" t="str">
        <f t="shared" si="8"/>
        <v>Y1M6</v>
      </c>
      <c r="L71" s="112" t="str">
        <f t="shared" si="8"/>
        <v>Y1M7</v>
      </c>
      <c r="M71" s="112" t="str">
        <f t="shared" si="8"/>
        <v>Y1M8</v>
      </c>
      <c r="N71" s="112" t="str">
        <f t="shared" si="8"/>
        <v>Y1M9</v>
      </c>
      <c r="O71" s="112" t="str">
        <f t="shared" si="8"/>
        <v>Y1M10</v>
      </c>
      <c r="P71" s="112" t="str">
        <f t="shared" si="8"/>
        <v>Y1M11</v>
      </c>
      <c r="Q71" s="112" t="str">
        <f t="shared" si="8"/>
        <v>Y1M12</v>
      </c>
      <c r="R71" s="112" t="str">
        <f t="shared" si="8"/>
        <v>Y2M1</v>
      </c>
      <c r="S71" s="112" t="str">
        <f t="shared" si="8"/>
        <v>Y2M2</v>
      </c>
      <c r="T71" s="112" t="str">
        <f t="shared" si="8"/>
        <v>Y2M3</v>
      </c>
      <c r="U71" s="112" t="str">
        <f t="shared" si="8"/>
        <v>Y2M4</v>
      </c>
      <c r="V71" s="112" t="str">
        <f t="shared" si="8"/>
        <v>Y2M5</v>
      </c>
      <c r="W71" s="112" t="str">
        <f t="shared" si="8"/>
        <v>Y2M6</v>
      </c>
      <c r="X71" s="112" t="str">
        <f t="shared" si="8"/>
        <v>Y2M7</v>
      </c>
      <c r="Y71" s="112" t="str">
        <f t="shared" si="8"/>
        <v>Y2M8</v>
      </c>
      <c r="Z71" s="112" t="str">
        <f t="shared" si="8"/>
        <v>Y2M9</v>
      </c>
      <c r="AA71" s="112" t="str">
        <f t="shared" si="8"/>
        <v>Y2M10</v>
      </c>
      <c r="AB71" s="112" t="str">
        <f t="shared" si="8"/>
        <v>Y2M11</v>
      </c>
      <c r="AC71" s="112" t="str">
        <f t="shared" si="8"/>
        <v>Y2M12</v>
      </c>
      <c r="AD71" s="112" t="str">
        <f t="shared" si="8"/>
        <v>Y3M1</v>
      </c>
      <c r="AE71" s="112" t="str">
        <f t="shared" si="8"/>
        <v>Y3M2</v>
      </c>
      <c r="AF71" s="112" t="str">
        <f t="shared" si="8"/>
        <v>Y3M3</v>
      </c>
      <c r="AG71" s="112" t="str">
        <f t="shared" si="8"/>
        <v>Y3M4</v>
      </c>
      <c r="AH71" s="112" t="str">
        <f t="shared" si="8"/>
        <v>Y3M5</v>
      </c>
      <c r="AI71" s="112" t="str">
        <f t="shared" si="8"/>
        <v>Y3M6</v>
      </c>
      <c r="AJ71" s="112" t="str">
        <f t="shared" si="8"/>
        <v>Y3M7</v>
      </c>
      <c r="AK71" s="112" t="str">
        <f t="shared" si="8"/>
        <v>Y3M8</v>
      </c>
      <c r="AL71" s="112" t="str">
        <f t="shared" si="8"/>
        <v>Y3M9</v>
      </c>
      <c r="AM71" s="112" t="str">
        <f t="shared" si="8"/>
        <v>Y3M10</v>
      </c>
      <c r="AN71" s="112" t="str">
        <f t="shared" si="8"/>
        <v>Y3M11</v>
      </c>
      <c r="AO71" s="112" t="str">
        <f t="shared" si="8"/>
        <v>Y3M12</v>
      </c>
      <c r="AP71" s="112" t="str">
        <f t="shared" si="8"/>
        <v>Y4M1</v>
      </c>
      <c r="AQ71" s="112" t="str">
        <f t="shared" si="8"/>
        <v>Y4M2</v>
      </c>
      <c r="AR71" s="112" t="str">
        <f t="shared" si="8"/>
        <v>Y4M3</v>
      </c>
      <c r="AS71" s="129"/>
    </row>
    <row r="72" spans="1:45" ht="15" customHeight="1">
      <c r="A72" s="122"/>
      <c r="B72" s="123" t="str">
        <f>IF(ISBLANK($B$10),"",$B$10)</f>
        <v/>
      </c>
      <c r="C72" s="124">
        <v>2</v>
      </c>
      <c r="F72" s="115"/>
      <c r="G72" s="115"/>
      <c r="H72" s="115"/>
      <c r="I72" s="115"/>
      <c r="J72" s="115"/>
      <c r="K72" s="115"/>
      <c r="L72" s="115"/>
      <c r="M72" s="115"/>
      <c r="N72" s="115"/>
      <c r="O72" s="115"/>
      <c r="P72" s="115"/>
      <c r="Q72" s="115"/>
      <c r="R72" s="115"/>
      <c r="S72" s="115"/>
      <c r="T72" s="115"/>
      <c r="U72" s="115"/>
      <c r="V72" s="115"/>
      <c r="W72" s="115"/>
      <c r="X72" s="115"/>
      <c r="Y72" s="115"/>
      <c r="Z72" s="115"/>
      <c r="AA72" s="115"/>
      <c r="AB72" s="115"/>
      <c r="AC72" s="115"/>
      <c r="AD72" s="115"/>
      <c r="AE72" s="115"/>
      <c r="AF72" s="115"/>
      <c r="AG72" s="115"/>
      <c r="AH72" s="115"/>
      <c r="AI72" s="115"/>
      <c r="AJ72" s="115"/>
      <c r="AK72" s="115"/>
      <c r="AL72" s="115"/>
      <c r="AM72" s="115"/>
      <c r="AN72" s="115"/>
      <c r="AO72" s="115"/>
      <c r="AP72" s="115"/>
      <c r="AQ72" s="115"/>
      <c r="AR72" s="115"/>
      <c r="AS72" s="129"/>
    </row>
    <row r="73" spans="1:45" ht="15" customHeight="1">
      <c r="A73" s="113"/>
      <c r="B73" s="123" t="str">
        <f>IF(ISBLANK($B$11),"",$B$11)</f>
        <v/>
      </c>
      <c r="C73" s="124">
        <v>2</v>
      </c>
      <c r="F73" s="115"/>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5"/>
      <c r="AO73" s="115"/>
      <c r="AP73" s="115"/>
      <c r="AQ73" s="115"/>
      <c r="AR73" s="115"/>
      <c r="AS73" s="129"/>
    </row>
    <row r="74" spans="1:45" ht="15" customHeight="1">
      <c r="A74" s="113"/>
      <c r="B74" s="123" t="str">
        <f>IF(ISBLANK($B$12),"",$B$12)</f>
        <v/>
      </c>
      <c r="C74" s="124">
        <v>2</v>
      </c>
      <c r="F74" s="115"/>
      <c r="G74" s="115"/>
      <c r="H74" s="115"/>
      <c r="I74" s="115"/>
      <c r="J74" s="115"/>
      <c r="K74" s="115"/>
      <c r="L74" s="115"/>
      <c r="M74" s="115"/>
      <c r="N74" s="115"/>
      <c r="O74" s="115"/>
      <c r="P74" s="115"/>
      <c r="Q74" s="115"/>
      <c r="R74" s="115"/>
      <c r="S74" s="115"/>
      <c r="T74" s="115"/>
      <c r="U74" s="115"/>
      <c r="V74" s="115"/>
      <c r="W74" s="115"/>
      <c r="X74" s="115"/>
      <c r="Y74" s="115"/>
      <c r="Z74" s="115"/>
      <c r="AA74" s="115"/>
      <c r="AB74" s="115"/>
      <c r="AC74" s="115"/>
      <c r="AD74" s="115"/>
      <c r="AE74" s="115"/>
      <c r="AF74" s="115"/>
      <c r="AG74" s="115"/>
      <c r="AH74" s="115"/>
      <c r="AI74" s="115"/>
      <c r="AJ74" s="115"/>
      <c r="AK74" s="115"/>
      <c r="AL74" s="115"/>
      <c r="AM74" s="115"/>
      <c r="AN74" s="115"/>
      <c r="AO74" s="115"/>
      <c r="AP74" s="115"/>
      <c r="AQ74" s="115"/>
      <c r="AR74" s="115"/>
      <c r="AS74" s="129"/>
    </row>
    <row r="75" spans="1:45" ht="15" customHeight="1">
      <c r="AS75" s="129"/>
    </row>
    <row r="76" spans="1:45" ht="15" customHeight="1">
      <c r="B76" s="121" t="s">
        <v>203</v>
      </c>
      <c r="F76" s="110" t="s">
        <v>197</v>
      </c>
      <c r="G76" s="110" t="s">
        <v>197</v>
      </c>
      <c r="H76" s="110" t="s">
        <v>197</v>
      </c>
      <c r="I76" s="110" t="s">
        <v>197</v>
      </c>
      <c r="J76" s="110" t="s">
        <v>197</v>
      </c>
      <c r="K76" s="110" t="s">
        <v>197</v>
      </c>
      <c r="L76" s="110" t="s">
        <v>197</v>
      </c>
      <c r="M76" s="110" t="s">
        <v>197</v>
      </c>
      <c r="N76" s="110" t="s">
        <v>197</v>
      </c>
      <c r="O76" s="110" t="s">
        <v>197</v>
      </c>
      <c r="P76" s="110" t="s">
        <v>197</v>
      </c>
      <c r="Q76" s="110" t="s">
        <v>197</v>
      </c>
      <c r="R76" s="110" t="s">
        <v>197</v>
      </c>
      <c r="S76" s="110" t="s">
        <v>197</v>
      </c>
      <c r="T76" s="110" t="s">
        <v>197</v>
      </c>
      <c r="U76" s="110" t="s">
        <v>197</v>
      </c>
      <c r="V76" s="110" t="s">
        <v>197</v>
      </c>
      <c r="W76" s="110" t="s">
        <v>197</v>
      </c>
      <c r="X76" s="110" t="s">
        <v>197</v>
      </c>
      <c r="Y76" s="110" t="s">
        <v>197</v>
      </c>
      <c r="Z76" s="110" t="s">
        <v>197</v>
      </c>
      <c r="AA76" s="110" t="s">
        <v>197</v>
      </c>
      <c r="AB76" s="110" t="s">
        <v>197</v>
      </c>
      <c r="AC76" s="110" t="s">
        <v>197</v>
      </c>
      <c r="AD76" s="110" t="s">
        <v>197</v>
      </c>
      <c r="AE76" s="110" t="s">
        <v>197</v>
      </c>
      <c r="AF76" s="110" t="s">
        <v>197</v>
      </c>
      <c r="AG76" s="110" t="s">
        <v>197</v>
      </c>
      <c r="AH76" s="110" t="s">
        <v>197</v>
      </c>
      <c r="AI76" s="110" t="s">
        <v>197</v>
      </c>
      <c r="AJ76" s="110" t="s">
        <v>197</v>
      </c>
      <c r="AK76" s="110" t="s">
        <v>197</v>
      </c>
      <c r="AL76" s="110" t="s">
        <v>197</v>
      </c>
      <c r="AM76" s="110" t="s">
        <v>197</v>
      </c>
      <c r="AN76" s="110" t="s">
        <v>197</v>
      </c>
      <c r="AO76" s="110" t="s">
        <v>197</v>
      </c>
      <c r="AP76" s="110" t="s">
        <v>197</v>
      </c>
      <c r="AQ76" s="110" t="s">
        <v>197</v>
      </c>
      <c r="AR76" s="110" t="s">
        <v>197</v>
      </c>
      <c r="AS76" s="129"/>
    </row>
    <row r="77" spans="1:45" ht="15" customHeight="1">
      <c r="B77" s="111" t="s">
        <v>189</v>
      </c>
      <c r="C77" s="111" t="s">
        <v>136</v>
      </c>
      <c r="F77" s="112" t="str">
        <f t="shared" ref="F77:AR77" si="9">Timeperiod</f>
        <v>Y1M1</v>
      </c>
      <c r="G77" s="112" t="str">
        <f t="shared" si="9"/>
        <v>Y1M2</v>
      </c>
      <c r="H77" s="112" t="str">
        <f t="shared" si="9"/>
        <v>Y1M3</v>
      </c>
      <c r="I77" s="112" t="str">
        <f t="shared" si="9"/>
        <v>Y1M4</v>
      </c>
      <c r="J77" s="112" t="str">
        <f t="shared" si="9"/>
        <v>Y1M5</v>
      </c>
      <c r="K77" s="112" t="str">
        <f t="shared" si="9"/>
        <v>Y1M6</v>
      </c>
      <c r="L77" s="112" t="str">
        <f t="shared" si="9"/>
        <v>Y1M7</v>
      </c>
      <c r="M77" s="112" t="str">
        <f t="shared" si="9"/>
        <v>Y1M8</v>
      </c>
      <c r="N77" s="112" t="str">
        <f t="shared" si="9"/>
        <v>Y1M9</v>
      </c>
      <c r="O77" s="112" t="str">
        <f t="shared" si="9"/>
        <v>Y1M10</v>
      </c>
      <c r="P77" s="112" t="str">
        <f t="shared" si="9"/>
        <v>Y1M11</v>
      </c>
      <c r="Q77" s="112" t="str">
        <f t="shared" si="9"/>
        <v>Y1M12</v>
      </c>
      <c r="R77" s="112" t="str">
        <f t="shared" si="9"/>
        <v>Y2M1</v>
      </c>
      <c r="S77" s="112" t="str">
        <f t="shared" si="9"/>
        <v>Y2M2</v>
      </c>
      <c r="T77" s="112" t="str">
        <f t="shared" si="9"/>
        <v>Y2M3</v>
      </c>
      <c r="U77" s="112" t="str">
        <f t="shared" si="9"/>
        <v>Y2M4</v>
      </c>
      <c r="V77" s="112" t="str">
        <f t="shared" si="9"/>
        <v>Y2M5</v>
      </c>
      <c r="W77" s="112" t="str">
        <f t="shared" si="9"/>
        <v>Y2M6</v>
      </c>
      <c r="X77" s="112" t="str">
        <f t="shared" si="9"/>
        <v>Y2M7</v>
      </c>
      <c r="Y77" s="112" t="str">
        <f t="shared" si="9"/>
        <v>Y2M8</v>
      </c>
      <c r="Z77" s="112" t="str">
        <f t="shared" si="9"/>
        <v>Y2M9</v>
      </c>
      <c r="AA77" s="112" t="str">
        <f t="shared" si="9"/>
        <v>Y2M10</v>
      </c>
      <c r="AB77" s="112" t="str">
        <f t="shared" si="9"/>
        <v>Y2M11</v>
      </c>
      <c r="AC77" s="112" t="str">
        <f t="shared" si="9"/>
        <v>Y2M12</v>
      </c>
      <c r="AD77" s="112" t="str">
        <f t="shared" si="9"/>
        <v>Y3M1</v>
      </c>
      <c r="AE77" s="112" t="str">
        <f t="shared" si="9"/>
        <v>Y3M2</v>
      </c>
      <c r="AF77" s="112" t="str">
        <f t="shared" si="9"/>
        <v>Y3M3</v>
      </c>
      <c r="AG77" s="112" t="str">
        <f t="shared" si="9"/>
        <v>Y3M4</v>
      </c>
      <c r="AH77" s="112" t="str">
        <f t="shared" si="9"/>
        <v>Y3M5</v>
      </c>
      <c r="AI77" s="112" t="str">
        <f t="shared" si="9"/>
        <v>Y3M6</v>
      </c>
      <c r="AJ77" s="112" t="str">
        <f t="shared" si="9"/>
        <v>Y3M7</v>
      </c>
      <c r="AK77" s="112" t="str">
        <f t="shared" si="9"/>
        <v>Y3M8</v>
      </c>
      <c r="AL77" s="112" t="str">
        <f t="shared" si="9"/>
        <v>Y3M9</v>
      </c>
      <c r="AM77" s="112" t="str">
        <f t="shared" si="9"/>
        <v>Y3M10</v>
      </c>
      <c r="AN77" s="112" t="str">
        <f t="shared" si="9"/>
        <v>Y3M11</v>
      </c>
      <c r="AO77" s="112" t="str">
        <f t="shared" si="9"/>
        <v>Y3M12</v>
      </c>
      <c r="AP77" s="112" t="str">
        <f t="shared" si="9"/>
        <v>Y4M1</v>
      </c>
      <c r="AQ77" s="112" t="str">
        <f t="shared" si="9"/>
        <v>Y4M2</v>
      </c>
      <c r="AR77" s="112" t="str">
        <f t="shared" si="9"/>
        <v>Y4M3</v>
      </c>
      <c r="AS77" s="129"/>
    </row>
    <row r="78" spans="1:45" ht="15" customHeight="1">
      <c r="A78" s="122"/>
      <c r="B78" s="123" t="str">
        <f>IF(ISBLANK($B$10),"",$B$10)</f>
        <v/>
      </c>
      <c r="C78" s="124">
        <v>2</v>
      </c>
      <c r="F78" s="115"/>
      <c r="G78" s="115"/>
      <c r="H78" s="115"/>
      <c r="I78" s="115"/>
      <c r="J78" s="115"/>
      <c r="K78" s="115"/>
      <c r="L78" s="115"/>
      <c r="M78" s="115"/>
      <c r="N78" s="115"/>
      <c r="O78" s="115"/>
      <c r="P78" s="115"/>
      <c r="Q78" s="115"/>
      <c r="R78" s="115"/>
      <c r="S78" s="115"/>
      <c r="T78" s="115"/>
      <c r="U78" s="115"/>
      <c r="V78" s="115"/>
      <c r="W78" s="115"/>
      <c r="X78" s="115"/>
      <c r="Y78" s="115"/>
      <c r="Z78" s="115"/>
      <c r="AA78" s="115"/>
      <c r="AB78" s="115"/>
      <c r="AC78" s="115"/>
      <c r="AD78" s="115"/>
      <c r="AE78" s="115"/>
      <c r="AF78" s="115"/>
      <c r="AG78" s="115"/>
      <c r="AH78" s="115"/>
      <c r="AI78" s="115"/>
      <c r="AJ78" s="115"/>
      <c r="AK78" s="115"/>
      <c r="AL78" s="115"/>
      <c r="AM78" s="115"/>
      <c r="AN78" s="115"/>
      <c r="AO78" s="115"/>
      <c r="AP78" s="115"/>
      <c r="AQ78" s="115"/>
      <c r="AR78" s="115"/>
      <c r="AS78" s="129"/>
    </row>
    <row r="79" spans="1:45" ht="15" customHeight="1">
      <c r="A79" s="113"/>
      <c r="B79" s="123" t="str">
        <f>IF(ISBLANK($B$11),"",$B$11)</f>
        <v/>
      </c>
      <c r="C79" s="124">
        <v>2</v>
      </c>
      <c r="F79" s="115"/>
      <c r="G79" s="115"/>
      <c r="H79" s="115"/>
      <c r="I79" s="115"/>
      <c r="J79" s="115"/>
      <c r="K79" s="115"/>
      <c r="L79" s="115"/>
      <c r="M79" s="115"/>
      <c r="N79" s="115"/>
      <c r="O79" s="115"/>
      <c r="P79" s="115"/>
      <c r="Q79" s="115"/>
      <c r="R79" s="115"/>
      <c r="S79" s="115"/>
      <c r="T79" s="115"/>
      <c r="U79" s="115"/>
      <c r="V79" s="115"/>
      <c r="W79" s="115"/>
      <c r="X79" s="115"/>
      <c r="Y79" s="115"/>
      <c r="Z79" s="115"/>
      <c r="AA79" s="115"/>
      <c r="AB79" s="115"/>
      <c r="AC79" s="115"/>
      <c r="AD79" s="115"/>
      <c r="AE79" s="115"/>
      <c r="AF79" s="115"/>
      <c r="AG79" s="115"/>
      <c r="AH79" s="115"/>
      <c r="AI79" s="115"/>
      <c r="AJ79" s="115"/>
      <c r="AK79" s="115"/>
      <c r="AL79" s="115"/>
      <c r="AM79" s="115"/>
      <c r="AN79" s="115"/>
      <c r="AO79" s="115"/>
      <c r="AP79" s="115"/>
      <c r="AQ79" s="115"/>
      <c r="AR79" s="115"/>
      <c r="AS79" s="129"/>
    </row>
    <row r="80" spans="1:45" ht="15" customHeight="1">
      <c r="A80" s="113"/>
      <c r="B80" s="123" t="str">
        <f>IF(ISBLANK($B$12),"",$B$12)</f>
        <v/>
      </c>
      <c r="C80" s="124">
        <v>2</v>
      </c>
      <c r="F80" s="115"/>
      <c r="G80" s="115"/>
      <c r="H80" s="115"/>
      <c r="I80" s="115"/>
      <c r="J80" s="115"/>
      <c r="K80" s="115"/>
      <c r="L80" s="115"/>
      <c r="M80" s="115"/>
      <c r="N80" s="115"/>
      <c r="O80" s="115"/>
      <c r="P80" s="115"/>
      <c r="Q80" s="115"/>
      <c r="R80" s="115"/>
      <c r="S80" s="115"/>
      <c r="T80" s="115"/>
      <c r="U80" s="115"/>
      <c r="V80" s="115"/>
      <c r="W80" s="115"/>
      <c r="X80" s="115"/>
      <c r="Y80" s="115"/>
      <c r="Z80" s="115"/>
      <c r="AA80" s="115"/>
      <c r="AB80" s="115"/>
      <c r="AC80" s="115"/>
      <c r="AD80" s="115"/>
      <c r="AE80" s="115"/>
      <c r="AF80" s="115"/>
      <c r="AG80" s="115"/>
      <c r="AH80" s="115"/>
      <c r="AI80" s="115"/>
      <c r="AJ80" s="115"/>
      <c r="AK80" s="115"/>
      <c r="AL80" s="115"/>
      <c r="AM80" s="115"/>
      <c r="AN80" s="115"/>
      <c r="AO80" s="115"/>
      <c r="AP80" s="115"/>
      <c r="AQ80" s="115"/>
      <c r="AR80" s="115"/>
      <c r="AS80" s="129"/>
    </row>
    <row r="81" spans="1:45" ht="15" customHeight="1">
      <c r="AS81" s="129"/>
    </row>
    <row r="82" spans="1:45" ht="15" customHeight="1">
      <c r="A82" s="130"/>
      <c r="B82" s="130"/>
      <c r="C82" s="130"/>
      <c r="D82" s="130"/>
      <c r="E82" s="130"/>
      <c r="F82" s="130"/>
      <c r="G82" s="130"/>
      <c r="H82" s="130"/>
      <c r="I82" s="130"/>
      <c r="J82" s="130"/>
      <c r="K82" s="130"/>
      <c r="L82" s="130"/>
      <c r="M82" s="130"/>
      <c r="N82" s="130"/>
      <c r="O82" s="130"/>
      <c r="P82" s="130"/>
      <c r="Q82" s="130"/>
      <c r="R82" s="130"/>
      <c r="S82" s="130"/>
      <c r="T82" s="130"/>
      <c r="U82" s="130"/>
      <c r="V82" s="130"/>
      <c r="W82" s="130"/>
      <c r="X82" s="130"/>
      <c r="Y82" s="130"/>
      <c r="Z82" s="130"/>
      <c r="AA82" s="130"/>
      <c r="AB82" s="130"/>
      <c r="AC82" s="130"/>
      <c r="AD82" s="130"/>
      <c r="AE82" s="130"/>
      <c r="AF82" s="130"/>
      <c r="AG82" s="130"/>
      <c r="AH82" s="130"/>
      <c r="AI82" s="130"/>
      <c r="AJ82" s="130"/>
      <c r="AK82" s="130"/>
      <c r="AL82" s="130"/>
      <c r="AM82" s="130"/>
      <c r="AN82" s="130"/>
      <c r="AO82" s="130"/>
      <c r="AP82" s="130"/>
      <c r="AQ82" s="130"/>
      <c r="AR82" s="130"/>
      <c r="AS82" s="131"/>
    </row>
    <row r="83" spans="1:45" ht="15" customHeight="1">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c r="AR83" s="126"/>
      <c r="AS83" s="126"/>
    </row>
    <row r="84" spans="1:45" ht="15" customHeight="1">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c r="AA84" s="127"/>
      <c r="AB84" s="127"/>
      <c r="AC84" s="127"/>
      <c r="AD84" s="127"/>
      <c r="AE84" s="127"/>
      <c r="AF84" s="127"/>
      <c r="AG84" s="127"/>
      <c r="AH84" s="127"/>
      <c r="AI84" s="127"/>
      <c r="AJ84" s="127"/>
      <c r="AK84" s="127"/>
      <c r="AL84" s="127"/>
      <c r="AM84" s="127"/>
      <c r="AN84" s="127"/>
      <c r="AO84" s="127"/>
      <c r="AP84" s="127"/>
      <c r="AQ84" s="127"/>
      <c r="AR84" s="127"/>
      <c r="AS84" s="128"/>
    </row>
    <row r="85" spans="1:45" ht="15" customHeight="1">
      <c r="B85" s="121" t="s">
        <v>204</v>
      </c>
      <c r="F85" s="110" t="s">
        <v>197</v>
      </c>
      <c r="G85" s="110" t="s">
        <v>197</v>
      </c>
      <c r="H85" s="110" t="s">
        <v>197</v>
      </c>
      <c r="I85" s="110" t="s">
        <v>197</v>
      </c>
      <c r="J85" s="110" t="s">
        <v>197</v>
      </c>
      <c r="K85" s="110" t="s">
        <v>197</v>
      </c>
      <c r="L85" s="110" t="s">
        <v>197</v>
      </c>
      <c r="M85" s="110" t="s">
        <v>197</v>
      </c>
      <c r="N85" s="110" t="s">
        <v>197</v>
      </c>
      <c r="O85" s="110" t="s">
        <v>197</v>
      </c>
      <c r="P85" s="110" t="s">
        <v>197</v>
      </c>
      <c r="Q85" s="110" t="s">
        <v>197</v>
      </c>
      <c r="R85" s="110" t="s">
        <v>197</v>
      </c>
      <c r="S85" s="110" t="s">
        <v>197</v>
      </c>
      <c r="T85" s="110" t="s">
        <v>197</v>
      </c>
      <c r="U85" s="110" t="s">
        <v>197</v>
      </c>
      <c r="V85" s="110" t="s">
        <v>197</v>
      </c>
      <c r="W85" s="110" t="s">
        <v>197</v>
      </c>
      <c r="X85" s="110" t="s">
        <v>197</v>
      </c>
      <c r="Y85" s="110" t="s">
        <v>197</v>
      </c>
      <c r="Z85" s="110" t="s">
        <v>197</v>
      </c>
      <c r="AA85" s="110" t="s">
        <v>197</v>
      </c>
      <c r="AB85" s="110" t="s">
        <v>197</v>
      </c>
      <c r="AC85" s="110" t="s">
        <v>197</v>
      </c>
      <c r="AD85" s="110" t="s">
        <v>197</v>
      </c>
      <c r="AE85" s="110" t="s">
        <v>197</v>
      </c>
      <c r="AF85" s="110" t="s">
        <v>197</v>
      </c>
      <c r="AG85" s="110" t="s">
        <v>197</v>
      </c>
      <c r="AH85" s="110" t="s">
        <v>197</v>
      </c>
      <c r="AI85" s="110" t="s">
        <v>197</v>
      </c>
      <c r="AJ85" s="110" t="s">
        <v>197</v>
      </c>
      <c r="AK85" s="110" t="s">
        <v>197</v>
      </c>
      <c r="AL85" s="110" t="s">
        <v>197</v>
      </c>
      <c r="AM85" s="110" t="s">
        <v>197</v>
      </c>
      <c r="AN85" s="110" t="s">
        <v>197</v>
      </c>
      <c r="AO85" s="110" t="s">
        <v>197</v>
      </c>
      <c r="AP85" s="110" t="s">
        <v>197</v>
      </c>
      <c r="AQ85" s="110" t="s">
        <v>197</v>
      </c>
      <c r="AR85" s="110" t="s">
        <v>197</v>
      </c>
      <c r="AS85" s="129"/>
    </row>
    <row r="86" spans="1:45" ht="15" customHeight="1">
      <c r="B86" s="111" t="s">
        <v>189</v>
      </c>
      <c r="C86" s="111" t="s">
        <v>136</v>
      </c>
      <c r="F86" s="112" t="str">
        <f t="shared" ref="F86:AR86" si="10">Timeperiod</f>
        <v>Y1M1</v>
      </c>
      <c r="G86" s="112" t="str">
        <f t="shared" si="10"/>
        <v>Y1M2</v>
      </c>
      <c r="H86" s="112" t="str">
        <f t="shared" si="10"/>
        <v>Y1M3</v>
      </c>
      <c r="I86" s="112" t="str">
        <f t="shared" si="10"/>
        <v>Y1M4</v>
      </c>
      <c r="J86" s="112" t="str">
        <f t="shared" si="10"/>
        <v>Y1M5</v>
      </c>
      <c r="K86" s="112" t="str">
        <f t="shared" si="10"/>
        <v>Y1M6</v>
      </c>
      <c r="L86" s="112" t="str">
        <f t="shared" si="10"/>
        <v>Y1M7</v>
      </c>
      <c r="M86" s="112" t="str">
        <f t="shared" si="10"/>
        <v>Y1M8</v>
      </c>
      <c r="N86" s="112" t="str">
        <f t="shared" si="10"/>
        <v>Y1M9</v>
      </c>
      <c r="O86" s="112" t="str">
        <f t="shared" si="10"/>
        <v>Y1M10</v>
      </c>
      <c r="P86" s="112" t="str">
        <f t="shared" si="10"/>
        <v>Y1M11</v>
      </c>
      <c r="Q86" s="112" t="str">
        <f t="shared" si="10"/>
        <v>Y1M12</v>
      </c>
      <c r="R86" s="112" t="str">
        <f t="shared" si="10"/>
        <v>Y2M1</v>
      </c>
      <c r="S86" s="112" t="str">
        <f t="shared" si="10"/>
        <v>Y2M2</v>
      </c>
      <c r="T86" s="112" t="str">
        <f t="shared" si="10"/>
        <v>Y2M3</v>
      </c>
      <c r="U86" s="112" t="str">
        <f t="shared" si="10"/>
        <v>Y2M4</v>
      </c>
      <c r="V86" s="112" t="str">
        <f t="shared" si="10"/>
        <v>Y2M5</v>
      </c>
      <c r="W86" s="112" t="str">
        <f t="shared" si="10"/>
        <v>Y2M6</v>
      </c>
      <c r="X86" s="112" t="str">
        <f t="shared" si="10"/>
        <v>Y2M7</v>
      </c>
      <c r="Y86" s="112" t="str">
        <f t="shared" si="10"/>
        <v>Y2M8</v>
      </c>
      <c r="Z86" s="112" t="str">
        <f t="shared" si="10"/>
        <v>Y2M9</v>
      </c>
      <c r="AA86" s="112" t="str">
        <f t="shared" si="10"/>
        <v>Y2M10</v>
      </c>
      <c r="AB86" s="112" t="str">
        <f t="shared" si="10"/>
        <v>Y2M11</v>
      </c>
      <c r="AC86" s="112" t="str">
        <f t="shared" si="10"/>
        <v>Y2M12</v>
      </c>
      <c r="AD86" s="112" t="str">
        <f t="shared" si="10"/>
        <v>Y3M1</v>
      </c>
      <c r="AE86" s="112" t="str">
        <f t="shared" si="10"/>
        <v>Y3M2</v>
      </c>
      <c r="AF86" s="112" t="str">
        <f t="shared" si="10"/>
        <v>Y3M3</v>
      </c>
      <c r="AG86" s="112" t="str">
        <f t="shared" si="10"/>
        <v>Y3M4</v>
      </c>
      <c r="AH86" s="112" t="str">
        <f t="shared" si="10"/>
        <v>Y3M5</v>
      </c>
      <c r="AI86" s="112" t="str">
        <f t="shared" si="10"/>
        <v>Y3M6</v>
      </c>
      <c r="AJ86" s="112" t="str">
        <f t="shared" si="10"/>
        <v>Y3M7</v>
      </c>
      <c r="AK86" s="112" t="str">
        <f t="shared" si="10"/>
        <v>Y3M8</v>
      </c>
      <c r="AL86" s="112" t="str">
        <f t="shared" si="10"/>
        <v>Y3M9</v>
      </c>
      <c r="AM86" s="112" t="str">
        <f t="shared" si="10"/>
        <v>Y3M10</v>
      </c>
      <c r="AN86" s="112" t="str">
        <f t="shared" si="10"/>
        <v>Y3M11</v>
      </c>
      <c r="AO86" s="112" t="str">
        <f t="shared" si="10"/>
        <v>Y3M12</v>
      </c>
      <c r="AP86" s="112" t="str">
        <f t="shared" si="10"/>
        <v>Y4M1</v>
      </c>
      <c r="AQ86" s="112" t="str">
        <f t="shared" si="10"/>
        <v>Y4M2</v>
      </c>
      <c r="AR86" s="112" t="str">
        <f t="shared" si="10"/>
        <v>Y4M3</v>
      </c>
      <c r="AS86" s="129"/>
    </row>
    <row r="87" spans="1:45" ht="15" customHeight="1">
      <c r="A87" s="122"/>
      <c r="B87" s="123" t="str">
        <f>IF(ISBLANK($B$10),"",$B$10)</f>
        <v/>
      </c>
      <c r="C87" s="124">
        <v>2</v>
      </c>
      <c r="F87" s="115"/>
      <c r="G87" s="115"/>
      <c r="H87" s="115"/>
      <c r="I87" s="115"/>
      <c r="J87" s="115"/>
      <c r="K87" s="115"/>
      <c r="L87" s="115"/>
      <c r="M87" s="115"/>
      <c r="N87" s="115"/>
      <c r="O87" s="115"/>
      <c r="P87" s="115"/>
      <c r="Q87" s="115"/>
      <c r="R87" s="115"/>
      <c r="S87" s="115"/>
      <c r="T87" s="115"/>
      <c r="U87" s="115"/>
      <c r="V87" s="115"/>
      <c r="W87" s="115"/>
      <c r="X87" s="115"/>
      <c r="Y87" s="115"/>
      <c r="Z87" s="115"/>
      <c r="AA87" s="115"/>
      <c r="AB87" s="115"/>
      <c r="AC87" s="115"/>
      <c r="AD87" s="115"/>
      <c r="AE87" s="115"/>
      <c r="AF87" s="115"/>
      <c r="AG87" s="115"/>
      <c r="AH87" s="115"/>
      <c r="AI87" s="115"/>
      <c r="AJ87" s="115"/>
      <c r="AK87" s="115"/>
      <c r="AL87" s="115"/>
      <c r="AM87" s="115"/>
      <c r="AN87" s="115"/>
      <c r="AO87" s="115"/>
      <c r="AP87" s="115"/>
      <c r="AQ87" s="115"/>
      <c r="AR87" s="115"/>
      <c r="AS87" s="129"/>
    </row>
    <row r="88" spans="1:45" ht="15" customHeight="1">
      <c r="A88" s="113"/>
      <c r="B88" s="123" t="str">
        <f>IF(ISBLANK($B$11),"",$B$11)</f>
        <v/>
      </c>
      <c r="C88" s="124">
        <v>2</v>
      </c>
      <c r="F88" s="115"/>
      <c r="G88" s="115"/>
      <c r="H88" s="115"/>
      <c r="I88" s="115"/>
      <c r="J88" s="115"/>
      <c r="K88" s="115"/>
      <c r="L88" s="115"/>
      <c r="M88" s="115"/>
      <c r="N88" s="115"/>
      <c r="O88" s="115"/>
      <c r="P88" s="115"/>
      <c r="Q88" s="115"/>
      <c r="R88" s="115"/>
      <c r="S88" s="115"/>
      <c r="T88" s="115"/>
      <c r="U88" s="115"/>
      <c r="V88" s="115"/>
      <c r="W88" s="115"/>
      <c r="X88" s="115"/>
      <c r="Y88" s="115"/>
      <c r="Z88" s="115"/>
      <c r="AA88" s="115"/>
      <c r="AB88" s="115"/>
      <c r="AC88" s="115"/>
      <c r="AD88" s="115"/>
      <c r="AE88" s="115"/>
      <c r="AF88" s="115"/>
      <c r="AG88" s="115"/>
      <c r="AH88" s="115"/>
      <c r="AI88" s="115"/>
      <c r="AJ88" s="115"/>
      <c r="AK88" s="115"/>
      <c r="AL88" s="115"/>
      <c r="AM88" s="115"/>
      <c r="AN88" s="115"/>
      <c r="AO88" s="115"/>
      <c r="AP88" s="115"/>
      <c r="AQ88" s="115"/>
      <c r="AR88" s="115"/>
      <c r="AS88" s="129"/>
    </row>
    <row r="89" spans="1:45" ht="15" customHeight="1">
      <c r="A89" s="113"/>
      <c r="B89" s="123" t="str">
        <f>IF(ISBLANK($B$12),"",$B$12)</f>
        <v/>
      </c>
      <c r="C89" s="124">
        <v>2</v>
      </c>
      <c r="F89" s="115"/>
      <c r="G89" s="115"/>
      <c r="H89" s="115"/>
      <c r="I89" s="115"/>
      <c r="J89" s="115"/>
      <c r="K89" s="115"/>
      <c r="L89" s="115"/>
      <c r="M89" s="115"/>
      <c r="N89" s="115"/>
      <c r="O89" s="115"/>
      <c r="P89" s="115"/>
      <c r="Q89" s="115"/>
      <c r="R89" s="115"/>
      <c r="S89" s="115"/>
      <c r="T89" s="115"/>
      <c r="U89" s="115"/>
      <c r="V89" s="115"/>
      <c r="W89" s="115"/>
      <c r="X89" s="115"/>
      <c r="Y89" s="115"/>
      <c r="Z89" s="115"/>
      <c r="AA89" s="115"/>
      <c r="AB89" s="115"/>
      <c r="AC89" s="115"/>
      <c r="AD89" s="115"/>
      <c r="AE89" s="115"/>
      <c r="AF89" s="115"/>
      <c r="AG89" s="115"/>
      <c r="AH89" s="115"/>
      <c r="AI89" s="115"/>
      <c r="AJ89" s="115"/>
      <c r="AK89" s="115"/>
      <c r="AL89" s="115"/>
      <c r="AM89" s="115"/>
      <c r="AN89" s="115"/>
      <c r="AO89" s="115"/>
      <c r="AP89" s="115"/>
      <c r="AQ89" s="115"/>
      <c r="AR89" s="115"/>
      <c r="AS89" s="129"/>
    </row>
    <row r="90" spans="1:45" ht="15" customHeight="1">
      <c r="AS90" s="129"/>
    </row>
    <row r="91" spans="1:45" ht="15" customHeight="1">
      <c r="B91" s="121" t="s">
        <v>205</v>
      </c>
      <c r="F91" s="110" t="s">
        <v>197</v>
      </c>
      <c r="G91" s="110" t="s">
        <v>197</v>
      </c>
      <c r="H91" s="110" t="s">
        <v>197</v>
      </c>
      <c r="I91" s="110" t="s">
        <v>197</v>
      </c>
      <c r="J91" s="110" t="s">
        <v>197</v>
      </c>
      <c r="K91" s="110" t="s">
        <v>197</v>
      </c>
      <c r="L91" s="110" t="s">
        <v>197</v>
      </c>
      <c r="M91" s="110" t="s">
        <v>197</v>
      </c>
      <c r="N91" s="110" t="s">
        <v>197</v>
      </c>
      <c r="O91" s="110" t="s">
        <v>197</v>
      </c>
      <c r="P91" s="110" t="s">
        <v>197</v>
      </c>
      <c r="Q91" s="110" t="s">
        <v>197</v>
      </c>
      <c r="R91" s="110" t="s">
        <v>197</v>
      </c>
      <c r="S91" s="110" t="s">
        <v>197</v>
      </c>
      <c r="T91" s="110" t="s">
        <v>197</v>
      </c>
      <c r="U91" s="110" t="s">
        <v>197</v>
      </c>
      <c r="V91" s="110" t="s">
        <v>197</v>
      </c>
      <c r="W91" s="110" t="s">
        <v>197</v>
      </c>
      <c r="X91" s="110" t="s">
        <v>197</v>
      </c>
      <c r="Y91" s="110" t="s">
        <v>197</v>
      </c>
      <c r="Z91" s="110" t="s">
        <v>197</v>
      </c>
      <c r="AA91" s="110" t="s">
        <v>197</v>
      </c>
      <c r="AB91" s="110" t="s">
        <v>197</v>
      </c>
      <c r="AC91" s="110" t="s">
        <v>197</v>
      </c>
      <c r="AD91" s="110" t="s">
        <v>197</v>
      </c>
      <c r="AE91" s="110" t="s">
        <v>197</v>
      </c>
      <c r="AF91" s="110" t="s">
        <v>197</v>
      </c>
      <c r="AG91" s="110" t="s">
        <v>197</v>
      </c>
      <c r="AH91" s="110" t="s">
        <v>197</v>
      </c>
      <c r="AI91" s="110" t="s">
        <v>197</v>
      </c>
      <c r="AJ91" s="110" t="s">
        <v>197</v>
      </c>
      <c r="AK91" s="110" t="s">
        <v>197</v>
      </c>
      <c r="AL91" s="110" t="s">
        <v>197</v>
      </c>
      <c r="AM91" s="110" t="s">
        <v>197</v>
      </c>
      <c r="AN91" s="110" t="s">
        <v>197</v>
      </c>
      <c r="AO91" s="110" t="s">
        <v>197</v>
      </c>
      <c r="AP91" s="110" t="s">
        <v>197</v>
      </c>
      <c r="AQ91" s="110" t="s">
        <v>197</v>
      </c>
      <c r="AR91" s="110" t="s">
        <v>197</v>
      </c>
      <c r="AS91" s="129"/>
    </row>
    <row r="92" spans="1:45" ht="15" customHeight="1">
      <c r="B92" s="111" t="s">
        <v>189</v>
      </c>
      <c r="C92" s="111" t="s">
        <v>136</v>
      </c>
      <c r="F92" s="112" t="str">
        <f t="shared" ref="F92:AR92" si="11">Timeperiod</f>
        <v>Y1M1</v>
      </c>
      <c r="G92" s="112" t="str">
        <f t="shared" si="11"/>
        <v>Y1M2</v>
      </c>
      <c r="H92" s="112" t="str">
        <f t="shared" si="11"/>
        <v>Y1M3</v>
      </c>
      <c r="I92" s="112" t="str">
        <f t="shared" si="11"/>
        <v>Y1M4</v>
      </c>
      <c r="J92" s="112" t="str">
        <f t="shared" si="11"/>
        <v>Y1M5</v>
      </c>
      <c r="K92" s="112" t="str">
        <f t="shared" si="11"/>
        <v>Y1M6</v>
      </c>
      <c r="L92" s="112" t="str">
        <f t="shared" si="11"/>
        <v>Y1M7</v>
      </c>
      <c r="M92" s="112" t="str">
        <f t="shared" si="11"/>
        <v>Y1M8</v>
      </c>
      <c r="N92" s="112" t="str">
        <f t="shared" si="11"/>
        <v>Y1M9</v>
      </c>
      <c r="O92" s="112" t="str">
        <f t="shared" si="11"/>
        <v>Y1M10</v>
      </c>
      <c r="P92" s="112" t="str">
        <f t="shared" si="11"/>
        <v>Y1M11</v>
      </c>
      <c r="Q92" s="112" t="str">
        <f t="shared" si="11"/>
        <v>Y1M12</v>
      </c>
      <c r="R92" s="112" t="str">
        <f t="shared" si="11"/>
        <v>Y2M1</v>
      </c>
      <c r="S92" s="112" t="str">
        <f t="shared" si="11"/>
        <v>Y2M2</v>
      </c>
      <c r="T92" s="112" t="str">
        <f t="shared" si="11"/>
        <v>Y2M3</v>
      </c>
      <c r="U92" s="112" t="str">
        <f t="shared" si="11"/>
        <v>Y2M4</v>
      </c>
      <c r="V92" s="112" t="str">
        <f t="shared" si="11"/>
        <v>Y2M5</v>
      </c>
      <c r="W92" s="112" t="str">
        <f t="shared" si="11"/>
        <v>Y2M6</v>
      </c>
      <c r="X92" s="112" t="str">
        <f t="shared" si="11"/>
        <v>Y2M7</v>
      </c>
      <c r="Y92" s="112" t="str">
        <f t="shared" si="11"/>
        <v>Y2M8</v>
      </c>
      <c r="Z92" s="112" t="str">
        <f t="shared" si="11"/>
        <v>Y2M9</v>
      </c>
      <c r="AA92" s="112" t="str">
        <f t="shared" si="11"/>
        <v>Y2M10</v>
      </c>
      <c r="AB92" s="112" t="str">
        <f t="shared" si="11"/>
        <v>Y2M11</v>
      </c>
      <c r="AC92" s="112" t="str">
        <f t="shared" si="11"/>
        <v>Y2M12</v>
      </c>
      <c r="AD92" s="112" t="str">
        <f t="shared" si="11"/>
        <v>Y3M1</v>
      </c>
      <c r="AE92" s="112" t="str">
        <f t="shared" si="11"/>
        <v>Y3M2</v>
      </c>
      <c r="AF92" s="112" t="str">
        <f t="shared" si="11"/>
        <v>Y3M3</v>
      </c>
      <c r="AG92" s="112" t="str">
        <f t="shared" si="11"/>
        <v>Y3M4</v>
      </c>
      <c r="AH92" s="112" t="str">
        <f t="shared" si="11"/>
        <v>Y3M5</v>
      </c>
      <c r="AI92" s="112" t="str">
        <f t="shared" si="11"/>
        <v>Y3M6</v>
      </c>
      <c r="AJ92" s="112" t="str">
        <f t="shared" si="11"/>
        <v>Y3M7</v>
      </c>
      <c r="AK92" s="112" t="str">
        <f t="shared" si="11"/>
        <v>Y3M8</v>
      </c>
      <c r="AL92" s="112" t="str">
        <f t="shared" si="11"/>
        <v>Y3M9</v>
      </c>
      <c r="AM92" s="112" t="str">
        <f t="shared" si="11"/>
        <v>Y3M10</v>
      </c>
      <c r="AN92" s="112" t="str">
        <f t="shared" si="11"/>
        <v>Y3M11</v>
      </c>
      <c r="AO92" s="112" t="str">
        <f t="shared" si="11"/>
        <v>Y3M12</v>
      </c>
      <c r="AP92" s="112" t="str">
        <f t="shared" si="11"/>
        <v>Y4M1</v>
      </c>
      <c r="AQ92" s="112" t="str">
        <f t="shared" si="11"/>
        <v>Y4M2</v>
      </c>
      <c r="AR92" s="112" t="str">
        <f t="shared" si="11"/>
        <v>Y4M3</v>
      </c>
      <c r="AS92" s="129"/>
    </row>
    <row r="93" spans="1:45" ht="15" customHeight="1">
      <c r="A93" s="122"/>
      <c r="B93" s="123" t="str">
        <f>IF(ISBLANK($B$10),"",$B$10)</f>
        <v/>
      </c>
      <c r="C93" s="124">
        <v>2</v>
      </c>
      <c r="F93" s="115"/>
      <c r="G93" s="115"/>
      <c r="H93" s="115"/>
      <c r="I93" s="115"/>
      <c r="J93" s="115"/>
      <c r="K93" s="115"/>
      <c r="L93" s="115"/>
      <c r="M93" s="115"/>
      <c r="N93" s="115"/>
      <c r="O93" s="115"/>
      <c r="P93" s="115"/>
      <c r="Q93" s="115"/>
      <c r="R93" s="115"/>
      <c r="S93" s="115"/>
      <c r="T93" s="115"/>
      <c r="U93" s="115"/>
      <c r="V93" s="115"/>
      <c r="W93" s="115"/>
      <c r="X93" s="115"/>
      <c r="Y93" s="115"/>
      <c r="Z93" s="115"/>
      <c r="AA93" s="115"/>
      <c r="AB93" s="115"/>
      <c r="AC93" s="115"/>
      <c r="AD93" s="115"/>
      <c r="AE93" s="115"/>
      <c r="AF93" s="115"/>
      <c r="AG93" s="115"/>
      <c r="AH93" s="115"/>
      <c r="AI93" s="115"/>
      <c r="AJ93" s="115"/>
      <c r="AK93" s="115"/>
      <c r="AL93" s="115"/>
      <c r="AM93" s="115"/>
      <c r="AN93" s="115"/>
      <c r="AO93" s="115"/>
      <c r="AP93" s="115"/>
      <c r="AQ93" s="115"/>
      <c r="AR93" s="115"/>
      <c r="AS93" s="129"/>
    </row>
    <row r="94" spans="1:45" ht="15" customHeight="1">
      <c r="A94" s="113"/>
      <c r="B94" s="123" t="str">
        <f>IF(ISBLANK($B$11),"",$B$11)</f>
        <v/>
      </c>
      <c r="C94" s="124">
        <v>2</v>
      </c>
      <c r="F94" s="115"/>
      <c r="G94" s="115"/>
      <c r="H94" s="115"/>
      <c r="I94" s="115"/>
      <c r="J94" s="115"/>
      <c r="K94" s="115"/>
      <c r="L94" s="115"/>
      <c r="M94" s="115"/>
      <c r="N94" s="115"/>
      <c r="O94" s="115"/>
      <c r="P94" s="115"/>
      <c r="Q94" s="115"/>
      <c r="R94" s="115"/>
      <c r="S94" s="115"/>
      <c r="T94" s="115"/>
      <c r="U94" s="115"/>
      <c r="V94" s="115"/>
      <c r="W94" s="115"/>
      <c r="X94" s="115"/>
      <c r="Y94" s="115"/>
      <c r="Z94" s="115"/>
      <c r="AA94" s="115"/>
      <c r="AB94" s="115"/>
      <c r="AC94" s="115"/>
      <c r="AD94" s="115"/>
      <c r="AE94" s="115"/>
      <c r="AF94" s="115"/>
      <c r="AG94" s="115"/>
      <c r="AH94" s="115"/>
      <c r="AI94" s="115"/>
      <c r="AJ94" s="115"/>
      <c r="AK94" s="115"/>
      <c r="AL94" s="115"/>
      <c r="AM94" s="115"/>
      <c r="AN94" s="115"/>
      <c r="AO94" s="115"/>
      <c r="AP94" s="115"/>
      <c r="AQ94" s="115"/>
      <c r="AR94" s="115"/>
      <c r="AS94" s="129"/>
    </row>
    <row r="95" spans="1:45" ht="15" customHeight="1">
      <c r="A95" s="113"/>
      <c r="B95" s="123" t="str">
        <f>IF(ISBLANK($B$12),"",$B$12)</f>
        <v/>
      </c>
      <c r="C95" s="124">
        <v>2</v>
      </c>
      <c r="F95" s="115"/>
      <c r="G95" s="115"/>
      <c r="H95" s="115"/>
      <c r="I95" s="115"/>
      <c r="J95" s="115"/>
      <c r="K95" s="115"/>
      <c r="L95" s="115"/>
      <c r="M95" s="115"/>
      <c r="N95" s="115"/>
      <c r="O95" s="115"/>
      <c r="P95" s="115"/>
      <c r="Q95" s="115"/>
      <c r="R95" s="115"/>
      <c r="S95" s="115"/>
      <c r="T95" s="115"/>
      <c r="U95" s="115"/>
      <c r="V95" s="115"/>
      <c r="W95" s="115"/>
      <c r="X95" s="115"/>
      <c r="Y95" s="115"/>
      <c r="Z95" s="115"/>
      <c r="AA95" s="115"/>
      <c r="AB95" s="115"/>
      <c r="AC95" s="115"/>
      <c r="AD95" s="115"/>
      <c r="AE95" s="115"/>
      <c r="AF95" s="115"/>
      <c r="AG95" s="115"/>
      <c r="AH95" s="115"/>
      <c r="AI95" s="115"/>
      <c r="AJ95" s="115"/>
      <c r="AK95" s="115"/>
      <c r="AL95" s="115"/>
      <c r="AM95" s="115"/>
      <c r="AN95" s="115"/>
      <c r="AO95" s="115"/>
      <c r="AP95" s="115"/>
      <c r="AQ95" s="115"/>
      <c r="AR95" s="115"/>
      <c r="AS95" s="129"/>
    </row>
    <row r="96" spans="1:45" ht="15" customHeight="1">
      <c r="AS96" s="129"/>
    </row>
    <row r="97" spans="1:45" ht="15" customHeight="1">
      <c r="A97" s="130"/>
      <c r="B97" s="130"/>
      <c r="C97" s="130"/>
      <c r="D97" s="130"/>
      <c r="E97" s="130"/>
      <c r="F97" s="130"/>
      <c r="G97" s="130"/>
      <c r="H97" s="130"/>
      <c r="I97" s="130"/>
      <c r="J97" s="130"/>
      <c r="K97" s="130"/>
      <c r="L97" s="130"/>
      <c r="M97" s="130"/>
      <c r="N97" s="130"/>
      <c r="O97" s="130"/>
      <c r="P97" s="130"/>
      <c r="Q97" s="130"/>
      <c r="R97" s="130"/>
      <c r="S97" s="130"/>
      <c r="T97" s="130"/>
      <c r="U97" s="130"/>
      <c r="V97" s="130"/>
      <c r="W97" s="130"/>
      <c r="X97" s="130"/>
      <c r="Y97" s="130"/>
      <c r="Z97" s="130"/>
      <c r="AA97" s="130"/>
      <c r="AB97" s="130"/>
      <c r="AC97" s="130"/>
      <c r="AD97" s="130"/>
      <c r="AE97" s="130"/>
      <c r="AF97" s="130"/>
      <c r="AG97" s="130"/>
      <c r="AH97" s="130"/>
      <c r="AI97" s="130"/>
      <c r="AJ97" s="130"/>
      <c r="AK97" s="130"/>
      <c r="AL97" s="130"/>
      <c r="AM97" s="130"/>
      <c r="AN97" s="130"/>
      <c r="AO97" s="130"/>
      <c r="AP97" s="130"/>
      <c r="AQ97" s="130"/>
      <c r="AR97" s="130"/>
      <c r="AS97" s="131"/>
    </row>
    <row r="98" spans="1:45" ht="15" customHeight="1"/>
    <row r="99" spans="1:45" ht="15" customHeight="1"/>
    <row r="100" spans="1:45" ht="15" customHeight="1"/>
    <row r="101" spans="1:45" ht="15" customHeight="1"/>
    <row r="102" spans="1:45" ht="15" customHeight="1"/>
    <row r="103" spans="1:45" ht="15" customHeight="1"/>
    <row r="104" spans="1:45" ht="15" customHeight="1"/>
    <row r="105" spans="1:45" ht="15" customHeight="1"/>
    <row r="106" spans="1:45" ht="15" customHeight="1"/>
    <row r="107" spans="1:45" ht="15" customHeight="1"/>
    <row r="108" spans="1:45" ht="15" customHeight="1"/>
    <row r="109" spans="1:45" ht="15" customHeight="1"/>
    <row r="110" spans="1:45" ht="15" customHeight="1"/>
    <row r="111" spans="1:45" ht="15" customHeight="1"/>
    <row r="112" spans="1:45"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sheetData>
  <conditionalFormatting sqref="A7:AW7">
    <cfRule type="expression" dxfId="79" priority="36" stopIfTrue="1">
      <formula>ErrorsPresent&gt;0</formula>
    </cfRule>
    <cfRule type="expression" dxfId="78" priority="37" stopIfTrue="1">
      <formula>ErrorsPresent&lt;0</formula>
    </cfRule>
  </conditionalFormatting>
  <conditionalFormatting sqref="B1:BA1">
    <cfRule type="expression" dxfId="77" priority="34" stopIfTrue="1">
      <formula>Error_Error&lt;0</formula>
    </cfRule>
    <cfRule type="expression" dxfId="76" priority="35" stopIfTrue="1">
      <formula>Error_Error&gt;0</formula>
    </cfRule>
  </conditionalFormatting>
  <conditionalFormatting sqref="B1:BA1">
    <cfRule type="expression" dxfId="75" priority="33" stopIfTrue="1">
      <formula>Error_Error&gt;0</formula>
    </cfRule>
  </conditionalFormatting>
  <conditionalFormatting sqref="D1">
    <cfRule type="cellIs" dxfId="74" priority="32" stopIfTrue="1" operator="equal">
      <formula>0</formula>
    </cfRule>
  </conditionalFormatting>
  <conditionalFormatting sqref="D1">
    <cfRule type="cellIs" dxfId="73" priority="30" stopIfTrue="1" operator="greaterThan">
      <formula>0</formula>
    </cfRule>
    <cfRule type="cellIs" dxfId="72" priority="31" stopIfTrue="1" operator="lessThan">
      <formula>0</formula>
    </cfRule>
  </conditionalFormatting>
  <conditionalFormatting sqref="F9:AR9">
    <cfRule type="expression" dxfId="71" priority="29" stopIfTrue="1">
      <formula>F$43&lt;&gt;""</formula>
    </cfRule>
  </conditionalFormatting>
  <conditionalFormatting sqref="A14:AW14">
    <cfRule type="expression" dxfId="70" priority="27" stopIfTrue="1">
      <formula>ErrorsPresent&gt;0</formula>
    </cfRule>
    <cfRule type="expression" dxfId="69" priority="28" stopIfTrue="1">
      <formula>ErrorsPresent&lt;0</formula>
    </cfRule>
  </conditionalFormatting>
  <conditionalFormatting sqref="F19:AR19">
    <cfRule type="expression" dxfId="68" priority="26" stopIfTrue="1">
      <formula>F$43&lt;&gt;""</formula>
    </cfRule>
  </conditionalFormatting>
  <conditionalFormatting sqref="F25:AR25">
    <cfRule type="expression" dxfId="67" priority="25" stopIfTrue="1">
      <formula>F$43&lt;&gt;""</formula>
    </cfRule>
  </conditionalFormatting>
  <conditionalFormatting sqref="F31:AR31">
    <cfRule type="expression" dxfId="66" priority="24" stopIfTrue="1">
      <formula>F$43&lt;&gt;""</formula>
    </cfRule>
  </conditionalFormatting>
  <conditionalFormatting sqref="A37:AR37">
    <cfRule type="expression" dxfId="65" priority="22" stopIfTrue="1">
      <formula>ErrorsPresent&gt;0</formula>
    </cfRule>
    <cfRule type="expression" dxfId="64" priority="23" stopIfTrue="1">
      <formula>ErrorsPresent&lt;0</formula>
    </cfRule>
  </conditionalFormatting>
  <conditionalFormatting sqref="F40:AR40">
    <cfRule type="expression" dxfId="63" priority="21" stopIfTrue="1">
      <formula>F$43&lt;&gt;""</formula>
    </cfRule>
  </conditionalFormatting>
  <conditionalFormatting sqref="F46:AR46">
    <cfRule type="expression" dxfId="62" priority="20" stopIfTrue="1">
      <formula>F$43&lt;&gt;""</formula>
    </cfRule>
  </conditionalFormatting>
  <conditionalFormatting sqref="A52:AS52">
    <cfRule type="expression" dxfId="61" priority="18" stopIfTrue="1">
      <formula>ErrorsPresent&gt;0</formula>
    </cfRule>
    <cfRule type="expression" dxfId="60" priority="19" stopIfTrue="1">
      <formula>ErrorsPresent&lt;0</formula>
    </cfRule>
  </conditionalFormatting>
  <conditionalFormatting sqref="F56:AR56">
    <cfRule type="expression" dxfId="59" priority="17" stopIfTrue="1">
      <formula>F$43&lt;&gt;""</formula>
    </cfRule>
  </conditionalFormatting>
  <conditionalFormatting sqref="F62:AR62">
    <cfRule type="expression" dxfId="58" priority="16" stopIfTrue="1">
      <formula>F$43&lt;&gt;""</formula>
    </cfRule>
  </conditionalFormatting>
  <conditionalFormatting sqref="F71:AR71">
    <cfRule type="expression" dxfId="57" priority="15" stopIfTrue="1">
      <formula>F$43&lt;&gt;""</formula>
    </cfRule>
  </conditionalFormatting>
  <conditionalFormatting sqref="F77:AR77">
    <cfRule type="expression" dxfId="56" priority="14" stopIfTrue="1">
      <formula>F$43&lt;&gt;""</formula>
    </cfRule>
  </conditionalFormatting>
  <conditionalFormatting sqref="F86:AR86">
    <cfRule type="expression" dxfId="55" priority="13" stopIfTrue="1">
      <formula>F$43&lt;&gt;""</formula>
    </cfRule>
  </conditionalFormatting>
  <conditionalFormatting sqref="F92:AR92">
    <cfRule type="expression" dxfId="54" priority="12" stopIfTrue="1">
      <formula>F$43&lt;&gt;""</formula>
    </cfRule>
  </conditionalFormatting>
  <conditionalFormatting sqref="F20">
    <cfRule type="expression" dxfId="53" priority="11">
      <formula>$C$16=1</formula>
    </cfRule>
  </conditionalFormatting>
  <conditionalFormatting sqref="F21:F22">
    <cfRule type="expression" dxfId="52" priority="10">
      <formula>$C$16=1</formula>
    </cfRule>
  </conditionalFormatting>
  <conditionalFormatting sqref="G20:AR22">
    <cfRule type="expression" dxfId="51" priority="9">
      <formula>$C$16=1</formula>
    </cfRule>
  </conditionalFormatting>
  <conditionalFormatting sqref="F26">
    <cfRule type="expression" dxfId="50" priority="8">
      <formula>$C$16=2</formula>
    </cfRule>
  </conditionalFormatting>
  <conditionalFormatting sqref="F27:F28">
    <cfRule type="expression" dxfId="49" priority="7">
      <formula>$C$16=2</formula>
    </cfRule>
  </conditionalFormatting>
  <conditionalFormatting sqref="G26:AR28">
    <cfRule type="expression" dxfId="48" priority="6">
      <formula>$C$16=2</formula>
    </cfRule>
  </conditionalFormatting>
  <conditionalFormatting sqref="F32">
    <cfRule type="expression" dxfId="47" priority="5">
      <formula>$C$16=3</formula>
    </cfRule>
  </conditionalFormatting>
  <conditionalFormatting sqref="F33:F34">
    <cfRule type="expression" dxfId="46" priority="4">
      <formula>$C$16=3</formula>
    </cfRule>
  </conditionalFormatting>
  <conditionalFormatting sqref="G32:AR34">
    <cfRule type="expression" dxfId="45" priority="3">
      <formula>$C$16=3</formula>
    </cfRule>
  </conditionalFormatting>
  <conditionalFormatting sqref="A1">
    <cfRule type="expression" dxfId="44" priority="1" stopIfTrue="1">
      <formula>ErrorsPresent&gt;0</formula>
    </cfRule>
    <cfRule type="expression" dxfId="43" priority="2" stopIfTrue="1">
      <formula>ErrorsPresent&lt;0</formula>
    </cfRule>
  </conditionalFormatting>
  <dataValidations count="2">
    <dataValidation type="list" allowBlank="1" showInputMessage="1" showErrorMessage="1" sqref="C16">
      <formula1>"1, 2, 3"</formula1>
    </dataValidation>
    <dataValidation type="list" allowBlank="1" showInputMessage="1" showErrorMessage="1" sqref="B10:B12">
      <formula1>"Service 1, Service 2, Service 3"</formula1>
    </dataValidation>
  </dataValidations>
  <pageMargins left="0.7" right="0.7" top="0.75" bottom="0.75" header="0.3" footer="0.3"/>
  <pageSetup paperSize="9" orientation="portrait" horizontalDpi="200" verticalDpi="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D167"/>
  <sheetViews>
    <sheetView showGridLines="0" zoomScale="80" zoomScaleNormal="80" workbookViewId="0">
      <pane ySplit="7" topLeftCell="A8" activePane="bottomLeft" state="frozen"/>
      <selection pane="bottomLeft" activeCell="B13" sqref="B13"/>
    </sheetView>
  </sheetViews>
  <sheetFormatPr defaultColWidth="0" defaultRowHeight="0" customHeight="1" zeroHeight="1"/>
  <cols>
    <col min="1" max="1" width="7.28515625" style="101" customWidth="1"/>
    <col min="2" max="2" width="21.85546875" style="101" customWidth="1"/>
    <col min="3" max="3" width="3.5703125" style="101" customWidth="1"/>
    <col min="4" max="4" width="5.42578125" style="101" bestFit="1" customWidth="1"/>
    <col min="5" max="5" width="4" style="101" customWidth="1"/>
    <col min="6" max="6" width="10" style="101" customWidth="1"/>
    <col min="7" max="12" width="7.5703125" style="101" customWidth="1"/>
    <col min="13" max="14" width="7.7109375" style="101" bestFit="1" customWidth="1"/>
    <col min="15" max="15" width="10.140625" style="101" customWidth="1"/>
    <col min="16" max="44" width="11.42578125" style="101" customWidth="1"/>
    <col min="45" max="45" width="6.140625" style="101" customWidth="1"/>
    <col min="46" max="49" width="11.42578125" style="101" customWidth="1"/>
    <col min="50" max="50" width="2.28515625" style="101" customWidth="1"/>
    <col min="51" max="52" width="11.42578125" style="101" hidden="1" customWidth="1"/>
    <col min="53" max="53" width="2.28515625" style="101" hidden="1" customWidth="1"/>
    <col min="54" max="56" width="0" style="101" hidden="1" customWidth="1"/>
    <col min="57" max="16384" width="11.42578125" style="101" hidden="1"/>
  </cols>
  <sheetData>
    <row r="1" spans="1:53" ht="12.75">
      <c r="A1" s="83" t="s">
        <v>206</v>
      </c>
      <c r="B1" s="105"/>
      <c r="C1" s="105"/>
      <c r="D1" s="106">
        <v>0</v>
      </c>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105"/>
      <c r="AP1" s="105"/>
      <c r="AQ1" s="105"/>
      <c r="AR1" s="105"/>
      <c r="AS1" s="105"/>
      <c r="AT1" s="105"/>
      <c r="AU1" s="105"/>
      <c r="AV1" s="105"/>
      <c r="AW1" s="105"/>
      <c r="AX1" s="105"/>
      <c r="AY1" s="105"/>
      <c r="AZ1" s="105"/>
      <c r="BA1" s="105"/>
    </row>
    <row r="2" spans="1:53" ht="12.75">
      <c r="A2" s="107" t="s">
        <v>207</v>
      </c>
    </row>
    <row r="3" spans="1:53" ht="12.75"/>
    <row r="4" spans="1:53" ht="6.75" customHeight="1"/>
    <row r="5" spans="1:53" ht="6" customHeight="1"/>
    <row r="6" spans="1:53" ht="6.75" customHeight="1">
      <c r="A6" s="108" t="s">
        <v>186</v>
      </c>
    </row>
    <row r="7" spans="1:53" ht="12" customHeight="1">
      <c r="A7" s="109"/>
      <c r="B7" s="109" t="s">
        <v>208</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row>
    <row r="8" spans="1:53" s="85" customFormat="1" ht="7.5" customHeight="1">
      <c r="B8" s="101"/>
    </row>
    <row r="9" spans="1:53" s="85" customFormat="1" ht="18" customHeight="1">
      <c r="B9" s="133" t="s">
        <v>209</v>
      </c>
    </row>
    <row r="10" spans="1:53" s="85" customFormat="1" ht="9" customHeight="1">
      <c r="B10" s="101"/>
    </row>
    <row r="11" spans="1:53" ht="15" customHeight="1">
      <c r="B11" s="134" t="s">
        <v>210</v>
      </c>
      <c r="F11" s="110" t="str">
        <f>[4]Inp_User!F8</f>
        <v>Volume</v>
      </c>
      <c r="G11" s="110" t="str">
        <f>[4]Inp_User!G8</f>
        <v>Volume</v>
      </c>
      <c r="H11" s="110" t="str">
        <f>[4]Inp_User!H8</f>
        <v>Volume</v>
      </c>
      <c r="I11" s="110" t="str">
        <f>[4]Inp_User!I8</f>
        <v>Volume</v>
      </c>
      <c r="J11" s="110" t="str">
        <f>[4]Inp_User!J8</f>
        <v>Volume</v>
      </c>
      <c r="K11" s="110" t="str">
        <f>[4]Inp_User!K8</f>
        <v>Volume</v>
      </c>
      <c r="L11" s="110" t="str">
        <f>[4]Inp_User!L8</f>
        <v>Volume</v>
      </c>
      <c r="M11" s="110" t="str">
        <f>[4]Inp_User!M8</f>
        <v>Volume</v>
      </c>
      <c r="N11" s="110" t="str">
        <f>[4]Inp_User!N8</f>
        <v>Volume</v>
      </c>
      <c r="O11" s="110" t="str">
        <f>[4]Inp_User!O8</f>
        <v>Volume</v>
      </c>
      <c r="P11" s="110" t="str">
        <f>[4]Inp_User!P8</f>
        <v>Volume</v>
      </c>
      <c r="Q11" s="110" t="str">
        <f>[4]Inp_User!Q8</f>
        <v>Volume</v>
      </c>
      <c r="R11" s="110" t="str">
        <f>[4]Inp_User!R8</f>
        <v>Volume</v>
      </c>
      <c r="S11" s="110" t="str">
        <f>[4]Inp_User!S8</f>
        <v>Volume</v>
      </c>
      <c r="T11" s="110" t="str">
        <f>[4]Inp_User!T8</f>
        <v>Volume</v>
      </c>
      <c r="U11" s="110" t="str">
        <f>[4]Inp_User!U8</f>
        <v>Volume</v>
      </c>
      <c r="V11" s="110" t="str">
        <f>[4]Inp_User!V8</f>
        <v>Volume</v>
      </c>
      <c r="W11" s="110" t="str">
        <f>[4]Inp_User!W8</f>
        <v>Volume</v>
      </c>
      <c r="X11" s="110" t="str">
        <f>[4]Inp_User!X8</f>
        <v>Volume</v>
      </c>
      <c r="Y11" s="110" t="str">
        <f>[4]Inp_User!Y8</f>
        <v>Volume</v>
      </c>
      <c r="Z11" s="110" t="str">
        <f>[4]Inp_User!Z8</f>
        <v>Volume</v>
      </c>
      <c r="AA11" s="110" t="str">
        <f>[4]Inp_User!AA8</f>
        <v>Volume</v>
      </c>
      <c r="AB11" s="110" t="str">
        <f>[4]Inp_User!AB8</f>
        <v>Volume</v>
      </c>
      <c r="AC11" s="110" t="str">
        <f>[4]Inp_User!AC8</f>
        <v>Volume</v>
      </c>
      <c r="AD11" s="110" t="str">
        <f>[4]Inp_User!AD8</f>
        <v>Volume</v>
      </c>
      <c r="AE11" s="110" t="str">
        <f>[4]Inp_User!AE8</f>
        <v>Volume</v>
      </c>
      <c r="AF11" s="110" t="str">
        <f>[4]Inp_User!AF8</f>
        <v>Volume</v>
      </c>
      <c r="AG11" s="110" t="str">
        <f>[4]Inp_User!AG8</f>
        <v>Volume</v>
      </c>
      <c r="AH11" s="110" t="str">
        <f>[4]Inp_User!AH8</f>
        <v>Volume</v>
      </c>
      <c r="AI11" s="110" t="str">
        <f>[4]Inp_User!AI8</f>
        <v>Volume</v>
      </c>
      <c r="AJ11" s="110" t="str">
        <f>[4]Inp_User!AJ8</f>
        <v>Volume</v>
      </c>
      <c r="AK11" s="110" t="str">
        <f>[4]Inp_User!AK8</f>
        <v>Volume</v>
      </c>
      <c r="AL11" s="110" t="str">
        <f>[4]Inp_User!AL8</f>
        <v>Volume</v>
      </c>
      <c r="AM11" s="110" t="str">
        <f>[4]Inp_User!AM8</f>
        <v>Volume</v>
      </c>
      <c r="AN11" s="110" t="str">
        <f>[4]Inp_User!AN8</f>
        <v>Volume</v>
      </c>
      <c r="AO11" s="110" t="str">
        <f>[4]Inp_User!AO8</f>
        <v>Volume</v>
      </c>
      <c r="AP11" s="110" t="str">
        <f>[4]Inp_User!AP8</f>
        <v>Volume</v>
      </c>
      <c r="AQ11" s="110" t="str">
        <f>[4]Inp_User!AQ8</f>
        <v>Volume</v>
      </c>
      <c r="AR11" s="110" t="str">
        <f>[4]Inp_User!AR8</f>
        <v>Volume</v>
      </c>
    </row>
    <row r="12" spans="1:53" ht="15" customHeight="1">
      <c r="B12" s="111" t="s">
        <v>189</v>
      </c>
      <c r="F12" s="112" t="str">
        <f t="shared" ref="F12:AR12" si="0">Timeperiod</f>
        <v>Y1M1</v>
      </c>
      <c r="G12" s="112" t="str">
        <f t="shared" si="0"/>
        <v>Y1M2</v>
      </c>
      <c r="H12" s="112" t="str">
        <f t="shared" si="0"/>
        <v>Y1M3</v>
      </c>
      <c r="I12" s="112" t="str">
        <f t="shared" si="0"/>
        <v>Y1M4</v>
      </c>
      <c r="J12" s="112" t="str">
        <f t="shared" si="0"/>
        <v>Y1M5</v>
      </c>
      <c r="K12" s="112" t="str">
        <f t="shared" si="0"/>
        <v>Y1M6</v>
      </c>
      <c r="L12" s="112" t="str">
        <f t="shared" si="0"/>
        <v>Y1M7</v>
      </c>
      <c r="M12" s="112" t="str">
        <f t="shared" si="0"/>
        <v>Y1M8</v>
      </c>
      <c r="N12" s="112" t="str">
        <f t="shared" si="0"/>
        <v>Y1M9</v>
      </c>
      <c r="O12" s="112" t="str">
        <f t="shared" si="0"/>
        <v>Y1M10</v>
      </c>
      <c r="P12" s="112" t="str">
        <f t="shared" si="0"/>
        <v>Y1M11</v>
      </c>
      <c r="Q12" s="112" t="str">
        <f t="shared" si="0"/>
        <v>Y1M12</v>
      </c>
      <c r="R12" s="112" t="str">
        <f t="shared" si="0"/>
        <v>Y2M1</v>
      </c>
      <c r="S12" s="112" t="str">
        <f t="shared" si="0"/>
        <v>Y2M2</v>
      </c>
      <c r="T12" s="112" t="str">
        <f t="shared" si="0"/>
        <v>Y2M3</v>
      </c>
      <c r="U12" s="112" t="str">
        <f t="shared" si="0"/>
        <v>Y2M4</v>
      </c>
      <c r="V12" s="112" t="str">
        <f t="shared" si="0"/>
        <v>Y2M5</v>
      </c>
      <c r="W12" s="112" t="str">
        <f t="shared" si="0"/>
        <v>Y2M6</v>
      </c>
      <c r="X12" s="112" t="str">
        <f t="shared" si="0"/>
        <v>Y2M7</v>
      </c>
      <c r="Y12" s="112" t="str">
        <f t="shared" si="0"/>
        <v>Y2M8</v>
      </c>
      <c r="Z12" s="112" t="str">
        <f t="shared" si="0"/>
        <v>Y2M9</v>
      </c>
      <c r="AA12" s="112" t="str">
        <f t="shared" si="0"/>
        <v>Y2M10</v>
      </c>
      <c r="AB12" s="112" t="str">
        <f t="shared" si="0"/>
        <v>Y2M11</v>
      </c>
      <c r="AC12" s="112" t="str">
        <f t="shared" si="0"/>
        <v>Y2M12</v>
      </c>
      <c r="AD12" s="112" t="str">
        <f t="shared" si="0"/>
        <v>Y3M1</v>
      </c>
      <c r="AE12" s="112" t="str">
        <f t="shared" si="0"/>
        <v>Y3M2</v>
      </c>
      <c r="AF12" s="112" t="str">
        <f t="shared" si="0"/>
        <v>Y3M3</v>
      </c>
      <c r="AG12" s="112" t="str">
        <f t="shared" si="0"/>
        <v>Y3M4</v>
      </c>
      <c r="AH12" s="112" t="str">
        <f t="shared" si="0"/>
        <v>Y3M5</v>
      </c>
      <c r="AI12" s="112" t="str">
        <f t="shared" si="0"/>
        <v>Y3M6</v>
      </c>
      <c r="AJ12" s="112" t="str">
        <f t="shared" si="0"/>
        <v>Y3M7</v>
      </c>
      <c r="AK12" s="112" t="str">
        <f t="shared" si="0"/>
        <v>Y3M8</v>
      </c>
      <c r="AL12" s="112" t="str">
        <f t="shared" si="0"/>
        <v>Y3M9</v>
      </c>
      <c r="AM12" s="112" t="str">
        <f t="shared" si="0"/>
        <v>Y3M10</v>
      </c>
      <c r="AN12" s="112" t="str">
        <f t="shared" si="0"/>
        <v>Y3M11</v>
      </c>
      <c r="AO12" s="112" t="str">
        <f t="shared" si="0"/>
        <v>Y3M12</v>
      </c>
      <c r="AP12" s="112" t="str">
        <f t="shared" si="0"/>
        <v>Y4M1</v>
      </c>
      <c r="AQ12" s="112" t="str">
        <f t="shared" si="0"/>
        <v>Y4M2</v>
      </c>
      <c r="AR12" s="112" t="str">
        <f t="shared" si="0"/>
        <v>Y4M3</v>
      </c>
    </row>
    <row r="13" spans="1:53" ht="15" customHeight="1">
      <c r="A13" s="113"/>
      <c r="B13" s="135" t="str">
        <f>IF(ISBLANK([4]Inp_User!B10),"",[4]Inp_User!B10)</f>
        <v/>
      </c>
      <c r="F13" s="168">
        <f>Inp_User!F10</f>
        <v>0</v>
      </c>
      <c r="G13" s="168">
        <f>Inp_User!G10</f>
        <v>0</v>
      </c>
      <c r="H13" s="168">
        <f>Inp_User!H10</f>
        <v>0</v>
      </c>
      <c r="I13" s="168">
        <f>Inp_User!I10</f>
        <v>0</v>
      </c>
      <c r="J13" s="168">
        <f>Inp_User!J10</f>
        <v>0</v>
      </c>
      <c r="K13" s="168">
        <f>Inp_User!K10</f>
        <v>0</v>
      </c>
      <c r="L13" s="168">
        <f>Inp_User!L10</f>
        <v>0</v>
      </c>
      <c r="M13" s="168">
        <f>Inp_User!M10</f>
        <v>0</v>
      </c>
      <c r="N13" s="168">
        <f>Inp_User!N10</f>
        <v>0</v>
      </c>
      <c r="O13" s="168">
        <f>Inp_User!O10</f>
        <v>0</v>
      </c>
      <c r="P13" s="168">
        <f>Inp_User!P10</f>
        <v>0</v>
      </c>
      <c r="Q13" s="168">
        <f>Inp_User!Q10</f>
        <v>0</v>
      </c>
      <c r="R13" s="168">
        <f>Inp_User!R10</f>
        <v>0</v>
      </c>
      <c r="S13" s="168">
        <f>Inp_User!S10</f>
        <v>0</v>
      </c>
      <c r="T13" s="168">
        <f>Inp_User!T10</f>
        <v>0</v>
      </c>
      <c r="U13" s="168">
        <f>Inp_User!U10</f>
        <v>0</v>
      </c>
      <c r="V13" s="168">
        <f>Inp_User!V10</f>
        <v>0</v>
      </c>
      <c r="W13" s="168">
        <f>Inp_User!W10</f>
        <v>0</v>
      </c>
      <c r="X13" s="168">
        <f>Inp_User!X10</f>
        <v>0</v>
      </c>
      <c r="Y13" s="168">
        <f>Inp_User!Y10</f>
        <v>0</v>
      </c>
      <c r="Z13" s="168">
        <f>Inp_User!Z10</f>
        <v>0</v>
      </c>
      <c r="AA13" s="168">
        <f>Inp_User!AA10</f>
        <v>0</v>
      </c>
      <c r="AB13" s="168">
        <f>Inp_User!AB10</f>
        <v>0</v>
      </c>
      <c r="AC13" s="168">
        <f>Inp_User!AC10</f>
        <v>0</v>
      </c>
      <c r="AD13" s="168">
        <f>Inp_User!AD10</f>
        <v>0</v>
      </c>
      <c r="AE13" s="168">
        <f>Inp_User!AE10</f>
        <v>0</v>
      </c>
      <c r="AF13" s="168">
        <f>Inp_User!AF10</f>
        <v>0</v>
      </c>
      <c r="AG13" s="168">
        <f>Inp_User!AG10</f>
        <v>0</v>
      </c>
      <c r="AH13" s="168">
        <f>Inp_User!AH10</f>
        <v>0</v>
      </c>
      <c r="AI13" s="168">
        <f>Inp_User!AI10</f>
        <v>0</v>
      </c>
      <c r="AJ13" s="168">
        <f>Inp_User!AJ10</f>
        <v>0</v>
      </c>
      <c r="AK13" s="168">
        <f>Inp_User!AK10</f>
        <v>0</v>
      </c>
      <c r="AL13" s="168">
        <f>Inp_User!AL10</f>
        <v>0</v>
      </c>
      <c r="AM13" s="168">
        <f>Inp_User!AM10</f>
        <v>0</v>
      </c>
      <c r="AN13" s="168">
        <f>Inp_User!AN10</f>
        <v>0</v>
      </c>
      <c r="AO13" s="168">
        <f>Inp_User!AO10</f>
        <v>0</v>
      </c>
      <c r="AP13" s="168">
        <f>Inp_User!AP10</f>
        <v>0</v>
      </c>
      <c r="AQ13" s="168">
        <f>Inp_User!AQ10</f>
        <v>0</v>
      </c>
      <c r="AR13" s="168">
        <f>Inp_User!AR10</f>
        <v>0</v>
      </c>
    </row>
    <row r="14" spans="1:53" ht="15" customHeight="1">
      <c r="A14" s="113"/>
      <c r="B14" s="135" t="str">
        <f>IF(ISBLANK([4]Inp_User!B11),"",[4]Inp_User!B11)</f>
        <v/>
      </c>
      <c r="F14" s="168">
        <f>Inp_User!F11</f>
        <v>0</v>
      </c>
      <c r="G14" s="168">
        <f>Inp_User!G11</f>
        <v>0</v>
      </c>
      <c r="H14" s="168">
        <f>Inp_User!H11</f>
        <v>0</v>
      </c>
      <c r="I14" s="168">
        <f>Inp_User!I11</f>
        <v>0</v>
      </c>
      <c r="J14" s="168">
        <f>Inp_User!J11</f>
        <v>0</v>
      </c>
      <c r="K14" s="168">
        <f>Inp_User!K11</f>
        <v>0</v>
      </c>
      <c r="L14" s="168">
        <f>Inp_User!L11</f>
        <v>0</v>
      </c>
      <c r="M14" s="168">
        <f>Inp_User!M11</f>
        <v>0</v>
      </c>
      <c r="N14" s="168">
        <f>Inp_User!N11</f>
        <v>0</v>
      </c>
      <c r="O14" s="168">
        <f>Inp_User!O11</f>
        <v>0</v>
      </c>
      <c r="P14" s="168">
        <f>Inp_User!P11</f>
        <v>0</v>
      </c>
      <c r="Q14" s="168">
        <f>Inp_User!Q11</f>
        <v>0</v>
      </c>
      <c r="R14" s="168">
        <f>Inp_User!R11</f>
        <v>0</v>
      </c>
      <c r="S14" s="168">
        <f>Inp_User!S11</f>
        <v>0</v>
      </c>
      <c r="T14" s="168">
        <f>Inp_User!T11</f>
        <v>0</v>
      </c>
      <c r="U14" s="168">
        <f>Inp_User!U11</f>
        <v>0</v>
      </c>
      <c r="V14" s="168">
        <f>Inp_User!V11</f>
        <v>0</v>
      </c>
      <c r="W14" s="168">
        <f>Inp_User!W11</f>
        <v>0</v>
      </c>
      <c r="X14" s="168">
        <f>Inp_User!X11</f>
        <v>0</v>
      </c>
      <c r="Y14" s="168">
        <f>Inp_User!Y11</f>
        <v>0</v>
      </c>
      <c r="Z14" s="168">
        <f>Inp_User!Z11</f>
        <v>0</v>
      </c>
      <c r="AA14" s="168">
        <f>Inp_User!AA11</f>
        <v>0</v>
      </c>
      <c r="AB14" s="168">
        <f>Inp_User!AB11</f>
        <v>0</v>
      </c>
      <c r="AC14" s="168">
        <f>Inp_User!AC11</f>
        <v>0</v>
      </c>
      <c r="AD14" s="168">
        <f>Inp_User!AD11</f>
        <v>0</v>
      </c>
      <c r="AE14" s="168">
        <f>Inp_User!AE11</f>
        <v>0</v>
      </c>
      <c r="AF14" s="168">
        <f>Inp_User!AF11</f>
        <v>0</v>
      </c>
      <c r="AG14" s="168">
        <f>Inp_User!AG11</f>
        <v>0</v>
      </c>
      <c r="AH14" s="168">
        <f>Inp_User!AH11</f>
        <v>0</v>
      </c>
      <c r="AI14" s="168">
        <f>Inp_User!AI11</f>
        <v>0</v>
      </c>
      <c r="AJ14" s="168">
        <f>Inp_User!AJ11</f>
        <v>0</v>
      </c>
      <c r="AK14" s="168">
        <f>Inp_User!AK11</f>
        <v>0</v>
      </c>
      <c r="AL14" s="168">
        <f>Inp_User!AL11</f>
        <v>0</v>
      </c>
      <c r="AM14" s="168">
        <f>Inp_User!AM11</f>
        <v>0</v>
      </c>
      <c r="AN14" s="168">
        <f>Inp_User!AN11</f>
        <v>0</v>
      </c>
      <c r="AO14" s="168">
        <f>Inp_User!AO11</f>
        <v>0</v>
      </c>
      <c r="AP14" s="168">
        <f>Inp_User!AP11</f>
        <v>0</v>
      </c>
      <c r="AQ14" s="168">
        <f>Inp_User!AQ11</f>
        <v>0</v>
      </c>
      <c r="AR14" s="168">
        <f>Inp_User!AR11</f>
        <v>0</v>
      </c>
    </row>
    <row r="15" spans="1:53" ht="15" customHeight="1">
      <c r="A15" s="113"/>
      <c r="B15" s="135" t="str">
        <f>IF(ISBLANK([4]Inp_User!B12),"",[4]Inp_User!B12)</f>
        <v/>
      </c>
      <c r="F15" s="168">
        <f>Inp_User!F12</f>
        <v>0</v>
      </c>
      <c r="G15" s="168">
        <f>Inp_User!G12</f>
        <v>0</v>
      </c>
      <c r="H15" s="168">
        <f>Inp_User!H12</f>
        <v>0</v>
      </c>
      <c r="I15" s="168">
        <f>Inp_User!I12</f>
        <v>0</v>
      </c>
      <c r="J15" s="168">
        <f>Inp_User!J12</f>
        <v>0</v>
      </c>
      <c r="K15" s="168">
        <f>Inp_User!K12</f>
        <v>0</v>
      </c>
      <c r="L15" s="168">
        <f>Inp_User!L12</f>
        <v>0</v>
      </c>
      <c r="M15" s="168">
        <f>Inp_User!M12</f>
        <v>0</v>
      </c>
      <c r="N15" s="168">
        <f>Inp_User!N12</f>
        <v>0</v>
      </c>
      <c r="O15" s="168">
        <f>Inp_User!O12</f>
        <v>0</v>
      </c>
      <c r="P15" s="168">
        <f>Inp_User!P12</f>
        <v>0</v>
      </c>
      <c r="Q15" s="168">
        <f>Inp_User!Q12</f>
        <v>0</v>
      </c>
      <c r="R15" s="168">
        <f>Inp_User!R12</f>
        <v>0</v>
      </c>
      <c r="S15" s="168">
        <f>Inp_User!S12</f>
        <v>0</v>
      </c>
      <c r="T15" s="168">
        <f>Inp_User!T12</f>
        <v>0</v>
      </c>
      <c r="U15" s="168">
        <f>Inp_User!U12</f>
        <v>0</v>
      </c>
      <c r="V15" s="168">
        <f>Inp_User!V12</f>
        <v>0</v>
      </c>
      <c r="W15" s="168">
        <f>Inp_User!W12</f>
        <v>0</v>
      </c>
      <c r="X15" s="168">
        <f>Inp_User!X12</f>
        <v>0</v>
      </c>
      <c r="Y15" s="168">
        <f>Inp_User!Y12</f>
        <v>0</v>
      </c>
      <c r="Z15" s="168">
        <f>Inp_User!Z12</f>
        <v>0</v>
      </c>
      <c r="AA15" s="168">
        <f>Inp_User!AA12</f>
        <v>0</v>
      </c>
      <c r="AB15" s="168">
        <f>Inp_User!AB12</f>
        <v>0</v>
      </c>
      <c r="AC15" s="168">
        <f>Inp_User!AC12</f>
        <v>0</v>
      </c>
      <c r="AD15" s="168">
        <f>Inp_User!AD12</f>
        <v>0</v>
      </c>
      <c r="AE15" s="168">
        <f>Inp_User!AE12</f>
        <v>0</v>
      </c>
      <c r="AF15" s="168">
        <f>Inp_User!AF12</f>
        <v>0</v>
      </c>
      <c r="AG15" s="168">
        <f>Inp_User!AG12</f>
        <v>0</v>
      </c>
      <c r="AH15" s="168">
        <f>Inp_User!AH12</f>
        <v>0</v>
      </c>
      <c r="AI15" s="168">
        <f>Inp_User!AI12</f>
        <v>0</v>
      </c>
      <c r="AJ15" s="168">
        <f>Inp_User!AJ12</f>
        <v>0</v>
      </c>
      <c r="AK15" s="168">
        <f>Inp_User!AK12</f>
        <v>0</v>
      </c>
      <c r="AL15" s="168">
        <f>Inp_User!AL12</f>
        <v>0</v>
      </c>
      <c r="AM15" s="168">
        <f>Inp_User!AM12</f>
        <v>0</v>
      </c>
      <c r="AN15" s="168">
        <f>Inp_User!AN12</f>
        <v>0</v>
      </c>
      <c r="AO15" s="168">
        <f>Inp_User!AO12</f>
        <v>0</v>
      </c>
      <c r="AP15" s="168">
        <f>Inp_User!AP12</f>
        <v>0</v>
      </c>
      <c r="AQ15" s="168">
        <f>Inp_User!AQ12</f>
        <v>0</v>
      </c>
      <c r="AR15" s="168">
        <f>Inp_User!AR12</f>
        <v>0</v>
      </c>
    </row>
    <row r="16" spans="1:53" ht="10.5" customHeight="1"/>
    <row r="17" spans="1:44" ht="15" customHeight="1">
      <c r="B17" s="134" t="s">
        <v>356</v>
      </c>
    </row>
    <row r="18" spans="1:44" ht="15" customHeight="1">
      <c r="B18" s="111" t="s">
        <v>189</v>
      </c>
      <c r="F18" s="110" t="str">
        <f>[4]Inp_User!F39</f>
        <v>Value</v>
      </c>
      <c r="G18" s="110" t="str">
        <f>[4]Inp_User!G39</f>
        <v>Value</v>
      </c>
      <c r="H18" s="110" t="str">
        <f>[4]Inp_User!H39</f>
        <v>Value</v>
      </c>
      <c r="I18" s="110" t="str">
        <f>[4]Inp_User!I39</f>
        <v>Value</v>
      </c>
      <c r="J18" s="110" t="str">
        <f>[4]Inp_User!J39</f>
        <v>Value</v>
      </c>
      <c r="K18" s="110" t="str">
        <f>[4]Inp_User!K39</f>
        <v>Value</v>
      </c>
      <c r="L18" s="110" t="str">
        <f>[4]Inp_User!L39</f>
        <v>Value</v>
      </c>
      <c r="M18" s="110" t="str">
        <f>[4]Inp_User!M39</f>
        <v>Value</v>
      </c>
      <c r="N18" s="110" t="str">
        <f>[4]Inp_User!N39</f>
        <v>Value</v>
      </c>
      <c r="O18" s="110" t="str">
        <f>[4]Inp_User!O39</f>
        <v>Value</v>
      </c>
      <c r="P18" s="110" t="str">
        <f>[4]Inp_User!P39</f>
        <v>Value</v>
      </c>
      <c r="Q18" s="110" t="str">
        <f>[4]Inp_User!Q39</f>
        <v>Value</v>
      </c>
      <c r="R18" s="110" t="str">
        <f>[4]Inp_User!R39</f>
        <v>Value</v>
      </c>
      <c r="S18" s="110" t="str">
        <f>[4]Inp_User!S39</f>
        <v>Value</v>
      </c>
      <c r="T18" s="110" t="str">
        <f>[4]Inp_User!T39</f>
        <v>Value</v>
      </c>
      <c r="U18" s="110" t="str">
        <f>[4]Inp_User!U39</f>
        <v>Value</v>
      </c>
      <c r="V18" s="110" t="str">
        <f>[4]Inp_User!V39</f>
        <v>Value</v>
      </c>
      <c r="W18" s="110" t="str">
        <f>[4]Inp_User!W39</f>
        <v>Value</v>
      </c>
      <c r="X18" s="110" t="str">
        <f>[4]Inp_User!X39</f>
        <v>Value</v>
      </c>
      <c r="Y18" s="110" t="str">
        <f>[4]Inp_User!Y39</f>
        <v>Value</v>
      </c>
      <c r="Z18" s="110" t="str">
        <f>[4]Inp_User!Z39</f>
        <v>Value</v>
      </c>
      <c r="AA18" s="110" t="str">
        <f>[4]Inp_User!AA39</f>
        <v>Value</v>
      </c>
      <c r="AB18" s="110" t="str">
        <f>[4]Inp_User!AB39</f>
        <v>Value</v>
      </c>
      <c r="AC18" s="110" t="str">
        <f>[4]Inp_User!AC39</f>
        <v>Value</v>
      </c>
      <c r="AD18" s="110" t="str">
        <f>[4]Inp_User!AD39</f>
        <v>Value</v>
      </c>
      <c r="AE18" s="110" t="str">
        <f>[4]Inp_User!AE39</f>
        <v>Value</v>
      </c>
      <c r="AF18" s="110" t="str">
        <f>[4]Inp_User!AF39</f>
        <v>Value</v>
      </c>
      <c r="AG18" s="110" t="str">
        <f>[4]Inp_User!AG39</f>
        <v>Value</v>
      </c>
      <c r="AH18" s="110" t="str">
        <f>[4]Inp_User!AH39</f>
        <v>Value</v>
      </c>
      <c r="AI18" s="110" t="str">
        <f>[4]Inp_User!AI39</f>
        <v>Value</v>
      </c>
      <c r="AJ18" s="110" t="str">
        <f>[4]Inp_User!AJ39</f>
        <v>Value</v>
      </c>
      <c r="AK18" s="110" t="str">
        <f>[4]Inp_User!AK39</f>
        <v>Value</v>
      </c>
      <c r="AL18" s="110" t="str">
        <f>[4]Inp_User!AL39</f>
        <v>Value</v>
      </c>
      <c r="AM18" s="110" t="str">
        <f>[4]Inp_User!AM39</f>
        <v>Value</v>
      </c>
      <c r="AN18" s="110" t="str">
        <f>[4]Inp_User!AN39</f>
        <v>Value</v>
      </c>
      <c r="AO18" s="110" t="str">
        <f>[4]Inp_User!AO39</f>
        <v>Value</v>
      </c>
      <c r="AP18" s="110" t="str">
        <f>[4]Inp_User!AP39</f>
        <v>Value</v>
      </c>
      <c r="AQ18" s="110" t="str">
        <f>[4]Inp_User!AQ39</f>
        <v>Value</v>
      </c>
      <c r="AR18" s="110" t="str">
        <f>[4]Inp_User!AR39</f>
        <v>Value</v>
      </c>
    </row>
    <row r="19" spans="1:44" ht="15" customHeight="1">
      <c r="A19" s="113"/>
      <c r="B19" s="135" t="str">
        <f>B13</f>
        <v/>
      </c>
      <c r="F19" s="168">
        <f>Inp_User!F16</f>
        <v>0</v>
      </c>
      <c r="G19" s="168">
        <f>Inp_User!G16</f>
        <v>0</v>
      </c>
      <c r="H19" s="168">
        <f>Inp_User!H16</f>
        <v>0</v>
      </c>
      <c r="I19" s="168">
        <f>Inp_User!I16</f>
        <v>0</v>
      </c>
      <c r="J19" s="168">
        <f>Inp_User!J16</f>
        <v>0</v>
      </c>
      <c r="K19" s="168">
        <f>Inp_User!K16</f>
        <v>0</v>
      </c>
      <c r="L19" s="168">
        <f>Inp_User!L16</f>
        <v>0</v>
      </c>
      <c r="M19" s="168">
        <f>Inp_User!M16</f>
        <v>0</v>
      </c>
      <c r="N19" s="168">
        <f>Inp_User!N16</f>
        <v>0</v>
      </c>
      <c r="O19" s="168">
        <f>Inp_User!O16</f>
        <v>0</v>
      </c>
      <c r="P19" s="168">
        <f>Inp_User!P16</f>
        <v>0</v>
      </c>
      <c r="Q19" s="168">
        <f>Inp_User!Q16</f>
        <v>0</v>
      </c>
      <c r="R19" s="168">
        <f>Inp_User!R16</f>
        <v>0</v>
      </c>
      <c r="S19" s="168">
        <f>Inp_User!S16</f>
        <v>0</v>
      </c>
      <c r="T19" s="168">
        <f>Inp_User!T16</f>
        <v>0</v>
      </c>
      <c r="U19" s="168">
        <f>Inp_User!U16</f>
        <v>0</v>
      </c>
      <c r="V19" s="168">
        <f>Inp_User!V16</f>
        <v>0</v>
      </c>
      <c r="W19" s="168">
        <f>Inp_User!W16</f>
        <v>0</v>
      </c>
      <c r="X19" s="168">
        <f>Inp_User!X16</f>
        <v>0</v>
      </c>
      <c r="Y19" s="168">
        <f>Inp_User!Y16</f>
        <v>0</v>
      </c>
      <c r="Z19" s="168">
        <f>Inp_User!Z16</f>
        <v>0</v>
      </c>
      <c r="AA19" s="168">
        <f>Inp_User!AA16</f>
        <v>0</v>
      </c>
      <c r="AB19" s="168">
        <f>Inp_User!AB16</f>
        <v>0</v>
      </c>
      <c r="AC19" s="168">
        <f>Inp_User!AC16</f>
        <v>0</v>
      </c>
      <c r="AD19" s="168">
        <f>Inp_User!AD16</f>
        <v>0</v>
      </c>
      <c r="AE19" s="168">
        <f>Inp_User!AE16</f>
        <v>0</v>
      </c>
      <c r="AF19" s="168">
        <f>Inp_User!AF16</f>
        <v>0</v>
      </c>
      <c r="AG19" s="168">
        <f>Inp_User!AG16</f>
        <v>0</v>
      </c>
      <c r="AH19" s="168">
        <f>Inp_User!AH16</f>
        <v>0</v>
      </c>
      <c r="AI19" s="168">
        <f>Inp_User!AI16</f>
        <v>0</v>
      </c>
      <c r="AJ19" s="168">
        <f>Inp_User!AJ16</f>
        <v>0</v>
      </c>
      <c r="AK19" s="168">
        <f>Inp_User!AK16</f>
        <v>0</v>
      </c>
      <c r="AL19" s="168">
        <f>Inp_User!AL16</f>
        <v>0</v>
      </c>
      <c r="AM19" s="168">
        <f>Inp_User!AM16</f>
        <v>0</v>
      </c>
      <c r="AN19" s="168">
        <f>Inp_User!AN16</f>
        <v>0</v>
      </c>
      <c r="AO19" s="168">
        <f>Inp_User!AO16</f>
        <v>0</v>
      </c>
      <c r="AP19" s="168">
        <f>Inp_User!AP16</f>
        <v>0</v>
      </c>
      <c r="AQ19" s="168">
        <f>Inp_User!AQ16</f>
        <v>0</v>
      </c>
      <c r="AR19" s="168">
        <f>Inp_User!AR16</f>
        <v>0</v>
      </c>
    </row>
    <row r="20" spans="1:44" ht="15" customHeight="1">
      <c r="A20" s="113"/>
      <c r="B20" s="135" t="str">
        <f t="shared" ref="B20:B21" si="1">B14</f>
        <v/>
      </c>
      <c r="F20" s="168">
        <f>Inp_User!F17</f>
        <v>0</v>
      </c>
      <c r="G20" s="168">
        <f>Inp_User!G17</f>
        <v>0</v>
      </c>
      <c r="H20" s="168">
        <f>Inp_User!H17</f>
        <v>0</v>
      </c>
      <c r="I20" s="168">
        <f>Inp_User!I17</f>
        <v>0</v>
      </c>
      <c r="J20" s="168">
        <f>Inp_User!J17</f>
        <v>0</v>
      </c>
      <c r="K20" s="168">
        <f>Inp_User!K17</f>
        <v>0</v>
      </c>
      <c r="L20" s="168">
        <f>Inp_User!L17</f>
        <v>0</v>
      </c>
      <c r="M20" s="168">
        <f>Inp_User!M17</f>
        <v>0</v>
      </c>
      <c r="N20" s="168">
        <f>Inp_User!N17</f>
        <v>0</v>
      </c>
      <c r="O20" s="168">
        <f>Inp_User!O17</f>
        <v>0</v>
      </c>
      <c r="P20" s="168">
        <f>Inp_User!P17</f>
        <v>0</v>
      </c>
      <c r="Q20" s="168">
        <f>Inp_User!Q17</f>
        <v>0</v>
      </c>
      <c r="R20" s="168">
        <f>Inp_User!R17</f>
        <v>0</v>
      </c>
      <c r="S20" s="168">
        <f>Inp_User!S17</f>
        <v>0</v>
      </c>
      <c r="T20" s="168">
        <f>Inp_User!T17</f>
        <v>0</v>
      </c>
      <c r="U20" s="168">
        <f>Inp_User!U17</f>
        <v>0</v>
      </c>
      <c r="V20" s="168">
        <f>Inp_User!V17</f>
        <v>0</v>
      </c>
      <c r="W20" s="168">
        <f>Inp_User!W17</f>
        <v>0</v>
      </c>
      <c r="X20" s="168">
        <f>Inp_User!X17</f>
        <v>0</v>
      </c>
      <c r="Y20" s="168">
        <f>Inp_User!Y17</f>
        <v>0</v>
      </c>
      <c r="Z20" s="168">
        <f>Inp_User!Z17</f>
        <v>0</v>
      </c>
      <c r="AA20" s="168">
        <f>Inp_User!AA17</f>
        <v>0</v>
      </c>
      <c r="AB20" s="168">
        <f>Inp_User!AB17</f>
        <v>0</v>
      </c>
      <c r="AC20" s="168">
        <f>Inp_User!AC17</f>
        <v>0</v>
      </c>
      <c r="AD20" s="168">
        <f>Inp_User!AD17</f>
        <v>0</v>
      </c>
      <c r="AE20" s="168">
        <f>Inp_User!AE17</f>
        <v>0</v>
      </c>
      <c r="AF20" s="168">
        <f>Inp_User!AF17</f>
        <v>0</v>
      </c>
      <c r="AG20" s="168">
        <f>Inp_User!AG17</f>
        <v>0</v>
      </c>
      <c r="AH20" s="168">
        <f>Inp_User!AH17</f>
        <v>0</v>
      </c>
      <c r="AI20" s="168">
        <f>Inp_User!AI17</f>
        <v>0</v>
      </c>
      <c r="AJ20" s="168">
        <f>Inp_User!AJ17</f>
        <v>0</v>
      </c>
      <c r="AK20" s="168">
        <f>Inp_User!AK17</f>
        <v>0</v>
      </c>
      <c r="AL20" s="168">
        <f>Inp_User!AL17</f>
        <v>0</v>
      </c>
      <c r="AM20" s="168">
        <f>Inp_User!AM17</f>
        <v>0</v>
      </c>
      <c r="AN20" s="168">
        <f>Inp_User!AN17</f>
        <v>0</v>
      </c>
      <c r="AO20" s="168">
        <f>Inp_User!AO17</f>
        <v>0</v>
      </c>
      <c r="AP20" s="168">
        <f>Inp_User!AP17</f>
        <v>0</v>
      </c>
      <c r="AQ20" s="168">
        <f>Inp_User!AQ17</f>
        <v>0</v>
      </c>
      <c r="AR20" s="168">
        <f>Inp_User!AR17</f>
        <v>0</v>
      </c>
    </row>
    <row r="21" spans="1:44" ht="15" customHeight="1">
      <c r="A21" s="113"/>
      <c r="B21" s="135" t="str">
        <f t="shared" si="1"/>
        <v/>
      </c>
      <c r="F21" s="168">
        <f>Inp_User!F18</f>
        <v>0</v>
      </c>
      <c r="G21" s="168">
        <f>Inp_User!G18</f>
        <v>0</v>
      </c>
      <c r="H21" s="168">
        <f>Inp_User!H18</f>
        <v>0</v>
      </c>
      <c r="I21" s="168">
        <f>Inp_User!I18</f>
        <v>0</v>
      </c>
      <c r="J21" s="168">
        <f>Inp_User!J18</f>
        <v>0</v>
      </c>
      <c r="K21" s="168">
        <f>Inp_User!K18</f>
        <v>0</v>
      </c>
      <c r="L21" s="168">
        <f>Inp_User!L18</f>
        <v>0</v>
      </c>
      <c r="M21" s="168">
        <f>Inp_User!M18</f>
        <v>0</v>
      </c>
      <c r="N21" s="168">
        <f>Inp_User!N18</f>
        <v>0</v>
      </c>
      <c r="O21" s="168">
        <f>Inp_User!O18</f>
        <v>0</v>
      </c>
      <c r="P21" s="168">
        <f>Inp_User!P18</f>
        <v>0</v>
      </c>
      <c r="Q21" s="168">
        <f>Inp_User!Q18</f>
        <v>0</v>
      </c>
      <c r="R21" s="168">
        <f>Inp_User!R18</f>
        <v>0</v>
      </c>
      <c r="S21" s="168">
        <f>Inp_User!S18</f>
        <v>0</v>
      </c>
      <c r="T21" s="168">
        <f>Inp_User!T18</f>
        <v>0</v>
      </c>
      <c r="U21" s="168">
        <f>Inp_User!U18</f>
        <v>0</v>
      </c>
      <c r="V21" s="168">
        <f>Inp_User!V18</f>
        <v>0</v>
      </c>
      <c r="W21" s="168">
        <f>Inp_User!W18</f>
        <v>0</v>
      </c>
      <c r="X21" s="168">
        <f>Inp_User!X18</f>
        <v>0</v>
      </c>
      <c r="Y21" s="168">
        <f>Inp_User!Y18</f>
        <v>0</v>
      </c>
      <c r="Z21" s="168">
        <f>Inp_User!Z18</f>
        <v>0</v>
      </c>
      <c r="AA21" s="168">
        <f>Inp_User!AA18</f>
        <v>0</v>
      </c>
      <c r="AB21" s="168">
        <f>Inp_User!AB18</f>
        <v>0</v>
      </c>
      <c r="AC21" s="168">
        <f>Inp_User!AC18</f>
        <v>0</v>
      </c>
      <c r="AD21" s="168">
        <f>Inp_User!AD18</f>
        <v>0</v>
      </c>
      <c r="AE21" s="168">
        <f>Inp_User!AE18</f>
        <v>0</v>
      </c>
      <c r="AF21" s="168">
        <f>Inp_User!AF18</f>
        <v>0</v>
      </c>
      <c r="AG21" s="168">
        <f>Inp_User!AG18</f>
        <v>0</v>
      </c>
      <c r="AH21" s="168">
        <f>Inp_User!AH18</f>
        <v>0</v>
      </c>
      <c r="AI21" s="168">
        <f>Inp_User!AI18</f>
        <v>0</v>
      </c>
      <c r="AJ21" s="168">
        <f>Inp_User!AJ18</f>
        <v>0</v>
      </c>
      <c r="AK21" s="168">
        <f>Inp_User!AK18</f>
        <v>0</v>
      </c>
      <c r="AL21" s="168">
        <f>Inp_User!AL18</f>
        <v>0</v>
      </c>
      <c r="AM21" s="168">
        <f>Inp_User!AM18</f>
        <v>0</v>
      </c>
      <c r="AN21" s="168">
        <f>Inp_User!AN18</f>
        <v>0</v>
      </c>
      <c r="AO21" s="168">
        <f>Inp_User!AO18</f>
        <v>0</v>
      </c>
      <c r="AP21" s="168">
        <f>Inp_User!AP18</f>
        <v>0</v>
      </c>
      <c r="AQ21" s="168">
        <f>Inp_User!AQ18</f>
        <v>0</v>
      </c>
      <c r="AR21" s="168">
        <f>Inp_User!AR18</f>
        <v>0</v>
      </c>
    </row>
    <row r="22" spans="1:44" ht="10.5" customHeight="1"/>
    <row r="23" spans="1:44" ht="15" customHeight="1">
      <c r="B23" s="134" t="s">
        <v>357</v>
      </c>
    </row>
    <row r="24" spans="1:44" ht="15" customHeight="1">
      <c r="B24" s="111" t="s">
        <v>189</v>
      </c>
      <c r="F24" s="110" t="str">
        <f>[4]Inp_User!F45</f>
        <v>Value</v>
      </c>
      <c r="G24" s="110" t="str">
        <f>[4]Inp_User!G45</f>
        <v>Value</v>
      </c>
      <c r="H24" s="110" t="str">
        <f>[4]Inp_User!H45</f>
        <v>Value</v>
      </c>
      <c r="I24" s="110" t="str">
        <f>[4]Inp_User!I45</f>
        <v>Value</v>
      </c>
      <c r="J24" s="110" t="str">
        <f>[4]Inp_User!J45</f>
        <v>Value</v>
      </c>
      <c r="K24" s="110" t="str">
        <f>[4]Inp_User!K45</f>
        <v>Value</v>
      </c>
      <c r="L24" s="110" t="str">
        <f>[4]Inp_User!L45</f>
        <v>Value</v>
      </c>
      <c r="M24" s="110" t="str">
        <f>[4]Inp_User!M45</f>
        <v>Value</v>
      </c>
      <c r="N24" s="110" t="str">
        <f>[4]Inp_User!N45</f>
        <v>Value</v>
      </c>
      <c r="O24" s="110" t="str">
        <f>[4]Inp_User!O45</f>
        <v>Value</v>
      </c>
      <c r="P24" s="110" t="str">
        <f>[4]Inp_User!P45</f>
        <v>Value</v>
      </c>
      <c r="Q24" s="110" t="str">
        <f>[4]Inp_User!Q45</f>
        <v>Value</v>
      </c>
      <c r="R24" s="110" t="str">
        <f>[4]Inp_User!R45</f>
        <v>Value</v>
      </c>
      <c r="S24" s="110" t="str">
        <f>[4]Inp_User!S45</f>
        <v>Value</v>
      </c>
      <c r="T24" s="110" t="str">
        <f>[4]Inp_User!T45</f>
        <v>Value</v>
      </c>
      <c r="U24" s="110" t="str">
        <f>[4]Inp_User!U45</f>
        <v>Value</v>
      </c>
      <c r="V24" s="110" t="str">
        <f>[4]Inp_User!V45</f>
        <v>Value</v>
      </c>
      <c r="W24" s="110" t="str">
        <f>[4]Inp_User!W45</f>
        <v>Value</v>
      </c>
      <c r="X24" s="110" t="str">
        <f>[4]Inp_User!X45</f>
        <v>Value</v>
      </c>
      <c r="Y24" s="110" t="str">
        <f>[4]Inp_User!Y45</f>
        <v>Value</v>
      </c>
      <c r="Z24" s="110" t="str">
        <f>[4]Inp_User!Z45</f>
        <v>Value</v>
      </c>
      <c r="AA24" s="110" t="str">
        <f>[4]Inp_User!AA45</f>
        <v>Value</v>
      </c>
      <c r="AB24" s="110" t="str">
        <f>[4]Inp_User!AB45</f>
        <v>Value</v>
      </c>
      <c r="AC24" s="110" t="str">
        <f>[4]Inp_User!AC45</f>
        <v>Value</v>
      </c>
      <c r="AD24" s="110" t="str">
        <f>[4]Inp_User!AD45</f>
        <v>Value</v>
      </c>
      <c r="AE24" s="110" t="str">
        <f>[4]Inp_User!AE45</f>
        <v>Value</v>
      </c>
      <c r="AF24" s="110" t="str">
        <f>[4]Inp_User!AF45</f>
        <v>Value</v>
      </c>
      <c r="AG24" s="110" t="str">
        <f>[4]Inp_User!AG45</f>
        <v>Value</v>
      </c>
      <c r="AH24" s="110" t="str">
        <f>[4]Inp_User!AH45</f>
        <v>Value</v>
      </c>
      <c r="AI24" s="110" t="str">
        <f>[4]Inp_User!AI45</f>
        <v>Value</v>
      </c>
      <c r="AJ24" s="110" t="str">
        <f>[4]Inp_User!AJ45</f>
        <v>Value</v>
      </c>
      <c r="AK24" s="110" t="str">
        <f>[4]Inp_User!AK45</f>
        <v>Value</v>
      </c>
      <c r="AL24" s="110" t="str">
        <f>[4]Inp_User!AL45</f>
        <v>Value</v>
      </c>
      <c r="AM24" s="110" t="str">
        <f>[4]Inp_User!AM45</f>
        <v>Value</v>
      </c>
      <c r="AN24" s="110" t="str">
        <f>[4]Inp_User!AN45</f>
        <v>Value</v>
      </c>
      <c r="AO24" s="110" t="str">
        <f>[4]Inp_User!AO45</f>
        <v>Value</v>
      </c>
      <c r="AP24" s="110" t="str">
        <f>[4]Inp_User!AP45</f>
        <v>Value</v>
      </c>
      <c r="AQ24" s="110" t="str">
        <f>[4]Inp_User!AQ45</f>
        <v>Value</v>
      </c>
      <c r="AR24" s="110" t="str">
        <f>[4]Inp_User!AR45</f>
        <v>Value</v>
      </c>
    </row>
    <row r="25" spans="1:44" ht="15" customHeight="1">
      <c r="A25" s="113"/>
      <c r="B25" s="135" t="str">
        <f>B13</f>
        <v/>
      </c>
      <c r="F25" s="168">
        <f>Inp_User!F22</f>
        <v>0</v>
      </c>
      <c r="G25" s="168">
        <f>Inp_User!G22</f>
        <v>0</v>
      </c>
      <c r="H25" s="168">
        <f>Inp_User!H22</f>
        <v>0</v>
      </c>
      <c r="I25" s="168">
        <f>Inp_User!I22</f>
        <v>0</v>
      </c>
      <c r="J25" s="168">
        <f>Inp_User!J22</f>
        <v>0</v>
      </c>
      <c r="K25" s="168">
        <f>Inp_User!K22</f>
        <v>0</v>
      </c>
      <c r="L25" s="168">
        <f>Inp_User!L22</f>
        <v>0</v>
      </c>
      <c r="M25" s="168">
        <f>Inp_User!M22</f>
        <v>0</v>
      </c>
      <c r="N25" s="168">
        <f>Inp_User!N22</f>
        <v>0</v>
      </c>
      <c r="O25" s="168">
        <f>Inp_User!O22</f>
        <v>0</v>
      </c>
      <c r="P25" s="168">
        <f>Inp_User!P22</f>
        <v>0</v>
      </c>
      <c r="Q25" s="168">
        <f>Inp_User!Q22</f>
        <v>0</v>
      </c>
      <c r="R25" s="168">
        <f>Inp_User!R22</f>
        <v>0</v>
      </c>
      <c r="S25" s="168">
        <f>Inp_User!S22</f>
        <v>0</v>
      </c>
      <c r="T25" s="168">
        <f>Inp_User!T22</f>
        <v>0</v>
      </c>
      <c r="U25" s="168">
        <f>Inp_User!U22</f>
        <v>0</v>
      </c>
      <c r="V25" s="168">
        <f>Inp_User!V22</f>
        <v>0</v>
      </c>
      <c r="W25" s="168">
        <f>Inp_User!W22</f>
        <v>0</v>
      </c>
      <c r="X25" s="168">
        <f>Inp_User!X22</f>
        <v>0</v>
      </c>
      <c r="Y25" s="168">
        <f>Inp_User!Y22</f>
        <v>0</v>
      </c>
      <c r="Z25" s="168">
        <f>Inp_User!Z22</f>
        <v>0</v>
      </c>
      <c r="AA25" s="168">
        <f>Inp_User!AA22</f>
        <v>0</v>
      </c>
      <c r="AB25" s="168">
        <f>Inp_User!AB22</f>
        <v>0</v>
      </c>
      <c r="AC25" s="168">
        <f>Inp_User!AC22</f>
        <v>0</v>
      </c>
      <c r="AD25" s="168">
        <f>Inp_User!AD22</f>
        <v>0</v>
      </c>
      <c r="AE25" s="168">
        <f>Inp_User!AE22</f>
        <v>0</v>
      </c>
      <c r="AF25" s="168">
        <f>Inp_User!AF22</f>
        <v>0</v>
      </c>
      <c r="AG25" s="168">
        <f>Inp_User!AG22</f>
        <v>0</v>
      </c>
      <c r="AH25" s="168">
        <f>Inp_User!AH22</f>
        <v>0</v>
      </c>
      <c r="AI25" s="168">
        <f>Inp_User!AI22</f>
        <v>0</v>
      </c>
      <c r="AJ25" s="168">
        <f>Inp_User!AJ22</f>
        <v>0</v>
      </c>
      <c r="AK25" s="168">
        <f>Inp_User!AK22</f>
        <v>0</v>
      </c>
      <c r="AL25" s="168">
        <f>Inp_User!AL22</f>
        <v>0</v>
      </c>
      <c r="AM25" s="168">
        <f>Inp_User!AM22</f>
        <v>0</v>
      </c>
      <c r="AN25" s="168">
        <f>Inp_User!AN22</f>
        <v>0</v>
      </c>
      <c r="AO25" s="168">
        <f>Inp_User!AO22</f>
        <v>0</v>
      </c>
      <c r="AP25" s="168">
        <f>Inp_User!AP22</f>
        <v>0</v>
      </c>
      <c r="AQ25" s="168">
        <f>Inp_User!AQ22</f>
        <v>0</v>
      </c>
      <c r="AR25" s="168">
        <f>Inp_User!AR22</f>
        <v>0</v>
      </c>
    </row>
    <row r="26" spans="1:44" ht="15" customHeight="1">
      <c r="A26" s="113"/>
      <c r="B26" s="135" t="str">
        <f t="shared" ref="B26:B27" si="2">B14</f>
        <v/>
      </c>
      <c r="F26" s="168">
        <f>Inp_User!F23</f>
        <v>0</v>
      </c>
      <c r="G26" s="168">
        <f>Inp_User!G23</f>
        <v>0</v>
      </c>
      <c r="H26" s="168">
        <f>Inp_User!H23</f>
        <v>0</v>
      </c>
      <c r="I26" s="168">
        <f>Inp_User!I23</f>
        <v>0</v>
      </c>
      <c r="J26" s="168">
        <f>Inp_User!J23</f>
        <v>0</v>
      </c>
      <c r="K26" s="168">
        <f>Inp_User!K23</f>
        <v>0</v>
      </c>
      <c r="L26" s="168">
        <f>Inp_User!L23</f>
        <v>0</v>
      </c>
      <c r="M26" s="168">
        <f>Inp_User!M23</f>
        <v>0</v>
      </c>
      <c r="N26" s="168">
        <f>Inp_User!N23</f>
        <v>0</v>
      </c>
      <c r="O26" s="168">
        <f>Inp_User!O23</f>
        <v>0</v>
      </c>
      <c r="P26" s="168">
        <f>Inp_User!P23</f>
        <v>0</v>
      </c>
      <c r="Q26" s="168">
        <f>Inp_User!Q23</f>
        <v>0</v>
      </c>
      <c r="R26" s="168">
        <f>Inp_User!R23</f>
        <v>0</v>
      </c>
      <c r="S26" s="168">
        <f>Inp_User!S23</f>
        <v>0</v>
      </c>
      <c r="T26" s="168">
        <f>Inp_User!T23</f>
        <v>0</v>
      </c>
      <c r="U26" s="168">
        <f>Inp_User!U23</f>
        <v>0</v>
      </c>
      <c r="V26" s="168">
        <f>Inp_User!V23</f>
        <v>0</v>
      </c>
      <c r="W26" s="168">
        <f>Inp_User!W23</f>
        <v>0</v>
      </c>
      <c r="X26" s="168">
        <f>Inp_User!X23</f>
        <v>0</v>
      </c>
      <c r="Y26" s="168">
        <f>Inp_User!Y23</f>
        <v>0</v>
      </c>
      <c r="Z26" s="168">
        <f>Inp_User!Z23</f>
        <v>0</v>
      </c>
      <c r="AA26" s="168">
        <f>Inp_User!AA23</f>
        <v>0</v>
      </c>
      <c r="AB26" s="168">
        <f>Inp_User!AB23</f>
        <v>0</v>
      </c>
      <c r="AC26" s="168">
        <f>Inp_User!AC23</f>
        <v>0</v>
      </c>
      <c r="AD26" s="168">
        <f>Inp_User!AD23</f>
        <v>0</v>
      </c>
      <c r="AE26" s="168">
        <f>Inp_User!AE23</f>
        <v>0</v>
      </c>
      <c r="AF26" s="168">
        <f>Inp_User!AF23</f>
        <v>0</v>
      </c>
      <c r="AG26" s="168">
        <f>Inp_User!AG23</f>
        <v>0</v>
      </c>
      <c r="AH26" s="168">
        <f>Inp_User!AH23</f>
        <v>0</v>
      </c>
      <c r="AI26" s="168">
        <f>Inp_User!AI23</f>
        <v>0</v>
      </c>
      <c r="AJ26" s="168">
        <f>Inp_User!AJ23</f>
        <v>0</v>
      </c>
      <c r="AK26" s="168">
        <f>Inp_User!AK23</f>
        <v>0</v>
      </c>
      <c r="AL26" s="168">
        <f>Inp_User!AL23</f>
        <v>0</v>
      </c>
      <c r="AM26" s="168">
        <f>Inp_User!AM23</f>
        <v>0</v>
      </c>
      <c r="AN26" s="168">
        <f>Inp_User!AN23</f>
        <v>0</v>
      </c>
      <c r="AO26" s="168">
        <f>Inp_User!AO23</f>
        <v>0</v>
      </c>
      <c r="AP26" s="168">
        <f>Inp_User!AP23</f>
        <v>0</v>
      </c>
      <c r="AQ26" s="168">
        <f>Inp_User!AQ23</f>
        <v>0</v>
      </c>
      <c r="AR26" s="168">
        <f>Inp_User!AR23</f>
        <v>0</v>
      </c>
    </row>
    <row r="27" spans="1:44" ht="15" customHeight="1">
      <c r="A27" s="113"/>
      <c r="B27" s="135" t="str">
        <f t="shared" si="2"/>
        <v/>
      </c>
      <c r="F27" s="168">
        <f>Inp_User!F24</f>
        <v>0</v>
      </c>
      <c r="G27" s="168">
        <f>Inp_User!G24</f>
        <v>0</v>
      </c>
      <c r="H27" s="168">
        <f>Inp_User!H24</f>
        <v>0</v>
      </c>
      <c r="I27" s="168">
        <f>Inp_User!I24</f>
        <v>0</v>
      </c>
      <c r="J27" s="168">
        <f>Inp_User!J24</f>
        <v>0</v>
      </c>
      <c r="K27" s="168">
        <f>Inp_User!K24</f>
        <v>0</v>
      </c>
      <c r="L27" s="168">
        <f>Inp_User!L24</f>
        <v>0</v>
      </c>
      <c r="M27" s="168">
        <f>Inp_User!M24</f>
        <v>0</v>
      </c>
      <c r="N27" s="168">
        <f>Inp_User!N24</f>
        <v>0</v>
      </c>
      <c r="O27" s="168">
        <f>Inp_User!O24</f>
        <v>0</v>
      </c>
      <c r="P27" s="168">
        <f>Inp_User!P24</f>
        <v>0</v>
      </c>
      <c r="Q27" s="168">
        <f>Inp_User!Q24</f>
        <v>0</v>
      </c>
      <c r="R27" s="168">
        <f>Inp_User!R24</f>
        <v>0</v>
      </c>
      <c r="S27" s="168">
        <f>Inp_User!S24</f>
        <v>0</v>
      </c>
      <c r="T27" s="168">
        <f>Inp_User!T24</f>
        <v>0</v>
      </c>
      <c r="U27" s="168">
        <f>Inp_User!U24</f>
        <v>0</v>
      </c>
      <c r="V27" s="168">
        <f>Inp_User!V24</f>
        <v>0</v>
      </c>
      <c r="W27" s="168">
        <f>Inp_User!W24</f>
        <v>0</v>
      </c>
      <c r="X27" s="168">
        <f>Inp_User!X24</f>
        <v>0</v>
      </c>
      <c r="Y27" s="168">
        <f>Inp_User!Y24</f>
        <v>0</v>
      </c>
      <c r="Z27" s="168">
        <f>Inp_User!Z24</f>
        <v>0</v>
      </c>
      <c r="AA27" s="168">
        <f>Inp_User!AA24</f>
        <v>0</v>
      </c>
      <c r="AB27" s="168">
        <f>Inp_User!AB24</f>
        <v>0</v>
      </c>
      <c r="AC27" s="168">
        <f>Inp_User!AC24</f>
        <v>0</v>
      </c>
      <c r="AD27" s="168">
        <f>Inp_User!AD24</f>
        <v>0</v>
      </c>
      <c r="AE27" s="168">
        <f>Inp_User!AE24</f>
        <v>0</v>
      </c>
      <c r="AF27" s="168">
        <f>Inp_User!AF24</f>
        <v>0</v>
      </c>
      <c r="AG27" s="168">
        <f>Inp_User!AG24</f>
        <v>0</v>
      </c>
      <c r="AH27" s="168">
        <f>Inp_User!AH24</f>
        <v>0</v>
      </c>
      <c r="AI27" s="168">
        <f>Inp_User!AI24</f>
        <v>0</v>
      </c>
      <c r="AJ27" s="168">
        <f>Inp_User!AJ24</f>
        <v>0</v>
      </c>
      <c r="AK27" s="168">
        <f>Inp_User!AK24</f>
        <v>0</v>
      </c>
      <c r="AL27" s="168">
        <f>Inp_User!AL24</f>
        <v>0</v>
      </c>
      <c r="AM27" s="168">
        <f>Inp_User!AM24</f>
        <v>0</v>
      </c>
      <c r="AN27" s="168">
        <f>Inp_User!AN24</f>
        <v>0</v>
      </c>
      <c r="AO27" s="168">
        <f>Inp_User!AO24</f>
        <v>0</v>
      </c>
      <c r="AP27" s="168">
        <f>Inp_User!AP24</f>
        <v>0</v>
      </c>
      <c r="AQ27" s="168">
        <f>Inp_User!AQ24</f>
        <v>0</v>
      </c>
      <c r="AR27" s="168">
        <f>Inp_User!AR24</f>
        <v>0</v>
      </c>
    </row>
    <row r="28" spans="1:44" ht="5.25" customHeight="1"/>
    <row r="29" spans="1:44" ht="6.75" customHeight="1"/>
    <row r="30" spans="1:44" ht="21.75" customHeight="1">
      <c r="B30" s="133" t="s">
        <v>211</v>
      </c>
    </row>
    <row r="31" spans="1:44" ht="8.25" customHeight="1"/>
    <row r="32" spans="1:44" ht="15" customHeight="1">
      <c r="B32" s="134" t="s">
        <v>212</v>
      </c>
    </row>
    <row r="33" spans="1:44" ht="15" customHeight="1">
      <c r="B33" s="111" t="s">
        <v>189</v>
      </c>
      <c r="F33" s="110" t="str">
        <f>F24</f>
        <v>Value</v>
      </c>
      <c r="G33" s="110" t="str">
        <f t="shared" ref="G33:AR33" si="3">G24</f>
        <v>Value</v>
      </c>
      <c r="H33" s="110" t="str">
        <f t="shared" si="3"/>
        <v>Value</v>
      </c>
      <c r="I33" s="110" t="str">
        <f t="shared" si="3"/>
        <v>Value</v>
      </c>
      <c r="J33" s="110" t="str">
        <f t="shared" si="3"/>
        <v>Value</v>
      </c>
      <c r="K33" s="110" t="str">
        <f t="shared" si="3"/>
        <v>Value</v>
      </c>
      <c r="L33" s="110" t="str">
        <f t="shared" si="3"/>
        <v>Value</v>
      </c>
      <c r="M33" s="110" t="str">
        <f t="shared" si="3"/>
        <v>Value</v>
      </c>
      <c r="N33" s="110" t="str">
        <f t="shared" si="3"/>
        <v>Value</v>
      </c>
      <c r="O33" s="110" t="str">
        <f t="shared" si="3"/>
        <v>Value</v>
      </c>
      <c r="P33" s="110" t="str">
        <f t="shared" si="3"/>
        <v>Value</v>
      </c>
      <c r="Q33" s="110" t="str">
        <f t="shared" si="3"/>
        <v>Value</v>
      </c>
      <c r="R33" s="110" t="str">
        <f t="shared" si="3"/>
        <v>Value</v>
      </c>
      <c r="S33" s="110" t="str">
        <f t="shared" si="3"/>
        <v>Value</v>
      </c>
      <c r="T33" s="110" t="str">
        <f t="shared" si="3"/>
        <v>Value</v>
      </c>
      <c r="U33" s="110" t="str">
        <f t="shared" si="3"/>
        <v>Value</v>
      </c>
      <c r="V33" s="110" t="str">
        <f t="shared" si="3"/>
        <v>Value</v>
      </c>
      <c r="W33" s="110" t="str">
        <f t="shared" si="3"/>
        <v>Value</v>
      </c>
      <c r="X33" s="110" t="str">
        <f t="shared" si="3"/>
        <v>Value</v>
      </c>
      <c r="Y33" s="110" t="str">
        <f t="shared" si="3"/>
        <v>Value</v>
      </c>
      <c r="Z33" s="110" t="str">
        <f t="shared" si="3"/>
        <v>Value</v>
      </c>
      <c r="AA33" s="110" t="str">
        <f t="shared" si="3"/>
        <v>Value</v>
      </c>
      <c r="AB33" s="110" t="str">
        <f t="shared" si="3"/>
        <v>Value</v>
      </c>
      <c r="AC33" s="110" t="str">
        <f t="shared" si="3"/>
        <v>Value</v>
      </c>
      <c r="AD33" s="110" t="str">
        <f t="shared" si="3"/>
        <v>Value</v>
      </c>
      <c r="AE33" s="110" t="str">
        <f t="shared" si="3"/>
        <v>Value</v>
      </c>
      <c r="AF33" s="110" t="str">
        <f t="shared" si="3"/>
        <v>Value</v>
      </c>
      <c r="AG33" s="110" t="str">
        <f t="shared" si="3"/>
        <v>Value</v>
      </c>
      <c r="AH33" s="110" t="str">
        <f t="shared" si="3"/>
        <v>Value</v>
      </c>
      <c r="AI33" s="110" t="str">
        <f t="shared" si="3"/>
        <v>Value</v>
      </c>
      <c r="AJ33" s="110" t="str">
        <f t="shared" si="3"/>
        <v>Value</v>
      </c>
      <c r="AK33" s="110" t="str">
        <f t="shared" si="3"/>
        <v>Value</v>
      </c>
      <c r="AL33" s="110" t="str">
        <f t="shared" si="3"/>
        <v>Value</v>
      </c>
      <c r="AM33" s="110" t="str">
        <f t="shared" si="3"/>
        <v>Value</v>
      </c>
      <c r="AN33" s="110" t="str">
        <f t="shared" si="3"/>
        <v>Value</v>
      </c>
      <c r="AO33" s="110" t="str">
        <f t="shared" si="3"/>
        <v>Value</v>
      </c>
      <c r="AP33" s="110" t="str">
        <f t="shared" si="3"/>
        <v>Value</v>
      </c>
      <c r="AQ33" s="110" t="str">
        <f t="shared" si="3"/>
        <v>Value</v>
      </c>
      <c r="AR33" s="110" t="str">
        <f t="shared" si="3"/>
        <v>Value</v>
      </c>
    </row>
    <row r="34" spans="1:44" ht="15" customHeight="1">
      <c r="A34" s="113"/>
      <c r="B34" s="135" t="str">
        <f>B13</f>
        <v/>
      </c>
      <c r="F34" s="168">
        <f>F13*F19</f>
        <v>0</v>
      </c>
      <c r="G34" s="168">
        <f t="shared" ref="G34:AR36" si="4">G13*G19</f>
        <v>0</v>
      </c>
      <c r="H34" s="168">
        <f t="shared" si="4"/>
        <v>0</v>
      </c>
      <c r="I34" s="168">
        <f t="shared" si="4"/>
        <v>0</v>
      </c>
      <c r="J34" s="168">
        <f t="shared" si="4"/>
        <v>0</v>
      </c>
      <c r="K34" s="168">
        <f t="shared" si="4"/>
        <v>0</v>
      </c>
      <c r="L34" s="168">
        <f t="shared" si="4"/>
        <v>0</v>
      </c>
      <c r="M34" s="168">
        <f t="shared" si="4"/>
        <v>0</v>
      </c>
      <c r="N34" s="168">
        <f t="shared" si="4"/>
        <v>0</v>
      </c>
      <c r="O34" s="168">
        <f t="shared" si="4"/>
        <v>0</v>
      </c>
      <c r="P34" s="168">
        <f t="shared" si="4"/>
        <v>0</v>
      </c>
      <c r="Q34" s="168">
        <f t="shared" si="4"/>
        <v>0</v>
      </c>
      <c r="R34" s="168">
        <f t="shared" si="4"/>
        <v>0</v>
      </c>
      <c r="S34" s="168">
        <f t="shared" si="4"/>
        <v>0</v>
      </c>
      <c r="T34" s="168">
        <f t="shared" si="4"/>
        <v>0</v>
      </c>
      <c r="U34" s="168">
        <f t="shared" si="4"/>
        <v>0</v>
      </c>
      <c r="V34" s="168">
        <f t="shared" si="4"/>
        <v>0</v>
      </c>
      <c r="W34" s="168">
        <f t="shared" si="4"/>
        <v>0</v>
      </c>
      <c r="X34" s="168">
        <f t="shared" si="4"/>
        <v>0</v>
      </c>
      <c r="Y34" s="168">
        <f t="shared" si="4"/>
        <v>0</v>
      </c>
      <c r="Z34" s="168">
        <f t="shared" si="4"/>
        <v>0</v>
      </c>
      <c r="AA34" s="168">
        <f t="shared" si="4"/>
        <v>0</v>
      </c>
      <c r="AB34" s="168">
        <f t="shared" si="4"/>
        <v>0</v>
      </c>
      <c r="AC34" s="168">
        <f t="shared" si="4"/>
        <v>0</v>
      </c>
      <c r="AD34" s="168">
        <f t="shared" si="4"/>
        <v>0</v>
      </c>
      <c r="AE34" s="168">
        <f t="shared" si="4"/>
        <v>0</v>
      </c>
      <c r="AF34" s="168">
        <f t="shared" si="4"/>
        <v>0</v>
      </c>
      <c r="AG34" s="168">
        <f t="shared" si="4"/>
        <v>0</v>
      </c>
      <c r="AH34" s="168">
        <f t="shared" si="4"/>
        <v>0</v>
      </c>
      <c r="AI34" s="168">
        <f t="shared" si="4"/>
        <v>0</v>
      </c>
      <c r="AJ34" s="168">
        <f t="shared" si="4"/>
        <v>0</v>
      </c>
      <c r="AK34" s="168">
        <f t="shared" si="4"/>
        <v>0</v>
      </c>
      <c r="AL34" s="168">
        <f t="shared" si="4"/>
        <v>0</v>
      </c>
      <c r="AM34" s="168">
        <f t="shared" si="4"/>
        <v>0</v>
      </c>
      <c r="AN34" s="168">
        <f t="shared" si="4"/>
        <v>0</v>
      </c>
      <c r="AO34" s="168">
        <f t="shared" si="4"/>
        <v>0</v>
      </c>
      <c r="AP34" s="168">
        <f t="shared" si="4"/>
        <v>0</v>
      </c>
      <c r="AQ34" s="168">
        <f t="shared" si="4"/>
        <v>0</v>
      </c>
      <c r="AR34" s="168">
        <f t="shared" si="4"/>
        <v>0</v>
      </c>
    </row>
    <row r="35" spans="1:44" ht="15" customHeight="1">
      <c r="A35" s="113"/>
      <c r="B35" s="135" t="str">
        <f t="shared" ref="B35:B36" si="5">B14</f>
        <v/>
      </c>
      <c r="F35" s="168">
        <f t="shared" ref="F35:U36" si="6">F14*F20</f>
        <v>0</v>
      </c>
      <c r="G35" s="168">
        <f t="shared" si="6"/>
        <v>0</v>
      </c>
      <c r="H35" s="168">
        <f t="shared" si="6"/>
        <v>0</v>
      </c>
      <c r="I35" s="168">
        <f t="shared" si="6"/>
        <v>0</v>
      </c>
      <c r="J35" s="168">
        <f t="shared" si="6"/>
        <v>0</v>
      </c>
      <c r="K35" s="168">
        <f t="shared" si="6"/>
        <v>0</v>
      </c>
      <c r="L35" s="168">
        <f t="shared" si="6"/>
        <v>0</v>
      </c>
      <c r="M35" s="168">
        <f t="shared" si="6"/>
        <v>0</v>
      </c>
      <c r="N35" s="168">
        <f t="shared" si="6"/>
        <v>0</v>
      </c>
      <c r="O35" s="168">
        <f t="shared" si="6"/>
        <v>0</v>
      </c>
      <c r="P35" s="168">
        <f t="shared" si="6"/>
        <v>0</v>
      </c>
      <c r="Q35" s="168">
        <f t="shared" si="6"/>
        <v>0</v>
      </c>
      <c r="R35" s="168">
        <f t="shared" si="6"/>
        <v>0</v>
      </c>
      <c r="S35" s="168">
        <f t="shared" si="6"/>
        <v>0</v>
      </c>
      <c r="T35" s="168">
        <f t="shared" si="6"/>
        <v>0</v>
      </c>
      <c r="U35" s="168">
        <f t="shared" si="6"/>
        <v>0</v>
      </c>
      <c r="V35" s="168">
        <f t="shared" si="4"/>
        <v>0</v>
      </c>
      <c r="W35" s="168">
        <f t="shared" si="4"/>
        <v>0</v>
      </c>
      <c r="X35" s="168">
        <f t="shared" si="4"/>
        <v>0</v>
      </c>
      <c r="Y35" s="168">
        <f t="shared" si="4"/>
        <v>0</v>
      </c>
      <c r="Z35" s="168">
        <f t="shared" si="4"/>
        <v>0</v>
      </c>
      <c r="AA35" s="168">
        <f t="shared" si="4"/>
        <v>0</v>
      </c>
      <c r="AB35" s="168">
        <f t="shared" si="4"/>
        <v>0</v>
      </c>
      <c r="AC35" s="168">
        <f t="shared" si="4"/>
        <v>0</v>
      </c>
      <c r="AD35" s="168">
        <f t="shared" si="4"/>
        <v>0</v>
      </c>
      <c r="AE35" s="168">
        <f t="shared" si="4"/>
        <v>0</v>
      </c>
      <c r="AF35" s="168">
        <f t="shared" si="4"/>
        <v>0</v>
      </c>
      <c r="AG35" s="168">
        <f t="shared" si="4"/>
        <v>0</v>
      </c>
      <c r="AH35" s="168">
        <f t="shared" si="4"/>
        <v>0</v>
      </c>
      <c r="AI35" s="168">
        <f t="shared" si="4"/>
        <v>0</v>
      </c>
      <c r="AJ35" s="168">
        <f t="shared" si="4"/>
        <v>0</v>
      </c>
      <c r="AK35" s="168">
        <f t="shared" si="4"/>
        <v>0</v>
      </c>
      <c r="AL35" s="168">
        <f t="shared" si="4"/>
        <v>0</v>
      </c>
      <c r="AM35" s="168">
        <f t="shared" si="4"/>
        <v>0</v>
      </c>
      <c r="AN35" s="168">
        <f t="shared" si="4"/>
        <v>0</v>
      </c>
      <c r="AO35" s="168">
        <f t="shared" si="4"/>
        <v>0</v>
      </c>
      <c r="AP35" s="168">
        <f t="shared" si="4"/>
        <v>0</v>
      </c>
      <c r="AQ35" s="168">
        <f t="shared" si="4"/>
        <v>0</v>
      </c>
      <c r="AR35" s="168">
        <f t="shared" si="4"/>
        <v>0</v>
      </c>
    </row>
    <row r="36" spans="1:44" ht="15" customHeight="1">
      <c r="A36" s="113"/>
      <c r="B36" s="135" t="str">
        <f t="shared" si="5"/>
        <v/>
      </c>
      <c r="F36" s="168">
        <f t="shared" si="6"/>
        <v>0</v>
      </c>
      <c r="G36" s="168">
        <f t="shared" si="4"/>
        <v>0</v>
      </c>
      <c r="H36" s="168">
        <f t="shared" si="4"/>
        <v>0</v>
      </c>
      <c r="I36" s="168">
        <f t="shared" si="4"/>
        <v>0</v>
      </c>
      <c r="J36" s="168">
        <f t="shared" si="4"/>
        <v>0</v>
      </c>
      <c r="K36" s="168">
        <f t="shared" si="4"/>
        <v>0</v>
      </c>
      <c r="L36" s="168">
        <f t="shared" si="4"/>
        <v>0</v>
      </c>
      <c r="M36" s="168">
        <f t="shared" si="4"/>
        <v>0</v>
      </c>
      <c r="N36" s="168">
        <f t="shared" si="4"/>
        <v>0</v>
      </c>
      <c r="O36" s="168">
        <f t="shared" si="4"/>
        <v>0</v>
      </c>
      <c r="P36" s="168">
        <f t="shared" si="4"/>
        <v>0</v>
      </c>
      <c r="Q36" s="168">
        <f t="shared" si="4"/>
        <v>0</v>
      </c>
      <c r="R36" s="168">
        <f t="shared" si="4"/>
        <v>0</v>
      </c>
      <c r="S36" s="168">
        <f t="shared" si="4"/>
        <v>0</v>
      </c>
      <c r="T36" s="168">
        <f t="shared" si="4"/>
        <v>0</v>
      </c>
      <c r="U36" s="168">
        <f t="shared" si="4"/>
        <v>0</v>
      </c>
      <c r="V36" s="168">
        <f t="shared" si="4"/>
        <v>0</v>
      </c>
      <c r="W36" s="168">
        <f t="shared" si="4"/>
        <v>0</v>
      </c>
      <c r="X36" s="168">
        <f t="shared" si="4"/>
        <v>0</v>
      </c>
      <c r="Y36" s="168">
        <f t="shared" si="4"/>
        <v>0</v>
      </c>
      <c r="Z36" s="168">
        <f t="shared" si="4"/>
        <v>0</v>
      </c>
      <c r="AA36" s="168">
        <f t="shared" si="4"/>
        <v>0</v>
      </c>
      <c r="AB36" s="168">
        <f t="shared" si="4"/>
        <v>0</v>
      </c>
      <c r="AC36" s="168">
        <f t="shared" si="4"/>
        <v>0</v>
      </c>
      <c r="AD36" s="168">
        <f t="shared" si="4"/>
        <v>0</v>
      </c>
      <c r="AE36" s="168">
        <f t="shared" si="4"/>
        <v>0</v>
      </c>
      <c r="AF36" s="168">
        <f t="shared" si="4"/>
        <v>0</v>
      </c>
      <c r="AG36" s="168">
        <f t="shared" si="4"/>
        <v>0</v>
      </c>
      <c r="AH36" s="168">
        <f t="shared" si="4"/>
        <v>0</v>
      </c>
      <c r="AI36" s="168">
        <f t="shared" si="4"/>
        <v>0</v>
      </c>
      <c r="AJ36" s="168">
        <f t="shared" si="4"/>
        <v>0</v>
      </c>
      <c r="AK36" s="168">
        <f t="shared" si="4"/>
        <v>0</v>
      </c>
      <c r="AL36" s="168">
        <f t="shared" si="4"/>
        <v>0</v>
      </c>
      <c r="AM36" s="168">
        <f t="shared" si="4"/>
        <v>0</v>
      </c>
      <c r="AN36" s="168">
        <f t="shared" si="4"/>
        <v>0</v>
      </c>
      <c r="AO36" s="168">
        <f t="shared" si="4"/>
        <v>0</v>
      </c>
      <c r="AP36" s="168">
        <f t="shared" si="4"/>
        <v>0</v>
      </c>
      <c r="AQ36" s="168">
        <f t="shared" si="4"/>
        <v>0</v>
      </c>
      <c r="AR36" s="168">
        <f t="shared" si="4"/>
        <v>0</v>
      </c>
    </row>
    <row r="37" spans="1:44" ht="15" customHeight="1"/>
    <row r="38" spans="1:44" ht="15" customHeight="1"/>
    <row r="39" spans="1:44" ht="15" customHeight="1">
      <c r="B39" s="134" t="s">
        <v>213</v>
      </c>
    </row>
    <row r="40" spans="1:44" ht="15" customHeight="1">
      <c r="B40" s="111" t="s">
        <v>189</v>
      </c>
      <c r="F40" s="110" t="str">
        <f>F33</f>
        <v>Value</v>
      </c>
      <c r="G40" s="110" t="str">
        <f t="shared" ref="G40:AR40" si="7">G33</f>
        <v>Value</v>
      </c>
      <c r="H40" s="110" t="str">
        <f t="shared" si="7"/>
        <v>Value</v>
      </c>
      <c r="I40" s="110" t="str">
        <f t="shared" si="7"/>
        <v>Value</v>
      </c>
      <c r="J40" s="110" t="str">
        <f t="shared" si="7"/>
        <v>Value</v>
      </c>
      <c r="K40" s="110" t="str">
        <f t="shared" si="7"/>
        <v>Value</v>
      </c>
      <c r="L40" s="110" t="str">
        <f t="shared" si="7"/>
        <v>Value</v>
      </c>
      <c r="M40" s="110" t="str">
        <f t="shared" si="7"/>
        <v>Value</v>
      </c>
      <c r="N40" s="110" t="str">
        <f t="shared" si="7"/>
        <v>Value</v>
      </c>
      <c r="O40" s="110" t="str">
        <f t="shared" si="7"/>
        <v>Value</v>
      </c>
      <c r="P40" s="110" t="str">
        <f t="shared" si="7"/>
        <v>Value</v>
      </c>
      <c r="Q40" s="110" t="str">
        <f t="shared" si="7"/>
        <v>Value</v>
      </c>
      <c r="R40" s="110" t="str">
        <f t="shared" si="7"/>
        <v>Value</v>
      </c>
      <c r="S40" s="110" t="str">
        <f t="shared" si="7"/>
        <v>Value</v>
      </c>
      <c r="T40" s="110" t="str">
        <f t="shared" si="7"/>
        <v>Value</v>
      </c>
      <c r="U40" s="110" t="str">
        <f t="shared" si="7"/>
        <v>Value</v>
      </c>
      <c r="V40" s="110" t="str">
        <f t="shared" si="7"/>
        <v>Value</v>
      </c>
      <c r="W40" s="110" t="str">
        <f t="shared" si="7"/>
        <v>Value</v>
      </c>
      <c r="X40" s="110" t="str">
        <f t="shared" si="7"/>
        <v>Value</v>
      </c>
      <c r="Y40" s="110" t="str">
        <f t="shared" si="7"/>
        <v>Value</v>
      </c>
      <c r="Z40" s="110" t="str">
        <f t="shared" si="7"/>
        <v>Value</v>
      </c>
      <c r="AA40" s="110" t="str">
        <f t="shared" si="7"/>
        <v>Value</v>
      </c>
      <c r="AB40" s="110" t="str">
        <f t="shared" si="7"/>
        <v>Value</v>
      </c>
      <c r="AC40" s="110" t="str">
        <f t="shared" si="7"/>
        <v>Value</v>
      </c>
      <c r="AD40" s="110" t="str">
        <f t="shared" si="7"/>
        <v>Value</v>
      </c>
      <c r="AE40" s="110" t="str">
        <f t="shared" si="7"/>
        <v>Value</v>
      </c>
      <c r="AF40" s="110" t="str">
        <f t="shared" si="7"/>
        <v>Value</v>
      </c>
      <c r="AG40" s="110" t="str">
        <f t="shared" si="7"/>
        <v>Value</v>
      </c>
      <c r="AH40" s="110" t="str">
        <f t="shared" si="7"/>
        <v>Value</v>
      </c>
      <c r="AI40" s="110" t="str">
        <f t="shared" si="7"/>
        <v>Value</v>
      </c>
      <c r="AJ40" s="110" t="str">
        <f t="shared" si="7"/>
        <v>Value</v>
      </c>
      <c r="AK40" s="110" t="str">
        <f t="shared" si="7"/>
        <v>Value</v>
      </c>
      <c r="AL40" s="110" t="str">
        <f t="shared" si="7"/>
        <v>Value</v>
      </c>
      <c r="AM40" s="110" t="str">
        <f t="shared" si="7"/>
        <v>Value</v>
      </c>
      <c r="AN40" s="110" t="str">
        <f t="shared" si="7"/>
        <v>Value</v>
      </c>
      <c r="AO40" s="110" t="str">
        <f t="shared" si="7"/>
        <v>Value</v>
      </c>
      <c r="AP40" s="110" t="str">
        <f t="shared" si="7"/>
        <v>Value</v>
      </c>
      <c r="AQ40" s="110" t="str">
        <f t="shared" si="7"/>
        <v>Value</v>
      </c>
      <c r="AR40" s="110" t="str">
        <f t="shared" si="7"/>
        <v>Value</v>
      </c>
    </row>
    <row r="41" spans="1:44" ht="15" customHeight="1">
      <c r="A41" s="113"/>
      <c r="B41" s="135" t="str">
        <f>B13</f>
        <v/>
      </c>
      <c r="F41" s="136">
        <f>F13*F25</f>
        <v>0</v>
      </c>
      <c r="G41" s="136">
        <f t="shared" ref="G41:AR43" si="8">G13*G25</f>
        <v>0</v>
      </c>
      <c r="H41" s="136">
        <f t="shared" si="8"/>
        <v>0</v>
      </c>
      <c r="I41" s="136">
        <f t="shared" si="8"/>
        <v>0</v>
      </c>
      <c r="J41" s="136">
        <f t="shared" si="8"/>
        <v>0</v>
      </c>
      <c r="K41" s="136">
        <f t="shared" si="8"/>
        <v>0</v>
      </c>
      <c r="L41" s="136">
        <f t="shared" si="8"/>
        <v>0</v>
      </c>
      <c r="M41" s="136">
        <f t="shared" si="8"/>
        <v>0</v>
      </c>
      <c r="N41" s="136">
        <f t="shared" si="8"/>
        <v>0</v>
      </c>
      <c r="O41" s="136">
        <f t="shared" si="8"/>
        <v>0</v>
      </c>
      <c r="P41" s="136">
        <f t="shared" si="8"/>
        <v>0</v>
      </c>
      <c r="Q41" s="136">
        <f t="shared" si="8"/>
        <v>0</v>
      </c>
      <c r="R41" s="136">
        <f t="shared" si="8"/>
        <v>0</v>
      </c>
      <c r="S41" s="136">
        <f t="shared" si="8"/>
        <v>0</v>
      </c>
      <c r="T41" s="136">
        <f t="shared" si="8"/>
        <v>0</v>
      </c>
      <c r="U41" s="136">
        <f t="shared" si="8"/>
        <v>0</v>
      </c>
      <c r="V41" s="136">
        <f t="shared" si="8"/>
        <v>0</v>
      </c>
      <c r="W41" s="136">
        <f t="shared" si="8"/>
        <v>0</v>
      </c>
      <c r="X41" s="136">
        <f t="shared" si="8"/>
        <v>0</v>
      </c>
      <c r="Y41" s="136">
        <f t="shared" si="8"/>
        <v>0</v>
      </c>
      <c r="Z41" s="136">
        <f t="shared" si="8"/>
        <v>0</v>
      </c>
      <c r="AA41" s="136">
        <f t="shared" si="8"/>
        <v>0</v>
      </c>
      <c r="AB41" s="136">
        <f t="shared" si="8"/>
        <v>0</v>
      </c>
      <c r="AC41" s="136">
        <f t="shared" si="8"/>
        <v>0</v>
      </c>
      <c r="AD41" s="136">
        <f t="shared" si="8"/>
        <v>0</v>
      </c>
      <c r="AE41" s="136">
        <f t="shared" si="8"/>
        <v>0</v>
      </c>
      <c r="AF41" s="136">
        <f t="shared" si="8"/>
        <v>0</v>
      </c>
      <c r="AG41" s="136">
        <f t="shared" si="8"/>
        <v>0</v>
      </c>
      <c r="AH41" s="136">
        <f t="shared" si="8"/>
        <v>0</v>
      </c>
      <c r="AI41" s="136">
        <f t="shared" si="8"/>
        <v>0</v>
      </c>
      <c r="AJ41" s="136">
        <f t="shared" si="8"/>
        <v>0</v>
      </c>
      <c r="AK41" s="136">
        <f t="shared" si="8"/>
        <v>0</v>
      </c>
      <c r="AL41" s="136">
        <f t="shared" si="8"/>
        <v>0</v>
      </c>
      <c r="AM41" s="136">
        <f t="shared" si="8"/>
        <v>0</v>
      </c>
      <c r="AN41" s="136">
        <f t="shared" si="8"/>
        <v>0</v>
      </c>
      <c r="AO41" s="136">
        <f t="shared" si="8"/>
        <v>0</v>
      </c>
      <c r="AP41" s="136">
        <f t="shared" si="8"/>
        <v>0</v>
      </c>
      <c r="AQ41" s="136">
        <f t="shared" si="8"/>
        <v>0</v>
      </c>
      <c r="AR41" s="136">
        <f t="shared" si="8"/>
        <v>0</v>
      </c>
    </row>
    <row r="42" spans="1:44" ht="15" customHeight="1">
      <c r="A42" s="113"/>
      <c r="B42" s="135" t="str">
        <f t="shared" ref="B42:B43" si="9">B14</f>
        <v/>
      </c>
      <c r="F42" s="136">
        <f t="shared" ref="F42:U43" si="10">F14*F26</f>
        <v>0</v>
      </c>
      <c r="G42" s="136">
        <f t="shared" si="10"/>
        <v>0</v>
      </c>
      <c r="H42" s="136">
        <f t="shared" si="10"/>
        <v>0</v>
      </c>
      <c r="I42" s="136">
        <f t="shared" si="10"/>
        <v>0</v>
      </c>
      <c r="J42" s="136">
        <f t="shared" si="10"/>
        <v>0</v>
      </c>
      <c r="K42" s="136">
        <f t="shared" si="10"/>
        <v>0</v>
      </c>
      <c r="L42" s="136">
        <f t="shared" si="10"/>
        <v>0</v>
      </c>
      <c r="M42" s="136">
        <f t="shared" si="10"/>
        <v>0</v>
      </c>
      <c r="N42" s="136">
        <f t="shared" si="10"/>
        <v>0</v>
      </c>
      <c r="O42" s="136">
        <f t="shared" si="10"/>
        <v>0</v>
      </c>
      <c r="P42" s="136">
        <f t="shared" si="10"/>
        <v>0</v>
      </c>
      <c r="Q42" s="136">
        <f t="shared" si="10"/>
        <v>0</v>
      </c>
      <c r="R42" s="136">
        <f t="shared" si="10"/>
        <v>0</v>
      </c>
      <c r="S42" s="136">
        <f t="shared" si="10"/>
        <v>0</v>
      </c>
      <c r="T42" s="136">
        <f t="shared" si="10"/>
        <v>0</v>
      </c>
      <c r="U42" s="136">
        <f t="shared" si="10"/>
        <v>0</v>
      </c>
      <c r="V42" s="136">
        <f t="shared" si="8"/>
        <v>0</v>
      </c>
      <c r="W42" s="136">
        <f t="shared" si="8"/>
        <v>0</v>
      </c>
      <c r="X42" s="136">
        <f t="shared" si="8"/>
        <v>0</v>
      </c>
      <c r="Y42" s="136">
        <f t="shared" si="8"/>
        <v>0</v>
      </c>
      <c r="Z42" s="136">
        <f t="shared" si="8"/>
        <v>0</v>
      </c>
      <c r="AA42" s="136">
        <f t="shared" si="8"/>
        <v>0</v>
      </c>
      <c r="AB42" s="136">
        <f t="shared" si="8"/>
        <v>0</v>
      </c>
      <c r="AC42" s="136">
        <f t="shared" si="8"/>
        <v>0</v>
      </c>
      <c r="AD42" s="136">
        <f t="shared" si="8"/>
        <v>0</v>
      </c>
      <c r="AE42" s="136">
        <f t="shared" si="8"/>
        <v>0</v>
      </c>
      <c r="AF42" s="136">
        <f t="shared" si="8"/>
        <v>0</v>
      </c>
      <c r="AG42" s="136">
        <f t="shared" si="8"/>
        <v>0</v>
      </c>
      <c r="AH42" s="136">
        <f t="shared" si="8"/>
        <v>0</v>
      </c>
      <c r="AI42" s="136">
        <f t="shared" si="8"/>
        <v>0</v>
      </c>
      <c r="AJ42" s="136">
        <f t="shared" si="8"/>
        <v>0</v>
      </c>
      <c r="AK42" s="136">
        <f t="shared" si="8"/>
        <v>0</v>
      </c>
      <c r="AL42" s="136">
        <f t="shared" si="8"/>
        <v>0</v>
      </c>
      <c r="AM42" s="136">
        <f t="shared" si="8"/>
        <v>0</v>
      </c>
      <c r="AN42" s="136">
        <f t="shared" si="8"/>
        <v>0</v>
      </c>
      <c r="AO42" s="136">
        <f t="shared" si="8"/>
        <v>0</v>
      </c>
      <c r="AP42" s="136">
        <f t="shared" si="8"/>
        <v>0</v>
      </c>
      <c r="AQ42" s="136">
        <f t="shared" si="8"/>
        <v>0</v>
      </c>
      <c r="AR42" s="136">
        <f t="shared" si="8"/>
        <v>0</v>
      </c>
    </row>
    <row r="43" spans="1:44" ht="15" customHeight="1">
      <c r="A43" s="113"/>
      <c r="B43" s="135" t="str">
        <f t="shared" si="9"/>
        <v/>
      </c>
      <c r="F43" s="136">
        <f t="shared" si="10"/>
        <v>0</v>
      </c>
      <c r="G43" s="136">
        <f t="shared" si="8"/>
        <v>0</v>
      </c>
      <c r="H43" s="136">
        <f t="shared" si="8"/>
        <v>0</v>
      </c>
      <c r="I43" s="136">
        <f t="shared" si="8"/>
        <v>0</v>
      </c>
      <c r="J43" s="136">
        <f t="shared" si="8"/>
        <v>0</v>
      </c>
      <c r="K43" s="136">
        <f t="shared" si="8"/>
        <v>0</v>
      </c>
      <c r="L43" s="136">
        <f t="shared" si="8"/>
        <v>0</v>
      </c>
      <c r="M43" s="136">
        <f t="shared" si="8"/>
        <v>0</v>
      </c>
      <c r="N43" s="136">
        <f t="shared" si="8"/>
        <v>0</v>
      </c>
      <c r="O43" s="136">
        <f t="shared" si="8"/>
        <v>0</v>
      </c>
      <c r="P43" s="136">
        <f t="shared" si="8"/>
        <v>0</v>
      </c>
      <c r="Q43" s="136">
        <f t="shared" si="8"/>
        <v>0</v>
      </c>
      <c r="R43" s="136">
        <f t="shared" si="8"/>
        <v>0</v>
      </c>
      <c r="S43" s="136">
        <f t="shared" si="8"/>
        <v>0</v>
      </c>
      <c r="T43" s="136">
        <f t="shared" si="8"/>
        <v>0</v>
      </c>
      <c r="U43" s="136">
        <f t="shared" si="8"/>
        <v>0</v>
      </c>
      <c r="V43" s="136">
        <f t="shared" si="8"/>
        <v>0</v>
      </c>
      <c r="W43" s="136">
        <f t="shared" si="8"/>
        <v>0</v>
      </c>
      <c r="X43" s="136">
        <f t="shared" si="8"/>
        <v>0</v>
      </c>
      <c r="Y43" s="136">
        <f t="shared" si="8"/>
        <v>0</v>
      </c>
      <c r="Z43" s="136">
        <f t="shared" si="8"/>
        <v>0</v>
      </c>
      <c r="AA43" s="136">
        <f t="shared" si="8"/>
        <v>0</v>
      </c>
      <c r="AB43" s="136">
        <f t="shared" si="8"/>
        <v>0</v>
      </c>
      <c r="AC43" s="136">
        <f t="shared" si="8"/>
        <v>0</v>
      </c>
      <c r="AD43" s="136">
        <f t="shared" si="8"/>
        <v>0</v>
      </c>
      <c r="AE43" s="136">
        <f t="shared" si="8"/>
        <v>0</v>
      </c>
      <c r="AF43" s="136">
        <f t="shared" si="8"/>
        <v>0</v>
      </c>
      <c r="AG43" s="136">
        <f t="shared" si="8"/>
        <v>0</v>
      </c>
      <c r="AH43" s="136">
        <f t="shared" si="8"/>
        <v>0</v>
      </c>
      <c r="AI43" s="136">
        <f t="shared" si="8"/>
        <v>0</v>
      </c>
      <c r="AJ43" s="136">
        <f t="shared" si="8"/>
        <v>0</v>
      </c>
      <c r="AK43" s="136">
        <f t="shared" si="8"/>
        <v>0</v>
      </c>
      <c r="AL43" s="136">
        <f t="shared" si="8"/>
        <v>0</v>
      </c>
      <c r="AM43" s="136">
        <f t="shared" si="8"/>
        <v>0</v>
      </c>
      <c r="AN43" s="136">
        <f t="shared" si="8"/>
        <v>0</v>
      </c>
      <c r="AO43" s="136">
        <f t="shared" si="8"/>
        <v>0</v>
      </c>
      <c r="AP43" s="136">
        <f t="shared" si="8"/>
        <v>0</v>
      </c>
      <c r="AQ43" s="136">
        <f t="shared" si="8"/>
        <v>0</v>
      </c>
      <c r="AR43" s="136">
        <f t="shared" si="8"/>
        <v>0</v>
      </c>
    </row>
    <row r="44" spans="1:44" ht="15" customHeight="1"/>
    <row r="45" spans="1:44" ht="15" customHeight="1"/>
    <row r="46" spans="1:44" ht="15" customHeight="1">
      <c r="B46" s="134" t="s">
        <v>59</v>
      </c>
    </row>
    <row r="47" spans="1:44" ht="15" customHeight="1">
      <c r="B47" s="111" t="s">
        <v>189</v>
      </c>
      <c r="F47" s="110" t="str">
        <f>F33</f>
        <v>Value</v>
      </c>
      <c r="G47" s="110" t="str">
        <f t="shared" ref="G47:AR47" si="11">G33</f>
        <v>Value</v>
      </c>
      <c r="H47" s="110" t="str">
        <f t="shared" si="11"/>
        <v>Value</v>
      </c>
      <c r="I47" s="110" t="str">
        <f t="shared" si="11"/>
        <v>Value</v>
      </c>
      <c r="J47" s="110" t="str">
        <f t="shared" si="11"/>
        <v>Value</v>
      </c>
      <c r="K47" s="110" t="str">
        <f t="shared" si="11"/>
        <v>Value</v>
      </c>
      <c r="L47" s="110" t="str">
        <f t="shared" si="11"/>
        <v>Value</v>
      </c>
      <c r="M47" s="110" t="str">
        <f t="shared" si="11"/>
        <v>Value</v>
      </c>
      <c r="N47" s="110" t="str">
        <f t="shared" si="11"/>
        <v>Value</v>
      </c>
      <c r="O47" s="110" t="str">
        <f t="shared" si="11"/>
        <v>Value</v>
      </c>
      <c r="P47" s="110" t="str">
        <f t="shared" si="11"/>
        <v>Value</v>
      </c>
      <c r="Q47" s="110" t="str">
        <f t="shared" si="11"/>
        <v>Value</v>
      </c>
      <c r="R47" s="110" t="str">
        <f t="shared" si="11"/>
        <v>Value</v>
      </c>
      <c r="S47" s="110" t="str">
        <f t="shared" si="11"/>
        <v>Value</v>
      </c>
      <c r="T47" s="110" t="str">
        <f t="shared" si="11"/>
        <v>Value</v>
      </c>
      <c r="U47" s="110" t="str">
        <f t="shared" si="11"/>
        <v>Value</v>
      </c>
      <c r="V47" s="110" t="str">
        <f t="shared" si="11"/>
        <v>Value</v>
      </c>
      <c r="W47" s="110" t="str">
        <f t="shared" si="11"/>
        <v>Value</v>
      </c>
      <c r="X47" s="110" t="str">
        <f t="shared" si="11"/>
        <v>Value</v>
      </c>
      <c r="Y47" s="110" t="str">
        <f t="shared" si="11"/>
        <v>Value</v>
      </c>
      <c r="Z47" s="110" t="str">
        <f t="shared" si="11"/>
        <v>Value</v>
      </c>
      <c r="AA47" s="110" t="str">
        <f t="shared" si="11"/>
        <v>Value</v>
      </c>
      <c r="AB47" s="110" t="str">
        <f t="shared" si="11"/>
        <v>Value</v>
      </c>
      <c r="AC47" s="110" t="str">
        <f t="shared" si="11"/>
        <v>Value</v>
      </c>
      <c r="AD47" s="110" t="str">
        <f t="shared" si="11"/>
        <v>Value</v>
      </c>
      <c r="AE47" s="110" t="str">
        <f t="shared" si="11"/>
        <v>Value</v>
      </c>
      <c r="AF47" s="110" t="str">
        <f t="shared" si="11"/>
        <v>Value</v>
      </c>
      <c r="AG47" s="110" t="str">
        <f t="shared" si="11"/>
        <v>Value</v>
      </c>
      <c r="AH47" s="110" t="str">
        <f t="shared" si="11"/>
        <v>Value</v>
      </c>
      <c r="AI47" s="110" t="str">
        <f t="shared" si="11"/>
        <v>Value</v>
      </c>
      <c r="AJ47" s="110" t="str">
        <f t="shared" si="11"/>
        <v>Value</v>
      </c>
      <c r="AK47" s="110" t="str">
        <f t="shared" si="11"/>
        <v>Value</v>
      </c>
      <c r="AL47" s="110" t="str">
        <f t="shared" si="11"/>
        <v>Value</v>
      </c>
      <c r="AM47" s="110" t="str">
        <f t="shared" si="11"/>
        <v>Value</v>
      </c>
      <c r="AN47" s="110" t="str">
        <f t="shared" si="11"/>
        <v>Value</v>
      </c>
      <c r="AO47" s="110" t="str">
        <f t="shared" si="11"/>
        <v>Value</v>
      </c>
      <c r="AP47" s="110" t="str">
        <f t="shared" si="11"/>
        <v>Value</v>
      </c>
      <c r="AQ47" s="110" t="str">
        <f t="shared" si="11"/>
        <v>Value</v>
      </c>
      <c r="AR47" s="110" t="str">
        <f t="shared" si="11"/>
        <v>Value</v>
      </c>
    </row>
    <row r="48" spans="1:44" ht="15" customHeight="1">
      <c r="A48" s="113"/>
      <c r="B48" s="135" t="str">
        <f>B13</f>
        <v/>
      </c>
      <c r="F48" s="136">
        <f>F34+F41</f>
        <v>0</v>
      </c>
      <c r="G48" s="136">
        <f t="shared" ref="G48:AR50" si="12">G34+G41</f>
        <v>0</v>
      </c>
      <c r="H48" s="136">
        <f t="shared" si="12"/>
        <v>0</v>
      </c>
      <c r="I48" s="136">
        <f t="shared" si="12"/>
        <v>0</v>
      </c>
      <c r="J48" s="136">
        <f t="shared" si="12"/>
        <v>0</v>
      </c>
      <c r="K48" s="136">
        <f t="shared" si="12"/>
        <v>0</v>
      </c>
      <c r="L48" s="136">
        <f t="shared" si="12"/>
        <v>0</v>
      </c>
      <c r="M48" s="136">
        <f t="shared" si="12"/>
        <v>0</v>
      </c>
      <c r="N48" s="136">
        <f t="shared" si="12"/>
        <v>0</v>
      </c>
      <c r="O48" s="136">
        <f t="shared" si="12"/>
        <v>0</v>
      </c>
      <c r="P48" s="136">
        <f t="shared" si="12"/>
        <v>0</v>
      </c>
      <c r="Q48" s="136">
        <f t="shared" si="12"/>
        <v>0</v>
      </c>
      <c r="R48" s="136">
        <f t="shared" si="12"/>
        <v>0</v>
      </c>
      <c r="S48" s="136">
        <f t="shared" si="12"/>
        <v>0</v>
      </c>
      <c r="T48" s="136">
        <f t="shared" si="12"/>
        <v>0</v>
      </c>
      <c r="U48" s="136">
        <f t="shared" si="12"/>
        <v>0</v>
      </c>
      <c r="V48" s="136">
        <f t="shared" si="12"/>
        <v>0</v>
      </c>
      <c r="W48" s="136">
        <f t="shared" si="12"/>
        <v>0</v>
      </c>
      <c r="X48" s="136">
        <f t="shared" si="12"/>
        <v>0</v>
      </c>
      <c r="Y48" s="136">
        <f t="shared" si="12"/>
        <v>0</v>
      </c>
      <c r="Z48" s="136">
        <f t="shared" si="12"/>
        <v>0</v>
      </c>
      <c r="AA48" s="136">
        <f t="shared" si="12"/>
        <v>0</v>
      </c>
      <c r="AB48" s="136">
        <f t="shared" si="12"/>
        <v>0</v>
      </c>
      <c r="AC48" s="136">
        <f t="shared" si="12"/>
        <v>0</v>
      </c>
      <c r="AD48" s="136">
        <f t="shared" si="12"/>
        <v>0</v>
      </c>
      <c r="AE48" s="136">
        <f t="shared" si="12"/>
        <v>0</v>
      </c>
      <c r="AF48" s="136">
        <f t="shared" si="12"/>
        <v>0</v>
      </c>
      <c r="AG48" s="136">
        <f t="shared" si="12"/>
        <v>0</v>
      </c>
      <c r="AH48" s="136">
        <f t="shared" si="12"/>
        <v>0</v>
      </c>
      <c r="AI48" s="136">
        <f t="shared" si="12"/>
        <v>0</v>
      </c>
      <c r="AJ48" s="136">
        <f t="shared" si="12"/>
        <v>0</v>
      </c>
      <c r="AK48" s="136">
        <f t="shared" si="12"/>
        <v>0</v>
      </c>
      <c r="AL48" s="136">
        <f t="shared" si="12"/>
        <v>0</v>
      </c>
      <c r="AM48" s="136">
        <f t="shared" si="12"/>
        <v>0</v>
      </c>
      <c r="AN48" s="136">
        <f t="shared" si="12"/>
        <v>0</v>
      </c>
      <c r="AO48" s="136">
        <f t="shared" si="12"/>
        <v>0</v>
      </c>
      <c r="AP48" s="136">
        <f t="shared" si="12"/>
        <v>0</v>
      </c>
      <c r="AQ48" s="136">
        <f t="shared" si="12"/>
        <v>0</v>
      </c>
      <c r="AR48" s="136">
        <f t="shared" si="12"/>
        <v>0</v>
      </c>
    </row>
    <row r="49" spans="1:44" ht="15" customHeight="1">
      <c r="A49" s="113"/>
      <c r="B49" s="135" t="str">
        <f t="shared" ref="B49:B50" si="13">B14</f>
        <v/>
      </c>
      <c r="F49" s="136">
        <f t="shared" ref="F49:U50" si="14">F35+F42</f>
        <v>0</v>
      </c>
      <c r="G49" s="136">
        <f t="shared" si="14"/>
        <v>0</v>
      </c>
      <c r="H49" s="136">
        <f t="shared" si="14"/>
        <v>0</v>
      </c>
      <c r="I49" s="136">
        <f t="shared" si="14"/>
        <v>0</v>
      </c>
      <c r="J49" s="136">
        <f t="shared" si="14"/>
        <v>0</v>
      </c>
      <c r="K49" s="136">
        <f t="shared" si="14"/>
        <v>0</v>
      </c>
      <c r="L49" s="136">
        <f t="shared" si="14"/>
        <v>0</v>
      </c>
      <c r="M49" s="136">
        <f t="shared" si="14"/>
        <v>0</v>
      </c>
      <c r="N49" s="136">
        <f t="shared" si="14"/>
        <v>0</v>
      </c>
      <c r="O49" s="136">
        <f t="shared" si="14"/>
        <v>0</v>
      </c>
      <c r="P49" s="136">
        <f t="shared" si="14"/>
        <v>0</v>
      </c>
      <c r="Q49" s="136">
        <f t="shared" si="14"/>
        <v>0</v>
      </c>
      <c r="R49" s="136">
        <f t="shared" si="14"/>
        <v>0</v>
      </c>
      <c r="S49" s="136">
        <f t="shared" si="14"/>
        <v>0</v>
      </c>
      <c r="T49" s="136">
        <f t="shared" si="14"/>
        <v>0</v>
      </c>
      <c r="U49" s="136">
        <f t="shared" si="14"/>
        <v>0</v>
      </c>
      <c r="V49" s="136">
        <f t="shared" si="12"/>
        <v>0</v>
      </c>
      <c r="W49" s="136">
        <f t="shared" si="12"/>
        <v>0</v>
      </c>
      <c r="X49" s="136">
        <f t="shared" si="12"/>
        <v>0</v>
      </c>
      <c r="Y49" s="136">
        <f t="shared" si="12"/>
        <v>0</v>
      </c>
      <c r="Z49" s="136">
        <f t="shared" si="12"/>
        <v>0</v>
      </c>
      <c r="AA49" s="136">
        <f t="shared" si="12"/>
        <v>0</v>
      </c>
      <c r="AB49" s="136">
        <f t="shared" si="12"/>
        <v>0</v>
      </c>
      <c r="AC49" s="136">
        <f t="shared" si="12"/>
        <v>0</v>
      </c>
      <c r="AD49" s="136">
        <f t="shared" si="12"/>
        <v>0</v>
      </c>
      <c r="AE49" s="136">
        <f t="shared" si="12"/>
        <v>0</v>
      </c>
      <c r="AF49" s="136">
        <f t="shared" si="12"/>
        <v>0</v>
      </c>
      <c r="AG49" s="136">
        <f t="shared" si="12"/>
        <v>0</v>
      </c>
      <c r="AH49" s="136">
        <f t="shared" si="12"/>
        <v>0</v>
      </c>
      <c r="AI49" s="136">
        <f t="shared" si="12"/>
        <v>0</v>
      </c>
      <c r="AJ49" s="136">
        <f t="shared" si="12"/>
        <v>0</v>
      </c>
      <c r="AK49" s="136">
        <f t="shared" si="12"/>
        <v>0</v>
      </c>
      <c r="AL49" s="136">
        <f t="shared" si="12"/>
        <v>0</v>
      </c>
      <c r="AM49" s="136">
        <f t="shared" si="12"/>
        <v>0</v>
      </c>
      <c r="AN49" s="136">
        <f t="shared" si="12"/>
        <v>0</v>
      </c>
      <c r="AO49" s="136">
        <f t="shared" si="12"/>
        <v>0</v>
      </c>
      <c r="AP49" s="136">
        <f t="shared" si="12"/>
        <v>0</v>
      </c>
      <c r="AQ49" s="136">
        <f t="shared" si="12"/>
        <v>0</v>
      </c>
      <c r="AR49" s="136">
        <f t="shared" si="12"/>
        <v>0</v>
      </c>
    </row>
    <row r="50" spans="1:44" ht="15" customHeight="1">
      <c r="A50" s="113"/>
      <c r="B50" s="135" t="str">
        <f t="shared" si="13"/>
        <v/>
      </c>
      <c r="F50" s="136">
        <f t="shared" si="14"/>
        <v>0</v>
      </c>
      <c r="G50" s="136">
        <f t="shared" si="12"/>
        <v>0</v>
      </c>
      <c r="H50" s="136">
        <f t="shared" si="12"/>
        <v>0</v>
      </c>
      <c r="I50" s="136">
        <f t="shared" si="12"/>
        <v>0</v>
      </c>
      <c r="J50" s="136">
        <f t="shared" si="12"/>
        <v>0</v>
      </c>
      <c r="K50" s="136">
        <f t="shared" si="12"/>
        <v>0</v>
      </c>
      <c r="L50" s="136">
        <f t="shared" si="12"/>
        <v>0</v>
      </c>
      <c r="M50" s="136">
        <f t="shared" si="12"/>
        <v>0</v>
      </c>
      <c r="N50" s="136">
        <f t="shared" si="12"/>
        <v>0</v>
      </c>
      <c r="O50" s="136">
        <f t="shared" si="12"/>
        <v>0</v>
      </c>
      <c r="P50" s="136">
        <f t="shared" si="12"/>
        <v>0</v>
      </c>
      <c r="Q50" s="136">
        <f t="shared" si="12"/>
        <v>0</v>
      </c>
      <c r="R50" s="136">
        <f t="shared" si="12"/>
        <v>0</v>
      </c>
      <c r="S50" s="136">
        <f t="shared" si="12"/>
        <v>0</v>
      </c>
      <c r="T50" s="136">
        <f t="shared" si="12"/>
        <v>0</v>
      </c>
      <c r="U50" s="136">
        <f t="shared" si="12"/>
        <v>0</v>
      </c>
      <c r="V50" s="136">
        <f t="shared" si="12"/>
        <v>0</v>
      </c>
      <c r="W50" s="136">
        <f t="shared" si="12"/>
        <v>0</v>
      </c>
      <c r="X50" s="136">
        <f t="shared" si="12"/>
        <v>0</v>
      </c>
      <c r="Y50" s="136">
        <f t="shared" si="12"/>
        <v>0</v>
      </c>
      <c r="Z50" s="136">
        <f t="shared" si="12"/>
        <v>0</v>
      </c>
      <c r="AA50" s="136">
        <f t="shared" si="12"/>
        <v>0</v>
      </c>
      <c r="AB50" s="136">
        <f t="shared" si="12"/>
        <v>0</v>
      </c>
      <c r="AC50" s="136">
        <f t="shared" si="12"/>
        <v>0</v>
      </c>
      <c r="AD50" s="136">
        <f t="shared" si="12"/>
        <v>0</v>
      </c>
      <c r="AE50" s="136">
        <f t="shared" si="12"/>
        <v>0</v>
      </c>
      <c r="AF50" s="136">
        <f t="shared" si="12"/>
        <v>0</v>
      </c>
      <c r="AG50" s="136">
        <f t="shared" si="12"/>
        <v>0</v>
      </c>
      <c r="AH50" s="136">
        <f t="shared" si="12"/>
        <v>0</v>
      </c>
      <c r="AI50" s="136">
        <f t="shared" si="12"/>
        <v>0</v>
      </c>
      <c r="AJ50" s="136">
        <f t="shared" si="12"/>
        <v>0</v>
      </c>
      <c r="AK50" s="136">
        <f t="shared" si="12"/>
        <v>0</v>
      </c>
      <c r="AL50" s="136">
        <f t="shared" si="12"/>
        <v>0</v>
      </c>
      <c r="AM50" s="136">
        <f t="shared" si="12"/>
        <v>0</v>
      </c>
      <c r="AN50" s="136">
        <f t="shared" si="12"/>
        <v>0</v>
      </c>
      <c r="AO50" s="136">
        <f t="shared" si="12"/>
        <v>0</v>
      </c>
      <c r="AP50" s="136">
        <f t="shared" si="12"/>
        <v>0</v>
      </c>
      <c r="AQ50" s="136">
        <f t="shared" si="12"/>
        <v>0</v>
      </c>
      <c r="AR50" s="136">
        <f t="shared" si="12"/>
        <v>0</v>
      </c>
    </row>
    <row r="51" spans="1:44" ht="15" customHeight="1"/>
    <row r="52" spans="1:44" ht="15" customHeight="1"/>
    <row r="53" spans="1:44" ht="15" customHeight="1"/>
    <row r="54" spans="1:44" ht="15" customHeight="1"/>
    <row r="55" spans="1:44" ht="15" customHeight="1"/>
    <row r="56" spans="1:44" ht="15" customHeight="1"/>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sheetData>
  <conditionalFormatting sqref="A7:AW7">
    <cfRule type="expression" dxfId="42" priority="9" stopIfTrue="1">
      <formula>ErrorsPresent&gt;0</formula>
    </cfRule>
    <cfRule type="expression" dxfId="41" priority="10" stopIfTrue="1">
      <formula>ErrorsPresent&lt;0</formula>
    </cfRule>
  </conditionalFormatting>
  <conditionalFormatting sqref="B1:BA1">
    <cfRule type="expression" dxfId="40" priority="7" stopIfTrue="1">
      <formula>Error_Error&lt;0</formula>
    </cfRule>
    <cfRule type="expression" dxfId="39" priority="8" stopIfTrue="1">
      <formula>Error_Error&gt;0</formula>
    </cfRule>
  </conditionalFormatting>
  <conditionalFormatting sqref="B1:BA1">
    <cfRule type="expression" dxfId="38" priority="6" stopIfTrue="1">
      <formula>Error_Error&gt;0</formula>
    </cfRule>
  </conditionalFormatting>
  <conditionalFormatting sqref="D1">
    <cfRule type="cellIs" dxfId="37" priority="5" stopIfTrue="1" operator="equal">
      <formula>0</formula>
    </cfRule>
  </conditionalFormatting>
  <conditionalFormatting sqref="D1">
    <cfRule type="cellIs" dxfId="36" priority="3" stopIfTrue="1" operator="greaterThan">
      <formula>0</formula>
    </cfRule>
    <cfRule type="cellIs" dxfId="35" priority="4" stopIfTrue="1" operator="lessThan">
      <formula>0</formula>
    </cfRule>
  </conditionalFormatting>
  <conditionalFormatting sqref="F12:AR12">
    <cfRule type="expression" dxfId="34" priority="11" stopIfTrue="1">
      <formula>#REF!&lt;&gt;""</formula>
    </cfRule>
  </conditionalFormatting>
  <conditionalFormatting sqref="A1">
    <cfRule type="expression" dxfId="33" priority="1" stopIfTrue="1">
      <formula>ErrorsPresent&gt;0</formula>
    </cfRule>
    <cfRule type="expression" dxfId="32" priority="2" stopIfTrue="1">
      <formula>ErrorsPresent&lt;0</formula>
    </cfRule>
  </conditionalFormatting>
  <pageMargins left="0.7" right="0.7" top="0.75" bottom="0.75" header="0.3" footer="0.3"/>
  <pageSetup paperSize="9" orientation="portrait" horizontalDpi="200"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D167"/>
  <sheetViews>
    <sheetView showGridLines="0" zoomScale="80" zoomScaleNormal="80" workbookViewId="0">
      <pane ySplit="7" topLeftCell="A8" activePane="bottomLeft" state="frozen"/>
      <selection pane="bottomLeft" activeCell="F34" sqref="F34"/>
    </sheetView>
  </sheetViews>
  <sheetFormatPr defaultColWidth="0" defaultRowHeight="0" customHeight="1" zeroHeight="1"/>
  <cols>
    <col min="1" max="1" width="7.28515625" style="101" customWidth="1"/>
    <col min="2" max="2" width="21.85546875" style="101" customWidth="1"/>
    <col min="3" max="3" width="3.5703125" style="101" customWidth="1"/>
    <col min="4" max="4" width="5.42578125" style="101" bestFit="1" customWidth="1"/>
    <col min="5" max="5" width="4" style="101" customWidth="1"/>
    <col min="6" max="6" width="10" style="101" customWidth="1"/>
    <col min="7" max="12" width="7.5703125" style="101" customWidth="1"/>
    <col min="13" max="14" width="7.7109375" style="101" bestFit="1" customWidth="1"/>
    <col min="15" max="15" width="10.140625" style="101" customWidth="1"/>
    <col min="16" max="44" width="11.42578125" style="101" customWidth="1"/>
    <col min="45" max="45" width="6.140625" style="101" customWidth="1"/>
    <col min="46" max="49" width="11.42578125" style="101" customWidth="1"/>
    <col min="50" max="50" width="2.28515625" style="101" customWidth="1"/>
    <col min="51" max="52" width="11.42578125" style="101" hidden="1" customWidth="1"/>
    <col min="53" max="53" width="2.28515625" style="101" hidden="1" customWidth="1"/>
    <col min="54" max="56" width="0" style="101" hidden="1" customWidth="1"/>
    <col min="57" max="16384" width="11.42578125" style="101" hidden="1"/>
  </cols>
  <sheetData>
    <row r="1" spans="1:53" ht="12.75">
      <c r="A1" s="83" t="s">
        <v>206</v>
      </c>
      <c r="B1" s="105"/>
      <c r="C1" s="105"/>
      <c r="D1" s="106">
        <v>0</v>
      </c>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105"/>
      <c r="AP1" s="105"/>
      <c r="AQ1" s="105"/>
      <c r="AR1" s="105"/>
      <c r="AS1" s="105"/>
      <c r="AT1" s="105"/>
      <c r="AU1" s="105"/>
      <c r="AV1" s="105"/>
      <c r="AW1" s="105"/>
      <c r="AX1" s="105"/>
      <c r="AY1" s="105"/>
      <c r="AZ1" s="105"/>
      <c r="BA1" s="105"/>
    </row>
    <row r="2" spans="1:53" ht="12.75">
      <c r="A2" s="107" t="s">
        <v>207</v>
      </c>
    </row>
    <row r="3" spans="1:53" ht="12.75"/>
    <row r="4" spans="1:53" ht="6.75" customHeight="1"/>
    <row r="5" spans="1:53" ht="6" customHeight="1"/>
    <row r="6" spans="1:53" ht="6.75" customHeight="1">
      <c r="A6" s="108" t="s">
        <v>186</v>
      </c>
    </row>
    <row r="7" spans="1:53" ht="12" customHeight="1">
      <c r="A7" s="109"/>
      <c r="B7" s="109" t="s">
        <v>208</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row>
    <row r="8" spans="1:53" s="85" customFormat="1" ht="7.5" customHeight="1">
      <c r="B8" s="101"/>
    </row>
    <row r="9" spans="1:53" s="85" customFormat="1" ht="18" customHeight="1">
      <c r="B9" s="133" t="s">
        <v>209</v>
      </c>
    </row>
    <row r="10" spans="1:53" s="85" customFormat="1" ht="9" customHeight="1">
      <c r="B10" s="101"/>
    </row>
    <row r="11" spans="1:53" ht="15" customHeight="1">
      <c r="B11" s="134" t="s">
        <v>210</v>
      </c>
      <c r="F11" s="110" t="str">
        <f>[4]Inp_User!F8</f>
        <v>Volume</v>
      </c>
      <c r="G11" s="110" t="str">
        <f>[4]Inp_User!G8</f>
        <v>Volume</v>
      </c>
      <c r="H11" s="110" t="str">
        <f>[4]Inp_User!H8</f>
        <v>Volume</v>
      </c>
      <c r="I11" s="110" t="str">
        <f>[4]Inp_User!I8</f>
        <v>Volume</v>
      </c>
      <c r="J11" s="110" t="str">
        <f>[4]Inp_User!J8</f>
        <v>Volume</v>
      </c>
      <c r="K11" s="110" t="str">
        <f>[4]Inp_User!K8</f>
        <v>Volume</v>
      </c>
      <c r="L11" s="110" t="str">
        <f>[4]Inp_User!L8</f>
        <v>Volume</v>
      </c>
      <c r="M11" s="110" t="str">
        <f>[4]Inp_User!M8</f>
        <v>Volume</v>
      </c>
      <c r="N11" s="110" t="str">
        <f>[4]Inp_User!N8</f>
        <v>Volume</v>
      </c>
      <c r="O11" s="110" t="str">
        <f>[4]Inp_User!O8</f>
        <v>Volume</v>
      </c>
      <c r="P11" s="110" t="str">
        <f>[4]Inp_User!P8</f>
        <v>Volume</v>
      </c>
      <c r="Q11" s="110" t="str">
        <f>[4]Inp_User!Q8</f>
        <v>Volume</v>
      </c>
      <c r="R11" s="110" t="str">
        <f>[4]Inp_User!R8</f>
        <v>Volume</v>
      </c>
      <c r="S11" s="110" t="str">
        <f>[4]Inp_User!S8</f>
        <v>Volume</v>
      </c>
      <c r="T11" s="110" t="str">
        <f>[4]Inp_User!T8</f>
        <v>Volume</v>
      </c>
      <c r="U11" s="110" t="str">
        <f>[4]Inp_User!U8</f>
        <v>Volume</v>
      </c>
      <c r="V11" s="110" t="str">
        <f>[4]Inp_User!V8</f>
        <v>Volume</v>
      </c>
      <c r="W11" s="110" t="str">
        <f>[4]Inp_User!W8</f>
        <v>Volume</v>
      </c>
      <c r="X11" s="110" t="str">
        <f>[4]Inp_User!X8</f>
        <v>Volume</v>
      </c>
      <c r="Y11" s="110" t="str">
        <f>[4]Inp_User!Y8</f>
        <v>Volume</v>
      </c>
      <c r="Z11" s="110" t="str">
        <f>[4]Inp_User!Z8</f>
        <v>Volume</v>
      </c>
      <c r="AA11" s="110" t="str">
        <f>[4]Inp_User!AA8</f>
        <v>Volume</v>
      </c>
      <c r="AB11" s="110" t="str">
        <f>[4]Inp_User!AB8</f>
        <v>Volume</v>
      </c>
      <c r="AC11" s="110" t="str">
        <f>[4]Inp_User!AC8</f>
        <v>Volume</v>
      </c>
      <c r="AD11" s="110" t="str">
        <f>[4]Inp_User!AD8</f>
        <v>Volume</v>
      </c>
      <c r="AE11" s="110" t="str">
        <f>[4]Inp_User!AE8</f>
        <v>Volume</v>
      </c>
      <c r="AF11" s="110" t="str">
        <f>[4]Inp_User!AF8</f>
        <v>Volume</v>
      </c>
      <c r="AG11" s="110" t="str">
        <f>[4]Inp_User!AG8</f>
        <v>Volume</v>
      </c>
      <c r="AH11" s="110" t="str">
        <f>[4]Inp_User!AH8</f>
        <v>Volume</v>
      </c>
      <c r="AI11" s="110" t="str">
        <f>[4]Inp_User!AI8</f>
        <v>Volume</v>
      </c>
      <c r="AJ11" s="110" t="str">
        <f>[4]Inp_User!AJ8</f>
        <v>Volume</v>
      </c>
      <c r="AK11" s="110" t="str">
        <f>[4]Inp_User!AK8</f>
        <v>Volume</v>
      </c>
      <c r="AL11" s="110" t="str">
        <f>[4]Inp_User!AL8</f>
        <v>Volume</v>
      </c>
      <c r="AM11" s="110" t="str">
        <f>[4]Inp_User!AM8</f>
        <v>Volume</v>
      </c>
      <c r="AN11" s="110" t="str">
        <f>[4]Inp_User!AN8</f>
        <v>Volume</v>
      </c>
      <c r="AO11" s="110" t="str">
        <f>[4]Inp_User!AO8</f>
        <v>Volume</v>
      </c>
      <c r="AP11" s="110" t="str">
        <f>[4]Inp_User!AP8</f>
        <v>Volume</v>
      </c>
      <c r="AQ11" s="110" t="str">
        <f>[4]Inp_User!AQ8</f>
        <v>Volume</v>
      </c>
      <c r="AR11" s="110" t="str">
        <f>[4]Inp_User!AR8</f>
        <v>Volume</v>
      </c>
    </row>
    <row r="12" spans="1:53" ht="15" customHeight="1">
      <c r="B12" s="111" t="s">
        <v>189</v>
      </c>
      <c r="F12" s="112" t="str">
        <f t="shared" ref="F12:AR12" si="0">Timeperiod</f>
        <v>Y1M1</v>
      </c>
      <c r="G12" s="112" t="str">
        <f t="shared" si="0"/>
        <v>Y1M2</v>
      </c>
      <c r="H12" s="112" t="str">
        <f t="shared" si="0"/>
        <v>Y1M3</v>
      </c>
      <c r="I12" s="112" t="str">
        <f t="shared" si="0"/>
        <v>Y1M4</v>
      </c>
      <c r="J12" s="112" t="str">
        <f t="shared" si="0"/>
        <v>Y1M5</v>
      </c>
      <c r="K12" s="112" t="str">
        <f t="shared" si="0"/>
        <v>Y1M6</v>
      </c>
      <c r="L12" s="112" t="str">
        <f t="shared" si="0"/>
        <v>Y1M7</v>
      </c>
      <c r="M12" s="112" t="str">
        <f t="shared" si="0"/>
        <v>Y1M8</v>
      </c>
      <c r="N12" s="112" t="str">
        <f t="shared" si="0"/>
        <v>Y1M9</v>
      </c>
      <c r="O12" s="112" t="str">
        <f t="shared" si="0"/>
        <v>Y1M10</v>
      </c>
      <c r="P12" s="112" t="str">
        <f t="shared" si="0"/>
        <v>Y1M11</v>
      </c>
      <c r="Q12" s="112" t="str">
        <f t="shared" si="0"/>
        <v>Y1M12</v>
      </c>
      <c r="R12" s="112" t="str">
        <f t="shared" si="0"/>
        <v>Y2M1</v>
      </c>
      <c r="S12" s="112" t="str">
        <f t="shared" si="0"/>
        <v>Y2M2</v>
      </c>
      <c r="T12" s="112" t="str">
        <f t="shared" si="0"/>
        <v>Y2M3</v>
      </c>
      <c r="U12" s="112" t="str">
        <f t="shared" si="0"/>
        <v>Y2M4</v>
      </c>
      <c r="V12" s="112" t="str">
        <f t="shared" si="0"/>
        <v>Y2M5</v>
      </c>
      <c r="W12" s="112" t="str">
        <f t="shared" si="0"/>
        <v>Y2M6</v>
      </c>
      <c r="X12" s="112" t="str">
        <f t="shared" si="0"/>
        <v>Y2M7</v>
      </c>
      <c r="Y12" s="112" t="str">
        <f t="shared" si="0"/>
        <v>Y2M8</v>
      </c>
      <c r="Z12" s="112" t="str">
        <f t="shared" si="0"/>
        <v>Y2M9</v>
      </c>
      <c r="AA12" s="112" t="str">
        <f t="shared" si="0"/>
        <v>Y2M10</v>
      </c>
      <c r="AB12" s="112" t="str">
        <f t="shared" si="0"/>
        <v>Y2M11</v>
      </c>
      <c r="AC12" s="112" t="str">
        <f t="shared" si="0"/>
        <v>Y2M12</v>
      </c>
      <c r="AD12" s="112" t="str">
        <f t="shared" si="0"/>
        <v>Y3M1</v>
      </c>
      <c r="AE12" s="112" t="str">
        <f t="shared" si="0"/>
        <v>Y3M2</v>
      </c>
      <c r="AF12" s="112" t="str">
        <f t="shared" si="0"/>
        <v>Y3M3</v>
      </c>
      <c r="AG12" s="112" t="str">
        <f t="shared" si="0"/>
        <v>Y3M4</v>
      </c>
      <c r="AH12" s="112" t="str">
        <f t="shared" si="0"/>
        <v>Y3M5</v>
      </c>
      <c r="AI12" s="112" t="str">
        <f t="shared" si="0"/>
        <v>Y3M6</v>
      </c>
      <c r="AJ12" s="112" t="str">
        <f t="shared" si="0"/>
        <v>Y3M7</v>
      </c>
      <c r="AK12" s="112" t="str">
        <f t="shared" si="0"/>
        <v>Y3M8</v>
      </c>
      <c r="AL12" s="112" t="str">
        <f t="shared" si="0"/>
        <v>Y3M9</v>
      </c>
      <c r="AM12" s="112" t="str">
        <f t="shared" si="0"/>
        <v>Y3M10</v>
      </c>
      <c r="AN12" s="112" t="str">
        <f t="shared" si="0"/>
        <v>Y3M11</v>
      </c>
      <c r="AO12" s="112" t="str">
        <f t="shared" si="0"/>
        <v>Y3M12</v>
      </c>
      <c r="AP12" s="112" t="str">
        <f t="shared" si="0"/>
        <v>Y4M1</v>
      </c>
      <c r="AQ12" s="112" t="str">
        <f t="shared" si="0"/>
        <v>Y4M2</v>
      </c>
      <c r="AR12" s="112" t="str">
        <f t="shared" si="0"/>
        <v>Y4M3</v>
      </c>
    </row>
    <row r="13" spans="1:53" ht="15" customHeight="1">
      <c r="A13" s="113"/>
      <c r="B13" s="135" t="str">
        <f>IF(ISBLANK(Inp_User!B10),"",Inp_User!B10)</f>
        <v/>
      </c>
      <c r="F13" s="168">
        <f>Inp_User!F10</f>
        <v>0</v>
      </c>
      <c r="G13" s="168">
        <f>Inp_User!G10</f>
        <v>0</v>
      </c>
      <c r="H13" s="168">
        <f>Inp_User!H10</f>
        <v>0</v>
      </c>
      <c r="I13" s="168">
        <f>Inp_User!I10</f>
        <v>0</v>
      </c>
      <c r="J13" s="168">
        <f>Inp_User!J10</f>
        <v>0</v>
      </c>
      <c r="K13" s="168">
        <f>Inp_User!K10</f>
        <v>0</v>
      </c>
      <c r="L13" s="168">
        <f>Inp_User!L10</f>
        <v>0</v>
      </c>
      <c r="M13" s="168">
        <f>Inp_User!M10</f>
        <v>0</v>
      </c>
      <c r="N13" s="168">
        <f>Inp_User!N10</f>
        <v>0</v>
      </c>
      <c r="O13" s="168">
        <f>Inp_User!O10</f>
        <v>0</v>
      </c>
      <c r="P13" s="168">
        <f>Inp_User!P10</f>
        <v>0</v>
      </c>
      <c r="Q13" s="168">
        <f>Inp_User!Q10</f>
        <v>0</v>
      </c>
      <c r="R13" s="168">
        <f>Inp_User!R10</f>
        <v>0</v>
      </c>
      <c r="S13" s="168">
        <f>Inp_User!S10</f>
        <v>0</v>
      </c>
      <c r="T13" s="168">
        <f>Inp_User!T10</f>
        <v>0</v>
      </c>
      <c r="U13" s="168">
        <f>Inp_User!U10</f>
        <v>0</v>
      </c>
      <c r="V13" s="168">
        <f>Inp_User!V10</f>
        <v>0</v>
      </c>
      <c r="W13" s="168">
        <f>Inp_User!W10</f>
        <v>0</v>
      </c>
      <c r="X13" s="168">
        <f>Inp_User!X10</f>
        <v>0</v>
      </c>
      <c r="Y13" s="168">
        <f>Inp_User!Y10</f>
        <v>0</v>
      </c>
      <c r="Z13" s="168">
        <f>Inp_User!Z10</f>
        <v>0</v>
      </c>
      <c r="AA13" s="168">
        <f>Inp_User!AA10</f>
        <v>0</v>
      </c>
      <c r="AB13" s="168">
        <f>Inp_User!AB10</f>
        <v>0</v>
      </c>
      <c r="AC13" s="168">
        <f>Inp_User!AC10</f>
        <v>0</v>
      </c>
      <c r="AD13" s="168">
        <f>Inp_User!AD10</f>
        <v>0</v>
      </c>
      <c r="AE13" s="168">
        <f>Inp_User!AE10</f>
        <v>0</v>
      </c>
      <c r="AF13" s="168">
        <f>Inp_User!AF10</f>
        <v>0</v>
      </c>
      <c r="AG13" s="168">
        <f>Inp_User!AG10</f>
        <v>0</v>
      </c>
      <c r="AH13" s="168">
        <f>Inp_User!AH10</f>
        <v>0</v>
      </c>
      <c r="AI13" s="168">
        <f>Inp_User!AI10</f>
        <v>0</v>
      </c>
      <c r="AJ13" s="168">
        <f>Inp_User!AJ10</f>
        <v>0</v>
      </c>
      <c r="AK13" s="168">
        <f>Inp_User!AK10</f>
        <v>0</v>
      </c>
      <c r="AL13" s="168">
        <f>Inp_User!AL10</f>
        <v>0</v>
      </c>
      <c r="AM13" s="168">
        <f>Inp_User!AM10</f>
        <v>0</v>
      </c>
      <c r="AN13" s="168">
        <f>Inp_User!AN10</f>
        <v>0</v>
      </c>
      <c r="AO13" s="168">
        <f>Inp_User!AO10</f>
        <v>0</v>
      </c>
      <c r="AP13" s="168">
        <f>Inp_User!AP10</f>
        <v>0</v>
      </c>
      <c r="AQ13" s="168">
        <f>Inp_User!AQ10</f>
        <v>0</v>
      </c>
      <c r="AR13" s="168">
        <f>Inp_User!AR10</f>
        <v>0</v>
      </c>
    </row>
    <row r="14" spans="1:53" ht="15" customHeight="1">
      <c r="A14" s="113"/>
      <c r="B14" s="135" t="str">
        <f>IF(ISBLANK(Inp_User!B11),"",Inp_User!B11)</f>
        <v/>
      </c>
      <c r="F14" s="168">
        <f>Inp_User!F11</f>
        <v>0</v>
      </c>
      <c r="G14" s="168">
        <f>Inp_User!G11</f>
        <v>0</v>
      </c>
      <c r="H14" s="168">
        <f>Inp_User!H11</f>
        <v>0</v>
      </c>
      <c r="I14" s="168">
        <f>Inp_User!I11</f>
        <v>0</v>
      </c>
      <c r="J14" s="168">
        <f>Inp_User!J11</f>
        <v>0</v>
      </c>
      <c r="K14" s="168">
        <f>Inp_User!K11</f>
        <v>0</v>
      </c>
      <c r="L14" s="168">
        <f>Inp_User!L11</f>
        <v>0</v>
      </c>
      <c r="M14" s="168">
        <f>Inp_User!M11</f>
        <v>0</v>
      </c>
      <c r="N14" s="168">
        <f>Inp_User!N11</f>
        <v>0</v>
      </c>
      <c r="O14" s="168">
        <f>Inp_User!O11</f>
        <v>0</v>
      </c>
      <c r="P14" s="168">
        <f>Inp_User!P11</f>
        <v>0</v>
      </c>
      <c r="Q14" s="168">
        <f>Inp_User!Q11</f>
        <v>0</v>
      </c>
      <c r="R14" s="168">
        <f>Inp_User!R11</f>
        <v>0</v>
      </c>
      <c r="S14" s="168">
        <f>Inp_User!S11</f>
        <v>0</v>
      </c>
      <c r="T14" s="168">
        <f>Inp_User!T11</f>
        <v>0</v>
      </c>
      <c r="U14" s="168">
        <f>Inp_User!U11</f>
        <v>0</v>
      </c>
      <c r="V14" s="168">
        <f>Inp_User!V11</f>
        <v>0</v>
      </c>
      <c r="W14" s="168">
        <f>Inp_User!W11</f>
        <v>0</v>
      </c>
      <c r="X14" s="168">
        <f>Inp_User!X11</f>
        <v>0</v>
      </c>
      <c r="Y14" s="168">
        <f>Inp_User!Y11</f>
        <v>0</v>
      </c>
      <c r="Z14" s="168">
        <f>Inp_User!Z11</f>
        <v>0</v>
      </c>
      <c r="AA14" s="168">
        <f>Inp_User!AA11</f>
        <v>0</v>
      </c>
      <c r="AB14" s="168">
        <f>Inp_User!AB11</f>
        <v>0</v>
      </c>
      <c r="AC14" s="168">
        <f>Inp_User!AC11</f>
        <v>0</v>
      </c>
      <c r="AD14" s="168">
        <f>Inp_User!AD11</f>
        <v>0</v>
      </c>
      <c r="AE14" s="168">
        <f>Inp_User!AE11</f>
        <v>0</v>
      </c>
      <c r="AF14" s="168">
        <f>Inp_User!AF11</f>
        <v>0</v>
      </c>
      <c r="AG14" s="168">
        <f>Inp_User!AG11</f>
        <v>0</v>
      </c>
      <c r="AH14" s="168">
        <f>Inp_User!AH11</f>
        <v>0</v>
      </c>
      <c r="AI14" s="168">
        <f>Inp_User!AI11</f>
        <v>0</v>
      </c>
      <c r="AJ14" s="168">
        <f>Inp_User!AJ11</f>
        <v>0</v>
      </c>
      <c r="AK14" s="168">
        <f>Inp_User!AK11</f>
        <v>0</v>
      </c>
      <c r="AL14" s="168">
        <f>Inp_User!AL11</f>
        <v>0</v>
      </c>
      <c r="AM14" s="168">
        <f>Inp_User!AM11</f>
        <v>0</v>
      </c>
      <c r="AN14" s="168">
        <f>Inp_User!AN11</f>
        <v>0</v>
      </c>
      <c r="AO14" s="168">
        <f>Inp_User!AO11</f>
        <v>0</v>
      </c>
      <c r="AP14" s="168">
        <f>Inp_User!AP11</f>
        <v>0</v>
      </c>
      <c r="AQ14" s="168">
        <f>Inp_User!AQ11</f>
        <v>0</v>
      </c>
      <c r="AR14" s="168">
        <f>Inp_User!AR11</f>
        <v>0</v>
      </c>
    </row>
    <row r="15" spans="1:53" ht="15" customHeight="1">
      <c r="A15" s="113"/>
      <c r="B15" s="135" t="str">
        <f>IF(ISBLANK(Inp_User!B12),"",Inp_User!B12)</f>
        <v/>
      </c>
      <c r="F15" s="168">
        <f>Inp_User!F12</f>
        <v>0</v>
      </c>
      <c r="G15" s="168">
        <f>Inp_User!G12</f>
        <v>0</v>
      </c>
      <c r="H15" s="168">
        <f>Inp_User!H12</f>
        <v>0</v>
      </c>
      <c r="I15" s="168">
        <f>Inp_User!I12</f>
        <v>0</v>
      </c>
      <c r="J15" s="168">
        <f>Inp_User!J12</f>
        <v>0</v>
      </c>
      <c r="K15" s="168">
        <f>Inp_User!K12</f>
        <v>0</v>
      </c>
      <c r="L15" s="168">
        <f>Inp_User!L12</f>
        <v>0</v>
      </c>
      <c r="M15" s="168">
        <f>Inp_User!M12</f>
        <v>0</v>
      </c>
      <c r="N15" s="168">
        <f>Inp_User!N12</f>
        <v>0</v>
      </c>
      <c r="O15" s="168">
        <f>Inp_User!O12</f>
        <v>0</v>
      </c>
      <c r="P15" s="168">
        <f>Inp_User!P12</f>
        <v>0</v>
      </c>
      <c r="Q15" s="168">
        <f>Inp_User!Q12</f>
        <v>0</v>
      </c>
      <c r="R15" s="168">
        <f>Inp_User!R12</f>
        <v>0</v>
      </c>
      <c r="S15" s="168">
        <f>Inp_User!S12</f>
        <v>0</v>
      </c>
      <c r="T15" s="168">
        <f>Inp_User!T12</f>
        <v>0</v>
      </c>
      <c r="U15" s="168">
        <f>Inp_User!U12</f>
        <v>0</v>
      </c>
      <c r="V15" s="168">
        <f>Inp_User!V12</f>
        <v>0</v>
      </c>
      <c r="W15" s="168">
        <f>Inp_User!W12</f>
        <v>0</v>
      </c>
      <c r="X15" s="168">
        <f>Inp_User!X12</f>
        <v>0</v>
      </c>
      <c r="Y15" s="168">
        <f>Inp_User!Y12</f>
        <v>0</v>
      </c>
      <c r="Z15" s="168">
        <f>Inp_User!Z12</f>
        <v>0</v>
      </c>
      <c r="AA15" s="168">
        <f>Inp_User!AA12</f>
        <v>0</v>
      </c>
      <c r="AB15" s="168">
        <f>Inp_User!AB12</f>
        <v>0</v>
      </c>
      <c r="AC15" s="168">
        <f>Inp_User!AC12</f>
        <v>0</v>
      </c>
      <c r="AD15" s="168">
        <f>Inp_User!AD12</f>
        <v>0</v>
      </c>
      <c r="AE15" s="168">
        <f>Inp_User!AE12</f>
        <v>0</v>
      </c>
      <c r="AF15" s="168">
        <f>Inp_User!AF12</f>
        <v>0</v>
      </c>
      <c r="AG15" s="168">
        <f>Inp_User!AG12</f>
        <v>0</v>
      </c>
      <c r="AH15" s="168">
        <f>Inp_User!AH12</f>
        <v>0</v>
      </c>
      <c r="AI15" s="168">
        <f>Inp_User!AI12</f>
        <v>0</v>
      </c>
      <c r="AJ15" s="168">
        <f>Inp_User!AJ12</f>
        <v>0</v>
      </c>
      <c r="AK15" s="168">
        <f>Inp_User!AK12</f>
        <v>0</v>
      </c>
      <c r="AL15" s="168">
        <f>Inp_User!AL12</f>
        <v>0</v>
      </c>
      <c r="AM15" s="168">
        <f>Inp_User!AM12</f>
        <v>0</v>
      </c>
      <c r="AN15" s="168">
        <f>Inp_User!AN12</f>
        <v>0</v>
      </c>
      <c r="AO15" s="168">
        <f>Inp_User!AO12</f>
        <v>0</v>
      </c>
      <c r="AP15" s="168">
        <f>Inp_User!AP12</f>
        <v>0</v>
      </c>
      <c r="AQ15" s="168">
        <f>Inp_User!AQ12</f>
        <v>0</v>
      </c>
      <c r="AR15" s="168">
        <f>Inp_User!AR12</f>
        <v>0</v>
      </c>
    </row>
    <row r="16" spans="1:53" ht="10.5" customHeight="1"/>
    <row r="17" spans="1:44" ht="15" customHeight="1">
      <c r="B17" s="134" t="s">
        <v>356</v>
      </c>
    </row>
    <row r="18" spans="1:44" ht="15" customHeight="1">
      <c r="B18" s="111" t="s">
        <v>189</v>
      </c>
      <c r="F18" s="110" t="str">
        <f>[4]Inp_User!F39</f>
        <v>Value</v>
      </c>
      <c r="G18" s="110" t="str">
        <f>[4]Inp_User!G39</f>
        <v>Value</v>
      </c>
      <c r="H18" s="110" t="str">
        <f>[4]Inp_User!H39</f>
        <v>Value</v>
      </c>
      <c r="I18" s="110" t="str">
        <f>[4]Inp_User!I39</f>
        <v>Value</v>
      </c>
      <c r="J18" s="110" t="str">
        <f>[4]Inp_User!J39</f>
        <v>Value</v>
      </c>
      <c r="K18" s="110" t="str">
        <f>[4]Inp_User!K39</f>
        <v>Value</v>
      </c>
      <c r="L18" s="110" t="str">
        <f>[4]Inp_User!L39</f>
        <v>Value</v>
      </c>
      <c r="M18" s="110" t="str">
        <f>[4]Inp_User!M39</f>
        <v>Value</v>
      </c>
      <c r="N18" s="110" t="str">
        <f>[4]Inp_User!N39</f>
        <v>Value</v>
      </c>
      <c r="O18" s="110" t="str">
        <f>[4]Inp_User!O39</f>
        <v>Value</v>
      </c>
      <c r="P18" s="110" t="str">
        <f>[4]Inp_User!P39</f>
        <v>Value</v>
      </c>
      <c r="Q18" s="110" t="str">
        <f>[4]Inp_User!Q39</f>
        <v>Value</v>
      </c>
      <c r="R18" s="110" t="str">
        <f>[4]Inp_User!R39</f>
        <v>Value</v>
      </c>
      <c r="S18" s="110" t="str">
        <f>[4]Inp_User!S39</f>
        <v>Value</v>
      </c>
      <c r="T18" s="110" t="str">
        <f>[4]Inp_User!T39</f>
        <v>Value</v>
      </c>
      <c r="U18" s="110" t="str">
        <f>[4]Inp_User!U39</f>
        <v>Value</v>
      </c>
      <c r="V18" s="110" t="str">
        <f>[4]Inp_User!V39</f>
        <v>Value</v>
      </c>
      <c r="W18" s="110" t="str">
        <f>[4]Inp_User!W39</f>
        <v>Value</v>
      </c>
      <c r="X18" s="110" t="str">
        <f>[4]Inp_User!X39</f>
        <v>Value</v>
      </c>
      <c r="Y18" s="110" t="str">
        <f>[4]Inp_User!Y39</f>
        <v>Value</v>
      </c>
      <c r="Z18" s="110" t="str">
        <f>[4]Inp_User!Z39</f>
        <v>Value</v>
      </c>
      <c r="AA18" s="110" t="str">
        <f>[4]Inp_User!AA39</f>
        <v>Value</v>
      </c>
      <c r="AB18" s="110" t="str">
        <f>[4]Inp_User!AB39</f>
        <v>Value</v>
      </c>
      <c r="AC18" s="110" t="str">
        <f>[4]Inp_User!AC39</f>
        <v>Value</v>
      </c>
      <c r="AD18" s="110" t="str">
        <f>[4]Inp_User!AD39</f>
        <v>Value</v>
      </c>
      <c r="AE18" s="110" t="str">
        <f>[4]Inp_User!AE39</f>
        <v>Value</v>
      </c>
      <c r="AF18" s="110" t="str">
        <f>[4]Inp_User!AF39</f>
        <v>Value</v>
      </c>
      <c r="AG18" s="110" t="str">
        <f>[4]Inp_User!AG39</f>
        <v>Value</v>
      </c>
      <c r="AH18" s="110" t="str">
        <f>[4]Inp_User!AH39</f>
        <v>Value</v>
      </c>
      <c r="AI18" s="110" t="str">
        <f>[4]Inp_User!AI39</f>
        <v>Value</v>
      </c>
      <c r="AJ18" s="110" t="str">
        <f>[4]Inp_User!AJ39</f>
        <v>Value</v>
      </c>
      <c r="AK18" s="110" t="str">
        <f>[4]Inp_User!AK39</f>
        <v>Value</v>
      </c>
      <c r="AL18" s="110" t="str">
        <f>[4]Inp_User!AL39</f>
        <v>Value</v>
      </c>
      <c r="AM18" s="110" t="str">
        <f>[4]Inp_User!AM39</f>
        <v>Value</v>
      </c>
      <c r="AN18" s="110" t="str">
        <f>[4]Inp_User!AN39</f>
        <v>Value</v>
      </c>
      <c r="AO18" s="110" t="str">
        <f>[4]Inp_User!AO39</f>
        <v>Value</v>
      </c>
      <c r="AP18" s="110" t="str">
        <f>[4]Inp_User!AP39</f>
        <v>Value</v>
      </c>
      <c r="AQ18" s="110" t="str">
        <f>[4]Inp_User!AQ39</f>
        <v>Value</v>
      </c>
      <c r="AR18" s="110" t="str">
        <f>[4]Inp_User!AR39</f>
        <v>Value</v>
      </c>
    </row>
    <row r="19" spans="1:44" ht="15" customHeight="1">
      <c r="A19" s="113"/>
      <c r="B19" s="135" t="str">
        <f>B13</f>
        <v/>
      </c>
      <c r="F19" s="168">
        <f>Inp_User!F16</f>
        <v>0</v>
      </c>
      <c r="G19" s="168">
        <f>Inp_User!G16</f>
        <v>0</v>
      </c>
      <c r="H19" s="168">
        <f>Inp_User!H16</f>
        <v>0</v>
      </c>
      <c r="I19" s="168">
        <f>Inp_User!I16</f>
        <v>0</v>
      </c>
      <c r="J19" s="168">
        <f>Inp_User!J16</f>
        <v>0</v>
      </c>
      <c r="K19" s="168">
        <f>Inp_User!K16</f>
        <v>0</v>
      </c>
      <c r="L19" s="168">
        <f>Inp_User!L16</f>
        <v>0</v>
      </c>
      <c r="M19" s="168">
        <f>Inp_User!M16</f>
        <v>0</v>
      </c>
      <c r="N19" s="168">
        <f>Inp_User!N16</f>
        <v>0</v>
      </c>
      <c r="O19" s="168">
        <f>Inp_User!O16</f>
        <v>0</v>
      </c>
      <c r="P19" s="168">
        <f>Inp_User!P16</f>
        <v>0</v>
      </c>
      <c r="Q19" s="168">
        <f>Inp_User!Q16</f>
        <v>0</v>
      </c>
      <c r="R19" s="168">
        <f>Inp_User!R16</f>
        <v>0</v>
      </c>
      <c r="S19" s="168">
        <f>Inp_User!S16</f>
        <v>0</v>
      </c>
      <c r="T19" s="168">
        <f>Inp_User!T16</f>
        <v>0</v>
      </c>
      <c r="U19" s="168">
        <f>Inp_User!U16</f>
        <v>0</v>
      </c>
      <c r="V19" s="168">
        <f>Inp_User!V16</f>
        <v>0</v>
      </c>
      <c r="W19" s="168">
        <f>Inp_User!W16</f>
        <v>0</v>
      </c>
      <c r="X19" s="168">
        <f>Inp_User!X16</f>
        <v>0</v>
      </c>
      <c r="Y19" s="168">
        <f>Inp_User!Y16</f>
        <v>0</v>
      </c>
      <c r="Z19" s="168">
        <f>Inp_User!Z16</f>
        <v>0</v>
      </c>
      <c r="AA19" s="168">
        <f>Inp_User!AA16</f>
        <v>0</v>
      </c>
      <c r="AB19" s="168">
        <f>Inp_User!AB16</f>
        <v>0</v>
      </c>
      <c r="AC19" s="168">
        <f>Inp_User!AC16</f>
        <v>0</v>
      </c>
      <c r="AD19" s="168">
        <f>Inp_User!AD16</f>
        <v>0</v>
      </c>
      <c r="AE19" s="168">
        <f>Inp_User!AE16</f>
        <v>0</v>
      </c>
      <c r="AF19" s="168">
        <f>Inp_User!AF16</f>
        <v>0</v>
      </c>
      <c r="AG19" s="168">
        <f>Inp_User!AG16</f>
        <v>0</v>
      </c>
      <c r="AH19" s="168">
        <f>Inp_User!AH16</f>
        <v>0</v>
      </c>
      <c r="AI19" s="168">
        <f>Inp_User!AI16</f>
        <v>0</v>
      </c>
      <c r="AJ19" s="168">
        <f>Inp_User!AJ16</f>
        <v>0</v>
      </c>
      <c r="AK19" s="168">
        <f>Inp_User!AK16</f>
        <v>0</v>
      </c>
      <c r="AL19" s="168">
        <f>Inp_User!AL16</f>
        <v>0</v>
      </c>
      <c r="AM19" s="168">
        <f>Inp_User!AM16</f>
        <v>0</v>
      </c>
      <c r="AN19" s="168">
        <f>Inp_User!AN16</f>
        <v>0</v>
      </c>
      <c r="AO19" s="168">
        <f>Inp_User!AO16</f>
        <v>0</v>
      </c>
      <c r="AP19" s="168">
        <f>Inp_User!AP16</f>
        <v>0</v>
      </c>
      <c r="AQ19" s="168">
        <f>Inp_User!AQ16</f>
        <v>0</v>
      </c>
      <c r="AR19" s="168">
        <f>Inp_User!AR16</f>
        <v>0</v>
      </c>
    </row>
    <row r="20" spans="1:44" ht="15" customHeight="1">
      <c r="A20" s="113"/>
      <c r="B20" s="135" t="str">
        <f t="shared" ref="B20:B21" si="1">B14</f>
        <v/>
      </c>
      <c r="F20" s="168">
        <f>Inp_User!F17</f>
        <v>0</v>
      </c>
      <c r="G20" s="168">
        <f>Inp_User!G17</f>
        <v>0</v>
      </c>
      <c r="H20" s="168">
        <f>Inp_User!H17</f>
        <v>0</v>
      </c>
      <c r="I20" s="168">
        <f>Inp_User!I17</f>
        <v>0</v>
      </c>
      <c r="J20" s="168">
        <f>Inp_User!J17</f>
        <v>0</v>
      </c>
      <c r="K20" s="168">
        <f>Inp_User!K17</f>
        <v>0</v>
      </c>
      <c r="L20" s="168">
        <f>Inp_User!L17</f>
        <v>0</v>
      </c>
      <c r="M20" s="168">
        <f>Inp_User!M17</f>
        <v>0</v>
      </c>
      <c r="N20" s="168">
        <f>Inp_User!N17</f>
        <v>0</v>
      </c>
      <c r="O20" s="168">
        <f>Inp_User!O17</f>
        <v>0</v>
      </c>
      <c r="P20" s="168">
        <f>Inp_User!P17</f>
        <v>0</v>
      </c>
      <c r="Q20" s="168">
        <f>Inp_User!Q17</f>
        <v>0</v>
      </c>
      <c r="R20" s="168">
        <f>Inp_User!R17</f>
        <v>0</v>
      </c>
      <c r="S20" s="168">
        <f>Inp_User!S17</f>
        <v>0</v>
      </c>
      <c r="T20" s="168">
        <f>Inp_User!T17</f>
        <v>0</v>
      </c>
      <c r="U20" s="168">
        <f>Inp_User!U17</f>
        <v>0</v>
      </c>
      <c r="V20" s="168">
        <f>Inp_User!V17</f>
        <v>0</v>
      </c>
      <c r="W20" s="168">
        <f>Inp_User!W17</f>
        <v>0</v>
      </c>
      <c r="X20" s="168">
        <f>Inp_User!X17</f>
        <v>0</v>
      </c>
      <c r="Y20" s="168">
        <f>Inp_User!Y17</f>
        <v>0</v>
      </c>
      <c r="Z20" s="168">
        <f>Inp_User!Z17</f>
        <v>0</v>
      </c>
      <c r="AA20" s="168">
        <f>Inp_User!AA17</f>
        <v>0</v>
      </c>
      <c r="AB20" s="168">
        <f>Inp_User!AB17</f>
        <v>0</v>
      </c>
      <c r="AC20" s="168">
        <f>Inp_User!AC17</f>
        <v>0</v>
      </c>
      <c r="AD20" s="168">
        <f>Inp_User!AD17</f>
        <v>0</v>
      </c>
      <c r="AE20" s="168">
        <f>Inp_User!AE17</f>
        <v>0</v>
      </c>
      <c r="AF20" s="168">
        <f>Inp_User!AF17</f>
        <v>0</v>
      </c>
      <c r="AG20" s="168">
        <f>Inp_User!AG17</f>
        <v>0</v>
      </c>
      <c r="AH20" s="168">
        <f>Inp_User!AH17</f>
        <v>0</v>
      </c>
      <c r="AI20" s="168">
        <f>Inp_User!AI17</f>
        <v>0</v>
      </c>
      <c r="AJ20" s="168">
        <f>Inp_User!AJ17</f>
        <v>0</v>
      </c>
      <c r="AK20" s="168">
        <f>Inp_User!AK17</f>
        <v>0</v>
      </c>
      <c r="AL20" s="168">
        <f>Inp_User!AL17</f>
        <v>0</v>
      </c>
      <c r="AM20" s="168">
        <f>Inp_User!AM17</f>
        <v>0</v>
      </c>
      <c r="AN20" s="168">
        <f>Inp_User!AN17</f>
        <v>0</v>
      </c>
      <c r="AO20" s="168">
        <f>Inp_User!AO17</f>
        <v>0</v>
      </c>
      <c r="AP20" s="168">
        <f>Inp_User!AP17</f>
        <v>0</v>
      </c>
      <c r="AQ20" s="168">
        <f>Inp_User!AQ17</f>
        <v>0</v>
      </c>
      <c r="AR20" s="168">
        <f>Inp_User!AR17</f>
        <v>0</v>
      </c>
    </row>
    <row r="21" spans="1:44" ht="15" customHeight="1">
      <c r="A21" s="113"/>
      <c r="B21" s="135" t="str">
        <f t="shared" si="1"/>
        <v/>
      </c>
      <c r="F21" s="168">
        <f>Inp_User!F18</f>
        <v>0</v>
      </c>
      <c r="G21" s="168">
        <f>Inp_User!G18</f>
        <v>0</v>
      </c>
      <c r="H21" s="168">
        <f>Inp_User!H18</f>
        <v>0</v>
      </c>
      <c r="I21" s="168">
        <f>Inp_User!I18</f>
        <v>0</v>
      </c>
      <c r="J21" s="168">
        <f>Inp_User!J18</f>
        <v>0</v>
      </c>
      <c r="K21" s="168">
        <f>Inp_User!K18</f>
        <v>0</v>
      </c>
      <c r="L21" s="168">
        <f>Inp_User!L18</f>
        <v>0</v>
      </c>
      <c r="M21" s="168">
        <f>Inp_User!M18</f>
        <v>0</v>
      </c>
      <c r="N21" s="168">
        <f>Inp_User!N18</f>
        <v>0</v>
      </c>
      <c r="O21" s="168">
        <f>Inp_User!O18</f>
        <v>0</v>
      </c>
      <c r="P21" s="168">
        <f>Inp_User!P18</f>
        <v>0</v>
      </c>
      <c r="Q21" s="168">
        <f>Inp_User!Q18</f>
        <v>0</v>
      </c>
      <c r="R21" s="168">
        <f>Inp_User!R18</f>
        <v>0</v>
      </c>
      <c r="S21" s="168">
        <f>Inp_User!S18</f>
        <v>0</v>
      </c>
      <c r="T21" s="168">
        <f>Inp_User!T18</f>
        <v>0</v>
      </c>
      <c r="U21" s="168">
        <f>Inp_User!U18</f>
        <v>0</v>
      </c>
      <c r="V21" s="168">
        <f>Inp_User!V18</f>
        <v>0</v>
      </c>
      <c r="W21" s="168">
        <f>Inp_User!W18</f>
        <v>0</v>
      </c>
      <c r="X21" s="168">
        <f>Inp_User!X18</f>
        <v>0</v>
      </c>
      <c r="Y21" s="168">
        <f>Inp_User!Y18</f>
        <v>0</v>
      </c>
      <c r="Z21" s="168">
        <f>Inp_User!Z18</f>
        <v>0</v>
      </c>
      <c r="AA21" s="168">
        <f>Inp_User!AA18</f>
        <v>0</v>
      </c>
      <c r="AB21" s="168">
        <f>Inp_User!AB18</f>
        <v>0</v>
      </c>
      <c r="AC21" s="168">
        <f>Inp_User!AC18</f>
        <v>0</v>
      </c>
      <c r="AD21" s="168">
        <f>Inp_User!AD18</f>
        <v>0</v>
      </c>
      <c r="AE21" s="168">
        <f>Inp_User!AE18</f>
        <v>0</v>
      </c>
      <c r="AF21" s="168">
        <f>Inp_User!AF18</f>
        <v>0</v>
      </c>
      <c r="AG21" s="168">
        <f>Inp_User!AG18</f>
        <v>0</v>
      </c>
      <c r="AH21" s="168">
        <f>Inp_User!AH18</f>
        <v>0</v>
      </c>
      <c r="AI21" s="168">
        <f>Inp_User!AI18</f>
        <v>0</v>
      </c>
      <c r="AJ21" s="168">
        <f>Inp_User!AJ18</f>
        <v>0</v>
      </c>
      <c r="AK21" s="168">
        <f>Inp_User!AK18</f>
        <v>0</v>
      </c>
      <c r="AL21" s="168">
        <f>Inp_User!AL18</f>
        <v>0</v>
      </c>
      <c r="AM21" s="168">
        <f>Inp_User!AM18</f>
        <v>0</v>
      </c>
      <c r="AN21" s="168">
        <f>Inp_User!AN18</f>
        <v>0</v>
      </c>
      <c r="AO21" s="168">
        <f>Inp_User!AO18</f>
        <v>0</v>
      </c>
      <c r="AP21" s="168">
        <f>Inp_User!AP18</f>
        <v>0</v>
      </c>
      <c r="AQ21" s="168">
        <f>Inp_User!AQ18</f>
        <v>0</v>
      </c>
      <c r="AR21" s="168">
        <f>Inp_User!AR18</f>
        <v>0</v>
      </c>
    </row>
    <row r="22" spans="1:44" ht="10.5" customHeight="1"/>
    <row r="23" spans="1:44" ht="15" customHeight="1">
      <c r="B23" s="134" t="s">
        <v>357</v>
      </c>
    </row>
    <row r="24" spans="1:44" ht="15" customHeight="1">
      <c r="B24" s="111" t="s">
        <v>189</v>
      </c>
      <c r="F24" s="110" t="str">
        <f>[4]Inp_User!F45</f>
        <v>Value</v>
      </c>
      <c r="G24" s="110" t="str">
        <f>[4]Inp_User!G45</f>
        <v>Value</v>
      </c>
      <c r="H24" s="110" t="str">
        <f>[4]Inp_User!H45</f>
        <v>Value</v>
      </c>
      <c r="I24" s="110" t="str">
        <f>[4]Inp_User!I45</f>
        <v>Value</v>
      </c>
      <c r="J24" s="110" t="str">
        <f>[4]Inp_User!J45</f>
        <v>Value</v>
      </c>
      <c r="K24" s="110" t="str">
        <f>[4]Inp_User!K45</f>
        <v>Value</v>
      </c>
      <c r="L24" s="110" t="str">
        <f>[4]Inp_User!L45</f>
        <v>Value</v>
      </c>
      <c r="M24" s="110" t="str">
        <f>[4]Inp_User!M45</f>
        <v>Value</v>
      </c>
      <c r="N24" s="110" t="str">
        <f>[4]Inp_User!N45</f>
        <v>Value</v>
      </c>
      <c r="O24" s="110" t="str">
        <f>[4]Inp_User!O45</f>
        <v>Value</v>
      </c>
      <c r="P24" s="110" t="str">
        <f>[4]Inp_User!P45</f>
        <v>Value</v>
      </c>
      <c r="Q24" s="110" t="str">
        <f>[4]Inp_User!Q45</f>
        <v>Value</v>
      </c>
      <c r="R24" s="110" t="str">
        <f>[4]Inp_User!R45</f>
        <v>Value</v>
      </c>
      <c r="S24" s="110" t="str">
        <f>[4]Inp_User!S45</f>
        <v>Value</v>
      </c>
      <c r="T24" s="110" t="str">
        <f>[4]Inp_User!T45</f>
        <v>Value</v>
      </c>
      <c r="U24" s="110" t="str">
        <f>[4]Inp_User!U45</f>
        <v>Value</v>
      </c>
      <c r="V24" s="110" t="str">
        <f>[4]Inp_User!V45</f>
        <v>Value</v>
      </c>
      <c r="W24" s="110" t="str">
        <f>[4]Inp_User!W45</f>
        <v>Value</v>
      </c>
      <c r="X24" s="110" t="str">
        <f>[4]Inp_User!X45</f>
        <v>Value</v>
      </c>
      <c r="Y24" s="110" t="str">
        <f>[4]Inp_User!Y45</f>
        <v>Value</v>
      </c>
      <c r="Z24" s="110" t="str">
        <f>[4]Inp_User!Z45</f>
        <v>Value</v>
      </c>
      <c r="AA24" s="110" t="str">
        <f>[4]Inp_User!AA45</f>
        <v>Value</v>
      </c>
      <c r="AB24" s="110" t="str">
        <f>[4]Inp_User!AB45</f>
        <v>Value</v>
      </c>
      <c r="AC24" s="110" t="str">
        <f>[4]Inp_User!AC45</f>
        <v>Value</v>
      </c>
      <c r="AD24" s="110" t="str">
        <f>[4]Inp_User!AD45</f>
        <v>Value</v>
      </c>
      <c r="AE24" s="110" t="str">
        <f>[4]Inp_User!AE45</f>
        <v>Value</v>
      </c>
      <c r="AF24" s="110" t="str">
        <f>[4]Inp_User!AF45</f>
        <v>Value</v>
      </c>
      <c r="AG24" s="110" t="str">
        <f>[4]Inp_User!AG45</f>
        <v>Value</v>
      </c>
      <c r="AH24" s="110" t="str">
        <f>[4]Inp_User!AH45</f>
        <v>Value</v>
      </c>
      <c r="AI24" s="110" t="str">
        <f>[4]Inp_User!AI45</f>
        <v>Value</v>
      </c>
      <c r="AJ24" s="110" t="str">
        <f>[4]Inp_User!AJ45</f>
        <v>Value</v>
      </c>
      <c r="AK24" s="110" t="str">
        <f>[4]Inp_User!AK45</f>
        <v>Value</v>
      </c>
      <c r="AL24" s="110" t="str">
        <f>[4]Inp_User!AL45</f>
        <v>Value</v>
      </c>
      <c r="AM24" s="110" t="str">
        <f>[4]Inp_User!AM45</f>
        <v>Value</v>
      </c>
      <c r="AN24" s="110" t="str">
        <f>[4]Inp_User!AN45</f>
        <v>Value</v>
      </c>
      <c r="AO24" s="110" t="str">
        <f>[4]Inp_User!AO45</f>
        <v>Value</v>
      </c>
      <c r="AP24" s="110" t="str">
        <f>[4]Inp_User!AP45</f>
        <v>Value</v>
      </c>
      <c r="AQ24" s="110" t="str">
        <f>[4]Inp_User!AQ45</f>
        <v>Value</v>
      </c>
      <c r="AR24" s="110" t="str">
        <f>[4]Inp_User!AR45</f>
        <v>Value</v>
      </c>
    </row>
    <row r="25" spans="1:44" ht="15" customHeight="1">
      <c r="A25" s="113"/>
      <c r="B25" s="135" t="str">
        <f>B13</f>
        <v/>
      </c>
      <c r="F25" s="168">
        <f>Inp_User!F22</f>
        <v>0</v>
      </c>
      <c r="G25" s="168">
        <f>Inp_User!G22</f>
        <v>0</v>
      </c>
      <c r="H25" s="168">
        <f>Inp_User!H22</f>
        <v>0</v>
      </c>
      <c r="I25" s="168">
        <f>Inp_User!I22</f>
        <v>0</v>
      </c>
      <c r="J25" s="168">
        <f>Inp_User!J22</f>
        <v>0</v>
      </c>
      <c r="K25" s="168">
        <f>Inp_User!K22</f>
        <v>0</v>
      </c>
      <c r="L25" s="168">
        <f>Inp_User!L22</f>
        <v>0</v>
      </c>
      <c r="M25" s="168">
        <f>Inp_User!M22</f>
        <v>0</v>
      </c>
      <c r="N25" s="168">
        <f>Inp_User!N22</f>
        <v>0</v>
      </c>
      <c r="O25" s="168">
        <f>Inp_User!O22</f>
        <v>0</v>
      </c>
      <c r="P25" s="168">
        <f>Inp_User!P22</f>
        <v>0</v>
      </c>
      <c r="Q25" s="168">
        <f>Inp_User!Q22</f>
        <v>0</v>
      </c>
      <c r="R25" s="168">
        <f>Inp_User!R22</f>
        <v>0</v>
      </c>
      <c r="S25" s="168">
        <f>Inp_User!S22</f>
        <v>0</v>
      </c>
      <c r="T25" s="168">
        <f>Inp_User!T22</f>
        <v>0</v>
      </c>
      <c r="U25" s="168">
        <f>Inp_User!U22</f>
        <v>0</v>
      </c>
      <c r="V25" s="168">
        <f>Inp_User!V22</f>
        <v>0</v>
      </c>
      <c r="W25" s="168">
        <f>Inp_User!W22</f>
        <v>0</v>
      </c>
      <c r="X25" s="168">
        <f>Inp_User!X22</f>
        <v>0</v>
      </c>
      <c r="Y25" s="168">
        <f>Inp_User!Y22</f>
        <v>0</v>
      </c>
      <c r="Z25" s="168">
        <f>Inp_User!Z22</f>
        <v>0</v>
      </c>
      <c r="AA25" s="168">
        <f>Inp_User!AA22</f>
        <v>0</v>
      </c>
      <c r="AB25" s="168">
        <f>Inp_User!AB22</f>
        <v>0</v>
      </c>
      <c r="AC25" s="168">
        <f>Inp_User!AC22</f>
        <v>0</v>
      </c>
      <c r="AD25" s="168">
        <f>Inp_User!AD22</f>
        <v>0</v>
      </c>
      <c r="AE25" s="168">
        <f>Inp_User!AE22</f>
        <v>0</v>
      </c>
      <c r="AF25" s="168">
        <f>Inp_User!AF22</f>
        <v>0</v>
      </c>
      <c r="AG25" s="168">
        <f>Inp_User!AG22</f>
        <v>0</v>
      </c>
      <c r="AH25" s="168">
        <f>Inp_User!AH22</f>
        <v>0</v>
      </c>
      <c r="AI25" s="168">
        <f>Inp_User!AI22</f>
        <v>0</v>
      </c>
      <c r="AJ25" s="168">
        <f>Inp_User!AJ22</f>
        <v>0</v>
      </c>
      <c r="AK25" s="168">
        <f>Inp_User!AK22</f>
        <v>0</v>
      </c>
      <c r="AL25" s="168">
        <f>Inp_User!AL22</f>
        <v>0</v>
      </c>
      <c r="AM25" s="168">
        <f>Inp_User!AM22</f>
        <v>0</v>
      </c>
      <c r="AN25" s="168">
        <f>Inp_User!AN22</f>
        <v>0</v>
      </c>
      <c r="AO25" s="168">
        <f>Inp_User!AO22</f>
        <v>0</v>
      </c>
      <c r="AP25" s="168">
        <f>Inp_User!AP22</f>
        <v>0</v>
      </c>
      <c r="AQ25" s="168">
        <f>Inp_User!AQ22</f>
        <v>0</v>
      </c>
      <c r="AR25" s="168">
        <f>Inp_User!AR22</f>
        <v>0</v>
      </c>
    </row>
    <row r="26" spans="1:44" ht="15" customHeight="1">
      <c r="A26" s="113"/>
      <c r="B26" s="135" t="str">
        <f t="shared" ref="B26:B27" si="2">B14</f>
        <v/>
      </c>
      <c r="F26" s="168">
        <f>Inp_User!F23</f>
        <v>0</v>
      </c>
      <c r="G26" s="168">
        <f>Inp_User!G23</f>
        <v>0</v>
      </c>
      <c r="H26" s="168">
        <f>Inp_User!H23</f>
        <v>0</v>
      </c>
      <c r="I26" s="168">
        <f>Inp_User!I23</f>
        <v>0</v>
      </c>
      <c r="J26" s="168">
        <f>Inp_User!J23</f>
        <v>0</v>
      </c>
      <c r="K26" s="168">
        <f>Inp_User!K23</f>
        <v>0</v>
      </c>
      <c r="L26" s="168">
        <f>Inp_User!L23</f>
        <v>0</v>
      </c>
      <c r="M26" s="168">
        <f>Inp_User!M23</f>
        <v>0</v>
      </c>
      <c r="N26" s="168">
        <f>Inp_User!N23</f>
        <v>0</v>
      </c>
      <c r="O26" s="168">
        <f>Inp_User!O23</f>
        <v>0</v>
      </c>
      <c r="P26" s="168">
        <f>Inp_User!P23</f>
        <v>0</v>
      </c>
      <c r="Q26" s="168">
        <f>Inp_User!Q23</f>
        <v>0</v>
      </c>
      <c r="R26" s="168">
        <f>Inp_User!R23</f>
        <v>0</v>
      </c>
      <c r="S26" s="168">
        <f>Inp_User!S23</f>
        <v>0</v>
      </c>
      <c r="T26" s="168">
        <f>Inp_User!T23</f>
        <v>0</v>
      </c>
      <c r="U26" s="168">
        <f>Inp_User!U23</f>
        <v>0</v>
      </c>
      <c r="V26" s="168">
        <f>Inp_User!V23</f>
        <v>0</v>
      </c>
      <c r="W26" s="168">
        <f>Inp_User!W23</f>
        <v>0</v>
      </c>
      <c r="X26" s="168">
        <f>Inp_User!X23</f>
        <v>0</v>
      </c>
      <c r="Y26" s="168">
        <f>Inp_User!Y23</f>
        <v>0</v>
      </c>
      <c r="Z26" s="168">
        <f>Inp_User!Z23</f>
        <v>0</v>
      </c>
      <c r="AA26" s="168">
        <f>Inp_User!AA23</f>
        <v>0</v>
      </c>
      <c r="AB26" s="168">
        <f>Inp_User!AB23</f>
        <v>0</v>
      </c>
      <c r="AC26" s="168">
        <f>Inp_User!AC23</f>
        <v>0</v>
      </c>
      <c r="AD26" s="168">
        <f>Inp_User!AD23</f>
        <v>0</v>
      </c>
      <c r="AE26" s="168">
        <f>Inp_User!AE23</f>
        <v>0</v>
      </c>
      <c r="AF26" s="168">
        <f>Inp_User!AF23</f>
        <v>0</v>
      </c>
      <c r="AG26" s="168">
        <f>Inp_User!AG23</f>
        <v>0</v>
      </c>
      <c r="AH26" s="168">
        <f>Inp_User!AH23</f>
        <v>0</v>
      </c>
      <c r="AI26" s="168">
        <f>Inp_User!AI23</f>
        <v>0</v>
      </c>
      <c r="AJ26" s="168">
        <f>Inp_User!AJ23</f>
        <v>0</v>
      </c>
      <c r="AK26" s="168">
        <f>Inp_User!AK23</f>
        <v>0</v>
      </c>
      <c r="AL26" s="168">
        <f>Inp_User!AL23</f>
        <v>0</v>
      </c>
      <c r="AM26" s="168">
        <f>Inp_User!AM23</f>
        <v>0</v>
      </c>
      <c r="AN26" s="168">
        <f>Inp_User!AN23</f>
        <v>0</v>
      </c>
      <c r="AO26" s="168">
        <f>Inp_User!AO23</f>
        <v>0</v>
      </c>
      <c r="AP26" s="168">
        <f>Inp_User!AP23</f>
        <v>0</v>
      </c>
      <c r="AQ26" s="168">
        <f>Inp_User!AQ23</f>
        <v>0</v>
      </c>
      <c r="AR26" s="168">
        <f>Inp_User!AR23</f>
        <v>0</v>
      </c>
    </row>
    <row r="27" spans="1:44" ht="15" customHeight="1">
      <c r="A27" s="113"/>
      <c r="B27" s="135" t="str">
        <f t="shared" si="2"/>
        <v/>
      </c>
      <c r="F27" s="168">
        <f>Inp_User!F24</f>
        <v>0</v>
      </c>
      <c r="G27" s="168">
        <f>Inp_User!G24</f>
        <v>0</v>
      </c>
      <c r="H27" s="168">
        <f>Inp_User!H24</f>
        <v>0</v>
      </c>
      <c r="I27" s="168">
        <f>Inp_User!I24</f>
        <v>0</v>
      </c>
      <c r="J27" s="168">
        <f>Inp_User!J24</f>
        <v>0</v>
      </c>
      <c r="K27" s="168">
        <f>Inp_User!K24</f>
        <v>0</v>
      </c>
      <c r="L27" s="168">
        <f>Inp_User!L24</f>
        <v>0</v>
      </c>
      <c r="M27" s="168">
        <f>Inp_User!M24</f>
        <v>0</v>
      </c>
      <c r="N27" s="168">
        <f>Inp_User!N24</f>
        <v>0</v>
      </c>
      <c r="O27" s="168">
        <f>Inp_User!O24</f>
        <v>0</v>
      </c>
      <c r="P27" s="168">
        <f>Inp_User!P24</f>
        <v>0</v>
      </c>
      <c r="Q27" s="168">
        <f>Inp_User!Q24</f>
        <v>0</v>
      </c>
      <c r="R27" s="168">
        <f>Inp_User!R24</f>
        <v>0</v>
      </c>
      <c r="S27" s="168">
        <f>Inp_User!S24</f>
        <v>0</v>
      </c>
      <c r="T27" s="168">
        <f>Inp_User!T24</f>
        <v>0</v>
      </c>
      <c r="U27" s="168">
        <f>Inp_User!U24</f>
        <v>0</v>
      </c>
      <c r="V27" s="168">
        <f>Inp_User!V24</f>
        <v>0</v>
      </c>
      <c r="W27" s="168">
        <f>Inp_User!W24</f>
        <v>0</v>
      </c>
      <c r="X27" s="168">
        <f>Inp_User!X24</f>
        <v>0</v>
      </c>
      <c r="Y27" s="168">
        <f>Inp_User!Y24</f>
        <v>0</v>
      </c>
      <c r="Z27" s="168">
        <f>Inp_User!Z24</f>
        <v>0</v>
      </c>
      <c r="AA27" s="168">
        <f>Inp_User!AA24</f>
        <v>0</v>
      </c>
      <c r="AB27" s="168">
        <f>Inp_User!AB24</f>
        <v>0</v>
      </c>
      <c r="AC27" s="168">
        <f>Inp_User!AC24</f>
        <v>0</v>
      </c>
      <c r="AD27" s="168">
        <f>Inp_User!AD24</f>
        <v>0</v>
      </c>
      <c r="AE27" s="168">
        <f>Inp_User!AE24</f>
        <v>0</v>
      </c>
      <c r="AF27" s="168">
        <f>Inp_User!AF24</f>
        <v>0</v>
      </c>
      <c r="AG27" s="168">
        <f>Inp_User!AG24</f>
        <v>0</v>
      </c>
      <c r="AH27" s="168">
        <f>Inp_User!AH24</f>
        <v>0</v>
      </c>
      <c r="AI27" s="168">
        <f>Inp_User!AI24</f>
        <v>0</v>
      </c>
      <c r="AJ27" s="168">
        <f>Inp_User!AJ24</f>
        <v>0</v>
      </c>
      <c r="AK27" s="168">
        <f>Inp_User!AK24</f>
        <v>0</v>
      </c>
      <c r="AL27" s="168">
        <f>Inp_User!AL24</f>
        <v>0</v>
      </c>
      <c r="AM27" s="168">
        <f>Inp_User!AM24</f>
        <v>0</v>
      </c>
      <c r="AN27" s="168">
        <f>Inp_User!AN24</f>
        <v>0</v>
      </c>
      <c r="AO27" s="168">
        <f>Inp_User!AO24</f>
        <v>0</v>
      </c>
      <c r="AP27" s="168">
        <f>Inp_User!AP24</f>
        <v>0</v>
      </c>
      <c r="AQ27" s="168">
        <f>Inp_User!AQ24</f>
        <v>0</v>
      </c>
      <c r="AR27" s="168">
        <f>Inp_User!AR24</f>
        <v>0</v>
      </c>
    </row>
    <row r="28" spans="1:44" ht="5.25" customHeight="1"/>
    <row r="29" spans="1:44" ht="6.75" customHeight="1"/>
    <row r="30" spans="1:44" ht="21.75" customHeight="1">
      <c r="B30" s="133" t="s">
        <v>211</v>
      </c>
    </row>
    <row r="31" spans="1:44" ht="8.25" customHeight="1"/>
    <row r="32" spans="1:44" ht="15" customHeight="1">
      <c r="B32" s="134" t="s">
        <v>212</v>
      </c>
    </row>
    <row r="33" spans="1:44" ht="15" customHeight="1">
      <c r="B33" s="111" t="s">
        <v>189</v>
      </c>
      <c r="F33" s="110" t="str">
        <f>F24</f>
        <v>Value</v>
      </c>
      <c r="G33" s="110" t="str">
        <f t="shared" ref="G33:AR33" si="3">G24</f>
        <v>Value</v>
      </c>
      <c r="H33" s="110" t="str">
        <f t="shared" si="3"/>
        <v>Value</v>
      </c>
      <c r="I33" s="110" t="str">
        <f t="shared" si="3"/>
        <v>Value</v>
      </c>
      <c r="J33" s="110" t="str">
        <f t="shared" si="3"/>
        <v>Value</v>
      </c>
      <c r="K33" s="110" t="str">
        <f t="shared" si="3"/>
        <v>Value</v>
      </c>
      <c r="L33" s="110" t="str">
        <f t="shared" si="3"/>
        <v>Value</v>
      </c>
      <c r="M33" s="110" t="str">
        <f t="shared" si="3"/>
        <v>Value</v>
      </c>
      <c r="N33" s="110" t="str">
        <f t="shared" si="3"/>
        <v>Value</v>
      </c>
      <c r="O33" s="110" t="str">
        <f t="shared" si="3"/>
        <v>Value</v>
      </c>
      <c r="P33" s="110" t="str">
        <f t="shared" si="3"/>
        <v>Value</v>
      </c>
      <c r="Q33" s="110" t="str">
        <f t="shared" si="3"/>
        <v>Value</v>
      </c>
      <c r="R33" s="110" t="str">
        <f t="shared" si="3"/>
        <v>Value</v>
      </c>
      <c r="S33" s="110" t="str">
        <f t="shared" si="3"/>
        <v>Value</v>
      </c>
      <c r="T33" s="110" t="str">
        <f t="shared" si="3"/>
        <v>Value</v>
      </c>
      <c r="U33" s="110" t="str">
        <f t="shared" si="3"/>
        <v>Value</v>
      </c>
      <c r="V33" s="110" t="str">
        <f t="shared" si="3"/>
        <v>Value</v>
      </c>
      <c r="W33" s="110" t="str">
        <f t="shared" si="3"/>
        <v>Value</v>
      </c>
      <c r="X33" s="110" t="str">
        <f t="shared" si="3"/>
        <v>Value</v>
      </c>
      <c r="Y33" s="110" t="str">
        <f t="shared" si="3"/>
        <v>Value</v>
      </c>
      <c r="Z33" s="110" t="str">
        <f t="shared" si="3"/>
        <v>Value</v>
      </c>
      <c r="AA33" s="110" t="str">
        <f t="shared" si="3"/>
        <v>Value</v>
      </c>
      <c r="AB33" s="110" t="str">
        <f t="shared" si="3"/>
        <v>Value</v>
      </c>
      <c r="AC33" s="110" t="str">
        <f t="shared" si="3"/>
        <v>Value</v>
      </c>
      <c r="AD33" s="110" t="str">
        <f t="shared" si="3"/>
        <v>Value</v>
      </c>
      <c r="AE33" s="110" t="str">
        <f t="shared" si="3"/>
        <v>Value</v>
      </c>
      <c r="AF33" s="110" t="str">
        <f t="shared" si="3"/>
        <v>Value</v>
      </c>
      <c r="AG33" s="110" t="str">
        <f t="shared" si="3"/>
        <v>Value</v>
      </c>
      <c r="AH33" s="110" t="str">
        <f t="shared" si="3"/>
        <v>Value</v>
      </c>
      <c r="AI33" s="110" t="str">
        <f t="shared" si="3"/>
        <v>Value</v>
      </c>
      <c r="AJ33" s="110" t="str">
        <f t="shared" si="3"/>
        <v>Value</v>
      </c>
      <c r="AK33" s="110" t="str">
        <f t="shared" si="3"/>
        <v>Value</v>
      </c>
      <c r="AL33" s="110" t="str">
        <f t="shared" si="3"/>
        <v>Value</v>
      </c>
      <c r="AM33" s="110" t="str">
        <f t="shared" si="3"/>
        <v>Value</v>
      </c>
      <c r="AN33" s="110" t="str">
        <f t="shared" si="3"/>
        <v>Value</v>
      </c>
      <c r="AO33" s="110" t="str">
        <f t="shared" si="3"/>
        <v>Value</v>
      </c>
      <c r="AP33" s="110" t="str">
        <f t="shared" si="3"/>
        <v>Value</v>
      </c>
      <c r="AQ33" s="110" t="str">
        <f t="shared" si="3"/>
        <v>Value</v>
      </c>
      <c r="AR33" s="110" t="str">
        <f t="shared" si="3"/>
        <v>Value</v>
      </c>
    </row>
    <row r="34" spans="1:44" ht="15" customHeight="1">
      <c r="A34" s="113"/>
      <c r="B34" s="135" t="str">
        <f>B13</f>
        <v/>
      </c>
      <c r="F34" s="168">
        <f>F13*F19</f>
        <v>0</v>
      </c>
      <c r="G34" s="168">
        <f t="shared" ref="G34:AR36" si="4">G13*G19</f>
        <v>0</v>
      </c>
      <c r="H34" s="168">
        <f t="shared" si="4"/>
        <v>0</v>
      </c>
      <c r="I34" s="168">
        <f t="shared" si="4"/>
        <v>0</v>
      </c>
      <c r="J34" s="168">
        <f t="shared" si="4"/>
        <v>0</v>
      </c>
      <c r="K34" s="168">
        <f t="shared" si="4"/>
        <v>0</v>
      </c>
      <c r="L34" s="168">
        <f t="shared" si="4"/>
        <v>0</v>
      </c>
      <c r="M34" s="168">
        <f t="shared" si="4"/>
        <v>0</v>
      </c>
      <c r="N34" s="168">
        <f t="shared" si="4"/>
        <v>0</v>
      </c>
      <c r="O34" s="168">
        <f t="shared" si="4"/>
        <v>0</v>
      </c>
      <c r="P34" s="168">
        <f t="shared" si="4"/>
        <v>0</v>
      </c>
      <c r="Q34" s="168">
        <f t="shared" si="4"/>
        <v>0</v>
      </c>
      <c r="R34" s="168">
        <f t="shared" si="4"/>
        <v>0</v>
      </c>
      <c r="S34" s="168">
        <f t="shared" si="4"/>
        <v>0</v>
      </c>
      <c r="T34" s="168">
        <f t="shared" si="4"/>
        <v>0</v>
      </c>
      <c r="U34" s="168">
        <f t="shared" si="4"/>
        <v>0</v>
      </c>
      <c r="V34" s="168">
        <f t="shared" si="4"/>
        <v>0</v>
      </c>
      <c r="W34" s="168">
        <f t="shared" si="4"/>
        <v>0</v>
      </c>
      <c r="X34" s="168">
        <f t="shared" si="4"/>
        <v>0</v>
      </c>
      <c r="Y34" s="168">
        <f t="shared" si="4"/>
        <v>0</v>
      </c>
      <c r="Z34" s="168">
        <f t="shared" si="4"/>
        <v>0</v>
      </c>
      <c r="AA34" s="168">
        <f t="shared" si="4"/>
        <v>0</v>
      </c>
      <c r="AB34" s="168">
        <f t="shared" si="4"/>
        <v>0</v>
      </c>
      <c r="AC34" s="168">
        <f t="shared" si="4"/>
        <v>0</v>
      </c>
      <c r="AD34" s="168">
        <f t="shared" si="4"/>
        <v>0</v>
      </c>
      <c r="AE34" s="168">
        <f t="shared" si="4"/>
        <v>0</v>
      </c>
      <c r="AF34" s="168">
        <f t="shared" si="4"/>
        <v>0</v>
      </c>
      <c r="AG34" s="168">
        <f t="shared" si="4"/>
        <v>0</v>
      </c>
      <c r="AH34" s="168">
        <f t="shared" si="4"/>
        <v>0</v>
      </c>
      <c r="AI34" s="168">
        <f t="shared" si="4"/>
        <v>0</v>
      </c>
      <c r="AJ34" s="168">
        <f t="shared" si="4"/>
        <v>0</v>
      </c>
      <c r="AK34" s="168">
        <f t="shared" si="4"/>
        <v>0</v>
      </c>
      <c r="AL34" s="168">
        <f t="shared" si="4"/>
        <v>0</v>
      </c>
      <c r="AM34" s="168">
        <f t="shared" si="4"/>
        <v>0</v>
      </c>
      <c r="AN34" s="168">
        <f t="shared" si="4"/>
        <v>0</v>
      </c>
      <c r="AO34" s="168">
        <f t="shared" si="4"/>
        <v>0</v>
      </c>
      <c r="AP34" s="168">
        <f t="shared" si="4"/>
        <v>0</v>
      </c>
      <c r="AQ34" s="168">
        <f t="shared" si="4"/>
        <v>0</v>
      </c>
      <c r="AR34" s="168">
        <f t="shared" si="4"/>
        <v>0</v>
      </c>
    </row>
    <row r="35" spans="1:44" ht="15" customHeight="1">
      <c r="A35" s="113"/>
      <c r="B35" s="135" t="str">
        <f t="shared" ref="B35:B36" si="5">B14</f>
        <v/>
      </c>
      <c r="F35" s="168">
        <f t="shared" ref="F35:U36" si="6">F14*F20</f>
        <v>0</v>
      </c>
      <c r="G35" s="168">
        <f t="shared" si="6"/>
        <v>0</v>
      </c>
      <c r="H35" s="168">
        <f t="shared" si="6"/>
        <v>0</v>
      </c>
      <c r="I35" s="168">
        <f t="shared" si="6"/>
        <v>0</v>
      </c>
      <c r="J35" s="168">
        <f t="shared" si="6"/>
        <v>0</v>
      </c>
      <c r="K35" s="168">
        <f t="shared" si="6"/>
        <v>0</v>
      </c>
      <c r="L35" s="168">
        <f t="shared" si="6"/>
        <v>0</v>
      </c>
      <c r="M35" s="168">
        <f t="shared" si="6"/>
        <v>0</v>
      </c>
      <c r="N35" s="168">
        <f t="shared" si="6"/>
        <v>0</v>
      </c>
      <c r="O35" s="168">
        <f t="shared" si="6"/>
        <v>0</v>
      </c>
      <c r="P35" s="168">
        <f t="shared" si="6"/>
        <v>0</v>
      </c>
      <c r="Q35" s="168">
        <f t="shared" si="6"/>
        <v>0</v>
      </c>
      <c r="R35" s="168">
        <f t="shared" si="6"/>
        <v>0</v>
      </c>
      <c r="S35" s="168">
        <f t="shared" si="6"/>
        <v>0</v>
      </c>
      <c r="T35" s="168">
        <f t="shared" si="6"/>
        <v>0</v>
      </c>
      <c r="U35" s="168">
        <f t="shared" si="6"/>
        <v>0</v>
      </c>
      <c r="V35" s="168">
        <f t="shared" si="4"/>
        <v>0</v>
      </c>
      <c r="W35" s="168">
        <f t="shared" si="4"/>
        <v>0</v>
      </c>
      <c r="X35" s="168">
        <f t="shared" si="4"/>
        <v>0</v>
      </c>
      <c r="Y35" s="168">
        <f t="shared" si="4"/>
        <v>0</v>
      </c>
      <c r="Z35" s="168">
        <f t="shared" si="4"/>
        <v>0</v>
      </c>
      <c r="AA35" s="168">
        <f t="shared" si="4"/>
        <v>0</v>
      </c>
      <c r="AB35" s="168">
        <f t="shared" si="4"/>
        <v>0</v>
      </c>
      <c r="AC35" s="168">
        <f t="shared" si="4"/>
        <v>0</v>
      </c>
      <c r="AD35" s="168">
        <f t="shared" si="4"/>
        <v>0</v>
      </c>
      <c r="AE35" s="168">
        <f t="shared" si="4"/>
        <v>0</v>
      </c>
      <c r="AF35" s="168">
        <f t="shared" si="4"/>
        <v>0</v>
      </c>
      <c r="AG35" s="168">
        <f t="shared" si="4"/>
        <v>0</v>
      </c>
      <c r="AH35" s="168">
        <f t="shared" si="4"/>
        <v>0</v>
      </c>
      <c r="AI35" s="168">
        <f t="shared" si="4"/>
        <v>0</v>
      </c>
      <c r="AJ35" s="168">
        <f t="shared" si="4"/>
        <v>0</v>
      </c>
      <c r="AK35" s="168">
        <f t="shared" si="4"/>
        <v>0</v>
      </c>
      <c r="AL35" s="168">
        <f t="shared" si="4"/>
        <v>0</v>
      </c>
      <c r="AM35" s="168">
        <f t="shared" si="4"/>
        <v>0</v>
      </c>
      <c r="AN35" s="168">
        <f t="shared" si="4"/>
        <v>0</v>
      </c>
      <c r="AO35" s="168">
        <f t="shared" si="4"/>
        <v>0</v>
      </c>
      <c r="AP35" s="168">
        <f t="shared" si="4"/>
        <v>0</v>
      </c>
      <c r="AQ35" s="168">
        <f t="shared" si="4"/>
        <v>0</v>
      </c>
      <c r="AR35" s="168">
        <f t="shared" si="4"/>
        <v>0</v>
      </c>
    </row>
    <row r="36" spans="1:44" ht="15" customHeight="1">
      <c r="A36" s="113"/>
      <c r="B36" s="135" t="str">
        <f t="shared" si="5"/>
        <v/>
      </c>
      <c r="F36" s="168">
        <f t="shared" si="6"/>
        <v>0</v>
      </c>
      <c r="G36" s="168">
        <f t="shared" si="4"/>
        <v>0</v>
      </c>
      <c r="H36" s="168">
        <f t="shared" si="4"/>
        <v>0</v>
      </c>
      <c r="I36" s="168">
        <f t="shared" si="4"/>
        <v>0</v>
      </c>
      <c r="J36" s="168">
        <f t="shared" si="4"/>
        <v>0</v>
      </c>
      <c r="K36" s="168">
        <f t="shared" si="4"/>
        <v>0</v>
      </c>
      <c r="L36" s="168">
        <f t="shared" si="4"/>
        <v>0</v>
      </c>
      <c r="M36" s="168">
        <f t="shared" si="4"/>
        <v>0</v>
      </c>
      <c r="N36" s="168">
        <f t="shared" si="4"/>
        <v>0</v>
      </c>
      <c r="O36" s="168">
        <f t="shared" si="4"/>
        <v>0</v>
      </c>
      <c r="P36" s="168">
        <f t="shared" si="4"/>
        <v>0</v>
      </c>
      <c r="Q36" s="168">
        <f t="shared" si="4"/>
        <v>0</v>
      </c>
      <c r="R36" s="168">
        <f t="shared" si="4"/>
        <v>0</v>
      </c>
      <c r="S36" s="168">
        <f t="shared" si="4"/>
        <v>0</v>
      </c>
      <c r="T36" s="168">
        <f t="shared" si="4"/>
        <v>0</v>
      </c>
      <c r="U36" s="168">
        <f t="shared" si="4"/>
        <v>0</v>
      </c>
      <c r="V36" s="168">
        <f t="shared" si="4"/>
        <v>0</v>
      </c>
      <c r="W36" s="168">
        <f t="shared" si="4"/>
        <v>0</v>
      </c>
      <c r="X36" s="168">
        <f t="shared" si="4"/>
        <v>0</v>
      </c>
      <c r="Y36" s="168">
        <f t="shared" si="4"/>
        <v>0</v>
      </c>
      <c r="Z36" s="168">
        <f t="shared" si="4"/>
        <v>0</v>
      </c>
      <c r="AA36" s="168">
        <f t="shared" si="4"/>
        <v>0</v>
      </c>
      <c r="AB36" s="168">
        <f t="shared" si="4"/>
        <v>0</v>
      </c>
      <c r="AC36" s="168">
        <f t="shared" si="4"/>
        <v>0</v>
      </c>
      <c r="AD36" s="168">
        <f t="shared" si="4"/>
        <v>0</v>
      </c>
      <c r="AE36" s="168">
        <f t="shared" si="4"/>
        <v>0</v>
      </c>
      <c r="AF36" s="168">
        <f t="shared" si="4"/>
        <v>0</v>
      </c>
      <c r="AG36" s="168">
        <f t="shared" si="4"/>
        <v>0</v>
      </c>
      <c r="AH36" s="168">
        <f t="shared" si="4"/>
        <v>0</v>
      </c>
      <c r="AI36" s="168">
        <f t="shared" si="4"/>
        <v>0</v>
      </c>
      <c r="AJ36" s="168">
        <f t="shared" si="4"/>
        <v>0</v>
      </c>
      <c r="AK36" s="168">
        <f t="shared" si="4"/>
        <v>0</v>
      </c>
      <c r="AL36" s="168">
        <f t="shared" si="4"/>
        <v>0</v>
      </c>
      <c r="AM36" s="168">
        <f t="shared" si="4"/>
        <v>0</v>
      </c>
      <c r="AN36" s="168">
        <f t="shared" si="4"/>
        <v>0</v>
      </c>
      <c r="AO36" s="168">
        <f t="shared" si="4"/>
        <v>0</v>
      </c>
      <c r="AP36" s="168">
        <f t="shared" si="4"/>
        <v>0</v>
      </c>
      <c r="AQ36" s="168">
        <f t="shared" si="4"/>
        <v>0</v>
      </c>
      <c r="AR36" s="168">
        <f t="shared" si="4"/>
        <v>0</v>
      </c>
    </row>
    <row r="37" spans="1:44" ht="15" customHeight="1"/>
    <row r="38" spans="1:44" ht="15" customHeight="1"/>
    <row r="39" spans="1:44" ht="15" customHeight="1">
      <c r="B39" s="134" t="s">
        <v>213</v>
      </c>
    </row>
    <row r="40" spans="1:44" ht="15" customHeight="1">
      <c r="B40" s="111" t="s">
        <v>189</v>
      </c>
      <c r="F40" s="110" t="str">
        <f>F33</f>
        <v>Value</v>
      </c>
      <c r="G40" s="110" t="str">
        <f t="shared" ref="G40:AR40" si="7">G33</f>
        <v>Value</v>
      </c>
      <c r="H40" s="110" t="str">
        <f t="shared" si="7"/>
        <v>Value</v>
      </c>
      <c r="I40" s="110" t="str">
        <f t="shared" si="7"/>
        <v>Value</v>
      </c>
      <c r="J40" s="110" t="str">
        <f t="shared" si="7"/>
        <v>Value</v>
      </c>
      <c r="K40" s="110" t="str">
        <f t="shared" si="7"/>
        <v>Value</v>
      </c>
      <c r="L40" s="110" t="str">
        <f t="shared" si="7"/>
        <v>Value</v>
      </c>
      <c r="M40" s="110" t="str">
        <f t="shared" si="7"/>
        <v>Value</v>
      </c>
      <c r="N40" s="110" t="str">
        <f t="shared" si="7"/>
        <v>Value</v>
      </c>
      <c r="O40" s="110" t="str">
        <f t="shared" si="7"/>
        <v>Value</v>
      </c>
      <c r="P40" s="110" t="str">
        <f t="shared" si="7"/>
        <v>Value</v>
      </c>
      <c r="Q40" s="110" t="str">
        <f t="shared" si="7"/>
        <v>Value</v>
      </c>
      <c r="R40" s="110" t="str">
        <f t="shared" si="7"/>
        <v>Value</v>
      </c>
      <c r="S40" s="110" t="str">
        <f t="shared" si="7"/>
        <v>Value</v>
      </c>
      <c r="T40" s="110" t="str">
        <f t="shared" si="7"/>
        <v>Value</v>
      </c>
      <c r="U40" s="110" t="str">
        <f t="shared" si="7"/>
        <v>Value</v>
      </c>
      <c r="V40" s="110" t="str">
        <f t="shared" si="7"/>
        <v>Value</v>
      </c>
      <c r="W40" s="110" t="str">
        <f t="shared" si="7"/>
        <v>Value</v>
      </c>
      <c r="X40" s="110" t="str">
        <f t="shared" si="7"/>
        <v>Value</v>
      </c>
      <c r="Y40" s="110" t="str">
        <f t="shared" si="7"/>
        <v>Value</v>
      </c>
      <c r="Z40" s="110" t="str">
        <f t="shared" si="7"/>
        <v>Value</v>
      </c>
      <c r="AA40" s="110" t="str">
        <f t="shared" si="7"/>
        <v>Value</v>
      </c>
      <c r="AB40" s="110" t="str">
        <f t="shared" si="7"/>
        <v>Value</v>
      </c>
      <c r="AC40" s="110" t="str">
        <f t="shared" si="7"/>
        <v>Value</v>
      </c>
      <c r="AD40" s="110" t="str">
        <f t="shared" si="7"/>
        <v>Value</v>
      </c>
      <c r="AE40" s="110" t="str">
        <f t="shared" si="7"/>
        <v>Value</v>
      </c>
      <c r="AF40" s="110" t="str">
        <f t="shared" si="7"/>
        <v>Value</v>
      </c>
      <c r="AG40" s="110" t="str">
        <f t="shared" si="7"/>
        <v>Value</v>
      </c>
      <c r="AH40" s="110" t="str">
        <f t="shared" si="7"/>
        <v>Value</v>
      </c>
      <c r="AI40" s="110" t="str">
        <f t="shared" si="7"/>
        <v>Value</v>
      </c>
      <c r="AJ40" s="110" t="str">
        <f t="shared" si="7"/>
        <v>Value</v>
      </c>
      <c r="AK40" s="110" t="str">
        <f t="shared" si="7"/>
        <v>Value</v>
      </c>
      <c r="AL40" s="110" t="str">
        <f t="shared" si="7"/>
        <v>Value</v>
      </c>
      <c r="AM40" s="110" t="str">
        <f t="shared" si="7"/>
        <v>Value</v>
      </c>
      <c r="AN40" s="110" t="str">
        <f t="shared" si="7"/>
        <v>Value</v>
      </c>
      <c r="AO40" s="110" t="str">
        <f t="shared" si="7"/>
        <v>Value</v>
      </c>
      <c r="AP40" s="110" t="str">
        <f t="shared" si="7"/>
        <v>Value</v>
      </c>
      <c r="AQ40" s="110" t="str">
        <f t="shared" si="7"/>
        <v>Value</v>
      </c>
      <c r="AR40" s="110" t="str">
        <f t="shared" si="7"/>
        <v>Value</v>
      </c>
    </row>
    <row r="41" spans="1:44" ht="15" customHeight="1">
      <c r="A41" s="113"/>
      <c r="B41" s="135" t="str">
        <f>B13</f>
        <v/>
      </c>
      <c r="F41" s="136">
        <f>F13*F25</f>
        <v>0</v>
      </c>
      <c r="G41" s="136">
        <f t="shared" ref="G41:AR43" si="8">G13*G25</f>
        <v>0</v>
      </c>
      <c r="H41" s="136">
        <f t="shared" si="8"/>
        <v>0</v>
      </c>
      <c r="I41" s="136">
        <f t="shared" si="8"/>
        <v>0</v>
      </c>
      <c r="J41" s="136">
        <f t="shared" si="8"/>
        <v>0</v>
      </c>
      <c r="K41" s="136">
        <f t="shared" si="8"/>
        <v>0</v>
      </c>
      <c r="L41" s="136">
        <f t="shared" si="8"/>
        <v>0</v>
      </c>
      <c r="M41" s="136">
        <f t="shared" si="8"/>
        <v>0</v>
      </c>
      <c r="N41" s="136">
        <f t="shared" si="8"/>
        <v>0</v>
      </c>
      <c r="O41" s="136">
        <f t="shared" si="8"/>
        <v>0</v>
      </c>
      <c r="P41" s="136">
        <f t="shared" si="8"/>
        <v>0</v>
      </c>
      <c r="Q41" s="136">
        <f t="shared" si="8"/>
        <v>0</v>
      </c>
      <c r="R41" s="136">
        <f t="shared" si="8"/>
        <v>0</v>
      </c>
      <c r="S41" s="136">
        <f t="shared" si="8"/>
        <v>0</v>
      </c>
      <c r="T41" s="136">
        <f t="shared" si="8"/>
        <v>0</v>
      </c>
      <c r="U41" s="136">
        <f t="shared" si="8"/>
        <v>0</v>
      </c>
      <c r="V41" s="136">
        <f t="shared" si="8"/>
        <v>0</v>
      </c>
      <c r="W41" s="136">
        <f t="shared" si="8"/>
        <v>0</v>
      </c>
      <c r="X41" s="136">
        <f t="shared" si="8"/>
        <v>0</v>
      </c>
      <c r="Y41" s="136">
        <f t="shared" si="8"/>
        <v>0</v>
      </c>
      <c r="Z41" s="136">
        <f t="shared" si="8"/>
        <v>0</v>
      </c>
      <c r="AA41" s="136">
        <f t="shared" si="8"/>
        <v>0</v>
      </c>
      <c r="AB41" s="136">
        <f t="shared" si="8"/>
        <v>0</v>
      </c>
      <c r="AC41" s="136">
        <f t="shared" si="8"/>
        <v>0</v>
      </c>
      <c r="AD41" s="136">
        <f t="shared" si="8"/>
        <v>0</v>
      </c>
      <c r="AE41" s="136">
        <f t="shared" si="8"/>
        <v>0</v>
      </c>
      <c r="AF41" s="136">
        <f t="shared" si="8"/>
        <v>0</v>
      </c>
      <c r="AG41" s="136">
        <f t="shared" si="8"/>
        <v>0</v>
      </c>
      <c r="AH41" s="136">
        <f t="shared" si="8"/>
        <v>0</v>
      </c>
      <c r="AI41" s="136">
        <f t="shared" si="8"/>
        <v>0</v>
      </c>
      <c r="AJ41" s="136">
        <f t="shared" si="8"/>
        <v>0</v>
      </c>
      <c r="AK41" s="136">
        <f t="shared" si="8"/>
        <v>0</v>
      </c>
      <c r="AL41" s="136">
        <f t="shared" si="8"/>
        <v>0</v>
      </c>
      <c r="AM41" s="136">
        <f t="shared" si="8"/>
        <v>0</v>
      </c>
      <c r="AN41" s="136">
        <f t="shared" si="8"/>
        <v>0</v>
      </c>
      <c r="AO41" s="136">
        <f t="shared" si="8"/>
        <v>0</v>
      </c>
      <c r="AP41" s="136">
        <f t="shared" si="8"/>
        <v>0</v>
      </c>
      <c r="AQ41" s="136">
        <f t="shared" si="8"/>
        <v>0</v>
      </c>
      <c r="AR41" s="136">
        <f t="shared" si="8"/>
        <v>0</v>
      </c>
    </row>
    <row r="42" spans="1:44" ht="15" customHeight="1">
      <c r="A42" s="113"/>
      <c r="B42" s="135" t="str">
        <f t="shared" ref="B42:B43" si="9">B14</f>
        <v/>
      </c>
      <c r="F42" s="136">
        <f t="shared" ref="F42:U43" si="10">F14*F26</f>
        <v>0</v>
      </c>
      <c r="G42" s="136">
        <f t="shared" si="10"/>
        <v>0</v>
      </c>
      <c r="H42" s="136">
        <f t="shared" si="10"/>
        <v>0</v>
      </c>
      <c r="I42" s="136">
        <f t="shared" si="10"/>
        <v>0</v>
      </c>
      <c r="J42" s="136">
        <f t="shared" si="10"/>
        <v>0</v>
      </c>
      <c r="K42" s="136">
        <f t="shared" si="10"/>
        <v>0</v>
      </c>
      <c r="L42" s="136">
        <f t="shared" si="10"/>
        <v>0</v>
      </c>
      <c r="M42" s="136">
        <f t="shared" si="10"/>
        <v>0</v>
      </c>
      <c r="N42" s="136">
        <f t="shared" si="10"/>
        <v>0</v>
      </c>
      <c r="O42" s="136">
        <f t="shared" si="10"/>
        <v>0</v>
      </c>
      <c r="P42" s="136">
        <f t="shared" si="10"/>
        <v>0</v>
      </c>
      <c r="Q42" s="136">
        <f t="shared" si="10"/>
        <v>0</v>
      </c>
      <c r="R42" s="136">
        <f t="shared" si="10"/>
        <v>0</v>
      </c>
      <c r="S42" s="136">
        <f t="shared" si="10"/>
        <v>0</v>
      </c>
      <c r="T42" s="136">
        <f t="shared" si="10"/>
        <v>0</v>
      </c>
      <c r="U42" s="136">
        <f t="shared" si="10"/>
        <v>0</v>
      </c>
      <c r="V42" s="136">
        <f t="shared" si="8"/>
        <v>0</v>
      </c>
      <c r="W42" s="136">
        <f t="shared" si="8"/>
        <v>0</v>
      </c>
      <c r="X42" s="136">
        <f t="shared" si="8"/>
        <v>0</v>
      </c>
      <c r="Y42" s="136">
        <f t="shared" si="8"/>
        <v>0</v>
      </c>
      <c r="Z42" s="136">
        <f t="shared" si="8"/>
        <v>0</v>
      </c>
      <c r="AA42" s="136">
        <f t="shared" si="8"/>
        <v>0</v>
      </c>
      <c r="AB42" s="136">
        <f t="shared" si="8"/>
        <v>0</v>
      </c>
      <c r="AC42" s="136">
        <f t="shared" si="8"/>
        <v>0</v>
      </c>
      <c r="AD42" s="136">
        <f t="shared" si="8"/>
        <v>0</v>
      </c>
      <c r="AE42" s="136">
        <f t="shared" si="8"/>
        <v>0</v>
      </c>
      <c r="AF42" s="136">
        <f t="shared" si="8"/>
        <v>0</v>
      </c>
      <c r="AG42" s="136">
        <f t="shared" si="8"/>
        <v>0</v>
      </c>
      <c r="AH42" s="136">
        <f t="shared" si="8"/>
        <v>0</v>
      </c>
      <c r="AI42" s="136">
        <f t="shared" si="8"/>
        <v>0</v>
      </c>
      <c r="AJ42" s="136">
        <f t="shared" si="8"/>
        <v>0</v>
      </c>
      <c r="AK42" s="136">
        <f t="shared" si="8"/>
        <v>0</v>
      </c>
      <c r="AL42" s="136">
        <f t="shared" si="8"/>
        <v>0</v>
      </c>
      <c r="AM42" s="136">
        <f t="shared" si="8"/>
        <v>0</v>
      </c>
      <c r="AN42" s="136">
        <f t="shared" si="8"/>
        <v>0</v>
      </c>
      <c r="AO42" s="136">
        <f t="shared" si="8"/>
        <v>0</v>
      </c>
      <c r="AP42" s="136">
        <f t="shared" si="8"/>
        <v>0</v>
      </c>
      <c r="AQ42" s="136">
        <f t="shared" si="8"/>
        <v>0</v>
      </c>
      <c r="AR42" s="136">
        <f t="shared" si="8"/>
        <v>0</v>
      </c>
    </row>
    <row r="43" spans="1:44" ht="15" customHeight="1">
      <c r="A43" s="113"/>
      <c r="B43" s="135" t="str">
        <f t="shared" si="9"/>
        <v/>
      </c>
      <c r="F43" s="136">
        <f t="shared" si="10"/>
        <v>0</v>
      </c>
      <c r="G43" s="136">
        <f t="shared" si="8"/>
        <v>0</v>
      </c>
      <c r="H43" s="136">
        <f t="shared" si="8"/>
        <v>0</v>
      </c>
      <c r="I43" s="136">
        <f t="shared" si="8"/>
        <v>0</v>
      </c>
      <c r="J43" s="136">
        <f t="shared" si="8"/>
        <v>0</v>
      </c>
      <c r="K43" s="136">
        <f t="shared" si="8"/>
        <v>0</v>
      </c>
      <c r="L43" s="136">
        <f t="shared" si="8"/>
        <v>0</v>
      </c>
      <c r="M43" s="136">
        <f t="shared" si="8"/>
        <v>0</v>
      </c>
      <c r="N43" s="136">
        <f t="shared" si="8"/>
        <v>0</v>
      </c>
      <c r="O43" s="136">
        <f t="shared" si="8"/>
        <v>0</v>
      </c>
      <c r="P43" s="136">
        <f t="shared" si="8"/>
        <v>0</v>
      </c>
      <c r="Q43" s="136">
        <f t="shared" si="8"/>
        <v>0</v>
      </c>
      <c r="R43" s="136">
        <f t="shared" si="8"/>
        <v>0</v>
      </c>
      <c r="S43" s="136">
        <f t="shared" si="8"/>
        <v>0</v>
      </c>
      <c r="T43" s="136">
        <f t="shared" si="8"/>
        <v>0</v>
      </c>
      <c r="U43" s="136">
        <f t="shared" si="8"/>
        <v>0</v>
      </c>
      <c r="V43" s="136">
        <f t="shared" si="8"/>
        <v>0</v>
      </c>
      <c r="W43" s="136">
        <f t="shared" si="8"/>
        <v>0</v>
      </c>
      <c r="X43" s="136">
        <f t="shared" si="8"/>
        <v>0</v>
      </c>
      <c r="Y43" s="136">
        <f t="shared" si="8"/>
        <v>0</v>
      </c>
      <c r="Z43" s="136">
        <f t="shared" si="8"/>
        <v>0</v>
      </c>
      <c r="AA43" s="136">
        <f t="shared" si="8"/>
        <v>0</v>
      </c>
      <c r="AB43" s="136">
        <f t="shared" si="8"/>
        <v>0</v>
      </c>
      <c r="AC43" s="136">
        <f t="shared" si="8"/>
        <v>0</v>
      </c>
      <c r="AD43" s="136">
        <f t="shared" si="8"/>
        <v>0</v>
      </c>
      <c r="AE43" s="136">
        <f t="shared" si="8"/>
        <v>0</v>
      </c>
      <c r="AF43" s="136">
        <f t="shared" si="8"/>
        <v>0</v>
      </c>
      <c r="AG43" s="136">
        <f t="shared" si="8"/>
        <v>0</v>
      </c>
      <c r="AH43" s="136">
        <f t="shared" si="8"/>
        <v>0</v>
      </c>
      <c r="AI43" s="136">
        <f t="shared" si="8"/>
        <v>0</v>
      </c>
      <c r="AJ43" s="136">
        <f t="shared" si="8"/>
        <v>0</v>
      </c>
      <c r="AK43" s="136">
        <f t="shared" si="8"/>
        <v>0</v>
      </c>
      <c r="AL43" s="136">
        <f t="shared" si="8"/>
        <v>0</v>
      </c>
      <c r="AM43" s="136">
        <f t="shared" si="8"/>
        <v>0</v>
      </c>
      <c r="AN43" s="136">
        <f t="shared" si="8"/>
        <v>0</v>
      </c>
      <c r="AO43" s="136">
        <f t="shared" si="8"/>
        <v>0</v>
      </c>
      <c r="AP43" s="136">
        <f t="shared" si="8"/>
        <v>0</v>
      </c>
      <c r="AQ43" s="136">
        <f t="shared" si="8"/>
        <v>0</v>
      </c>
      <c r="AR43" s="136">
        <f t="shared" si="8"/>
        <v>0</v>
      </c>
    </row>
    <row r="44" spans="1:44" ht="15" customHeight="1"/>
    <row r="45" spans="1:44" ht="15" customHeight="1"/>
    <row r="46" spans="1:44" ht="15" customHeight="1">
      <c r="B46" s="134" t="s">
        <v>59</v>
      </c>
    </row>
    <row r="47" spans="1:44" ht="15" customHeight="1">
      <c r="B47" s="111" t="s">
        <v>189</v>
      </c>
      <c r="F47" s="110" t="str">
        <f>F33</f>
        <v>Value</v>
      </c>
      <c r="G47" s="110" t="str">
        <f t="shared" ref="G47:AR47" si="11">G33</f>
        <v>Value</v>
      </c>
      <c r="H47" s="110" t="str">
        <f t="shared" si="11"/>
        <v>Value</v>
      </c>
      <c r="I47" s="110" t="str">
        <f t="shared" si="11"/>
        <v>Value</v>
      </c>
      <c r="J47" s="110" t="str">
        <f t="shared" si="11"/>
        <v>Value</v>
      </c>
      <c r="K47" s="110" t="str">
        <f t="shared" si="11"/>
        <v>Value</v>
      </c>
      <c r="L47" s="110" t="str">
        <f t="shared" si="11"/>
        <v>Value</v>
      </c>
      <c r="M47" s="110" t="str">
        <f t="shared" si="11"/>
        <v>Value</v>
      </c>
      <c r="N47" s="110" t="str">
        <f t="shared" si="11"/>
        <v>Value</v>
      </c>
      <c r="O47" s="110" t="str">
        <f t="shared" si="11"/>
        <v>Value</v>
      </c>
      <c r="P47" s="110" t="str">
        <f t="shared" si="11"/>
        <v>Value</v>
      </c>
      <c r="Q47" s="110" t="str">
        <f t="shared" si="11"/>
        <v>Value</v>
      </c>
      <c r="R47" s="110" t="str">
        <f t="shared" si="11"/>
        <v>Value</v>
      </c>
      <c r="S47" s="110" t="str">
        <f t="shared" si="11"/>
        <v>Value</v>
      </c>
      <c r="T47" s="110" t="str">
        <f t="shared" si="11"/>
        <v>Value</v>
      </c>
      <c r="U47" s="110" t="str">
        <f t="shared" si="11"/>
        <v>Value</v>
      </c>
      <c r="V47" s="110" t="str">
        <f t="shared" si="11"/>
        <v>Value</v>
      </c>
      <c r="W47" s="110" t="str">
        <f t="shared" si="11"/>
        <v>Value</v>
      </c>
      <c r="X47" s="110" t="str">
        <f t="shared" si="11"/>
        <v>Value</v>
      </c>
      <c r="Y47" s="110" t="str">
        <f t="shared" si="11"/>
        <v>Value</v>
      </c>
      <c r="Z47" s="110" t="str">
        <f t="shared" si="11"/>
        <v>Value</v>
      </c>
      <c r="AA47" s="110" t="str">
        <f t="shared" si="11"/>
        <v>Value</v>
      </c>
      <c r="AB47" s="110" t="str">
        <f t="shared" si="11"/>
        <v>Value</v>
      </c>
      <c r="AC47" s="110" t="str">
        <f t="shared" si="11"/>
        <v>Value</v>
      </c>
      <c r="AD47" s="110" t="str">
        <f t="shared" si="11"/>
        <v>Value</v>
      </c>
      <c r="AE47" s="110" t="str">
        <f t="shared" si="11"/>
        <v>Value</v>
      </c>
      <c r="AF47" s="110" t="str">
        <f t="shared" si="11"/>
        <v>Value</v>
      </c>
      <c r="AG47" s="110" t="str">
        <f t="shared" si="11"/>
        <v>Value</v>
      </c>
      <c r="AH47" s="110" t="str">
        <f t="shared" si="11"/>
        <v>Value</v>
      </c>
      <c r="AI47" s="110" t="str">
        <f t="shared" si="11"/>
        <v>Value</v>
      </c>
      <c r="AJ47" s="110" t="str">
        <f t="shared" si="11"/>
        <v>Value</v>
      </c>
      <c r="AK47" s="110" t="str">
        <f t="shared" si="11"/>
        <v>Value</v>
      </c>
      <c r="AL47" s="110" t="str">
        <f t="shared" si="11"/>
        <v>Value</v>
      </c>
      <c r="AM47" s="110" t="str">
        <f t="shared" si="11"/>
        <v>Value</v>
      </c>
      <c r="AN47" s="110" t="str">
        <f t="shared" si="11"/>
        <v>Value</v>
      </c>
      <c r="AO47" s="110" t="str">
        <f t="shared" si="11"/>
        <v>Value</v>
      </c>
      <c r="AP47" s="110" t="str">
        <f t="shared" si="11"/>
        <v>Value</v>
      </c>
      <c r="AQ47" s="110" t="str">
        <f t="shared" si="11"/>
        <v>Value</v>
      </c>
      <c r="AR47" s="110" t="str">
        <f t="shared" si="11"/>
        <v>Value</v>
      </c>
    </row>
    <row r="48" spans="1:44" ht="15" customHeight="1">
      <c r="A48" s="113"/>
      <c r="B48" s="135" t="str">
        <f>B13</f>
        <v/>
      </c>
      <c r="F48" s="136">
        <f>F34+F41</f>
        <v>0</v>
      </c>
      <c r="G48" s="136">
        <f t="shared" ref="G48:AR50" si="12">G34+G41</f>
        <v>0</v>
      </c>
      <c r="H48" s="136">
        <f t="shared" si="12"/>
        <v>0</v>
      </c>
      <c r="I48" s="136">
        <f t="shared" si="12"/>
        <v>0</v>
      </c>
      <c r="J48" s="136">
        <f t="shared" si="12"/>
        <v>0</v>
      </c>
      <c r="K48" s="136">
        <f t="shared" si="12"/>
        <v>0</v>
      </c>
      <c r="L48" s="136">
        <f t="shared" si="12"/>
        <v>0</v>
      </c>
      <c r="M48" s="136">
        <f t="shared" si="12"/>
        <v>0</v>
      </c>
      <c r="N48" s="136">
        <f t="shared" si="12"/>
        <v>0</v>
      </c>
      <c r="O48" s="136">
        <f t="shared" si="12"/>
        <v>0</v>
      </c>
      <c r="P48" s="136">
        <f t="shared" si="12"/>
        <v>0</v>
      </c>
      <c r="Q48" s="136">
        <f t="shared" si="12"/>
        <v>0</v>
      </c>
      <c r="R48" s="136">
        <f t="shared" si="12"/>
        <v>0</v>
      </c>
      <c r="S48" s="136">
        <f t="shared" si="12"/>
        <v>0</v>
      </c>
      <c r="T48" s="136">
        <f t="shared" si="12"/>
        <v>0</v>
      </c>
      <c r="U48" s="136">
        <f t="shared" si="12"/>
        <v>0</v>
      </c>
      <c r="V48" s="136">
        <f t="shared" si="12"/>
        <v>0</v>
      </c>
      <c r="W48" s="136">
        <f t="shared" si="12"/>
        <v>0</v>
      </c>
      <c r="X48" s="136">
        <f t="shared" si="12"/>
        <v>0</v>
      </c>
      <c r="Y48" s="136">
        <f t="shared" si="12"/>
        <v>0</v>
      </c>
      <c r="Z48" s="136">
        <f t="shared" si="12"/>
        <v>0</v>
      </c>
      <c r="AA48" s="136">
        <f t="shared" si="12"/>
        <v>0</v>
      </c>
      <c r="AB48" s="136">
        <f t="shared" si="12"/>
        <v>0</v>
      </c>
      <c r="AC48" s="136">
        <f t="shared" si="12"/>
        <v>0</v>
      </c>
      <c r="AD48" s="136">
        <f t="shared" si="12"/>
        <v>0</v>
      </c>
      <c r="AE48" s="136">
        <f t="shared" si="12"/>
        <v>0</v>
      </c>
      <c r="AF48" s="136">
        <f t="shared" si="12"/>
        <v>0</v>
      </c>
      <c r="AG48" s="136">
        <f t="shared" si="12"/>
        <v>0</v>
      </c>
      <c r="AH48" s="136">
        <f t="shared" si="12"/>
        <v>0</v>
      </c>
      <c r="AI48" s="136">
        <f t="shared" si="12"/>
        <v>0</v>
      </c>
      <c r="AJ48" s="136">
        <f t="shared" si="12"/>
        <v>0</v>
      </c>
      <c r="AK48" s="136">
        <f t="shared" si="12"/>
        <v>0</v>
      </c>
      <c r="AL48" s="136">
        <f t="shared" si="12"/>
        <v>0</v>
      </c>
      <c r="AM48" s="136">
        <f t="shared" si="12"/>
        <v>0</v>
      </c>
      <c r="AN48" s="136">
        <f t="shared" si="12"/>
        <v>0</v>
      </c>
      <c r="AO48" s="136">
        <f t="shared" si="12"/>
        <v>0</v>
      </c>
      <c r="AP48" s="136">
        <f t="shared" si="12"/>
        <v>0</v>
      </c>
      <c r="AQ48" s="136">
        <f t="shared" si="12"/>
        <v>0</v>
      </c>
      <c r="AR48" s="136">
        <f t="shared" si="12"/>
        <v>0</v>
      </c>
    </row>
    <row r="49" spans="1:44" ht="15" customHeight="1">
      <c r="A49" s="113"/>
      <c r="B49" s="135" t="str">
        <f t="shared" ref="B49:B50" si="13">B14</f>
        <v/>
      </c>
      <c r="F49" s="136">
        <f t="shared" ref="F49:U50" si="14">F35+F42</f>
        <v>0</v>
      </c>
      <c r="G49" s="136">
        <f t="shared" si="14"/>
        <v>0</v>
      </c>
      <c r="H49" s="136">
        <f t="shared" si="14"/>
        <v>0</v>
      </c>
      <c r="I49" s="136">
        <f t="shared" si="14"/>
        <v>0</v>
      </c>
      <c r="J49" s="136">
        <f t="shared" si="14"/>
        <v>0</v>
      </c>
      <c r="K49" s="136">
        <f t="shared" si="14"/>
        <v>0</v>
      </c>
      <c r="L49" s="136">
        <f t="shared" si="14"/>
        <v>0</v>
      </c>
      <c r="M49" s="136">
        <f t="shared" si="14"/>
        <v>0</v>
      </c>
      <c r="N49" s="136">
        <f t="shared" si="14"/>
        <v>0</v>
      </c>
      <c r="O49" s="136">
        <f t="shared" si="14"/>
        <v>0</v>
      </c>
      <c r="P49" s="136">
        <f t="shared" si="14"/>
        <v>0</v>
      </c>
      <c r="Q49" s="136">
        <f t="shared" si="14"/>
        <v>0</v>
      </c>
      <c r="R49" s="136">
        <f t="shared" si="14"/>
        <v>0</v>
      </c>
      <c r="S49" s="136">
        <f t="shared" si="14"/>
        <v>0</v>
      </c>
      <c r="T49" s="136">
        <f t="shared" si="14"/>
        <v>0</v>
      </c>
      <c r="U49" s="136">
        <f t="shared" si="14"/>
        <v>0</v>
      </c>
      <c r="V49" s="136">
        <f t="shared" si="12"/>
        <v>0</v>
      </c>
      <c r="W49" s="136">
        <f t="shared" si="12"/>
        <v>0</v>
      </c>
      <c r="X49" s="136">
        <f t="shared" si="12"/>
        <v>0</v>
      </c>
      <c r="Y49" s="136">
        <f t="shared" si="12"/>
        <v>0</v>
      </c>
      <c r="Z49" s="136">
        <f t="shared" si="12"/>
        <v>0</v>
      </c>
      <c r="AA49" s="136">
        <f t="shared" si="12"/>
        <v>0</v>
      </c>
      <c r="AB49" s="136">
        <f t="shared" si="12"/>
        <v>0</v>
      </c>
      <c r="AC49" s="136">
        <f t="shared" si="12"/>
        <v>0</v>
      </c>
      <c r="AD49" s="136">
        <f t="shared" si="12"/>
        <v>0</v>
      </c>
      <c r="AE49" s="136">
        <f t="shared" si="12"/>
        <v>0</v>
      </c>
      <c r="AF49" s="136">
        <f t="shared" si="12"/>
        <v>0</v>
      </c>
      <c r="AG49" s="136">
        <f t="shared" si="12"/>
        <v>0</v>
      </c>
      <c r="AH49" s="136">
        <f t="shared" si="12"/>
        <v>0</v>
      </c>
      <c r="AI49" s="136">
        <f t="shared" si="12"/>
        <v>0</v>
      </c>
      <c r="AJ49" s="136">
        <f t="shared" si="12"/>
        <v>0</v>
      </c>
      <c r="AK49" s="136">
        <f t="shared" si="12"/>
        <v>0</v>
      </c>
      <c r="AL49" s="136">
        <f t="shared" si="12"/>
        <v>0</v>
      </c>
      <c r="AM49" s="136">
        <f t="shared" si="12"/>
        <v>0</v>
      </c>
      <c r="AN49" s="136">
        <f t="shared" si="12"/>
        <v>0</v>
      </c>
      <c r="AO49" s="136">
        <f t="shared" si="12"/>
        <v>0</v>
      </c>
      <c r="AP49" s="136">
        <f t="shared" si="12"/>
        <v>0</v>
      </c>
      <c r="AQ49" s="136">
        <f t="shared" si="12"/>
        <v>0</v>
      </c>
      <c r="AR49" s="136">
        <f t="shared" si="12"/>
        <v>0</v>
      </c>
    </row>
    <row r="50" spans="1:44" ht="15" customHeight="1">
      <c r="A50" s="113"/>
      <c r="B50" s="135" t="str">
        <f t="shared" si="13"/>
        <v/>
      </c>
      <c r="F50" s="136">
        <f t="shared" si="14"/>
        <v>0</v>
      </c>
      <c r="G50" s="136">
        <f t="shared" si="12"/>
        <v>0</v>
      </c>
      <c r="H50" s="136">
        <f t="shared" si="12"/>
        <v>0</v>
      </c>
      <c r="I50" s="136">
        <f t="shared" si="12"/>
        <v>0</v>
      </c>
      <c r="J50" s="136">
        <f t="shared" si="12"/>
        <v>0</v>
      </c>
      <c r="K50" s="136">
        <f t="shared" si="12"/>
        <v>0</v>
      </c>
      <c r="L50" s="136">
        <f t="shared" si="12"/>
        <v>0</v>
      </c>
      <c r="M50" s="136">
        <f t="shared" si="12"/>
        <v>0</v>
      </c>
      <c r="N50" s="136">
        <f t="shared" si="12"/>
        <v>0</v>
      </c>
      <c r="O50" s="136">
        <f t="shared" si="12"/>
        <v>0</v>
      </c>
      <c r="P50" s="136">
        <f t="shared" si="12"/>
        <v>0</v>
      </c>
      <c r="Q50" s="136">
        <f t="shared" si="12"/>
        <v>0</v>
      </c>
      <c r="R50" s="136">
        <f t="shared" si="12"/>
        <v>0</v>
      </c>
      <c r="S50" s="136">
        <f t="shared" si="12"/>
        <v>0</v>
      </c>
      <c r="T50" s="136">
        <f t="shared" si="12"/>
        <v>0</v>
      </c>
      <c r="U50" s="136">
        <f t="shared" si="12"/>
        <v>0</v>
      </c>
      <c r="V50" s="136">
        <f t="shared" si="12"/>
        <v>0</v>
      </c>
      <c r="W50" s="136">
        <f t="shared" si="12"/>
        <v>0</v>
      </c>
      <c r="X50" s="136">
        <f t="shared" si="12"/>
        <v>0</v>
      </c>
      <c r="Y50" s="136">
        <f t="shared" si="12"/>
        <v>0</v>
      </c>
      <c r="Z50" s="136">
        <f t="shared" si="12"/>
        <v>0</v>
      </c>
      <c r="AA50" s="136">
        <f t="shared" si="12"/>
        <v>0</v>
      </c>
      <c r="AB50" s="136">
        <f t="shared" si="12"/>
        <v>0</v>
      </c>
      <c r="AC50" s="136">
        <f t="shared" si="12"/>
        <v>0</v>
      </c>
      <c r="AD50" s="136">
        <f t="shared" si="12"/>
        <v>0</v>
      </c>
      <c r="AE50" s="136">
        <f t="shared" si="12"/>
        <v>0</v>
      </c>
      <c r="AF50" s="136">
        <f t="shared" si="12"/>
        <v>0</v>
      </c>
      <c r="AG50" s="136">
        <f t="shared" si="12"/>
        <v>0</v>
      </c>
      <c r="AH50" s="136">
        <f t="shared" si="12"/>
        <v>0</v>
      </c>
      <c r="AI50" s="136">
        <f t="shared" si="12"/>
        <v>0</v>
      </c>
      <c r="AJ50" s="136">
        <f t="shared" si="12"/>
        <v>0</v>
      </c>
      <c r="AK50" s="136">
        <f t="shared" si="12"/>
        <v>0</v>
      </c>
      <c r="AL50" s="136">
        <f t="shared" si="12"/>
        <v>0</v>
      </c>
      <c r="AM50" s="136">
        <f t="shared" si="12"/>
        <v>0</v>
      </c>
      <c r="AN50" s="136">
        <f t="shared" si="12"/>
        <v>0</v>
      </c>
      <c r="AO50" s="136">
        <f t="shared" si="12"/>
        <v>0</v>
      </c>
      <c r="AP50" s="136">
        <f t="shared" si="12"/>
        <v>0</v>
      </c>
      <c r="AQ50" s="136">
        <f t="shared" si="12"/>
        <v>0</v>
      </c>
      <c r="AR50" s="136">
        <f t="shared" si="12"/>
        <v>0</v>
      </c>
    </row>
    <row r="51" spans="1:44" ht="15" customHeight="1"/>
    <row r="52" spans="1:44" ht="15" customHeight="1"/>
    <row r="53" spans="1:44" ht="15" customHeight="1"/>
    <row r="54" spans="1:44" ht="15" customHeight="1"/>
    <row r="55" spans="1:44" ht="15" customHeight="1"/>
    <row r="56" spans="1:44" ht="15" customHeight="1"/>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sheetData>
  <conditionalFormatting sqref="A7:AW7">
    <cfRule type="expression" dxfId="31" priority="9" stopIfTrue="1">
      <formula>ErrorsPresent&gt;0</formula>
    </cfRule>
    <cfRule type="expression" dxfId="30" priority="10" stopIfTrue="1">
      <formula>ErrorsPresent&lt;0</formula>
    </cfRule>
  </conditionalFormatting>
  <conditionalFormatting sqref="B1:BA1">
    <cfRule type="expression" dxfId="29" priority="7" stopIfTrue="1">
      <formula>Error_Error&lt;0</formula>
    </cfRule>
    <cfRule type="expression" dxfId="28" priority="8" stopIfTrue="1">
      <formula>Error_Error&gt;0</formula>
    </cfRule>
  </conditionalFormatting>
  <conditionalFormatting sqref="B1:BA1">
    <cfRule type="expression" dxfId="27" priority="6" stopIfTrue="1">
      <formula>Error_Error&gt;0</formula>
    </cfRule>
  </conditionalFormatting>
  <conditionalFormatting sqref="D1">
    <cfRule type="cellIs" dxfId="26" priority="5" stopIfTrue="1" operator="equal">
      <formula>0</formula>
    </cfRule>
  </conditionalFormatting>
  <conditionalFormatting sqref="D1">
    <cfRule type="cellIs" dxfId="25" priority="3" stopIfTrue="1" operator="greaterThan">
      <formula>0</formula>
    </cfRule>
    <cfRule type="cellIs" dxfId="24" priority="4" stopIfTrue="1" operator="lessThan">
      <formula>0</formula>
    </cfRule>
  </conditionalFormatting>
  <conditionalFormatting sqref="F12:AR12">
    <cfRule type="expression" dxfId="23" priority="11" stopIfTrue="1">
      <formula>#REF!&lt;&gt;""</formula>
    </cfRule>
  </conditionalFormatting>
  <conditionalFormatting sqref="A1">
    <cfRule type="expression" dxfId="22" priority="1" stopIfTrue="1">
      <formula>ErrorsPresent&gt;0</formula>
    </cfRule>
    <cfRule type="expression" dxfId="21" priority="2" stopIfTrue="1">
      <formula>ErrorsPresent&lt;0</formula>
    </cfRule>
  </conditionalFormatting>
  <pageMargins left="0.7" right="0.7" top="0.75" bottom="0.75" header="0.3" footer="0.3"/>
  <pageSetup paperSize="9" orientation="portrait" horizontalDpi="200"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99"/>
  <sheetViews>
    <sheetView showGridLines="0" zoomScale="90" zoomScaleNormal="90" workbookViewId="0">
      <pane ySplit="3" topLeftCell="A53" activePane="bottomLeft" state="frozen"/>
      <selection pane="bottomLeft" activeCell="P70" sqref="P70"/>
    </sheetView>
  </sheetViews>
  <sheetFormatPr defaultColWidth="0" defaultRowHeight="12.75" outlineLevelRow="1" outlineLevelCol="1"/>
  <cols>
    <col min="1" max="1" width="25.5703125" style="24" customWidth="1"/>
    <col min="2" max="2" width="33.85546875" style="24" customWidth="1"/>
    <col min="3" max="3" width="17.5703125" style="24" customWidth="1"/>
    <col min="4" max="4" width="12.5703125" style="24" customWidth="1" outlineLevel="1"/>
    <col min="5" max="5" width="13.28515625" style="24" customWidth="1" outlineLevel="1"/>
    <col min="6" max="16" width="11.42578125" style="24" customWidth="1" outlineLevel="1"/>
    <col min="17" max="17" width="8.7109375" style="24" customWidth="1" outlineLevel="1"/>
    <col min="18" max="18" width="11" style="24" bestFit="1" customWidth="1"/>
    <col min="19" max="30" width="9.140625" style="24" customWidth="1" outlineLevel="1"/>
    <col min="31" max="31" width="9.7109375" style="24" bestFit="1" customWidth="1"/>
    <col min="32" max="43" width="11.42578125" style="24" customWidth="1" outlineLevel="1"/>
    <col min="44" max="44" width="9.7109375" style="24" bestFit="1" customWidth="1"/>
    <col min="45" max="46" width="11.42578125" style="24" customWidth="1"/>
    <col min="47" max="56" width="11.42578125" style="24" hidden="1" customWidth="1"/>
    <col min="57" max="57" width="0" style="24" hidden="1" customWidth="1"/>
    <col min="58" max="69" width="11.42578125" style="24" hidden="1" customWidth="1"/>
    <col min="70" max="72" width="0" style="24" hidden="1" customWidth="1"/>
    <col min="73" max="16384" width="11.42578125" style="24" hidden="1"/>
  </cols>
  <sheetData>
    <row r="1" spans="1:44">
      <c r="A1" s="83" t="s">
        <v>206</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row>
    <row r="2" spans="1:44" ht="15">
      <c r="A2" s="25" t="s">
        <v>45</v>
      </c>
      <c r="AK2" s="169"/>
    </row>
    <row r="3" spans="1:44" ht="15">
      <c r="A3" s="26"/>
    </row>
    <row r="4" spans="1:44" ht="15">
      <c r="A4" s="27" t="s">
        <v>46</v>
      </c>
      <c r="B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row>
    <row r="5" spans="1:44" ht="14.25">
      <c r="A5" s="29" t="s">
        <v>358</v>
      </c>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row>
    <row r="6" spans="1:44" ht="14.25">
      <c r="A6" s="31"/>
    </row>
    <row r="7" spans="1:44" ht="14.25">
      <c r="A7" s="31"/>
      <c r="Q7" s="32"/>
      <c r="R7" s="33" t="s">
        <v>47</v>
      </c>
      <c r="S7" s="33"/>
      <c r="T7" s="33"/>
      <c r="U7" s="33"/>
      <c r="V7" s="33"/>
      <c r="W7" s="33"/>
      <c r="X7" s="33"/>
      <c r="Y7" s="33"/>
      <c r="Z7" s="33"/>
      <c r="AA7" s="33"/>
      <c r="AB7" s="33"/>
      <c r="AC7" s="33"/>
      <c r="AD7" s="33"/>
      <c r="AE7" s="33" t="s">
        <v>48</v>
      </c>
      <c r="AF7" s="33"/>
      <c r="AG7" s="33"/>
      <c r="AH7" s="33"/>
      <c r="AI7" s="33"/>
      <c r="AJ7" s="33"/>
      <c r="AK7" s="33"/>
      <c r="AL7" s="33"/>
      <c r="AM7" s="33"/>
      <c r="AN7" s="33"/>
      <c r="AO7" s="33"/>
      <c r="AP7" s="33"/>
      <c r="AQ7" s="33"/>
      <c r="AR7" s="33" t="s">
        <v>49</v>
      </c>
    </row>
    <row r="8" spans="1:44" ht="15">
      <c r="A8" s="34" t="s">
        <v>52</v>
      </c>
    </row>
    <row r="9" spans="1:44" ht="15">
      <c r="A9" s="27" t="s">
        <v>53</v>
      </c>
      <c r="F9" s="35"/>
      <c r="G9" s="35"/>
      <c r="H9" s="35"/>
      <c r="I9" s="35"/>
      <c r="J9" s="35"/>
      <c r="K9" s="35"/>
      <c r="L9" s="35"/>
      <c r="M9" s="35"/>
      <c r="N9" s="35"/>
      <c r="O9" s="35"/>
      <c r="P9" s="35"/>
      <c r="Q9" s="35"/>
      <c r="R9" s="36">
        <f>SUM(F56:Q56)</f>
        <v>0</v>
      </c>
      <c r="S9" s="35"/>
      <c r="T9" s="35"/>
      <c r="U9" s="35"/>
      <c r="V9" s="35"/>
      <c r="W9" s="35"/>
      <c r="X9" s="35"/>
      <c r="Y9" s="35"/>
      <c r="Z9" s="35"/>
      <c r="AA9" s="35"/>
      <c r="AB9" s="35"/>
      <c r="AC9" s="35"/>
      <c r="AD9" s="35"/>
      <c r="AE9" s="36">
        <f t="shared" ref="AE9:AE17" si="0">SUM(R56:AC56)</f>
        <v>0</v>
      </c>
      <c r="AF9" s="35"/>
      <c r="AG9" s="35"/>
      <c r="AH9" s="35"/>
      <c r="AI9" s="35"/>
      <c r="AJ9" s="35"/>
      <c r="AK9" s="35"/>
      <c r="AL9" s="35"/>
      <c r="AM9" s="35"/>
      <c r="AN9" s="35"/>
      <c r="AO9" s="35"/>
      <c r="AP9" s="35"/>
      <c r="AQ9" s="35"/>
      <c r="AR9" s="36">
        <f t="shared" ref="AR9:AR17" si="1">SUM(AD56:AO56)</f>
        <v>0</v>
      </c>
    </row>
    <row r="10" spans="1:44" ht="15">
      <c r="A10" s="37" t="s">
        <v>54</v>
      </c>
      <c r="F10" s="35"/>
      <c r="G10" s="35"/>
      <c r="H10" s="35"/>
      <c r="I10" s="35"/>
      <c r="J10" s="35"/>
      <c r="K10" s="35"/>
      <c r="L10" s="35"/>
      <c r="M10" s="35"/>
      <c r="N10" s="35"/>
      <c r="O10" s="35"/>
      <c r="P10" s="35"/>
      <c r="Q10" s="35"/>
      <c r="R10" s="36">
        <f t="shared" ref="R10:R17" si="2">SUM(F57:Q57)</f>
        <v>0</v>
      </c>
      <c r="S10" s="35"/>
      <c r="T10" s="35"/>
      <c r="U10" s="35"/>
      <c r="V10" s="35"/>
      <c r="W10" s="35"/>
      <c r="X10" s="35"/>
      <c r="Y10" s="35"/>
      <c r="Z10" s="35"/>
      <c r="AA10" s="35"/>
      <c r="AB10" s="35"/>
      <c r="AC10" s="35"/>
      <c r="AD10" s="35"/>
      <c r="AE10" s="36">
        <f t="shared" si="0"/>
        <v>0</v>
      </c>
      <c r="AF10" s="35"/>
      <c r="AG10" s="35"/>
      <c r="AH10" s="35"/>
      <c r="AI10" s="35"/>
      <c r="AJ10" s="35"/>
      <c r="AK10" s="35"/>
      <c r="AL10" s="35"/>
      <c r="AM10" s="35"/>
      <c r="AN10" s="35"/>
      <c r="AO10" s="35"/>
      <c r="AP10" s="35"/>
      <c r="AQ10" s="35"/>
      <c r="AR10" s="36">
        <f t="shared" si="1"/>
        <v>0</v>
      </c>
    </row>
    <row r="11" spans="1:44" ht="15">
      <c r="A11" s="37" t="s">
        <v>55</v>
      </c>
      <c r="F11" s="35"/>
      <c r="G11" s="35"/>
      <c r="H11" s="35"/>
      <c r="I11" s="35"/>
      <c r="J11" s="35"/>
      <c r="K11" s="35"/>
      <c r="L11" s="35"/>
      <c r="M11" s="35"/>
      <c r="N11" s="35"/>
      <c r="O11" s="35"/>
      <c r="P11" s="35"/>
      <c r="Q11" s="35"/>
      <c r="R11" s="36">
        <f t="shared" si="2"/>
        <v>0</v>
      </c>
      <c r="S11" s="35"/>
      <c r="T11" s="35"/>
      <c r="U11" s="35"/>
      <c r="V11" s="35"/>
      <c r="W11" s="35"/>
      <c r="X11" s="35"/>
      <c r="Y11" s="35"/>
      <c r="Z11" s="35"/>
      <c r="AA11" s="35"/>
      <c r="AB11" s="35"/>
      <c r="AC11" s="35"/>
      <c r="AD11" s="35"/>
      <c r="AE11" s="36">
        <f t="shared" si="0"/>
        <v>0</v>
      </c>
      <c r="AF11" s="35"/>
      <c r="AG11" s="35"/>
      <c r="AH11" s="35"/>
      <c r="AI11" s="35"/>
      <c r="AJ11" s="35"/>
      <c r="AK11" s="35"/>
      <c r="AL11" s="35"/>
      <c r="AM11" s="35"/>
      <c r="AN11" s="35"/>
      <c r="AO11" s="35"/>
      <c r="AP11" s="35"/>
      <c r="AQ11" s="35"/>
      <c r="AR11" s="36">
        <f t="shared" si="1"/>
        <v>0</v>
      </c>
    </row>
    <row r="12" spans="1:44" ht="15">
      <c r="A12" s="37" t="s">
        <v>56</v>
      </c>
      <c r="F12" s="35"/>
      <c r="G12" s="35"/>
      <c r="H12" s="35"/>
      <c r="I12" s="35"/>
      <c r="J12" s="35"/>
      <c r="K12" s="35"/>
      <c r="L12" s="35"/>
      <c r="M12" s="35"/>
      <c r="N12" s="35"/>
      <c r="O12" s="35"/>
      <c r="P12" s="35"/>
      <c r="Q12" s="35"/>
      <c r="R12" s="36">
        <f t="shared" si="2"/>
        <v>0</v>
      </c>
      <c r="S12" s="35"/>
      <c r="T12" s="35"/>
      <c r="U12" s="35"/>
      <c r="V12" s="35"/>
      <c r="W12" s="35"/>
      <c r="X12" s="35"/>
      <c r="Y12" s="35"/>
      <c r="Z12" s="35"/>
      <c r="AA12" s="35"/>
      <c r="AB12" s="35"/>
      <c r="AC12" s="35"/>
      <c r="AD12" s="35"/>
      <c r="AE12" s="36">
        <f t="shared" si="0"/>
        <v>0</v>
      </c>
      <c r="AF12" s="35"/>
      <c r="AG12" s="35"/>
      <c r="AH12" s="35"/>
      <c r="AI12" s="35"/>
      <c r="AJ12" s="35"/>
      <c r="AK12" s="35"/>
      <c r="AL12" s="35"/>
      <c r="AM12" s="35"/>
      <c r="AN12" s="35"/>
      <c r="AO12" s="35"/>
      <c r="AP12" s="35"/>
      <c r="AQ12" s="35"/>
      <c r="AR12" s="36">
        <f t="shared" si="1"/>
        <v>0</v>
      </c>
    </row>
    <row r="13" spans="1:44" ht="15">
      <c r="A13" s="27" t="s">
        <v>57</v>
      </c>
      <c r="F13" s="35"/>
      <c r="G13" s="35"/>
      <c r="H13" s="35"/>
      <c r="I13" s="35"/>
      <c r="J13" s="35"/>
      <c r="K13" s="35"/>
      <c r="L13" s="35"/>
      <c r="M13" s="35"/>
      <c r="N13" s="35"/>
      <c r="O13" s="35"/>
      <c r="P13" s="35"/>
      <c r="Q13" s="35"/>
      <c r="R13" s="36">
        <f t="shared" si="2"/>
        <v>0</v>
      </c>
      <c r="S13" s="35"/>
      <c r="T13" s="35"/>
      <c r="U13" s="35"/>
      <c r="V13" s="35"/>
      <c r="W13" s="35"/>
      <c r="X13" s="35"/>
      <c r="Y13" s="35"/>
      <c r="Z13" s="35"/>
      <c r="AA13" s="35"/>
      <c r="AB13" s="35"/>
      <c r="AC13" s="35"/>
      <c r="AD13" s="35"/>
      <c r="AE13" s="36">
        <f t="shared" si="0"/>
        <v>0</v>
      </c>
      <c r="AF13" s="35"/>
      <c r="AG13" s="35"/>
      <c r="AH13" s="35"/>
      <c r="AI13" s="35"/>
      <c r="AJ13" s="35"/>
      <c r="AK13" s="35"/>
      <c r="AL13" s="35"/>
      <c r="AM13" s="35"/>
      <c r="AN13" s="35"/>
      <c r="AO13" s="35"/>
      <c r="AP13" s="35"/>
      <c r="AQ13" s="35"/>
      <c r="AR13" s="36">
        <f t="shared" si="1"/>
        <v>0</v>
      </c>
    </row>
    <row r="14" spans="1:44" ht="15">
      <c r="A14" s="37" t="s">
        <v>54</v>
      </c>
      <c r="F14" s="35"/>
      <c r="G14" s="35"/>
      <c r="H14" s="35"/>
      <c r="I14" s="35"/>
      <c r="J14" s="35"/>
      <c r="K14" s="35"/>
      <c r="L14" s="35"/>
      <c r="M14" s="35"/>
      <c r="N14" s="35"/>
      <c r="O14" s="35"/>
      <c r="P14" s="35"/>
      <c r="Q14" s="35"/>
      <c r="R14" s="36">
        <f t="shared" si="2"/>
        <v>0</v>
      </c>
      <c r="S14" s="35"/>
      <c r="T14" s="35"/>
      <c r="U14" s="35"/>
      <c r="V14" s="35"/>
      <c r="W14" s="35"/>
      <c r="X14" s="35"/>
      <c r="Y14" s="35"/>
      <c r="Z14" s="35"/>
      <c r="AA14" s="35"/>
      <c r="AB14" s="35"/>
      <c r="AC14" s="35"/>
      <c r="AD14" s="35"/>
      <c r="AE14" s="36">
        <f t="shared" si="0"/>
        <v>0</v>
      </c>
      <c r="AF14" s="35"/>
      <c r="AG14" s="35"/>
      <c r="AH14" s="35"/>
      <c r="AI14" s="35"/>
      <c r="AJ14" s="35"/>
      <c r="AK14" s="35"/>
      <c r="AL14" s="35"/>
      <c r="AM14" s="35"/>
      <c r="AN14" s="35"/>
      <c r="AO14" s="35"/>
      <c r="AP14" s="35"/>
      <c r="AQ14" s="35"/>
      <c r="AR14" s="36">
        <f t="shared" si="1"/>
        <v>0</v>
      </c>
    </row>
    <row r="15" spans="1:44" ht="15">
      <c r="A15" s="37" t="s">
        <v>55</v>
      </c>
      <c r="F15" s="35"/>
      <c r="G15" s="35"/>
      <c r="H15" s="35"/>
      <c r="I15" s="35"/>
      <c r="J15" s="35"/>
      <c r="K15" s="35"/>
      <c r="L15" s="35"/>
      <c r="M15" s="35"/>
      <c r="N15" s="35"/>
      <c r="O15" s="35"/>
      <c r="P15" s="35"/>
      <c r="Q15" s="35"/>
      <c r="R15" s="36">
        <f t="shared" si="2"/>
        <v>0</v>
      </c>
      <c r="S15" s="35"/>
      <c r="T15" s="35"/>
      <c r="U15" s="35"/>
      <c r="V15" s="35"/>
      <c r="W15" s="35"/>
      <c r="X15" s="35"/>
      <c r="Y15" s="35"/>
      <c r="Z15" s="35"/>
      <c r="AA15" s="35"/>
      <c r="AB15" s="35"/>
      <c r="AC15" s="35"/>
      <c r="AD15" s="35"/>
      <c r="AE15" s="36">
        <f t="shared" si="0"/>
        <v>0</v>
      </c>
      <c r="AF15" s="35"/>
      <c r="AG15" s="35"/>
      <c r="AH15" s="35"/>
      <c r="AI15" s="35"/>
      <c r="AJ15" s="35"/>
      <c r="AK15" s="35"/>
      <c r="AL15" s="35"/>
      <c r="AM15" s="35"/>
      <c r="AN15" s="35"/>
      <c r="AO15" s="35"/>
      <c r="AP15" s="35"/>
      <c r="AQ15" s="35"/>
      <c r="AR15" s="36">
        <f t="shared" si="1"/>
        <v>0</v>
      </c>
    </row>
    <row r="16" spans="1:44" ht="15">
      <c r="A16" s="37" t="s">
        <v>56</v>
      </c>
      <c r="F16" s="35"/>
      <c r="G16" s="35"/>
      <c r="H16" s="35"/>
      <c r="I16" s="35"/>
      <c r="J16" s="35"/>
      <c r="K16" s="35"/>
      <c r="L16" s="35"/>
      <c r="M16" s="35"/>
      <c r="N16" s="35"/>
      <c r="O16" s="35"/>
      <c r="P16" s="35"/>
      <c r="Q16" s="35"/>
      <c r="R16" s="36">
        <f t="shared" si="2"/>
        <v>0</v>
      </c>
      <c r="S16" s="35"/>
      <c r="T16" s="35"/>
      <c r="U16" s="35"/>
      <c r="V16" s="35"/>
      <c r="W16" s="35"/>
      <c r="X16" s="35"/>
      <c r="Y16" s="35"/>
      <c r="Z16" s="35"/>
      <c r="AA16" s="35"/>
      <c r="AB16" s="35"/>
      <c r="AC16" s="35"/>
      <c r="AD16" s="35"/>
      <c r="AE16" s="36">
        <f t="shared" si="0"/>
        <v>0</v>
      </c>
      <c r="AF16" s="35"/>
      <c r="AG16" s="35"/>
      <c r="AH16" s="35"/>
      <c r="AI16" s="35"/>
      <c r="AJ16" s="35"/>
      <c r="AK16" s="35"/>
      <c r="AL16" s="35"/>
      <c r="AM16" s="35"/>
      <c r="AN16" s="35"/>
      <c r="AO16" s="35"/>
      <c r="AP16" s="35"/>
      <c r="AQ16" s="35"/>
      <c r="AR16" s="36">
        <f t="shared" si="1"/>
        <v>0</v>
      </c>
    </row>
    <row r="17" spans="1:44" ht="15">
      <c r="A17" s="38" t="s">
        <v>58</v>
      </c>
      <c r="B17" s="39"/>
      <c r="C17" s="39"/>
      <c r="D17" s="39"/>
      <c r="E17" s="39"/>
      <c r="F17" s="40"/>
      <c r="G17" s="40"/>
      <c r="H17" s="40"/>
      <c r="I17" s="40"/>
      <c r="J17" s="40"/>
      <c r="K17" s="40"/>
      <c r="L17" s="40"/>
      <c r="M17" s="40"/>
      <c r="N17" s="40"/>
      <c r="O17" s="40"/>
      <c r="P17" s="40"/>
      <c r="Q17" s="40"/>
      <c r="R17" s="41">
        <f t="shared" si="2"/>
        <v>0</v>
      </c>
      <c r="S17" s="40"/>
      <c r="T17" s="40"/>
      <c r="U17" s="40"/>
      <c r="V17" s="40"/>
      <c r="W17" s="40"/>
      <c r="X17" s="40"/>
      <c r="Y17" s="40"/>
      <c r="Z17" s="40"/>
      <c r="AA17" s="40"/>
      <c r="AB17" s="40"/>
      <c r="AC17" s="40"/>
      <c r="AD17" s="40"/>
      <c r="AE17" s="41">
        <f t="shared" si="0"/>
        <v>0</v>
      </c>
      <c r="AF17" s="40"/>
      <c r="AG17" s="40"/>
      <c r="AH17" s="40"/>
      <c r="AI17" s="40"/>
      <c r="AJ17" s="40"/>
      <c r="AK17" s="40"/>
      <c r="AL17" s="40"/>
      <c r="AM17" s="40"/>
      <c r="AN17" s="40"/>
      <c r="AO17" s="40"/>
      <c r="AP17" s="40"/>
      <c r="AQ17" s="40"/>
      <c r="AR17" s="41">
        <f t="shared" si="1"/>
        <v>0</v>
      </c>
    </row>
    <row r="18" spans="1:44" ht="15">
      <c r="A18" s="34" t="s">
        <v>59</v>
      </c>
      <c r="F18" s="35"/>
      <c r="G18" s="35"/>
      <c r="H18" s="35"/>
      <c r="I18" s="35"/>
      <c r="J18" s="35"/>
      <c r="K18" s="35"/>
      <c r="L18" s="35"/>
      <c r="M18" s="35"/>
      <c r="N18" s="35"/>
      <c r="O18" s="35"/>
      <c r="P18" s="35"/>
      <c r="Q18" s="35"/>
      <c r="R18" s="36">
        <f>SUM(R9:R17)</f>
        <v>0</v>
      </c>
      <c r="S18" s="35"/>
      <c r="T18" s="35"/>
      <c r="U18" s="35"/>
      <c r="V18" s="35"/>
      <c r="W18" s="35"/>
      <c r="X18" s="35"/>
      <c r="Y18" s="35"/>
      <c r="Z18" s="35"/>
      <c r="AA18" s="35"/>
      <c r="AB18" s="35"/>
      <c r="AC18" s="35"/>
      <c r="AD18" s="35"/>
      <c r="AE18" s="36">
        <f>SUM(AE9:AE17)</f>
        <v>0</v>
      </c>
      <c r="AF18" s="35"/>
      <c r="AG18" s="35"/>
      <c r="AH18" s="35"/>
      <c r="AI18" s="35"/>
      <c r="AJ18" s="35"/>
      <c r="AK18" s="35"/>
      <c r="AL18" s="35"/>
      <c r="AM18" s="35"/>
      <c r="AN18" s="35"/>
      <c r="AO18" s="35"/>
      <c r="AP18" s="35"/>
      <c r="AQ18" s="35"/>
      <c r="AR18" s="36">
        <f>SUM(AR9:AR17)</f>
        <v>0</v>
      </c>
    </row>
    <row r="19" spans="1:44" ht="14.25">
      <c r="A19" s="31"/>
      <c r="F19" s="42"/>
      <c r="G19" s="42"/>
      <c r="H19" s="42"/>
      <c r="I19" s="42"/>
      <c r="J19" s="42"/>
      <c r="K19" s="42"/>
      <c r="L19" s="42"/>
      <c r="M19" s="42"/>
      <c r="N19" s="42"/>
      <c r="O19" s="42"/>
      <c r="P19" s="42"/>
      <c r="Q19" s="42"/>
      <c r="R19" s="43"/>
      <c r="S19" s="42"/>
      <c r="T19" s="42"/>
      <c r="U19" s="42"/>
      <c r="V19" s="42"/>
      <c r="W19" s="42"/>
      <c r="X19" s="42"/>
      <c r="Y19" s="42"/>
      <c r="Z19" s="42"/>
      <c r="AA19" s="42"/>
      <c r="AB19" s="42"/>
      <c r="AC19" s="42"/>
      <c r="AD19" s="42"/>
      <c r="AE19" s="43"/>
      <c r="AF19" s="42"/>
      <c r="AG19" s="42"/>
      <c r="AH19" s="42"/>
      <c r="AI19" s="42"/>
      <c r="AJ19" s="42"/>
      <c r="AK19" s="42"/>
      <c r="AL19" s="42"/>
      <c r="AM19" s="42"/>
      <c r="AN19" s="42"/>
      <c r="AO19" s="42"/>
      <c r="AP19" s="42"/>
      <c r="AQ19" s="42"/>
      <c r="AR19" s="43"/>
    </row>
    <row r="20" spans="1:44" ht="15">
      <c r="A20" s="34" t="s">
        <v>60</v>
      </c>
      <c r="F20" s="42"/>
      <c r="G20" s="42"/>
      <c r="H20" s="42"/>
      <c r="I20" s="42"/>
      <c r="J20" s="42"/>
      <c r="K20" s="42"/>
      <c r="L20" s="42"/>
      <c r="M20" s="42"/>
      <c r="N20" s="42"/>
      <c r="O20" s="42"/>
      <c r="P20" s="42"/>
      <c r="Q20" s="42"/>
      <c r="R20" s="43"/>
      <c r="S20" s="42"/>
      <c r="T20" s="42"/>
      <c r="U20" s="42"/>
      <c r="V20" s="42"/>
      <c r="W20" s="42"/>
      <c r="X20" s="42"/>
      <c r="Y20" s="42"/>
      <c r="Z20" s="42"/>
      <c r="AA20" s="42"/>
      <c r="AB20" s="42"/>
      <c r="AC20" s="42"/>
      <c r="AD20" s="42"/>
      <c r="AE20" s="43"/>
      <c r="AF20" s="42"/>
      <c r="AG20" s="42"/>
      <c r="AH20" s="42"/>
      <c r="AI20" s="42"/>
      <c r="AJ20" s="42"/>
      <c r="AK20" s="42"/>
      <c r="AL20" s="42"/>
      <c r="AM20" s="42"/>
      <c r="AN20" s="42"/>
      <c r="AO20" s="42"/>
      <c r="AP20" s="42"/>
      <c r="AQ20" s="42"/>
      <c r="AR20" s="43"/>
    </row>
    <row r="21" spans="1:44" ht="15">
      <c r="A21" s="27" t="s">
        <v>61</v>
      </c>
      <c r="F21" s="35"/>
      <c r="G21" s="35"/>
      <c r="H21" s="35"/>
      <c r="I21" s="35"/>
      <c r="J21" s="35"/>
      <c r="K21" s="35"/>
      <c r="L21" s="35"/>
      <c r="M21" s="35"/>
      <c r="N21" s="35"/>
      <c r="O21" s="35"/>
      <c r="P21" s="35"/>
      <c r="Q21" s="35"/>
      <c r="R21" s="36">
        <f t="shared" ref="R21:R31" si="3">SUM(F68:Q68)</f>
        <v>0</v>
      </c>
      <c r="S21" s="35"/>
      <c r="T21" s="35"/>
      <c r="U21" s="35"/>
      <c r="V21" s="35"/>
      <c r="W21" s="35"/>
      <c r="X21" s="35"/>
      <c r="Y21" s="35"/>
      <c r="Z21" s="35"/>
      <c r="AA21" s="35"/>
      <c r="AB21" s="35"/>
      <c r="AC21" s="35"/>
      <c r="AD21" s="35"/>
      <c r="AE21" s="36">
        <f t="shared" ref="AE21:AE31" si="4">SUM(R68:AC68)</f>
        <v>0</v>
      </c>
      <c r="AF21" s="35"/>
      <c r="AG21" s="35"/>
      <c r="AH21" s="35"/>
      <c r="AI21" s="35"/>
      <c r="AJ21" s="35"/>
      <c r="AK21" s="35"/>
      <c r="AL21" s="35"/>
      <c r="AM21" s="35"/>
      <c r="AN21" s="35"/>
      <c r="AO21" s="35"/>
      <c r="AP21" s="35"/>
      <c r="AQ21" s="35"/>
      <c r="AR21" s="36">
        <f t="shared" ref="AR21:AR31" si="5">SUM(AD68:AO68)</f>
        <v>0</v>
      </c>
    </row>
    <row r="22" spans="1:44" ht="15">
      <c r="A22" s="27" t="s">
        <v>62</v>
      </c>
      <c r="F22" s="35"/>
      <c r="G22" s="35"/>
      <c r="H22" s="35"/>
      <c r="I22" s="35"/>
      <c r="J22" s="35"/>
      <c r="K22" s="35"/>
      <c r="L22" s="35"/>
      <c r="M22" s="35"/>
      <c r="N22" s="35"/>
      <c r="O22" s="35"/>
      <c r="P22" s="35"/>
      <c r="Q22" s="35"/>
      <c r="R22" s="36">
        <f t="shared" si="3"/>
        <v>0</v>
      </c>
      <c r="S22" s="35"/>
      <c r="T22" s="35"/>
      <c r="U22" s="35"/>
      <c r="V22" s="35"/>
      <c r="W22" s="35"/>
      <c r="X22" s="35"/>
      <c r="Y22" s="35"/>
      <c r="Z22" s="35"/>
      <c r="AA22" s="35"/>
      <c r="AB22" s="35"/>
      <c r="AC22" s="35"/>
      <c r="AD22" s="35"/>
      <c r="AE22" s="36">
        <f t="shared" si="4"/>
        <v>0</v>
      </c>
      <c r="AF22" s="35"/>
      <c r="AG22" s="35"/>
      <c r="AH22" s="35"/>
      <c r="AI22" s="35"/>
      <c r="AJ22" s="35"/>
      <c r="AK22" s="35"/>
      <c r="AL22" s="35"/>
      <c r="AM22" s="35"/>
      <c r="AN22" s="35"/>
      <c r="AO22" s="35"/>
      <c r="AP22" s="35"/>
      <c r="AQ22" s="35"/>
      <c r="AR22" s="36">
        <f t="shared" si="5"/>
        <v>0</v>
      </c>
    </row>
    <row r="23" spans="1:44" ht="15">
      <c r="A23" s="27" t="s">
        <v>63</v>
      </c>
      <c r="F23" s="35"/>
      <c r="G23" s="35"/>
      <c r="H23" s="35"/>
      <c r="I23" s="35"/>
      <c r="J23" s="35"/>
      <c r="K23" s="35"/>
      <c r="L23" s="35"/>
      <c r="M23" s="35"/>
      <c r="N23" s="35"/>
      <c r="O23" s="35"/>
      <c r="P23" s="35"/>
      <c r="Q23" s="35"/>
      <c r="R23" s="36">
        <f t="shared" si="3"/>
        <v>0</v>
      </c>
      <c r="S23" s="35"/>
      <c r="T23" s="35"/>
      <c r="U23" s="35"/>
      <c r="V23" s="35"/>
      <c r="W23" s="35"/>
      <c r="X23" s="35"/>
      <c r="Y23" s="35"/>
      <c r="Z23" s="35"/>
      <c r="AA23" s="35"/>
      <c r="AB23" s="35"/>
      <c r="AC23" s="35"/>
      <c r="AD23" s="35"/>
      <c r="AE23" s="36">
        <f t="shared" si="4"/>
        <v>0</v>
      </c>
      <c r="AF23" s="35"/>
      <c r="AG23" s="35"/>
      <c r="AH23" s="35"/>
      <c r="AI23" s="35"/>
      <c r="AJ23" s="35"/>
      <c r="AK23" s="35"/>
      <c r="AL23" s="35"/>
      <c r="AM23" s="35"/>
      <c r="AN23" s="35"/>
      <c r="AO23" s="35"/>
      <c r="AP23" s="35"/>
      <c r="AQ23" s="35"/>
      <c r="AR23" s="36">
        <f t="shared" si="5"/>
        <v>0</v>
      </c>
    </row>
    <row r="24" spans="1:44" ht="15">
      <c r="A24" s="27" t="s">
        <v>322</v>
      </c>
      <c r="F24" s="35"/>
      <c r="G24" s="35"/>
      <c r="H24" s="35"/>
      <c r="I24" s="35"/>
      <c r="J24" s="35"/>
      <c r="K24" s="35"/>
      <c r="L24" s="35"/>
      <c r="M24" s="35"/>
      <c r="N24" s="35"/>
      <c r="O24" s="35"/>
      <c r="P24" s="35"/>
      <c r="Q24" s="35"/>
      <c r="R24" s="36">
        <f t="shared" si="3"/>
        <v>0</v>
      </c>
      <c r="S24" s="35"/>
      <c r="T24" s="35"/>
      <c r="U24" s="35"/>
      <c r="V24" s="35"/>
      <c r="W24" s="35"/>
      <c r="X24" s="35"/>
      <c r="Y24" s="35"/>
      <c r="Z24" s="35"/>
      <c r="AA24" s="35"/>
      <c r="AB24" s="35"/>
      <c r="AC24" s="35"/>
      <c r="AD24" s="35"/>
      <c r="AE24" s="36">
        <f t="shared" si="4"/>
        <v>0</v>
      </c>
      <c r="AF24" s="35"/>
      <c r="AG24" s="35"/>
      <c r="AH24" s="35"/>
      <c r="AI24" s="35"/>
      <c r="AJ24" s="35"/>
      <c r="AK24" s="35"/>
      <c r="AL24" s="35"/>
      <c r="AM24" s="35"/>
      <c r="AN24" s="35"/>
      <c r="AO24" s="35"/>
      <c r="AP24" s="35"/>
      <c r="AQ24" s="35"/>
      <c r="AR24" s="36">
        <f t="shared" si="5"/>
        <v>0</v>
      </c>
    </row>
    <row r="25" spans="1:44" ht="15">
      <c r="A25" s="27" t="s">
        <v>323</v>
      </c>
      <c r="F25" s="35"/>
      <c r="G25" s="35"/>
      <c r="H25" s="35"/>
      <c r="I25" s="35"/>
      <c r="J25" s="35"/>
      <c r="K25" s="35"/>
      <c r="L25" s="35"/>
      <c r="M25" s="35"/>
      <c r="N25" s="35"/>
      <c r="O25" s="35"/>
      <c r="P25" s="35"/>
      <c r="Q25" s="35"/>
      <c r="R25" s="36">
        <f t="shared" si="3"/>
        <v>0</v>
      </c>
      <c r="S25" s="35"/>
      <c r="T25" s="35"/>
      <c r="U25" s="35"/>
      <c r="V25" s="35"/>
      <c r="W25" s="35"/>
      <c r="X25" s="35"/>
      <c r="Y25" s="35"/>
      <c r="Z25" s="35"/>
      <c r="AA25" s="35"/>
      <c r="AB25" s="35"/>
      <c r="AC25" s="35"/>
      <c r="AD25" s="35"/>
      <c r="AE25" s="36">
        <f t="shared" si="4"/>
        <v>0</v>
      </c>
      <c r="AF25" s="35"/>
      <c r="AG25" s="35"/>
      <c r="AH25" s="35"/>
      <c r="AI25" s="35"/>
      <c r="AJ25" s="35"/>
      <c r="AK25" s="35"/>
      <c r="AL25" s="35"/>
      <c r="AM25" s="35"/>
      <c r="AN25" s="35"/>
      <c r="AO25" s="35"/>
      <c r="AP25" s="35"/>
      <c r="AQ25" s="35"/>
      <c r="AR25" s="36">
        <f t="shared" si="5"/>
        <v>0</v>
      </c>
    </row>
    <row r="26" spans="1:44" ht="15">
      <c r="A26" s="27" t="s">
        <v>66</v>
      </c>
      <c r="F26" s="35"/>
      <c r="G26" s="35"/>
      <c r="H26" s="35"/>
      <c r="I26" s="35"/>
      <c r="J26" s="35"/>
      <c r="K26" s="35"/>
      <c r="L26" s="35"/>
      <c r="M26" s="35"/>
      <c r="N26" s="35"/>
      <c r="O26" s="35"/>
      <c r="P26" s="35"/>
      <c r="Q26" s="35"/>
      <c r="R26" s="36">
        <f t="shared" si="3"/>
        <v>0</v>
      </c>
      <c r="S26" s="35"/>
      <c r="T26" s="35"/>
      <c r="U26" s="35"/>
      <c r="V26" s="35"/>
      <c r="W26" s="35"/>
      <c r="X26" s="35"/>
      <c r="Y26" s="35"/>
      <c r="Z26" s="35"/>
      <c r="AA26" s="35"/>
      <c r="AB26" s="35"/>
      <c r="AC26" s="35"/>
      <c r="AD26" s="35"/>
      <c r="AE26" s="36">
        <f t="shared" si="4"/>
        <v>0</v>
      </c>
      <c r="AF26" s="35"/>
      <c r="AG26" s="35"/>
      <c r="AH26" s="35"/>
      <c r="AI26" s="35"/>
      <c r="AJ26" s="35"/>
      <c r="AK26" s="35"/>
      <c r="AL26" s="35"/>
      <c r="AM26" s="35"/>
      <c r="AN26" s="35"/>
      <c r="AO26" s="35"/>
      <c r="AP26" s="35"/>
      <c r="AQ26" s="35"/>
      <c r="AR26" s="36">
        <f t="shared" si="5"/>
        <v>0</v>
      </c>
    </row>
    <row r="27" spans="1:44" ht="15">
      <c r="A27" s="27" t="s">
        <v>67</v>
      </c>
      <c r="F27" s="35"/>
      <c r="G27" s="35"/>
      <c r="H27" s="35"/>
      <c r="I27" s="35"/>
      <c r="J27" s="35"/>
      <c r="K27" s="35"/>
      <c r="L27" s="35"/>
      <c r="M27" s="35"/>
      <c r="N27" s="35"/>
      <c r="O27" s="35"/>
      <c r="P27" s="35"/>
      <c r="Q27" s="35"/>
      <c r="R27" s="36">
        <f t="shared" si="3"/>
        <v>0</v>
      </c>
      <c r="S27" s="35"/>
      <c r="T27" s="35"/>
      <c r="U27" s="35"/>
      <c r="V27" s="35"/>
      <c r="W27" s="35"/>
      <c r="X27" s="35"/>
      <c r="Y27" s="35"/>
      <c r="Z27" s="35"/>
      <c r="AA27" s="35"/>
      <c r="AB27" s="35"/>
      <c r="AC27" s="35"/>
      <c r="AD27" s="35"/>
      <c r="AE27" s="36">
        <f t="shared" si="4"/>
        <v>0</v>
      </c>
      <c r="AF27" s="35"/>
      <c r="AG27" s="35"/>
      <c r="AH27" s="35"/>
      <c r="AI27" s="35"/>
      <c r="AJ27" s="35"/>
      <c r="AK27" s="35"/>
      <c r="AL27" s="35"/>
      <c r="AM27" s="35"/>
      <c r="AN27" s="35"/>
      <c r="AO27" s="35"/>
      <c r="AP27" s="35"/>
      <c r="AQ27" s="35"/>
      <c r="AR27" s="36">
        <f t="shared" si="5"/>
        <v>0</v>
      </c>
    </row>
    <row r="28" spans="1:44" ht="15">
      <c r="A28" s="27" t="s">
        <v>68</v>
      </c>
      <c r="F28" s="35"/>
      <c r="G28" s="35"/>
      <c r="H28" s="35"/>
      <c r="I28" s="35"/>
      <c r="J28" s="35"/>
      <c r="K28" s="35"/>
      <c r="L28" s="35"/>
      <c r="M28" s="35"/>
      <c r="N28" s="35"/>
      <c r="O28" s="35"/>
      <c r="P28" s="35"/>
      <c r="Q28" s="35"/>
      <c r="R28" s="36">
        <f t="shared" si="3"/>
        <v>0</v>
      </c>
      <c r="S28" s="35"/>
      <c r="T28" s="35"/>
      <c r="U28" s="35"/>
      <c r="V28" s="35"/>
      <c r="W28" s="35"/>
      <c r="X28" s="35"/>
      <c r="Y28" s="35"/>
      <c r="Z28" s="35"/>
      <c r="AA28" s="35"/>
      <c r="AB28" s="35"/>
      <c r="AC28" s="35"/>
      <c r="AD28" s="35"/>
      <c r="AE28" s="36">
        <f t="shared" si="4"/>
        <v>0</v>
      </c>
      <c r="AF28" s="35"/>
      <c r="AG28" s="35"/>
      <c r="AH28" s="35"/>
      <c r="AI28" s="35"/>
      <c r="AJ28" s="35"/>
      <c r="AK28" s="35"/>
      <c r="AL28" s="35"/>
      <c r="AM28" s="35"/>
      <c r="AN28" s="35"/>
      <c r="AO28" s="35"/>
      <c r="AP28" s="35"/>
      <c r="AQ28" s="35"/>
      <c r="AR28" s="36">
        <f t="shared" si="5"/>
        <v>0</v>
      </c>
    </row>
    <row r="29" spans="1:44" ht="15">
      <c r="A29" s="27" t="s">
        <v>69</v>
      </c>
      <c r="F29" s="35"/>
      <c r="G29" s="35"/>
      <c r="H29" s="35"/>
      <c r="I29" s="35"/>
      <c r="J29" s="35"/>
      <c r="K29" s="35"/>
      <c r="L29" s="35"/>
      <c r="M29" s="35"/>
      <c r="N29" s="35"/>
      <c r="O29" s="35"/>
      <c r="P29" s="35"/>
      <c r="Q29" s="35"/>
      <c r="R29" s="36">
        <f t="shared" si="3"/>
        <v>0</v>
      </c>
      <c r="S29" s="35"/>
      <c r="T29" s="35"/>
      <c r="U29" s="35"/>
      <c r="V29" s="35"/>
      <c r="W29" s="35"/>
      <c r="X29" s="35"/>
      <c r="Y29" s="35"/>
      <c r="Z29" s="35"/>
      <c r="AA29" s="35"/>
      <c r="AB29" s="35"/>
      <c r="AC29" s="35"/>
      <c r="AD29" s="35"/>
      <c r="AE29" s="36">
        <f t="shared" si="4"/>
        <v>0</v>
      </c>
      <c r="AF29" s="35"/>
      <c r="AG29" s="35"/>
      <c r="AH29" s="35"/>
      <c r="AI29" s="35"/>
      <c r="AJ29" s="35"/>
      <c r="AK29" s="35"/>
      <c r="AL29" s="35"/>
      <c r="AM29" s="35"/>
      <c r="AN29" s="35"/>
      <c r="AO29" s="35"/>
      <c r="AP29" s="35"/>
      <c r="AQ29" s="35"/>
      <c r="AR29" s="36">
        <f t="shared" si="5"/>
        <v>0</v>
      </c>
    </row>
    <row r="30" spans="1:44" ht="15">
      <c r="A30" s="27" t="s">
        <v>70</v>
      </c>
      <c r="F30" s="35"/>
      <c r="G30" s="35"/>
      <c r="H30" s="35"/>
      <c r="I30" s="35"/>
      <c r="J30" s="35"/>
      <c r="K30" s="35"/>
      <c r="L30" s="35"/>
      <c r="M30" s="35"/>
      <c r="N30" s="35"/>
      <c r="O30" s="35"/>
      <c r="P30" s="35"/>
      <c r="Q30" s="35"/>
      <c r="R30" s="36">
        <f t="shared" si="3"/>
        <v>0</v>
      </c>
      <c r="S30" s="35"/>
      <c r="T30" s="35"/>
      <c r="U30" s="35"/>
      <c r="V30" s="35"/>
      <c r="W30" s="35"/>
      <c r="X30" s="35"/>
      <c r="Y30" s="35"/>
      <c r="Z30" s="35"/>
      <c r="AA30" s="35"/>
      <c r="AB30" s="35"/>
      <c r="AC30" s="35"/>
      <c r="AD30" s="35"/>
      <c r="AE30" s="36">
        <f t="shared" si="4"/>
        <v>0</v>
      </c>
      <c r="AF30" s="35"/>
      <c r="AG30" s="35"/>
      <c r="AH30" s="35"/>
      <c r="AI30" s="35"/>
      <c r="AJ30" s="35"/>
      <c r="AK30" s="35"/>
      <c r="AL30" s="35"/>
      <c r="AM30" s="35"/>
      <c r="AN30" s="35"/>
      <c r="AO30" s="35"/>
      <c r="AP30" s="35"/>
      <c r="AQ30" s="35"/>
      <c r="AR30" s="36">
        <f t="shared" si="5"/>
        <v>0</v>
      </c>
    </row>
    <row r="31" spans="1:44" ht="15">
      <c r="A31" s="44" t="s">
        <v>71</v>
      </c>
      <c r="B31" s="45"/>
      <c r="C31" s="45"/>
      <c r="D31" s="45"/>
      <c r="E31" s="45"/>
      <c r="F31" s="46"/>
      <c r="G31" s="46"/>
      <c r="H31" s="46"/>
      <c r="I31" s="46"/>
      <c r="J31" s="46"/>
      <c r="K31" s="46"/>
      <c r="L31" s="46"/>
      <c r="M31" s="46"/>
      <c r="N31" s="46"/>
      <c r="O31" s="46"/>
      <c r="P31" s="46"/>
      <c r="Q31" s="46"/>
      <c r="R31" s="47">
        <f t="shared" si="3"/>
        <v>0</v>
      </c>
      <c r="S31" s="46"/>
      <c r="T31" s="46"/>
      <c r="U31" s="46"/>
      <c r="V31" s="46"/>
      <c r="W31" s="46"/>
      <c r="X31" s="46"/>
      <c r="Y31" s="46"/>
      <c r="Z31" s="46"/>
      <c r="AA31" s="46"/>
      <c r="AB31" s="46"/>
      <c r="AC31" s="46"/>
      <c r="AD31" s="46"/>
      <c r="AE31" s="47">
        <f t="shared" si="4"/>
        <v>0</v>
      </c>
      <c r="AF31" s="46"/>
      <c r="AG31" s="46"/>
      <c r="AH31" s="46"/>
      <c r="AI31" s="46"/>
      <c r="AJ31" s="46"/>
      <c r="AK31" s="46"/>
      <c r="AL31" s="46"/>
      <c r="AM31" s="46"/>
      <c r="AN31" s="46"/>
      <c r="AO31" s="46"/>
      <c r="AP31" s="46"/>
      <c r="AQ31" s="46"/>
      <c r="AR31" s="47">
        <f t="shared" si="5"/>
        <v>0</v>
      </c>
    </row>
    <row r="32" spans="1:44" ht="15">
      <c r="A32" s="48" t="s">
        <v>72</v>
      </c>
      <c r="F32" s="49"/>
      <c r="G32" s="49"/>
      <c r="H32" s="49"/>
      <c r="I32" s="49"/>
      <c r="J32" s="49"/>
      <c r="K32" s="49"/>
      <c r="L32" s="49"/>
      <c r="M32" s="49"/>
      <c r="N32" s="49"/>
      <c r="O32" s="49"/>
      <c r="P32" s="49"/>
      <c r="Q32" s="49"/>
      <c r="R32" s="50">
        <f>SUM(R21:R31)</f>
        <v>0</v>
      </c>
      <c r="S32" s="49"/>
      <c r="T32" s="49"/>
      <c r="U32" s="49"/>
      <c r="V32" s="49"/>
      <c r="W32" s="49"/>
      <c r="X32" s="49"/>
      <c r="Y32" s="49"/>
      <c r="Z32" s="49"/>
      <c r="AA32" s="49"/>
      <c r="AB32" s="49"/>
      <c r="AC32" s="49"/>
      <c r="AD32" s="49"/>
      <c r="AE32" s="50">
        <f>SUM(AE21:AE31)</f>
        <v>0</v>
      </c>
      <c r="AF32" s="49"/>
      <c r="AG32" s="49"/>
      <c r="AH32" s="49"/>
      <c r="AI32" s="49"/>
      <c r="AJ32" s="49"/>
      <c r="AK32" s="49"/>
      <c r="AL32" s="49"/>
      <c r="AM32" s="49"/>
      <c r="AN32" s="49"/>
      <c r="AO32" s="49"/>
      <c r="AP32" s="49"/>
      <c r="AQ32" s="49"/>
      <c r="AR32" s="50">
        <f>SUM(AR21:AR31)</f>
        <v>0</v>
      </c>
    </row>
    <row r="33" spans="1:44" ht="6" customHeight="1">
      <c r="A33" s="31"/>
      <c r="F33" s="42"/>
      <c r="G33" s="42"/>
      <c r="H33" s="42"/>
      <c r="I33" s="42"/>
      <c r="J33" s="42"/>
      <c r="K33" s="42"/>
      <c r="L33" s="42"/>
      <c r="M33" s="42"/>
      <c r="N33" s="42"/>
      <c r="O33" s="42"/>
      <c r="P33" s="42"/>
      <c r="Q33" s="42"/>
      <c r="R33" s="43"/>
      <c r="S33" s="42"/>
      <c r="T33" s="42"/>
      <c r="U33" s="42"/>
      <c r="V33" s="42"/>
      <c r="W33" s="42"/>
      <c r="X33" s="42"/>
      <c r="Y33" s="42"/>
      <c r="Z33" s="42"/>
      <c r="AA33" s="42"/>
      <c r="AB33" s="42"/>
      <c r="AC33" s="42"/>
      <c r="AD33" s="42"/>
      <c r="AE33" s="43"/>
      <c r="AF33" s="42"/>
      <c r="AG33" s="42"/>
      <c r="AH33" s="42"/>
      <c r="AI33" s="42"/>
      <c r="AJ33" s="42"/>
      <c r="AK33" s="42"/>
      <c r="AL33" s="42"/>
      <c r="AM33" s="42"/>
      <c r="AN33" s="42"/>
      <c r="AO33" s="42"/>
      <c r="AP33" s="42"/>
      <c r="AQ33" s="42"/>
      <c r="AR33" s="43"/>
    </row>
    <row r="34" spans="1:44" ht="15">
      <c r="A34" s="34" t="s">
        <v>73</v>
      </c>
      <c r="F34" s="35"/>
      <c r="G34" s="35"/>
      <c r="H34" s="35"/>
      <c r="I34" s="35"/>
      <c r="J34" s="35"/>
      <c r="K34" s="35"/>
      <c r="L34" s="35"/>
      <c r="M34" s="35"/>
      <c r="N34" s="35"/>
      <c r="O34" s="35"/>
      <c r="P34" s="35"/>
      <c r="Q34" s="35"/>
      <c r="R34" s="36">
        <f>R18+R32</f>
        <v>0</v>
      </c>
      <c r="S34" s="35"/>
      <c r="T34" s="35"/>
      <c r="U34" s="35"/>
      <c r="V34" s="35"/>
      <c r="W34" s="35"/>
      <c r="X34" s="35"/>
      <c r="Y34" s="35"/>
      <c r="Z34" s="35"/>
      <c r="AA34" s="35"/>
      <c r="AB34" s="35"/>
      <c r="AC34" s="35"/>
      <c r="AD34" s="35"/>
      <c r="AE34" s="36">
        <f>AE18+AE32</f>
        <v>0</v>
      </c>
      <c r="AF34" s="35"/>
      <c r="AG34" s="35"/>
      <c r="AH34" s="35"/>
      <c r="AI34" s="35"/>
      <c r="AJ34" s="35"/>
      <c r="AK34" s="35"/>
      <c r="AL34" s="35"/>
      <c r="AM34" s="35"/>
      <c r="AN34" s="35"/>
      <c r="AO34" s="35"/>
      <c r="AP34" s="35"/>
      <c r="AQ34" s="35"/>
      <c r="AR34" s="36">
        <f>AR18+AR32</f>
        <v>0</v>
      </c>
    </row>
    <row r="35" spans="1:44" ht="15">
      <c r="A35" s="51" t="s">
        <v>74</v>
      </c>
      <c r="F35" s="52"/>
      <c r="G35" s="52"/>
      <c r="H35" s="52"/>
      <c r="I35" s="52"/>
      <c r="J35" s="52"/>
      <c r="K35" s="52"/>
      <c r="L35" s="52"/>
      <c r="M35" s="52"/>
      <c r="N35" s="52"/>
      <c r="O35" s="52"/>
      <c r="P35" s="52"/>
      <c r="Q35" s="52"/>
      <c r="R35" s="53">
        <f>IF(ISERROR(R34/R18),0,(R34/R18))</f>
        <v>0</v>
      </c>
      <c r="S35" s="52"/>
      <c r="T35" s="52"/>
      <c r="U35" s="52"/>
      <c r="V35" s="52"/>
      <c r="W35" s="52"/>
      <c r="X35" s="52"/>
      <c r="Y35" s="52"/>
      <c r="Z35" s="52"/>
      <c r="AA35" s="52"/>
      <c r="AB35" s="52"/>
      <c r="AC35" s="52"/>
      <c r="AD35" s="52"/>
      <c r="AE35" s="53">
        <f>IF(ISERROR(AE34/AE18),0,(AE34/AE18))</f>
        <v>0</v>
      </c>
      <c r="AF35" s="52"/>
      <c r="AG35" s="52"/>
      <c r="AH35" s="52"/>
      <c r="AI35" s="52"/>
      <c r="AJ35" s="52"/>
      <c r="AK35" s="52"/>
      <c r="AL35" s="52"/>
      <c r="AM35" s="52"/>
      <c r="AN35" s="52"/>
      <c r="AO35" s="52"/>
      <c r="AP35" s="52"/>
      <c r="AQ35" s="52"/>
      <c r="AR35" s="53">
        <f>IF(ISERROR(AR34/AR18),0,(AR34/AR18))</f>
        <v>0</v>
      </c>
    </row>
    <row r="36" spans="1:44" ht="6.75" customHeight="1">
      <c r="A36" s="31"/>
      <c r="F36" s="42"/>
      <c r="G36" s="42"/>
      <c r="H36" s="42"/>
      <c r="I36" s="42"/>
      <c r="J36" s="42"/>
      <c r="K36" s="42"/>
      <c r="L36" s="42"/>
      <c r="M36" s="42"/>
      <c r="N36" s="42"/>
      <c r="O36" s="42"/>
      <c r="P36" s="42"/>
      <c r="Q36" s="42"/>
      <c r="R36" s="43"/>
      <c r="S36" s="42"/>
      <c r="T36" s="42"/>
      <c r="U36" s="42"/>
      <c r="V36" s="42"/>
      <c r="W36" s="42"/>
      <c r="X36" s="42"/>
      <c r="Y36" s="42"/>
      <c r="Z36" s="42"/>
      <c r="AA36" s="42"/>
      <c r="AB36" s="42"/>
      <c r="AC36" s="42"/>
      <c r="AD36" s="42"/>
      <c r="AE36" s="43"/>
      <c r="AF36" s="42"/>
      <c r="AG36" s="42"/>
      <c r="AH36" s="42"/>
      <c r="AI36" s="42"/>
      <c r="AJ36" s="42"/>
      <c r="AK36" s="42"/>
      <c r="AL36" s="42"/>
      <c r="AM36" s="42"/>
      <c r="AN36" s="42"/>
      <c r="AO36" s="42"/>
      <c r="AP36" s="42"/>
      <c r="AQ36" s="42"/>
      <c r="AR36" s="43"/>
    </row>
    <row r="37" spans="1:44" ht="15">
      <c r="A37" s="34" t="s">
        <v>75</v>
      </c>
      <c r="F37" s="35"/>
      <c r="G37" s="35"/>
      <c r="H37" s="35"/>
      <c r="I37" s="35"/>
      <c r="J37" s="35"/>
      <c r="K37" s="35"/>
      <c r="L37" s="35"/>
      <c r="M37" s="35"/>
      <c r="N37" s="35"/>
      <c r="O37" s="35"/>
      <c r="P37" s="35"/>
      <c r="Q37" s="35"/>
      <c r="R37" s="36">
        <v>0</v>
      </c>
      <c r="S37" s="35"/>
      <c r="T37" s="35"/>
      <c r="U37" s="35"/>
      <c r="V37" s="35"/>
      <c r="W37" s="35"/>
      <c r="X37" s="35"/>
      <c r="Y37" s="35"/>
      <c r="Z37" s="35"/>
      <c r="AA37" s="35"/>
      <c r="AB37" s="35"/>
      <c r="AC37" s="35"/>
      <c r="AD37" s="35"/>
      <c r="AE37" s="36">
        <v>0</v>
      </c>
      <c r="AF37" s="35"/>
      <c r="AG37" s="35"/>
      <c r="AH37" s="35"/>
      <c r="AI37" s="35"/>
      <c r="AJ37" s="35"/>
      <c r="AK37" s="35"/>
      <c r="AL37" s="35"/>
      <c r="AM37" s="35"/>
      <c r="AN37" s="35"/>
      <c r="AO37" s="35"/>
      <c r="AP37" s="35"/>
      <c r="AQ37" s="35"/>
      <c r="AR37" s="36">
        <v>0</v>
      </c>
    </row>
    <row r="38" spans="1:44" ht="7.5" customHeight="1">
      <c r="A38" s="31"/>
      <c r="F38" s="42"/>
      <c r="G38" s="42"/>
      <c r="H38" s="42"/>
      <c r="I38" s="42"/>
      <c r="J38" s="42"/>
      <c r="K38" s="42"/>
      <c r="L38" s="42"/>
      <c r="M38" s="42"/>
      <c r="N38" s="42"/>
      <c r="O38" s="42"/>
      <c r="P38" s="42"/>
      <c r="Q38" s="42"/>
      <c r="R38" s="43"/>
      <c r="S38" s="42"/>
      <c r="T38" s="42"/>
      <c r="U38" s="42"/>
      <c r="V38" s="42"/>
      <c r="W38" s="42"/>
      <c r="X38" s="42"/>
      <c r="Y38" s="42"/>
      <c r="Z38" s="42"/>
      <c r="AA38" s="42"/>
      <c r="AB38" s="42"/>
      <c r="AC38" s="42"/>
      <c r="AD38" s="42"/>
      <c r="AE38" s="43"/>
      <c r="AF38" s="42"/>
      <c r="AG38" s="42"/>
      <c r="AH38" s="42"/>
      <c r="AI38" s="42"/>
      <c r="AJ38" s="42"/>
      <c r="AK38" s="42"/>
      <c r="AL38" s="42"/>
      <c r="AM38" s="42"/>
      <c r="AN38" s="42"/>
      <c r="AO38" s="42"/>
      <c r="AP38" s="42"/>
      <c r="AQ38" s="42"/>
      <c r="AR38" s="43"/>
    </row>
    <row r="39" spans="1:44" ht="15">
      <c r="A39" s="48" t="s">
        <v>76</v>
      </c>
      <c r="F39" s="49"/>
      <c r="G39" s="49"/>
      <c r="H39" s="49"/>
      <c r="I39" s="49"/>
      <c r="J39" s="49"/>
      <c r="K39" s="49"/>
      <c r="L39" s="49"/>
      <c r="M39" s="49"/>
      <c r="N39" s="49"/>
      <c r="O39" s="49"/>
      <c r="P39" s="49"/>
      <c r="Q39" s="49"/>
      <c r="R39" s="50">
        <f>R32+R37</f>
        <v>0</v>
      </c>
      <c r="S39" s="49"/>
      <c r="T39" s="49"/>
      <c r="U39" s="49"/>
      <c r="V39" s="49"/>
      <c r="W39" s="49"/>
      <c r="X39" s="49"/>
      <c r="Y39" s="49"/>
      <c r="Z39" s="49"/>
      <c r="AA39" s="49"/>
      <c r="AB39" s="49"/>
      <c r="AC39" s="49"/>
      <c r="AD39" s="49"/>
      <c r="AE39" s="50">
        <f>AE32+AE37</f>
        <v>0</v>
      </c>
      <c r="AF39" s="49"/>
      <c r="AG39" s="49"/>
      <c r="AH39" s="49"/>
      <c r="AI39" s="49"/>
      <c r="AJ39" s="49"/>
      <c r="AK39" s="49"/>
      <c r="AL39" s="49"/>
      <c r="AM39" s="49"/>
      <c r="AN39" s="49"/>
      <c r="AO39" s="49"/>
      <c r="AP39" s="49"/>
      <c r="AQ39" s="49"/>
      <c r="AR39" s="50">
        <f>AR32+AR37</f>
        <v>0</v>
      </c>
    </row>
    <row r="40" spans="1:44" ht="15">
      <c r="A40" s="34" t="s">
        <v>77</v>
      </c>
      <c r="F40" s="52"/>
      <c r="G40" s="52"/>
      <c r="H40" s="52"/>
      <c r="I40" s="52"/>
      <c r="J40" s="52"/>
      <c r="K40" s="52"/>
      <c r="L40" s="52"/>
      <c r="M40" s="52"/>
      <c r="N40" s="52"/>
      <c r="O40" s="52"/>
      <c r="P40" s="52"/>
      <c r="Q40" s="52"/>
      <c r="R40" s="53">
        <f>IF(ISERROR(R39/R18),0,(R39/R18))</f>
        <v>0</v>
      </c>
      <c r="S40" s="52"/>
      <c r="T40" s="52"/>
      <c r="U40" s="52"/>
      <c r="V40" s="52"/>
      <c r="W40" s="52"/>
      <c r="X40" s="52"/>
      <c r="Y40" s="52"/>
      <c r="Z40" s="52"/>
      <c r="AA40" s="52"/>
      <c r="AB40" s="52"/>
      <c r="AC40" s="52"/>
      <c r="AD40" s="52"/>
      <c r="AE40" s="53">
        <f>IF(ISERROR(AE39/AE18),0,(AE39/AE18))</f>
        <v>0</v>
      </c>
      <c r="AF40" s="52"/>
      <c r="AG40" s="52"/>
      <c r="AH40" s="52"/>
      <c r="AI40" s="52"/>
      <c r="AJ40" s="52"/>
      <c r="AK40" s="52"/>
      <c r="AL40" s="52"/>
      <c r="AM40" s="52"/>
      <c r="AN40" s="52"/>
      <c r="AO40" s="52"/>
      <c r="AP40" s="52"/>
      <c r="AQ40" s="52"/>
      <c r="AR40" s="53">
        <f>IF(ISERROR(AR39/AR18),0,(AR39/AR18))</f>
        <v>0</v>
      </c>
    </row>
    <row r="41" spans="1:44" ht="14.25">
      <c r="A41" s="31"/>
      <c r="F41" s="42"/>
      <c r="G41" s="42"/>
      <c r="H41" s="42"/>
      <c r="I41" s="42"/>
      <c r="J41" s="42"/>
      <c r="K41" s="42"/>
      <c r="L41" s="42"/>
      <c r="M41" s="42"/>
      <c r="N41" s="42"/>
      <c r="O41" s="42"/>
      <c r="P41" s="42"/>
      <c r="Q41" s="42"/>
      <c r="R41" s="43"/>
      <c r="S41" s="42"/>
      <c r="T41" s="42"/>
      <c r="U41" s="42"/>
      <c r="V41" s="42"/>
      <c r="W41" s="42"/>
      <c r="X41" s="42"/>
      <c r="Y41" s="42"/>
      <c r="Z41" s="42"/>
      <c r="AA41" s="42"/>
      <c r="AB41" s="42"/>
      <c r="AC41" s="42"/>
      <c r="AD41" s="42"/>
      <c r="AE41" s="43"/>
      <c r="AF41" s="42"/>
      <c r="AG41" s="42"/>
      <c r="AH41" s="42"/>
      <c r="AI41" s="42"/>
      <c r="AJ41" s="42"/>
      <c r="AK41" s="42"/>
      <c r="AL41" s="42"/>
      <c r="AM41" s="42"/>
      <c r="AN41" s="42"/>
      <c r="AO41" s="42"/>
      <c r="AP41" s="42"/>
      <c r="AQ41" s="42"/>
      <c r="AR41" s="43"/>
    </row>
    <row r="42" spans="1:44" ht="15">
      <c r="A42" s="34" t="s">
        <v>78</v>
      </c>
      <c r="F42" s="35"/>
      <c r="G42" s="35"/>
      <c r="H42" s="35"/>
      <c r="I42" s="35"/>
      <c r="J42" s="35"/>
      <c r="K42" s="35"/>
      <c r="L42" s="35"/>
      <c r="M42" s="35"/>
      <c r="N42" s="35"/>
      <c r="O42" s="35"/>
      <c r="P42" s="35"/>
      <c r="Q42" s="35"/>
      <c r="R42" s="36">
        <v>0</v>
      </c>
      <c r="S42" s="35"/>
      <c r="T42" s="35"/>
      <c r="U42" s="35"/>
      <c r="V42" s="35"/>
      <c r="W42" s="35"/>
      <c r="X42" s="35"/>
      <c r="Y42" s="35"/>
      <c r="Z42" s="35"/>
      <c r="AA42" s="35"/>
      <c r="AB42" s="35"/>
      <c r="AC42" s="35"/>
      <c r="AD42" s="35"/>
      <c r="AE42" s="36">
        <v>0</v>
      </c>
      <c r="AF42" s="35"/>
      <c r="AG42" s="35"/>
      <c r="AH42" s="35"/>
      <c r="AI42" s="35"/>
      <c r="AJ42" s="35"/>
      <c r="AK42" s="35"/>
      <c r="AL42" s="35"/>
      <c r="AM42" s="35"/>
      <c r="AN42" s="35"/>
      <c r="AO42" s="35"/>
      <c r="AP42" s="35"/>
      <c r="AQ42" s="35"/>
      <c r="AR42" s="36">
        <v>0</v>
      </c>
    </row>
    <row r="43" spans="1:44" ht="14.25">
      <c r="A43" s="31"/>
      <c r="F43" s="42"/>
      <c r="G43" s="42"/>
      <c r="H43" s="42"/>
      <c r="I43" s="42"/>
      <c r="J43" s="42"/>
      <c r="K43" s="42"/>
      <c r="L43" s="42"/>
      <c r="M43" s="42"/>
      <c r="N43" s="42"/>
      <c r="O43" s="42"/>
      <c r="P43" s="42"/>
      <c r="Q43" s="42"/>
      <c r="R43" s="43"/>
      <c r="S43" s="42"/>
      <c r="T43" s="42"/>
      <c r="U43" s="42"/>
      <c r="V43" s="42"/>
      <c r="W43" s="42"/>
      <c r="X43" s="42"/>
      <c r="Y43" s="42"/>
      <c r="Z43" s="42"/>
      <c r="AA43" s="42"/>
      <c r="AB43" s="42"/>
      <c r="AC43" s="42"/>
      <c r="AD43" s="42"/>
      <c r="AE43" s="43"/>
      <c r="AF43" s="42"/>
      <c r="AG43" s="42"/>
      <c r="AH43" s="42"/>
      <c r="AI43" s="42"/>
      <c r="AJ43" s="42"/>
      <c r="AK43" s="42"/>
      <c r="AL43" s="42"/>
      <c r="AM43" s="42"/>
      <c r="AN43" s="42"/>
      <c r="AO43" s="42"/>
      <c r="AP43" s="42"/>
      <c r="AQ43" s="42"/>
      <c r="AR43" s="43"/>
    </row>
    <row r="44" spans="1:44" ht="15">
      <c r="A44" s="48" t="s">
        <v>79</v>
      </c>
      <c r="F44" s="49"/>
      <c r="G44" s="49"/>
      <c r="H44" s="49"/>
      <c r="I44" s="49"/>
      <c r="J44" s="49"/>
      <c r="K44" s="49"/>
      <c r="L44" s="49"/>
      <c r="M44" s="49"/>
      <c r="N44" s="49"/>
      <c r="O44" s="49"/>
      <c r="P44" s="49"/>
      <c r="Q44" s="49"/>
      <c r="R44" s="50">
        <f>R39+R42</f>
        <v>0</v>
      </c>
      <c r="S44" s="49"/>
      <c r="T44" s="49"/>
      <c r="U44" s="49"/>
      <c r="V44" s="49"/>
      <c r="W44" s="49"/>
      <c r="X44" s="49"/>
      <c r="Y44" s="49"/>
      <c r="Z44" s="49"/>
      <c r="AA44" s="49"/>
      <c r="AB44" s="49"/>
      <c r="AC44" s="49"/>
      <c r="AD44" s="49"/>
      <c r="AE44" s="50">
        <f>AE39+AE42</f>
        <v>0</v>
      </c>
      <c r="AF44" s="49"/>
      <c r="AG44" s="49"/>
      <c r="AH44" s="49"/>
      <c r="AI44" s="49"/>
      <c r="AJ44" s="49"/>
      <c r="AK44" s="49"/>
      <c r="AL44" s="49"/>
      <c r="AM44" s="49"/>
      <c r="AN44" s="49"/>
      <c r="AO44" s="49"/>
      <c r="AP44" s="49"/>
      <c r="AQ44" s="49"/>
      <c r="AR44" s="50">
        <f>AR39+AR42</f>
        <v>0</v>
      </c>
    </row>
    <row r="45" spans="1:44" ht="15">
      <c r="A45" s="34" t="s">
        <v>80</v>
      </c>
      <c r="F45" s="42"/>
      <c r="G45" s="42"/>
      <c r="H45" s="42"/>
      <c r="I45" s="42"/>
      <c r="J45" s="42"/>
      <c r="K45" s="42"/>
      <c r="L45" s="42"/>
      <c r="M45" s="42"/>
      <c r="N45" s="42"/>
      <c r="O45" s="42"/>
      <c r="P45" s="42"/>
      <c r="Q45" s="42"/>
      <c r="R45" s="53">
        <f>IF(ISERROR(R44/R18),0,(R44/R18))</f>
        <v>0</v>
      </c>
      <c r="S45" s="42"/>
      <c r="T45" s="42"/>
      <c r="U45" s="42"/>
      <c r="V45" s="42"/>
      <c r="W45" s="42"/>
      <c r="X45" s="42"/>
      <c r="Y45" s="42"/>
      <c r="Z45" s="42"/>
      <c r="AA45" s="42"/>
      <c r="AB45" s="42"/>
      <c r="AC45" s="42"/>
      <c r="AD45" s="42"/>
      <c r="AE45" s="53">
        <f>IF(ISERROR(AE44/AE18),0,(AE44/AE18))</f>
        <v>0</v>
      </c>
      <c r="AF45" s="42"/>
      <c r="AG45" s="42"/>
      <c r="AH45" s="42"/>
      <c r="AI45" s="42"/>
      <c r="AJ45" s="42"/>
      <c r="AK45" s="42"/>
      <c r="AL45" s="42"/>
      <c r="AM45" s="42"/>
      <c r="AN45" s="42"/>
      <c r="AO45" s="42"/>
      <c r="AP45" s="42"/>
      <c r="AQ45" s="42"/>
      <c r="AR45" s="53">
        <f>IF(ISERROR(AR44/AR18),0,(AR44/AR18))</f>
        <v>0</v>
      </c>
    </row>
    <row r="46" spans="1:44" ht="14.25">
      <c r="A46" s="31"/>
      <c r="F46" s="42"/>
      <c r="G46" s="42"/>
      <c r="H46" s="42"/>
      <c r="I46" s="42"/>
      <c r="J46" s="42"/>
      <c r="K46" s="42"/>
      <c r="L46" s="42"/>
      <c r="M46" s="42"/>
      <c r="N46" s="42"/>
      <c r="O46" s="42"/>
      <c r="P46" s="42"/>
      <c r="Q46" s="42"/>
      <c r="R46" s="43"/>
      <c r="S46" s="42"/>
      <c r="T46" s="42"/>
      <c r="U46" s="42"/>
      <c r="V46" s="42"/>
      <c r="W46" s="42"/>
      <c r="X46" s="42"/>
      <c r="Y46" s="42"/>
      <c r="Z46" s="42"/>
      <c r="AA46" s="42"/>
      <c r="AB46" s="42"/>
      <c r="AC46" s="42"/>
      <c r="AD46" s="42"/>
      <c r="AE46" s="43"/>
      <c r="AF46" s="42"/>
      <c r="AG46" s="42"/>
      <c r="AH46" s="42"/>
      <c r="AI46" s="42"/>
      <c r="AJ46" s="42"/>
      <c r="AK46" s="42"/>
      <c r="AL46" s="42"/>
      <c r="AM46" s="42"/>
      <c r="AN46" s="42"/>
      <c r="AO46" s="42"/>
      <c r="AP46" s="42"/>
      <c r="AQ46" s="42"/>
      <c r="AR46" s="43"/>
    </row>
    <row r="47" spans="1:44" ht="15">
      <c r="A47" s="34" t="s">
        <v>81</v>
      </c>
      <c r="F47" s="42"/>
      <c r="G47" s="42"/>
      <c r="H47" s="42"/>
      <c r="I47" s="42"/>
      <c r="J47" s="42"/>
      <c r="K47" s="42"/>
      <c r="L47" s="42"/>
      <c r="M47" s="42"/>
      <c r="N47" s="42"/>
      <c r="O47" s="42"/>
      <c r="P47" s="42"/>
      <c r="Q47" s="42"/>
      <c r="R47" s="36">
        <v>0</v>
      </c>
      <c r="S47" s="42"/>
      <c r="T47" s="42"/>
      <c r="U47" s="42"/>
      <c r="V47" s="42"/>
      <c r="W47" s="42"/>
      <c r="X47" s="42"/>
      <c r="Y47" s="42"/>
      <c r="Z47" s="42"/>
      <c r="AA47" s="42"/>
      <c r="AB47" s="42"/>
      <c r="AC47" s="42"/>
      <c r="AD47" s="42"/>
      <c r="AE47" s="36">
        <v>0</v>
      </c>
      <c r="AF47" s="42"/>
      <c r="AG47" s="42"/>
      <c r="AH47" s="42"/>
      <c r="AI47" s="42"/>
      <c r="AJ47" s="42"/>
      <c r="AK47" s="42"/>
      <c r="AL47" s="42"/>
      <c r="AM47" s="42"/>
      <c r="AN47" s="42"/>
      <c r="AO47" s="42"/>
      <c r="AP47" s="42"/>
      <c r="AQ47" s="42"/>
      <c r="AR47" s="36">
        <v>0</v>
      </c>
    </row>
    <row r="48" spans="1:44" ht="14.25">
      <c r="A48" s="31"/>
      <c r="F48" s="42"/>
      <c r="G48" s="42"/>
      <c r="H48" s="42"/>
      <c r="I48" s="42"/>
      <c r="J48" s="42"/>
      <c r="K48" s="42"/>
      <c r="L48" s="42"/>
      <c r="M48" s="42"/>
      <c r="N48" s="42"/>
      <c r="O48" s="42"/>
      <c r="P48" s="42"/>
      <c r="Q48" s="42"/>
      <c r="R48" s="43"/>
      <c r="S48" s="42"/>
      <c r="T48" s="42"/>
      <c r="U48" s="42"/>
      <c r="V48" s="42"/>
      <c r="W48" s="42"/>
      <c r="X48" s="42"/>
      <c r="Y48" s="42"/>
      <c r="Z48" s="42"/>
      <c r="AA48" s="42"/>
      <c r="AB48" s="42"/>
      <c r="AC48" s="42"/>
      <c r="AD48" s="42"/>
      <c r="AE48" s="43"/>
      <c r="AF48" s="42"/>
      <c r="AG48" s="42"/>
      <c r="AH48" s="42"/>
      <c r="AI48" s="42"/>
      <c r="AJ48" s="42"/>
      <c r="AK48" s="42"/>
      <c r="AL48" s="42"/>
      <c r="AM48" s="42"/>
      <c r="AN48" s="42"/>
      <c r="AO48" s="42"/>
      <c r="AP48" s="42"/>
      <c r="AQ48" s="42"/>
      <c r="AR48" s="43"/>
    </row>
    <row r="49" spans="1:44" ht="15">
      <c r="A49" s="48" t="s">
        <v>82</v>
      </c>
      <c r="F49" s="49"/>
      <c r="G49" s="49"/>
      <c r="H49" s="49"/>
      <c r="I49" s="49"/>
      <c r="J49" s="49"/>
      <c r="K49" s="49"/>
      <c r="L49" s="49"/>
      <c r="M49" s="49"/>
      <c r="N49" s="49"/>
      <c r="O49" s="49"/>
      <c r="P49" s="49"/>
      <c r="Q49" s="49"/>
      <c r="R49" s="50">
        <f>R44+R47</f>
        <v>0</v>
      </c>
      <c r="S49" s="49"/>
      <c r="T49" s="49"/>
      <c r="U49" s="49"/>
      <c r="V49" s="49"/>
      <c r="W49" s="49"/>
      <c r="X49" s="49"/>
      <c r="Y49" s="49"/>
      <c r="Z49" s="49"/>
      <c r="AA49" s="49"/>
      <c r="AB49" s="49"/>
      <c r="AC49" s="49"/>
      <c r="AD49" s="49"/>
      <c r="AE49" s="50">
        <f>AE44+AE47</f>
        <v>0</v>
      </c>
      <c r="AF49" s="49"/>
      <c r="AG49" s="49"/>
      <c r="AH49" s="49"/>
      <c r="AI49" s="49"/>
      <c r="AJ49" s="49"/>
      <c r="AK49" s="49"/>
      <c r="AL49" s="49"/>
      <c r="AM49" s="49"/>
      <c r="AN49" s="49"/>
      <c r="AO49" s="49"/>
      <c r="AP49" s="49"/>
      <c r="AQ49" s="49"/>
      <c r="AR49" s="50">
        <f>AR44+AR47</f>
        <v>0</v>
      </c>
    </row>
    <row r="50" spans="1:44" ht="15">
      <c r="A50" s="34" t="s">
        <v>83</v>
      </c>
      <c r="F50" s="42"/>
      <c r="G50" s="42"/>
      <c r="H50" s="42"/>
      <c r="I50" s="42"/>
      <c r="J50" s="42"/>
      <c r="K50" s="42"/>
      <c r="L50" s="42"/>
      <c r="M50" s="42"/>
      <c r="N50" s="42"/>
      <c r="O50" s="42"/>
      <c r="P50" s="42"/>
      <c r="Q50" s="42"/>
      <c r="R50" s="53">
        <f>IF(ISERROR(R49/R18),0,(R49/R18))</f>
        <v>0</v>
      </c>
      <c r="S50" s="42"/>
      <c r="T50" s="42"/>
      <c r="U50" s="42"/>
      <c r="V50" s="42"/>
      <c r="W50" s="42"/>
      <c r="X50" s="42"/>
      <c r="Y50" s="42"/>
      <c r="Z50" s="42"/>
      <c r="AA50" s="42"/>
      <c r="AB50" s="42"/>
      <c r="AC50" s="42"/>
      <c r="AD50" s="42"/>
      <c r="AE50" s="53">
        <f>IF(ISERROR(AE49/AE18),0,(AE49/AE18))</f>
        <v>0</v>
      </c>
      <c r="AF50" s="42"/>
      <c r="AG50" s="42"/>
      <c r="AH50" s="42"/>
      <c r="AI50" s="42"/>
      <c r="AJ50" s="42"/>
      <c r="AK50" s="42"/>
      <c r="AL50" s="42"/>
      <c r="AM50" s="42"/>
      <c r="AN50" s="42"/>
      <c r="AO50" s="42"/>
      <c r="AP50" s="42"/>
      <c r="AQ50" s="42"/>
      <c r="AR50" s="53">
        <f>IF(ISERROR(AR49/AR18),0,(AR49/AR18))</f>
        <v>0</v>
      </c>
    </row>
    <row r="51" spans="1:44" ht="14.25">
      <c r="A51" s="31"/>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row>
    <row r="52" spans="1:44" ht="14.25">
      <c r="A52" s="31"/>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row>
    <row r="53" spans="1:44" ht="14.25">
      <c r="A53" s="29" t="s">
        <v>406</v>
      </c>
      <c r="B53" s="30"/>
      <c r="C53" s="30"/>
      <c r="D53" s="30"/>
      <c r="E53" s="30"/>
      <c r="F53" s="30"/>
      <c r="G53" s="30"/>
      <c r="H53" s="30"/>
      <c r="I53" s="30"/>
      <c r="J53" s="30"/>
      <c r="K53" s="30"/>
      <c r="L53" s="30"/>
      <c r="M53" s="30"/>
      <c r="N53" s="30"/>
      <c r="O53" s="30"/>
      <c r="P53" s="30"/>
      <c r="Q53" s="30"/>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row>
    <row r="54" spans="1:44" ht="14.25" outlineLevel="1">
      <c r="A54" s="31"/>
      <c r="F54" s="82" t="str">
        <f t="shared" ref="F54:AO54" si="6">Timeperiod</f>
        <v>Y1M1</v>
      </c>
      <c r="G54" s="82" t="str">
        <f t="shared" si="6"/>
        <v>Y1M2</v>
      </c>
      <c r="H54" s="82" t="str">
        <f t="shared" si="6"/>
        <v>Y1M3</v>
      </c>
      <c r="I54" s="82" t="str">
        <f t="shared" si="6"/>
        <v>Y1M4</v>
      </c>
      <c r="J54" s="82" t="str">
        <f t="shared" si="6"/>
        <v>Y1M5</v>
      </c>
      <c r="K54" s="82" t="str">
        <f t="shared" si="6"/>
        <v>Y1M6</v>
      </c>
      <c r="L54" s="82" t="str">
        <f t="shared" si="6"/>
        <v>Y1M7</v>
      </c>
      <c r="M54" s="82" t="str">
        <f t="shared" si="6"/>
        <v>Y1M8</v>
      </c>
      <c r="N54" s="82" t="str">
        <f t="shared" si="6"/>
        <v>Y1M9</v>
      </c>
      <c r="O54" s="82" t="str">
        <f t="shared" si="6"/>
        <v>Y1M10</v>
      </c>
      <c r="P54" s="82" t="str">
        <f t="shared" si="6"/>
        <v>Y1M11</v>
      </c>
      <c r="Q54" s="82" t="str">
        <f t="shared" si="6"/>
        <v>Y1M12</v>
      </c>
      <c r="R54" s="82" t="str">
        <f t="shared" si="6"/>
        <v>Y2M1</v>
      </c>
      <c r="S54" s="82" t="str">
        <f t="shared" si="6"/>
        <v>Y2M2</v>
      </c>
      <c r="T54" s="82" t="str">
        <f t="shared" si="6"/>
        <v>Y2M3</v>
      </c>
      <c r="U54" s="82" t="str">
        <f t="shared" si="6"/>
        <v>Y2M4</v>
      </c>
      <c r="V54" s="82" t="str">
        <f t="shared" si="6"/>
        <v>Y2M5</v>
      </c>
      <c r="W54" s="82" t="str">
        <f t="shared" si="6"/>
        <v>Y2M6</v>
      </c>
      <c r="X54" s="82" t="str">
        <f t="shared" si="6"/>
        <v>Y2M7</v>
      </c>
      <c r="Y54" s="82" t="str">
        <f t="shared" si="6"/>
        <v>Y2M8</v>
      </c>
      <c r="Z54" s="82" t="str">
        <f t="shared" si="6"/>
        <v>Y2M9</v>
      </c>
      <c r="AA54" s="82" t="str">
        <f t="shared" si="6"/>
        <v>Y2M10</v>
      </c>
      <c r="AB54" s="82" t="str">
        <f t="shared" si="6"/>
        <v>Y2M11</v>
      </c>
      <c r="AC54" s="82" t="str">
        <f t="shared" si="6"/>
        <v>Y2M12</v>
      </c>
      <c r="AD54" s="82" t="str">
        <f t="shared" si="6"/>
        <v>Y3M1</v>
      </c>
      <c r="AE54" s="82" t="str">
        <f t="shared" si="6"/>
        <v>Y3M2</v>
      </c>
      <c r="AF54" s="82" t="str">
        <f t="shared" si="6"/>
        <v>Y3M3</v>
      </c>
      <c r="AG54" s="82" t="str">
        <f t="shared" si="6"/>
        <v>Y3M4</v>
      </c>
      <c r="AH54" s="82" t="str">
        <f t="shared" si="6"/>
        <v>Y3M5</v>
      </c>
      <c r="AI54" s="82" t="str">
        <f t="shared" si="6"/>
        <v>Y3M6</v>
      </c>
      <c r="AJ54" s="82" t="str">
        <f t="shared" si="6"/>
        <v>Y3M7</v>
      </c>
      <c r="AK54" s="82" t="str">
        <f t="shared" si="6"/>
        <v>Y3M8</v>
      </c>
      <c r="AL54" s="82" t="str">
        <f t="shared" si="6"/>
        <v>Y3M9</v>
      </c>
      <c r="AM54" s="82" t="str">
        <f t="shared" si="6"/>
        <v>Y3M10</v>
      </c>
      <c r="AN54" s="82" t="str">
        <f t="shared" si="6"/>
        <v>Y3M11</v>
      </c>
      <c r="AO54" s="82" t="str">
        <f t="shared" si="6"/>
        <v>Y3M12</v>
      </c>
      <c r="AP54" s="43"/>
      <c r="AQ54" s="43"/>
      <c r="AR54" s="43"/>
    </row>
    <row r="55" spans="1:44" ht="15" outlineLevel="1">
      <c r="A55" s="34" t="s">
        <v>52</v>
      </c>
      <c r="F55" s="82"/>
      <c r="G55" s="82"/>
      <c r="H55" s="82"/>
      <c r="I55" s="82"/>
      <c r="J55" s="82"/>
      <c r="K55" s="82"/>
      <c r="L55" s="82"/>
      <c r="M55" s="82"/>
      <c r="N55" s="82"/>
      <c r="O55" s="82"/>
      <c r="P55" s="82"/>
      <c r="Q55" s="82"/>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row>
    <row r="56" spans="1:44" ht="15" outlineLevel="1">
      <c r="A56" s="27" t="s">
        <v>53</v>
      </c>
      <c r="F56" s="50">
        <f>SUM(F57:F59)</f>
        <v>0</v>
      </c>
      <c r="G56" s="50">
        <f t="shared" ref="G56:AO56" si="7">SUM(G57:G59)</f>
        <v>0</v>
      </c>
      <c r="H56" s="50">
        <f t="shared" si="7"/>
        <v>0</v>
      </c>
      <c r="I56" s="50">
        <f t="shared" si="7"/>
        <v>0</v>
      </c>
      <c r="J56" s="50">
        <f t="shared" si="7"/>
        <v>0</v>
      </c>
      <c r="K56" s="50">
        <f t="shared" si="7"/>
        <v>0</v>
      </c>
      <c r="L56" s="50">
        <f t="shared" si="7"/>
        <v>0</v>
      </c>
      <c r="M56" s="50">
        <f t="shared" si="7"/>
        <v>0</v>
      </c>
      <c r="N56" s="50">
        <f t="shared" si="7"/>
        <v>0</v>
      </c>
      <c r="O56" s="50">
        <f t="shared" si="7"/>
        <v>0</v>
      </c>
      <c r="P56" s="50">
        <f t="shared" si="7"/>
        <v>0</v>
      </c>
      <c r="Q56" s="50">
        <f t="shared" si="7"/>
        <v>0</v>
      </c>
      <c r="R56" s="50">
        <f t="shared" si="7"/>
        <v>0</v>
      </c>
      <c r="S56" s="50">
        <f t="shared" si="7"/>
        <v>0</v>
      </c>
      <c r="T56" s="50">
        <f t="shared" si="7"/>
        <v>0</v>
      </c>
      <c r="U56" s="50">
        <f t="shared" si="7"/>
        <v>0</v>
      </c>
      <c r="V56" s="50">
        <f t="shared" si="7"/>
        <v>0</v>
      </c>
      <c r="W56" s="50">
        <f t="shared" si="7"/>
        <v>0</v>
      </c>
      <c r="X56" s="50">
        <f t="shared" si="7"/>
        <v>0</v>
      </c>
      <c r="Y56" s="50">
        <f t="shared" si="7"/>
        <v>0</v>
      </c>
      <c r="Z56" s="50">
        <f t="shared" si="7"/>
        <v>0</v>
      </c>
      <c r="AA56" s="50">
        <f t="shared" si="7"/>
        <v>0</v>
      </c>
      <c r="AB56" s="50">
        <f t="shared" si="7"/>
        <v>0</v>
      </c>
      <c r="AC56" s="50">
        <f t="shared" si="7"/>
        <v>0</v>
      </c>
      <c r="AD56" s="50">
        <f t="shared" si="7"/>
        <v>0</v>
      </c>
      <c r="AE56" s="50">
        <f t="shared" si="7"/>
        <v>0</v>
      </c>
      <c r="AF56" s="50">
        <f t="shared" si="7"/>
        <v>0</v>
      </c>
      <c r="AG56" s="50">
        <f t="shared" si="7"/>
        <v>0</v>
      </c>
      <c r="AH56" s="50">
        <f t="shared" si="7"/>
        <v>0</v>
      </c>
      <c r="AI56" s="50">
        <f t="shared" si="7"/>
        <v>0</v>
      </c>
      <c r="AJ56" s="50">
        <f t="shared" si="7"/>
        <v>0</v>
      </c>
      <c r="AK56" s="50">
        <f t="shared" si="7"/>
        <v>0</v>
      </c>
      <c r="AL56" s="50">
        <f t="shared" si="7"/>
        <v>0</v>
      </c>
      <c r="AM56" s="50">
        <f t="shared" si="7"/>
        <v>0</v>
      </c>
      <c r="AN56" s="50">
        <f t="shared" si="7"/>
        <v>0</v>
      </c>
      <c r="AO56" s="50">
        <f t="shared" si="7"/>
        <v>0</v>
      </c>
      <c r="AR56" s="43"/>
    </row>
    <row r="57" spans="1:44" ht="15" outlineLevel="1">
      <c r="A57" s="37" t="s">
        <v>54</v>
      </c>
      <c r="F57" s="36">
        <f t="shared" ref="F57:O59" si="8">SUMIF(Calculations_Timeperiods,F$54,Calculations_C1_S1)</f>
        <v>0</v>
      </c>
      <c r="G57" s="36">
        <f t="shared" si="8"/>
        <v>0</v>
      </c>
      <c r="H57" s="36">
        <f t="shared" si="8"/>
        <v>0</v>
      </c>
      <c r="I57" s="36">
        <f t="shared" si="8"/>
        <v>0</v>
      </c>
      <c r="J57" s="36">
        <f t="shared" si="8"/>
        <v>0</v>
      </c>
      <c r="K57" s="36">
        <f t="shared" si="8"/>
        <v>0</v>
      </c>
      <c r="L57" s="36">
        <f t="shared" si="8"/>
        <v>0</v>
      </c>
      <c r="M57" s="36">
        <f t="shared" si="8"/>
        <v>0</v>
      </c>
      <c r="N57" s="36">
        <f t="shared" si="8"/>
        <v>0</v>
      </c>
      <c r="O57" s="36">
        <f t="shared" si="8"/>
        <v>0</v>
      </c>
      <c r="P57" s="36">
        <f t="shared" ref="P57:Y59" si="9">SUMIF(Calculations_Timeperiods,P$54,Calculations_C1_S1)</f>
        <v>0</v>
      </c>
      <c r="Q57" s="36">
        <f t="shared" si="9"/>
        <v>0</v>
      </c>
      <c r="R57" s="36">
        <f t="shared" si="9"/>
        <v>0</v>
      </c>
      <c r="S57" s="36">
        <f t="shared" si="9"/>
        <v>0</v>
      </c>
      <c r="T57" s="36">
        <f t="shared" si="9"/>
        <v>0</v>
      </c>
      <c r="U57" s="36">
        <f t="shared" si="9"/>
        <v>0</v>
      </c>
      <c r="V57" s="36">
        <f t="shared" si="9"/>
        <v>0</v>
      </c>
      <c r="W57" s="36">
        <f t="shared" si="9"/>
        <v>0</v>
      </c>
      <c r="X57" s="36">
        <f t="shared" si="9"/>
        <v>0</v>
      </c>
      <c r="Y57" s="36">
        <f t="shared" si="9"/>
        <v>0</v>
      </c>
      <c r="Z57" s="36">
        <f t="shared" ref="Z57:AI59" si="10">SUMIF(Calculations_Timeperiods,Z$54,Calculations_C1_S1)</f>
        <v>0</v>
      </c>
      <c r="AA57" s="36">
        <f t="shared" si="10"/>
        <v>0</v>
      </c>
      <c r="AB57" s="36">
        <f t="shared" si="10"/>
        <v>0</v>
      </c>
      <c r="AC57" s="36">
        <f t="shared" si="10"/>
        <v>0</v>
      </c>
      <c r="AD57" s="36">
        <f t="shared" si="10"/>
        <v>0</v>
      </c>
      <c r="AE57" s="36">
        <f t="shared" si="10"/>
        <v>0</v>
      </c>
      <c r="AF57" s="36">
        <f t="shared" si="10"/>
        <v>0</v>
      </c>
      <c r="AG57" s="36">
        <f t="shared" si="10"/>
        <v>0</v>
      </c>
      <c r="AH57" s="36">
        <f t="shared" si="10"/>
        <v>0</v>
      </c>
      <c r="AI57" s="36">
        <f t="shared" si="10"/>
        <v>0</v>
      </c>
      <c r="AJ57" s="36">
        <f t="shared" ref="AJ57:AO59" si="11">SUMIF(Calculations_Timeperiods,AJ$54,Calculations_C1_S1)</f>
        <v>0</v>
      </c>
      <c r="AK57" s="36">
        <f t="shared" si="11"/>
        <v>0</v>
      </c>
      <c r="AL57" s="36">
        <f t="shared" si="11"/>
        <v>0</v>
      </c>
      <c r="AM57" s="36">
        <f t="shared" si="11"/>
        <v>0</v>
      </c>
      <c r="AN57" s="36">
        <f t="shared" si="11"/>
        <v>0</v>
      </c>
      <c r="AO57" s="36">
        <f t="shared" si="11"/>
        <v>0</v>
      </c>
      <c r="AR57" s="43"/>
    </row>
    <row r="58" spans="1:44" ht="15" outlineLevel="1">
      <c r="A58" s="37" t="s">
        <v>55</v>
      </c>
      <c r="F58" s="36">
        <f t="shared" si="8"/>
        <v>0</v>
      </c>
      <c r="G58" s="36">
        <f t="shared" si="8"/>
        <v>0</v>
      </c>
      <c r="H58" s="36">
        <f t="shared" si="8"/>
        <v>0</v>
      </c>
      <c r="I58" s="36">
        <f t="shared" si="8"/>
        <v>0</v>
      </c>
      <c r="J58" s="36">
        <f t="shared" si="8"/>
        <v>0</v>
      </c>
      <c r="K58" s="36">
        <f t="shared" si="8"/>
        <v>0</v>
      </c>
      <c r="L58" s="36">
        <f t="shared" si="8"/>
        <v>0</v>
      </c>
      <c r="M58" s="36">
        <f t="shared" si="8"/>
        <v>0</v>
      </c>
      <c r="N58" s="36">
        <f t="shared" si="8"/>
        <v>0</v>
      </c>
      <c r="O58" s="36">
        <f t="shared" si="8"/>
        <v>0</v>
      </c>
      <c r="P58" s="36">
        <f t="shared" si="9"/>
        <v>0</v>
      </c>
      <c r="Q58" s="36">
        <f t="shared" si="9"/>
        <v>0</v>
      </c>
      <c r="R58" s="36">
        <f t="shared" si="9"/>
        <v>0</v>
      </c>
      <c r="S58" s="36">
        <f t="shared" si="9"/>
        <v>0</v>
      </c>
      <c r="T58" s="36">
        <f t="shared" si="9"/>
        <v>0</v>
      </c>
      <c r="U58" s="36">
        <f t="shared" si="9"/>
        <v>0</v>
      </c>
      <c r="V58" s="36">
        <f t="shared" si="9"/>
        <v>0</v>
      </c>
      <c r="W58" s="36">
        <f t="shared" si="9"/>
        <v>0</v>
      </c>
      <c r="X58" s="36">
        <f t="shared" si="9"/>
        <v>0</v>
      </c>
      <c r="Y58" s="36">
        <f t="shared" si="9"/>
        <v>0</v>
      </c>
      <c r="Z58" s="36">
        <f t="shared" si="10"/>
        <v>0</v>
      </c>
      <c r="AA58" s="36">
        <f t="shared" si="10"/>
        <v>0</v>
      </c>
      <c r="AB58" s="36">
        <f t="shared" si="10"/>
        <v>0</v>
      </c>
      <c r="AC58" s="36">
        <f t="shared" si="10"/>
        <v>0</v>
      </c>
      <c r="AD58" s="36">
        <f t="shared" si="10"/>
        <v>0</v>
      </c>
      <c r="AE58" s="36">
        <f t="shared" si="10"/>
        <v>0</v>
      </c>
      <c r="AF58" s="36">
        <f t="shared" si="10"/>
        <v>0</v>
      </c>
      <c r="AG58" s="36">
        <f t="shared" si="10"/>
        <v>0</v>
      </c>
      <c r="AH58" s="36">
        <f t="shared" si="10"/>
        <v>0</v>
      </c>
      <c r="AI58" s="36">
        <f t="shared" si="10"/>
        <v>0</v>
      </c>
      <c r="AJ58" s="36">
        <f t="shared" si="11"/>
        <v>0</v>
      </c>
      <c r="AK58" s="36">
        <f t="shared" si="11"/>
        <v>0</v>
      </c>
      <c r="AL58" s="36">
        <f t="shared" si="11"/>
        <v>0</v>
      </c>
      <c r="AM58" s="36">
        <f t="shared" si="11"/>
        <v>0</v>
      </c>
      <c r="AN58" s="36">
        <f t="shared" si="11"/>
        <v>0</v>
      </c>
      <c r="AO58" s="36">
        <f t="shared" si="11"/>
        <v>0</v>
      </c>
      <c r="AR58" s="43"/>
    </row>
    <row r="59" spans="1:44" ht="15" outlineLevel="1">
      <c r="A59" s="37" t="s">
        <v>56</v>
      </c>
      <c r="F59" s="36">
        <f t="shared" si="8"/>
        <v>0</v>
      </c>
      <c r="G59" s="36">
        <f t="shared" si="8"/>
        <v>0</v>
      </c>
      <c r="H59" s="36">
        <f t="shared" si="8"/>
        <v>0</v>
      </c>
      <c r="I59" s="36">
        <f t="shared" si="8"/>
        <v>0</v>
      </c>
      <c r="J59" s="36">
        <f t="shared" si="8"/>
        <v>0</v>
      </c>
      <c r="K59" s="36">
        <f t="shared" si="8"/>
        <v>0</v>
      </c>
      <c r="L59" s="36">
        <f t="shared" si="8"/>
        <v>0</v>
      </c>
      <c r="M59" s="36">
        <f t="shared" si="8"/>
        <v>0</v>
      </c>
      <c r="N59" s="36">
        <f t="shared" si="8"/>
        <v>0</v>
      </c>
      <c r="O59" s="36">
        <f t="shared" si="8"/>
        <v>0</v>
      </c>
      <c r="P59" s="36">
        <f t="shared" si="9"/>
        <v>0</v>
      </c>
      <c r="Q59" s="36">
        <f t="shared" si="9"/>
        <v>0</v>
      </c>
      <c r="R59" s="36">
        <f t="shared" si="9"/>
        <v>0</v>
      </c>
      <c r="S59" s="36">
        <f t="shared" si="9"/>
        <v>0</v>
      </c>
      <c r="T59" s="36">
        <f t="shared" si="9"/>
        <v>0</v>
      </c>
      <c r="U59" s="36">
        <f t="shared" si="9"/>
        <v>0</v>
      </c>
      <c r="V59" s="36">
        <f t="shared" si="9"/>
        <v>0</v>
      </c>
      <c r="W59" s="36">
        <f t="shared" si="9"/>
        <v>0</v>
      </c>
      <c r="X59" s="36">
        <f t="shared" si="9"/>
        <v>0</v>
      </c>
      <c r="Y59" s="36">
        <f t="shared" si="9"/>
        <v>0</v>
      </c>
      <c r="Z59" s="36">
        <f t="shared" si="10"/>
        <v>0</v>
      </c>
      <c r="AA59" s="36">
        <f t="shared" si="10"/>
        <v>0</v>
      </c>
      <c r="AB59" s="36">
        <f t="shared" si="10"/>
        <v>0</v>
      </c>
      <c r="AC59" s="36">
        <f t="shared" si="10"/>
        <v>0</v>
      </c>
      <c r="AD59" s="36">
        <f t="shared" si="10"/>
        <v>0</v>
      </c>
      <c r="AE59" s="36">
        <f t="shared" si="10"/>
        <v>0</v>
      </c>
      <c r="AF59" s="36">
        <f t="shared" si="10"/>
        <v>0</v>
      </c>
      <c r="AG59" s="36">
        <f t="shared" si="10"/>
        <v>0</v>
      </c>
      <c r="AH59" s="36">
        <f t="shared" si="10"/>
        <v>0</v>
      </c>
      <c r="AI59" s="36">
        <f t="shared" si="10"/>
        <v>0</v>
      </c>
      <c r="AJ59" s="36">
        <f t="shared" si="11"/>
        <v>0</v>
      </c>
      <c r="AK59" s="36">
        <f t="shared" si="11"/>
        <v>0</v>
      </c>
      <c r="AL59" s="36">
        <f t="shared" si="11"/>
        <v>0</v>
      </c>
      <c r="AM59" s="36">
        <f t="shared" si="11"/>
        <v>0</v>
      </c>
      <c r="AN59" s="36">
        <f t="shared" si="11"/>
        <v>0</v>
      </c>
      <c r="AO59" s="36">
        <f t="shared" si="11"/>
        <v>0</v>
      </c>
      <c r="AR59" s="43"/>
    </row>
    <row r="60" spans="1:44" ht="15.75" outlineLevel="1">
      <c r="A60" s="27" t="s">
        <v>57</v>
      </c>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c r="AM60" s="85"/>
      <c r="AN60" s="85"/>
      <c r="AO60" s="85"/>
      <c r="AR60" s="43"/>
    </row>
    <row r="61" spans="1:44" ht="15" outlineLevel="1">
      <c r="A61" s="37" t="s">
        <v>54</v>
      </c>
      <c r="F61" s="36">
        <v>0</v>
      </c>
      <c r="G61" s="36">
        <v>0</v>
      </c>
      <c r="H61" s="36">
        <v>0</v>
      </c>
      <c r="I61" s="36">
        <v>0</v>
      </c>
      <c r="J61" s="36">
        <v>0</v>
      </c>
      <c r="K61" s="36">
        <v>0</v>
      </c>
      <c r="L61" s="36">
        <v>0</v>
      </c>
      <c r="M61" s="36">
        <v>0</v>
      </c>
      <c r="N61" s="36">
        <v>0</v>
      </c>
      <c r="O61" s="36">
        <v>0</v>
      </c>
      <c r="P61" s="36">
        <v>0</v>
      </c>
      <c r="Q61" s="36">
        <v>0</v>
      </c>
      <c r="R61" s="36">
        <v>0</v>
      </c>
      <c r="S61" s="36">
        <v>0</v>
      </c>
      <c r="T61" s="36">
        <v>0</v>
      </c>
      <c r="U61" s="36">
        <v>0</v>
      </c>
      <c r="V61" s="36">
        <v>0</v>
      </c>
      <c r="W61" s="36">
        <v>0</v>
      </c>
      <c r="X61" s="36">
        <v>0</v>
      </c>
      <c r="Y61" s="36">
        <v>0</v>
      </c>
      <c r="Z61" s="36">
        <v>0</v>
      </c>
      <c r="AA61" s="36">
        <v>0</v>
      </c>
      <c r="AB61" s="36">
        <v>0</v>
      </c>
      <c r="AC61" s="36">
        <v>0</v>
      </c>
      <c r="AD61" s="36">
        <v>0</v>
      </c>
      <c r="AE61" s="36">
        <v>0</v>
      </c>
      <c r="AF61" s="36">
        <v>0</v>
      </c>
      <c r="AG61" s="36">
        <v>0</v>
      </c>
      <c r="AH61" s="36">
        <v>0</v>
      </c>
      <c r="AI61" s="36">
        <v>0</v>
      </c>
      <c r="AJ61" s="36">
        <v>0</v>
      </c>
      <c r="AK61" s="36">
        <v>0</v>
      </c>
      <c r="AL61" s="36">
        <v>0</v>
      </c>
      <c r="AM61" s="36">
        <v>0</v>
      </c>
      <c r="AN61" s="36">
        <v>0</v>
      </c>
      <c r="AO61" s="36">
        <v>0</v>
      </c>
      <c r="AR61" s="43"/>
    </row>
    <row r="62" spans="1:44" ht="15" outlineLevel="1">
      <c r="A62" s="37" t="s">
        <v>55</v>
      </c>
      <c r="F62" s="36">
        <v>0</v>
      </c>
      <c r="G62" s="36">
        <v>0</v>
      </c>
      <c r="H62" s="36">
        <v>0</v>
      </c>
      <c r="I62" s="36">
        <v>0</v>
      </c>
      <c r="J62" s="36">
        <v>0</v>
      </c>
      <c r="K62" s="36">
        <v>0</v>
      </c>
      <c r="L62" s="36">
        <v>0</v>
      </c>
      <c r="M62" s="36">
        <v>0</v>
      </c>
      <c r="N62" s="36">
        <v>0</v>
      </c>
      <c r="O62" s="36">
        <v>0</v>
      </c>
      <c r="P62" s="36">
        <v>0</v>
      </c>
      <c r="Q62" s="36">
        <v>0</v>
      </c>
      <c r="R62" s="36">
        <v>0</v>
      </c>
      <c r="S62" s="36">
        <v>0</v>
      </c>
      <c r="T62" s="36">
        <v>0</v>
      </c>
      <c r="U62" s="36">
        <v>0</v>
      </c>
      <c r="V62" s="36">
        <v>0</v>
      </c>
      <c r="W62" s="36">
        <v>0</v>
      </c>
      <c r="X62" s="36">
        <v>0</v>
      </c>
      <c r="Y62" s="36">
        <v>0</v>
      </c>
      <c r="Z62" s="36">
        <v>0</v>
      </c>
      <c r="AA62" s="36">
        <v>0</v>
      </c>
      <c r="AB62" s="36">
        <v>0</v>
      </c>
      <c r="AC62" s="36">
        <v>0</v>
      </c>
      <c r="AD62" s="36">
        <v>0</v>
      </c>
      <c r="AE62" s="36">
        <v>0</v>
      </c>
      <c r="AF62" s="36">
        <v>0</v>
      </c>
      <c r="AG62" s="36">
        <v>0</v>
      </c>
      <c r="AH62" s="36">
        <v>0</v>
      </c>
      <c r="AI62" s="36">
        <v>0</v>
      </c>
      <c r="AJ62" s="36">
        <v>0</v>
      </c>
      <c r="AK62" s="36">
        <v>0</v>
      </c>
      <c r="AL62" s="36">
        <v>0</v>
      </c>
      <c r="AM62" s="36">
        <v>0</v>
      </c>
      <c r="AN62" s="36">
        <v>0</v>
      </c>
      <c r="AO62" s="36">
        <v>0</v>
      </c>
      <c r="AR62" s="43"/>
    </row>
    <row r="63" spans="1:44" ht="15" outlineLevel="1">
      <c r="A63" s="37" t="s">
        <v>56</v>
      </c>
      <c r="F63" s="36">
        <v>0</v>
      </c>
      <c r="G63" s="36">
        <v>0</v>
      </c>
      <c r="H63" s="36">
        <v>0</v>
      </c>
      <c r="I63" s="36">
        <v>0</v>
      </c>
      <c r="J63" s="36">
        <v>0</v>
      </c>
      <c r="K63" s="36">
        <v>0</v>
      </c>
      <c r="L63" s="36">
        <v>0</v>
      </c>
      <c r="M63" s="36">
        <v>0</v>
      </c>
      <c r="N63" s="36">
        <v>0</v>
      </c>
      <c r="O63" s="36">
        <v>0</v>
      </c>
      <c r="P63" s="36">
        <v>0</v>
      </c>
      <c r="Q63" s="36">
        <v>0</v>
      </c>
      <c r="R63" s="36">
        <v>0</v>
      </c>
      <c r="S63" s="36">
        <v>0</v>
      </c>
      <c r="T63" s="36">
        <v>0</v>
      </c>
      <c r="U63" s="36">
        <v>0</v>
      </c>
      <c r="V63" s="36">
        <v>0</v>
      </c>
      <c r="W63" s="36">
        <v>0</v>
      </c>
      <c r="X63" s="36">
        <v>0</v>
      </c>
      <c r="Y63" s="36">
        <v>0</v>
      </c>
      <c r="Z63" s="36">
        <v>0</v>
      </c>
      <c r="AA63" s="36">
        <v>0</v>
      </c>
      <c r="AB63" s="36">
        <v>0</v>
      </c>
      <c r="AC63" s="36">
        <v>0</v>
      </c>
      <c r="AD63" s="36">
        <v>0</v>
      </c>
      <c r="AE63" s="36">
        <v>0</v>
      </c>
      <c r="AF63" s="36">
        <v>0</v>
      </c>
      <c r="AG63" s="36">
        <v>0</v>
      </c>
      <c r="AH63" s="36">
        <v>0</v>
      </c>
      <c r="AI63" s="36">
        <v>0</v>
      </c>
      <c r="AJ63" s="36">
        <v>0</v>
      </c>
      <c r="AK63" s="36">
        <v>0</v>
      </c>
      <c r="AL63" s="36">
        <v>0</v>
      </c>
      <c r="AM63" s="36">
        <v>0</v>
      </c>
      <c r="AN63" s="36">
        <v>0</v>
      </c>
      <c r="AO63" s="36">
        <v>0</v>
      </c>
      <c r="AR63" s="43"/>
    </row>
    <row r="64" spans="1:44" ht="15" outlineLevel="1">
      <c r="A64" s="55" t="s">
        <v>58</v>
      </c>
      <c r="B64" s="56"/>
      <c r="C64" s="56"/>
      <c r="D64" s="56"/>
      <c r="E64" s="56"/>
      <c r="F64" s="47">
        <v>0</v>
      </c>
      <c r="G64" s="47">
        <v>0</v>
      </c>
      <c r="H64" s="47">
        <v>0</v>
      </c>
      <c r="I64" s="47">
        <v>0</v>
      </c>
      <c r="J64" s="47">
        <v>0</v>
      </c>
      <c r="K64" s="47">
        <v>0</v>
      </c>
      <c r="L64" s="47">
        <v>0</v>
      </c>
      <c r="M64" s="47">
        <v>0</v>
      </c>
      <c r="N64" s="47">
        <v>0</v>
      </c>
      <c r="O64" s="47">
        <v>0</v>
      </c>
      <c r="P64" s="47">
        <v>0</v>
      </c>
      <c r="Q64" s="47">
        <v>0</v>
      </c>
      <c r="R64" s="47">
        <v>0</v>
      </c>
      <c r="S64" s="47">
        <v>0</v>
      </c>
      <c r="T64" s="47">
        <v>0</v>
      </c>
      <c r="U64" s="47">
        <v>0</v>
      </c>
      <c r="V64" s="47">
        <v>0</v>
      </c>
      <c r="W64" s="47">
        <v>0</v>
      </c>
      <c r="X64" s="47">
        <v>0</v>
      </c>
      <c r="Y64" s="47">
        <v>0</v>
      </c>
      <c r="Z64" s="47">
        <v>0</v>
      </c>
      <c r="AA64" s="47">
        <v>0</v>
      </c>
      <c r="AB64" s="47">
        <v>0</v>
      </c>
      <c r="AC64" s="47">
        <v>0</v>
      </c>
      <c r="AD64" s="47">
        <v>0</v>
      </c>
      <c r="AE64" s="47">
        <v>0</v>
      </c>
      <c r="AF64" s="47">
        <v>0</v>
      </c>
      <c r="AG64" s="47">
        <v>0</v>
      </c>
      <c r="AH64" s="47">
        <v>0</v>
      </c>
      <c r="AI64" s="47">
        <v>0</v>
      </c>
      <c r="AJ64" s="47">
        <v>0</v>
      </c>
      <c r="AK64" s="47">
        <v>0</v>
      </c>
      <c r="AL64" s="47">
        <v>0</v>
      </c>
      <c r="AM64" s="47">
        <v>0</v>
      </c>
      <c r="AN64" s="47">
        <v>0</v>
      </c>
      <c r="AO64" s="47">
        <v>0</v>
      </c>
      <c r="AR64" s="43"/>
    </row>
    <row r="65" spans="1:44" ht="15" outlineLevel="1">
      <c r="A65" s="34" t="s">
        <v>59</v>
      </c>
      <c r="F65" s="36">
        <f>SUM(F56:F64)</f>
        <v>0</v>
      </c>
      <c r="G65" s="36">
        <f t="shared" ref="G65:P65" si="12">SUM(G56:G64)</f>
        <v>0</v>
      </c>
      <c r="H65" s="36">
        <f t="shared" si="12"/>
        <v>0</v>
      </c>
      <c r="I65" s="36">
        <f t="shared" si="12"/>
        <v>0</v>
      </c>
      <c r="J65" s="36">
        <f t="shared" si="12"/>
        <v>0</v>
      </c>
      <c r="K65" s="36">
        <f t="shared" si="12"/>
        <v>0</v>
      </c>
      <c r="L65" s="36">
        <f t="shared" si="12"/>
        <v>0</v>
      </c>
      <c r="M65" s="36">
        <f t="shared" si="12"/>
        <v>0</v>
      </c>
      <c r="N65" s="36">
        <f t="shared" si="12"/>
        <v>0</v>
      </c>
      <c r="O65" s="36">
        <f t="shared" si="12"/>
        <v>0</v>
      </c>
      <c r="P65" s="36">
        <f t="shared" si="12"/>
        <v>0</v>
      </c>
      <c r="Q65" s="36">
        <f>SUM(Q56:Q64)</f>
        <v>0</v>
      </c>
      <c r="R65" s="36">
        <f>SUM(R56:R64)</f>
        <v>0</v>
      </c>
      <c r="S65" s="36">
        <f t="shared" ref="S65:AB65" si="13">SUM(S56:S64)</f>
        <v>0</v>
      </c>
      <c r="T65" s="36">
        <f t="shared" si="13"/>
        <v>0</v>
      </c>
      <c r="U65" s="36">
        <f t="shared" si="13"/>
        <v>0</v>
      </c>
      <c r="V65" s="36">
        <f t="shared" si="13"/>
        <v>0</v>
      </c>
      <c r="W65" s="36">
        <f t="shared" si="13"/>
        <v>0</v>
      </c>
      <c r="X65" s="36">
        <f t="shared" si="13"/>
        <v>0</v>
      </c>
      <c r="Y65" s="36">
        <f t="shared" si="13"/>
        <v>0</v>
      </c>
      <c r="Z65" s="36">
        <f t="shared" si="13"/>
        <v>0</v>
      </c>
      <c r="AA65" s="36">
        <f t="shared" si="13"/>
        <v>0</v>
      </c>
      <c r="AB65" s="36">
        <f t="shared" si="13"/>
        <v>0</v>
      </c>
      <c r="AC65" s="36">
        <f>SUM(AC56:AC64)</f>
        <v>0</v>
      </c>
      <c r="AD65" s="36">
        <f>SUM(AD56:AD64)</f>
        <v>0</v>
      </c>
      <c r="AE65" s="36">
        <f t="shared" ref="AE65:AN65" si="14">SUM(AE56:AE64)</f>
        <v>0</v>
      </c>
      <c r="AF65" s="36">
        <f t="shared" si="14"/>
        <v>0</v>
      </c>
      <c r="AG65" s="36">
        <f t="shared" si="14"/>
        <v>0</v>
      </c>
      <c r="AH65" s="36">
        <f t="shared" si="14"/>
        <v>0</v>
      </c>
      <c r="AI65" s="36">
        <f t="shared" si="14"/>
        <v>0</v>
      </c>
      <c r="AJ65" s="36">
        <f t="shared" si="14"/>
        <v>0</v>
      </c>
      <c r="AK65" s="36">
        <f t="shared" si="14"/>
        <v>0</v>
      </c>
      <c r="AL65" s="36">
        <f t="shared" si="14"/>
        <v>0</v>
      </c>
      <c r="AM65" s="36">
        <f t="shared" si="14"/>
        <v>0</v>
      </c>
      <c r="AN65" s="36">
        <f t="shared" si="14"/>
        <v>0</v>
      </c>
      <c r="AO65" s="36">
        <f>SUM(AO56:AO64)</f>
        <v>0</v>
      </c>
      <c r="AR65" s="43"/>
    </row>
    <row r="66" spans="1:44" ht="14.25" outlineLevel="1">
      <c r="A66" s="31"/>
      <c r="AR66" s="43"/>
    </row>
    <row r="67" spans="1:44" ht="15" outlineLevel="1">
      <c r="A67" s="34" t="s">
        <v>60</v>
      </c>
      <c r="AR67" s="43"/>
    </row>
    <row r="68" spans="1:44" ht="15" outlineLevel="1">
      <c r="A68" s="27" t="s">
        <v>61</v>
      </c>
      <c r="F68" s="36">
        <v>0</v>
      </c>
      <c r="G68" s="36">
        <v>0</v>
      </c>
      <c r="H68" s="36">
        <v>0</v>
      </c>
      <c r="I68" s="36">
        <v>0</v>
      </c>
      <c r="J68" s="36">
        <v>0</v>
      </c>
      <c r="K68" s="36">
        <v>0</v>
      </c>
      <c r="L68" s="36">
        <v>0</v>
      </c>
      <c r="M68" s="36">
        <v>0</v>
      </c>
      <c r="N68" s="36">
        <v>0</v>
      </c>
      <c r="O68" s="36">
        <v>0</v>
      </c>
      <c r="P68" s="36">
        <v>0</v>
      </c>
      <c r="Q68" s="36">
        <v>0</v>
      </c>
      <c r="R68" s="36">
        <v>0</v>
      </c>
      <c r="S68" s="36">
        <v>0</v>
      </c>
      <c r="T68" s="36">
        <v>0</v>
      </c>
      <c r="U68" s="36">
        <v>0</v>
      </c>
      <c r="V68" s="36">
        <v>0</v>
      </c>
      <c r="W68" s="36">
        <v>0</v>
      </c>
      <c r="X68" s="36">
        <v>0</v>
      </c>
      <c r="Y68" s="36">
        <v>0</v>
      </c>
      <c r="Z68" s="36">
        <v>0</v>
      </c>
      <c r="AA68" s="36">
        <v>0</v>
      </c>
      <c r="AB68" s="36">
        <v>0</v>
      </c>
      <c r="AC68" s="36">
        <v>0</v>
      </c>
      <c r="AD68" s="36">
        <v>0</v>
      </c>
      <c r="AE68" s="36">
        <v>0</v>
      </c>
      <c r="AF68" s="36">
        <v>0</v>
      </c>
      <c r="AG68" s="36">
        <v>0</v>
      </c>
      <c r="AH68" s="36">
        <v>0</v>
      </c>
      <c r="AI68" s="36">
        <v>0</v>
      </c>
      <c r="AJ68" s="36">
        <v>0</v>
      </c>
      <c r="AK68" s="36">
        <v>0</v>
      </c>
      <c r="AL68" s="36">
        <v>0</v>
      </c>
      <c r="AM68" s="36">
        <v>0</v>
      </c>
      <c r="AN68" s="36">
        <v>0</v>
      </c>
      <c r="AO68" s="36">
        <v>0</v>
      </c>
      <c r="AR68" s="43"/>
    </row>
    <row r="69" spans="1:44" ht="15" outlineLevel="1">
      <c r="A69" s="27" t="s">
        <v>62</v>
      </c>
      <c r="F69" s="36">
        <v>0</v>
      </c>
      <c r="G69" s="36">
        <v>0</v>
      </c>
      <c r="H69" s="36">
        <v>0</v>
      </c>
      <c r="I69" s="36">
        <v>0</v>
      </c>
      <c r="J69" s="36">
        <v>0</v>
      </c>
      <c r="K69" s="36">
        <v>0</v>
      </c>
      <c r="L69" s="36">
        <v>0</v>
      </c>
      <c r="M69" s="36">
        <v>0</v>
      </c>
      <c r="N69" s="36">
        <v>0</v>
      </c>
      <c r="O69" s="36">
        <v>0</v>
      </c>
      <c r="P69" s="36">
        <v>0</v>
      </c>
      <c r="Q69" s="36">
        <v>0</v>
      </c>
      <c r="R69" s="36">
        <v>0</v>
      </c>
      <c r="S69" s="36">
        <v>0</v>
      </c>
      <c r="T69" s="36">
        <v>0</v>
      </c>
      <c r="U69" s="36">
        <v>0</v>
      </c>
      <c r="V69" s="36">
        <v>0</v>
      </c>
      <c r="W69" s="36">
        <v>0</v>
      </c>
      <c r="X69" s="36">
        <v>0</v>
      </c>
      <c r="Y69" s="36">
        <v>0</v>
      </c>
      <c r="Z69" s="36">
        <v>0</v>
      </c>
      <c r="AA69" s="36">
        <v>0</v>
      </c>
      <c r="AB69" s="36">
        <v>0</v>
      </c>
      <c r="AC69" s="36">
        <v>0</v>
      </c>
      <c r="AD69" s="36">
        <v>0</v>
      </c>
      <c r="AE69" s="36">
        <v>0</v>
      </c>
      <c r="AF69" s="36">
        <v>0</v>
      </c>
      <c r="AG69" s="36">
        <v>0</v>
      </c>
      <c r="AH69" s="36">
        <v>0</v>
      </c>
      <c r="AI69" s="36">
        <v>0</v>
      </c>
      <c r="AJ69" s="36">
        <v>0</v>
      </c>
      <c r="AK69" s="36">
        <v>0</v>
      </c>
      <c r="AL69" s="36">
        <v>0</v>
      </c>
      <c r="AM69" s="36">
        <v>0</v>
      </c>
      <c r="AN69" s="36">
        <v>0</v>
      </c>
      <c r="AO69" s="36">
        <v>0</v>
      </c>
      <c r="AR69" s="43"/>
    </row>
    <row r="70" spans="1:44" ht="15" outlineLevel="1">
      <c r="A70" s="27" t="s">
        <v>63</v>
      </c>
      <c r="F70" s="36">
        <v>0</v>
      </c>
      <c r="G70" s="36">
        <v>0</v>
      </c>
      <c r="H70" s="36">
        <v>0</v>
      </c>
      <c r="I70" s="36">
        <v>0</v>
      </c>
      <c r="J70" s="36">
        <v>0</v>
      </c>
      <c r="K70" s="36">
        <v>0</v>
      </c>
      <c r="L70" s="36">
        <v>0</v>
      </c>
      <c r="M70" s="36">
        <v>0</v>
      </c>
      <c r="N70" s="36">
        <v>0</v>
      </c>
      <c r="O70" s="36">
        <v>0</v>
      </c>
      <c r="P70" s="36">
        <v>0</v>
      </c>
      <c r="Q70" s="36">
        <v>0</v>
      </c>
      <c r="R70" s="36">
        <v>0</v>
      </c>
      <c r="S70" s="36">
        <v>0</v>
      </c>
      <c r="T70" s="36">
        <v>0</v>
      </c>
      <c r="U70" s="36">
        <v>0</v>
      </c>
      <c r="V70" s="36">
        <v>0</v>
      </c>
      <c r="W70" s="36">
        <v>0</v>
      </c>
      <c r="X70" s="36">
        <v>0</v>
      </c>
      <c r="Y70" s="36">
        <v>0</v>
      </c>
      <c r="Z70" s="36">
        <v>0</v>
      </c>
      <c r="AA70" s="36">
        <v>0</v>
      </c>
      <c r="AB70" s="36">
        <v>0</v>
      </c>
      <c r="AC70" s="36">
        <v>0</v>
      </c>
      <c r="AD70" s="36">
        <v>0</v>
      </c>
      <c r="AE70" s="36">
        <v>0</v>
      </c>
      <c r="AF70" s="36">
        <v>0</v>
      </c>
      <c r="AG70" s="36">
        <v>0</v>
      </c>
      <c r="AH70" s="36">
        <v>0</v>
      </c>
      <c r="AI70" s="36">
        <v>0</v>
      </c>
      <c r="AJ70" s="36">
        <v>0</v>
      </c>
      <c r="AK70" s="36">
        <v>0</v>
      </c>
      <c r="AL70" s="36">
        <v>0</v>
      </c>
      <c r="AM70" s="36">
        <v>0</v>
      </c>
      <c r="AN70" s="36">
        <v>0</v>
      </c>
      <c r="AO70" s="36">
        <v>0</v>
      </c>
      <c r="AR70" s="43"/>
    </row>
    <row r="71" spans="1:44" ht="15" outlineLevel="1">
      <c r="A71" s="27" t="s">
        <v>322</v>
      </c>
      <c r="F71" s="36">
        <v>0</v>
      </c>
      <c r="G71" s="36">
        <v>0</v>
      </c>
      <c r="H71" s="36">
        <v>0</v>
      </c>
      <c r="I71" s="36">
        <v>0</v>
      </c>
      <c r="J71" s="36">
        <v>0</v>
      </c>
      <c r="K71" s="36">
        <v>0</v>
      </c>
      <c r="L71" s="36">
        <v>0</v>
      </c>
      <c r="M71" s="36">
        <v>0</v>
      </c>
      <c r="N71" s="36">
        <v>0</v>
      </c>
      <c r="O71" s="36">
        <v>0</v>
      </c>
      <c r="P71" s="36">
        <v>0</v>
      </c>
      <c r="Q71" s="36">
        <v>0</v>
      </c>
      <c r="R71" s="36">
        <v>0</v>
      </c>
      <c r="S71" s="36">
        <v>0</v>
      </c>
      <c r="T71" s="36">
        <v>0</v>
      </c>
      <c r="U71" s="36">
        <v>0</v>
      </c>
      <c r="V71" s="36">
        <v>0</v>
      </c>
      <c r="W71" s="36">
        <v>0</v>
      </c>
      <c r="X71" s="36">
        <v>0</v>
      </c>
      <c r="Y71" s="36">
        <v>0</v>
      </c>
      <c r="Z71" s="36">
        <v>0</v>
      </c>
      <c r="AA71" s="36">
        <v>0</v>
      </c>
      <c r="AB71" s="36">
        <v>0</v>
      </c>
      <c r="AC71" s="36">
        <v>0</v>
      </c>
      <c r="AD71" s="36">
        <v>0</v>
      </c>
      <c r="AE71" s="36">
        <v>0</v>
      </c>
      <c r="AF71" s="36">
        <v>0</v>
      </c>
      <c r="AG71" s="36">
        <v>0</v>
      </c>
      <c r="AH71" s="36">
        <v>0</v>
      </c>
      <c r="AI71" s="36">
        <v>0</v>
      </c>
      <c r="AJ71" s="36">
        <v>0</v>
      </c>
      <c r="AK71" s="36">
        <v>0</v>
      </c>
      <c r="AL71" s="36">
        <v>0</v>
      </c>
      <c r="AM71" s="36">
        <v>0</v>
      </c>
      <c r="AN71" s="36">
        <v>0</v>
      </c>
      <c r="AO71" s="36">
        <v>0</v>
      </c>
      <c r="AR71" s="43"/>
    </row>
    <row r="72" spans="1:44" ht="15" outlineLevel="1">
      <c r="A72" s="27" t="s">
        <v>323</v>
      </c>
      <c r="F72" s="36">
        <v>0</v>
      </c>
      <c r="G72" s="36">
        <v>0</v>
      </c>
      <c r="H72" s="36">
        <v>0</v>
      </c>
      <c r="I72" s="36">
        <v>0</v>
      </c>
      <c r="J72" s="36">
        <v>0</v>
      </c>
      <c r="K72" s="36">
        <v>0</v>
      </c>
      <c r="L72" s="36">
        <v>0</v>
      </c>
      <c r="M72" s="36">
        <v>0</v>
      </c>
      <c r="N72" s="36">
        <v>0</v>
      </c>
      <c r="O72" s="36">
        <v>0</v>
      </c>
      <c r="P72" s="36">
        <v>0</v>
      </c>
      <c r="Q72" s="36">
        <v>0</v>
      </c>
      <c r="R72" s="36">
        <v>0</v>
      </c>
      <c r="S72" s="36">
        <v>0</v>
      </c>
      <c r="T72" s="36">
        <v>0</v>
      </c>
      <c r="U72" s="36">
        <v>0</v>
      </c>
      <c r="V72" s="36">
        <v>0</v>
      </c>
      <c r="W72" s="36">
        <v>0</v>
      </c>
      <c r="X72" s="36">
        <v>0</v>
      </c>
      <c r="Y72" s="36">
        <v>0</v>
      </c>
      <c r="Z72" s="36">
        <v>0</v>
      </c>
      <c r="AA72" s="36">
        <v>0</v>
      </c>
      <c r="AB72" s="36">
        <v>0</v>
      </c>
      <c r="AC72" s="36">
        <v>0</v>
      </c>
      <c r="AD72" s="36">
        <v>0</v>
      </c>
      <c r="AE72" s="36">
        <v>0</v>
      </c>
      <c r="AF72" s="36">
        <v>0</v>
      </c>
      <c r="AG72" s="36">
        <v>0</v>
      </c>
      <c r="AH72" s="36">
        <v>0</v>
      </c>
      <c r="AI72" s="36">
        <v>0</v>
      </c>
      <c r="AJ72" s="36">
        <v>0</v>
      </c>
      <c r="AK72" s="36">
        <v>0</v>
      </c>
      <c r="AL72" s="36">
        <v>0</v>
      </c>
      <c r="AM72" s="36">
        <v>0</v>
      </c>
      <c r="AN72" s="36">
        <v>0</v>
      </c>
      <c r="AO72" s="36">
        <v>0</v>
      </c>
      <c r="AR72" s="43"/>
    </row>
    <row r="73" spans="1:44" ht="15" outlineLevel="1">
      <c r="A73" s="27" t="s">
        <v>66</v>
      </c>
      <c r="F73" s="36">
        <v>0</v>
      </c>
      <c r="G73" s="36">
        <v>0</v>
      </c>
      <c r="H73" s="36">
        <v>0</v>
      </c>
      <c r="I73" s="36">
        <v>0</v>
      </c>
      <c r="J73" s="36">
        <v>0</v>
      </c>
      <c r="K73" s="36">
        <v>0</v>
      </c>
      <c r="L73" s="36">
        <v>0</v>
      </c>
      <c r="M73" s="36">
        <v>0</v>
      </c>
      <c r="N73" s="36">
        <v>0</v>
      </c>
      <c r="O73" s="36">
        <v>0</v>
      </c>
      <c r="P73" s="36">
        <v>0</v>
      </c>
      <c r="Q73" s="36">
        <v>0</v>
      </c>
      <c r="R73" s="36">
        <v>0</v>
      </c>
      <c r="S73" s="36">
        <v>0</v>
      </c>
      <c r="T73" s="36">
        <v>0</v>
      </c>
      <c r="U73" s="36">
        <v>0</v>
      </c>
      <c r="V73" s="36">
        <v>0</v>
      </c>
      <c r="W73" s="36">
        <v>0</v>
      </c>
      <c r="X73" s="36">
        <v>0</v>
      </c>
      <c r="Y73" s="36">
        <v>0</v>
      </c>
      <c r="Z73" s="36">
        <v>0</v>
      </c>
      <c r="AA73" s="36">
        <v>0</v>
      </c>
      <c r="AB73" s="36">
        <v>0</v>
      </c>
      <c r="AC73" s="36">
        <v>0</v>
      </c>
      <c r="AD73" s="36">
        <v>0</v>
      </c>
      <c r="AE73" s="36">
        <v>0</v>
      </c>
      <c r="AF73" s="36">
        <v>0</v>
      </c>
      <c r="AG73" s="36">
        <v>0</v>
      </c>
      <c r="AH73" s="36">
        <v>0</v>
      </c>
      <c r="AI73" s="36">
        <v>0</v>
      </c>
      <c r="AJ73" s="36">
        <v>0</v>
      </c>
      <c r="AK73" s="36">
        <v>0</v>
      </c>
      <c r="AL73" s="36">
        <v>0</v>
      </c>
      <c r="AM73" s="36">
        <v>0</v>
      </c>
      <c r="AN73" s="36">
        <v>0</v>
      </c>
      <c r="AO73" s="36">
        <v>0</v>
      </c>
      <c r="AR73" s="43"/>
    </row>
    <row r="74" spans="1:44" ht="15" outlineLevel="1">
      <c r="A74" s="27" t="s">
        <v>67</v>
      </c>
      <c r="F74" s="36">
        <v>0</v>
      </c>
      <c r="G74" s="36">
        <v>0</v>
      </c>
      <c r="H74" s="36">
        <v>0</v>
      </c>
      <c r="I74" s="36">
        <v>0</v>
      </c>
      <c r="J74" s="36">
        <v>0</v>
      </c>
      <c r="K74" s="36">
        <v>0</v>
      </c>
      <c r="L74" s="36">
        <v>0</v>
      </c>
      <c r="M74" s="36">
        <v>0</v>
      </c>
      <c r="N74" s="36">
        <v>0</v>
      </c>
      <c r="O74" s="36">
        <v>0</v>
      </c>
      <c r="P74" s="36">
        <v>0</v>
      </c>
      <c r="Q74" s="36">
        <v>0</v>
      </c>
      <c r="R74" s="36">
        <v>0</v>
      </c>
      <c r="S74" s="36">
        <v>0</v>
      </c>
      <c r="T74" s="36">
        <v>0</v>
      </c>
      <c r="U74" s="36">
        <v>0</v>
      </c>
      <c r="V74" s="36">
        <v>0</v>
      </c>
      <c r="W74" s="36">
        <v>0</v>
      </c>
      <c r="X74" s="36">
        <v>0</v>
      </c>
      <c r="Y74" s="36">
        <v>0</v>
      </c>
      <c r="Z74" s="36">
        <v>0</v>
      </c>
      <c r="AA74" s="36">
        <v>0</v>
      </c>
      <c r="AB74" s="36">
        <v>0</v>
      </c>
      <c r="AC74" s="36">
        <v>0</v>
      </c>
      <c r="AD74" s="36">
        <v>0</v>
      </c>
      <c r="AE74" s="36">
        <v>0</v>
      </c>
      <c r="AF74" s="36">
        <v>0</v>
      </c>
      <c r="AG74" s="36">
        <v>0</v>
      </c>
      <c r="AH74" s="36">
        <v>0</v>
      </c>
      <c r="AI74" s="36">
        <v>0</v>
      </c>
      <c r="AJ74" s="36">
        <v>0</v>
      </c>
      <c r="AK74" s="36">
        <v>0</v>
      </c>
      <c r="AL74" s="36">
        <v>0</v>
      </c>
      <c r="AM74" s="36">
        <v>0</v>
      </c>
      <c r="AN74" s="36">
        <v>0</v>
      </c>
      <c r="AO74" s="36">
        <v>0</v>
      </c>
      <c r="AR74" s="43"/>
    </row>
    <row r="75" spans="1:44" ht="15" outlineLevel="1">
      <c r="A75" s="27" t="s">
        <v>68</v>
      </c>
      <c r="F75" s="36">
        <v>0</v>
      </c>
      <c r="G75" s="36">
        <v>0</v>
      </c>
      <c r="H75" s="36">
        <v>0</v>
      </c>
      <c r="I75" s="36">
        <v>0</v>
      </c>
      <c r="J75" s="36">
        <v>0</v>
      </c>
      <c r="K75" s="36">
        <v>0</v>
      </c>
      <c r="L75" s="36">
        <v>0</v>
      </c>
      <c r="M75" s="36">
        <v>0</v>
      </c>
      <c r="N75" s="36">
        <v>0</v>
      </c>
      <c r="O75" s="36">
        <v>0</v>
      </c>
      <c r="P75" s="36">
        <v>0</v>
      </c>
      <c r="Q75" s="36">
        <v>0</v>
      </c>
      <c r="R75" s="36">
        <v>0</v>
      </c>
      <c r="S75" s="36">
        <v>0</v>
      </c>
      <c r="T75" s="36">
        <v>0</v>
      </c>
      <c r="U75" s="36">
        <v>0</v>
      </c>
      <c r="V75" s="36">
        <v>0</v>
      </c>
      <c r="W75" s="36">
        <v>0</v>
      </c>
      <c r="X75" s="36">
        <v>0</v>
      </c>
      <c r="Y75" s="36">
        <v>0</v>
      </c>
      <c r="Z75" s="36">
        <v>0</v>
      </c>
      <c r="AA75" s="36">
        <v>0</v>
      </c>
      <c r="AB75" s="36">
        <v>0</v>
      </c>
      <c r="AC75" s="36">
        <v>0</v>
      </c>
      <c r="AD75" s="36">
        <v>0</v>
      </c>
      <c r="AE75" s="36">
        <v>0</v>
      </c>
      <c r="AF75" s="36">
        <v>0</v>
      </c>
      <c r="AG75" s="36">
        <v>0</v>
      </c>
      <c r="AH75" s="36">
        <v>0</v>
      </c>
      <c r="AI75" s="36">
        <v>0</v>
      </c>
      <c r="AJ75" s="36">
        <v>0</v>
      </c>
      <c r="AK75" s="36">
        <v>0</v>
      </c>
      <c r="AL75" s="36">
        <v>0</v>
      </c>
      <c r="AM75" s="36">
        <v>0</v>
      </c>
      <c r="AN75" s="36">
        <v>0</v>
      </c>
      <c r="AO75" s="36">
        <v>0</v>
      </c>
      <c r="AR75" s="43"/>
    </row>
    <row r="76" spans="1:44" ht="15" outlineLevel="1">
      <c r="A76" s="27" t="s">
        <v>327</v>
      </c>
      <c r="F76" s="36">
        <v>0</v>
      </c>
      <c r="G76" s="36">
        <v>0</v>
      </c>
      <c r="H76" s="36">
        <v>0</v>
      </c>
      <c r="I76" s="36">
        <v>0</v>
      </c>
      <c r="J76" s="36">
        <v>0</v>
      </c>
      <c r="K76" s="36">
        <v>0</v>
      </c>
      <c r="L76" s="36">
        <v>0</v>
      </c>
      <c r="M76" s="36">
        <v>0</v>
      </c>
      <c r="N76" s="36">
        <v>0</v>
      </c>
      <c r="O76" s="36">
        <v>0</v>
      </c>
      <c r="P76" s="36">
        <v>0</v>
      </c>
      <c r="Q76" s="36">
        <v>0</v>
      </c>
      <c r="R76" s="36">
        <v>0</v>
      </c>
      <c r="S76" s="36">
        <v>0</v>
      </c>
      <c r="T76" s="36">
        <v>0</v>
      </c>
      <c r="U76" s="36">
        <v>0</v>
      </c>
      <c r="V76" s="36">
        <v>0</v>
      </c>
      <c r="W76" s="36">
        <v>0</v>
      </c>
      <c r="X76" s="36">
        <v>0</v>
      </c>
      <c r="Y76" s="36">
        <v>0</v>
      </c>
      <c r="Z76" s="36">
        <v>0</v>
      </c>
      <c r="AA76" s="36">
        <v>0</v>
      </c>
      <c r="AB76" s="36">
        <v>0</v>
      </c>
      <c r="AC76" s="36">
        <v>0</v>
      </c>
      <c r="AD76" s="36">
        <v>0</v>
      </c>
      <c r="AE76" s="36">
        <v>0</v>
      </c>
      <c r="AF76" s="36">
        <v>0</v>
      </c>
      <c r="AG76" s="36">
        <v>0</v>
      </c>
      <c r="AH76" s="36">
        <v>0</v>
      </c>
      <c r="AI76" s="36">
        <v>0</v>
      </c>
      <c r="AJ76" s="36">
        <v>0</v>
      </c>
      <c r="AK76" s="36">
        <v>0</v>
      </c>
      <c r="AL76" s="36">
        <v>0</v>
      </c>
      <c r="AM76" s="36">
        <v>0</v>
      </c>
      <c r="AN76" s="36">
        <v>0</v>
      </c>
      <c r="AO76" s="36">
        <v>0</v>
      </c>
      <c r="AR76" s="43"/>
    </row>
    <row r="77" spans="1:44" ht="15" outlineLevel="1">
      <c r="A77" s="27" t="s">
        <v>70</v>
      </c>
      <c r="F77" s="36">
        <v>0</v>
      </c>
      <c r="G77" s="36">
        <v>0</v>
      </c>
      <c r="H77" s="36">
        <v>0</v>
      </c>
      <c r="I77" s="36">
        <v>0</v>
      </c>
      <c r="J77" s="36">
        <v>0</v>
      </c>
      <c r="K77" s="36">
        <v>0</v>
      </c>
      <c r="L77" s="36">
        <v>0</v>
      </c>
      <c r="M77" s="36">
        <v>0</v>
      </c>
      <c r="N77" s="36">
        <v>0</v>
      </c>
      <c r="O77" s="36">
        <v>0</v>
      </c>
      <c r="P77" s="36">
        <v>0</v>
      </c>
      <c r="Q77" s="36">
        <v>0</v>
      </c>
      <c r="R77" s="36">
        <v>0</v>
      </c>
      <c r="S77" s="36">
        <v>0</v>
      </c>
      <c r="T77" s="36">
        <v>0</v>
      </c>
      <c r="U77" s="36">
        <v>0</v>
      </c>
      <c r="V77" s="36">
        <v>0</v>
      </c>
      <c r="W77" s="36">
        <v>0</v>
      </c>
      <c r="X77" s="36">
        <v>0</v>
      </c>
      <c r="Y77" s="36">
        <v>0</v>
      </c>
      <c r="Z77" s="36">
        <v>0</v>
      </c>
      <c r="AA77" s="36">
        <v>0</v>
      </c>
      <c r="AB77" s="36">
        <v>0</v>
      </c>
      <c r="AC77" s="36">
        <v>0</v>
      </c>
      <c r="AD77" s="36">
        <v>0</v>
      </c>
      <c r="AE77" s="36">
        <v>0</v>
      </c>
      <c r="AF77" s="36">
        <v>0</v>
      </c>
      <c r="AG77" s="36">
        <v>0</v>
      </c>
      <c r="AH77" s="36">
        <v>0</v>
      </c>
      <c r="AI77" s="36">
        <v>0</v>
      </c>
      <c r="AJ77" s="36">
        <v>0</v>
      </c>
      <c r="AK77" s="36">
        <v>0</v>
      </c>
      <c r="AL77" s="36">
        <v>0</v>
      </c>
      <c r="AM77" s="36">
        <v>0</v>
      </c>
      <c r="AN77" s="36">
        <v>0</v>
      </c>
      <c r="AO77" s="36">
        <v>0</v>
      </c>
      <c r="AR77" s="43"/>
    </row>
    <row r="78" spans="1:44" ht="15" outlineLevel="1">
      <c r="A78" s="57" t="s">
        <v>71</v>
      </c>
      <c r="B78" s="56"/>
      <c r="C78" s="56"/>
      <c r="D78" s="56"/>
      <c r="E78" s="56"/>
      <c r="F78" s="47">
        <v>0</v>
      </c>
      <c r="G78" s="47">
        <v>0</v>
      </c>
      <c r="H78" s="47">
        <v>0</v>
      </c>
      <c r="I78" s="47">
        <v>0</v>
      </c>
      <c r="J78" s="47">
        <v>0</v>
      </c>
      <c r="K78" s="47">
        <v>0</v>
      </c>
      <c r="L78" s="47">
        <v>0</v>
      </c>
      <c r="M78" s="47">
        <v>0</v>
      </c>
      <c r="N78" s="47">
        <v>0</v>
      </c>
      <c r="O78" s="47">
        <v>0</v>
      </c>
      <c r="P78" s="47">
        <v>0</v>
      </c>
      <c r="Q78" s="47">
        <v>0</v>
      </c>
      <c r="R78" s="47">
        <v>0</v>
      </c>
      <c r="S78" s="47">
        <v>0</v>
      </c>
      <c r="T78" s="47">
        <v>0</v>
      </c>
      <c r="U78" s="47">
        <v>0</v>
      </c>
      <c r="V78" s="47">
        <v>0</v>
      </c>
      <c r="W78" s="47">
        <v>0</v>
      </c>
      <c r="X78" s="47">
        <v>0</v>
      </c>
      <c r="Y78" s="47">
        <v>0</v>
      </c>
      <c r="Z78" s="47">
        <v>0</v>
      </c>
      <c r="AA78" s="47">
        <v>0</v>
      </c>
      <c r="AB78" s="47">
        <v>0</v>
      </c>
      <c r="AC78" s="47">
        <v>0</v>
      </c>
      <c r="AD78" s="47">
        <v>0</v>
      </c>
      <c r="AE78" s="47">
        <v>0</v>
      </c>
      <c r="AF78" s="47">
        <v>0</v>
      </c>
      <c r="AG78" s="47">
        <v>0</v>
      </c>
      <c r="AH78" s="47">
        <v>0</v>
      </c>
      <c r="AI78" s="47">
        <v>0</v>
      </c>
      <c r="AJ78" s="47">
        <v>0</v>
      </c>
      <c r="AK78" s="47">
        <v>0</v>
      </c>
      <c r="AL78" s="47">
        <v>0</v>
      </c>
      <c r="AM78" s="47">
        <v>0</v>
      </c>
      <c r="AN78" s="47">
        <v>0</v>
      </c>
      <c r="AO78" s="47">
        <v>0</v>
      </c>
      <c r="AR78" s="43"/>
    </row>
    <row r="79" spans="1:44" ht="15" outlineLevel="1">
      <c r="A79" s="34" t="s">
        <v>72</v>
      </c>
      <c r="F79" s="36">
        <f>SUM(F68:F78)</f>
        <v>0</v>
      </c>
      <c r="G79" s="36">
        <f t="shared" ref="G79:P79" si="15">SUM(G68:G78)</f>
        <v>0</v>
      </c>
      <c r="H79" s="36">
        <f t="shared" si="15"/>
        <v>0</v>
      </c>
      <c r="I79" s="36">
        <f t="shared" si="15"/>
        <v>0</v>
      </c>
      <c r="J79" s="36">
        <f t="shared" si="15"/>
        <v>0</v>
      </c>
      <c r="K79" s="36">
        <f t="shared" si="15"/>
        <v>0</v>
      </c>
      <c r="L79" s="36">
        <f t="shared" si="15"/>
        <v>0</v>
      </c>
      <c r="M79" s="36">
        <f t="shared" si="15"/>
        <v>0</v>
      </c>
      <c r="N79" s="36">
        <f t="shared" si="15"/>
        <v>0</v>
      </c>
      <c r="O79" s="36">
        <f t="shared" si="15"/>
        <v>0</v>
      </c>
      <c r="P79" s="36">
        <f t="shared" si="15"/>
        <v>0</v>
      </c>
      <c r="Q79" s="36">
        <f>SUM(Q68:Q78)</f>
        <v>0</v>
      </c>
      <c r="R79" s="36">
        <f>SUM(R68:R78)</f>
        <v>0</v>
      </c>
      <c r="S79" s="36">
        <f t="shared" ref="S79:AB79" si="16">SUM(S68:S78)</f>
        <v>0</v>
      </c>
      <c r="T79" s="36">
        <f t="shared" si="16"/>
        <v>0</v>
      </c>
      <c r="U79" s="36">
        <f t="shared" si="16"/>
        <v>0</v>
      </c>
      <c r="V79" s="36">
        <f t="shared" si="16"/>
        <v>0</v>
      </c>
      <c r="W79" s="36">
        <f t="shared" si="16"/>
        <v>0</v>
      </c>
      <c r="X79" s="36">
        <f t="shared" si="16"/>
        <v>0</v>
      </c>
      <c r="Y79" s="36">
        <f t="shared" si="16"/>
        <v>0</v>
      </c>
      <c r="Z79" s="36">
        <f t="shared" si="16"/>
        <v>0</v>
      </c>
      <c r="AA79" s="36">
        <f t="shared" si="16"/>
        <v>0</v>
      </c>
      <c r="AB79" s="36">
        <f t="shared" si="16"/>
        <v>0</v>
      </c>
      <c r="AC79" s="36">
        <f>SUM(AC68:AC78)</f>
        <v>0</v>
      </c>
      <c r="AD79" s="36">
        <f>SUM(AD68:AD78)</f>
        <v>0</v>
      </c>
      <c r="AE79" s="36">
        <f t="shared" ref="AE79:AN79" si="17">SUM(AE68:AE78)</f>
        <v>0</v>
      </c>
      <c r="AF79" s="36">
        <f t="shared" si="17"/>
        <v>0</v>
      </c>
      <c r="AG79" s="36">
        <f t="shared" si="17"/>
        <v>0</v>
      </c>
      <c r="AH79" s="36">
        <f t="shared" si="17"/>
        <v>0</v>
      </c>
      <c r="AI79" s="36">
        <f t="shared" si="17"/>
        <v>0</v>
      </c>
      <c r="AJ79" s="36">
        <f t="shared" si="17"/>
        <v>0</v>
      </c>
      <c r="AK79" s="36">
        <f t="shared" si="17"/>
        <v>0</v>
      </c>
      <c r="AL79" s="36">
        <f t="shared" si="17"/>
        <v>0</v>
      </c>
      <c r="AM79" s="36">
        <f t="shared" si="17"/>
        <v>0</v>
      </c>
      <c r="AN79" s="36">
        <f t="shared" si="17"/>
        <v>0</v>
      </c>
      <c r="AO79" s="36">
        <f>SUM(AO68:AO78)</f>
        <v>0</v>
      </c>
      <c r="AR79" s="43"/>
    </row>
    <row r="80" spans="1:44" ht="14.25" outlineLevel="1">
      <c r="A80" s="31"/>
      <c r="AR80" s="43"/>
    </row>
    <row r="81" spans="1:44" ht="15" outlineLevel="1">
      <c r="A81" s="34" t="s">
        <v>73</v>
      </c>
      <c r="F81" s="36">
        <f>F65+F79</f>
        <v>0</v>
      </c>
      <c r="G81" s="36">
        <f t="shared" ref="G81:P81" si="18">G65+G79</f>
        <v>0</v>
      </c>
      <c r="H81" s="36">
        <f t="shared" si="18"/>
        <v>0</v>
      </c>
      <c r="I81" s="36">
        <f t="shared" si="18"/>
        <v>0</v>
      </c>
      <c r="J81" s="36">
        <f t="shared" si="18"/>
        <v>0</v>
      </c>
      <c r="K81" s="36">
        <f t="shared" si="18"/>
        <v>0</v>
      </c>
      <c r="L81" s="36">
        <f t="shared" si="18"/>
        <v>0</v>
      </c>
      <c r="M81" s="36">
        <f t="shared" si="18"/>
        <v>0</v>
      </c>
      <c r="N81" s="36">
        <f t="shared" si="18"/>
        <v>0</v>
      </c>
      <c r="O81" s="36">
        <f t="shared" si="18"/>
        <v>0</v>
      </c>
      <c r="P81" s="36">
        <f t="shared" si="18"/>
        <v>0</v>
      </c>
      <c r="Q81" s="36">
        <f>Q65+Q79</f>
        <v>0</v>
      </c>
      <c r="R81" s="36">
        <f>R65+R79</f>
        <v>0</v>
      </c>
      <c r="S81" s="36">
        <f t="shared" ref="S81:AB81" si="19">S65+S79</f>
        <v>0</v>
      </c>
      <c r="T81" s="36">
        <f t="shared" si="19"/>
        <v>0</v>
      </c>
      <c r="U81" s="36">
        <f t="shared" si="19"/>
        <v>0</v>
      </c>
      <c r="V81" s="36">
        <f t="shared" si="19"/>
        <v>0</v>
      </c>
      <c r="W81" s="36">
        <f t="shared" si="19"/>
        <v>0</v>
      </c>
      <c r="X81" s="36">
        <f t="shared" si="19"/>
        <v>0</v>
      </c>
      <c r="Y81" s="36">
        <f t="shared" si="19"/>
        <v>0</v>
      </c>
      <c r="Z81" s="36">
        <f t="shared" si="19"/>
        <v>0</v>
      </c>
      <c r="AA81" s="36">
        <f t="shared" si="19"/>
        <v>0</v>
      </c>
      <c r="AB81" s="36">
        <f t="shared" si="19"/>
        <v>0</v>
      </c>
      <c r="AC81" s="36">
        <f>AC65+AC79</f>
        <v>0</v>
      </c>
      <c r="AD81" s="36">
        <f>AD65+AD79</f>
        <v>0</v>
      </c>
      <c r="AE81" s="36">
        <f t="shared" ref="AE81:AN81" si="20">AE65+AE79</f>
        <v>0</v>
      </c>
      <c r="AF81" s="36">
        <f t="shared" si="20"/>
        <v>0</v>
      </c>
      <c r="AG81" s="36">
        <f t="shared" si="20"/>
        <v>0</v>
      </c>
      <c r="AH81" s="36">
        <f t="shared" si="20"/>
        <v>0</v>
      </c>
      <c r="AI81" s="36">
        <f t="shared" si="20"/>
        <v>0</v>
      </c>
      <c r="AJ81" s="36">
        <f t="shared" si="20"/>
        <v>0</v>
      </c>
      <c r="AK81" s="36">
        <f t="shared" si="20"/>
        <v>0</v>
      </c>
      <c r="AL81" s="36">
        <f t="shared" si="20"/>
        <v>0</v>
      </c>
      <c r="AM81" s="36">
        <f t="shared" si="20"/>
        <v>0</v>
      </c>
      <c r="AN81" s="36">
        <f t="shared" si="20"/>
        <v>0</v>
      </c>
      <c r="AO81" s="36">
        <f>AO65+AO79</f>
        <v>0</v>
      </c>
      <c r="AR81" s="43"/>
    </row>
    <row r="82" spans="1:44" ht="15" outlineLevel="1">
      <c r="A82" s="51" t="s">
        <v>74</v>
      </c>
      <c r="F82" s="53">
        <f>IF(ISERROR(F81/F65),0,(F81/F65))</f>
        <v>0</v>
      </c>
      <c r="G82" s="53">
        <f t="shared" ref="G82:P82" si="21">IF(ISERROR(G81/G65),0,(G81/G65))</f>
        <v>0</v>
      </c>
      <c r="H82" s="53">
        <f t="shared" si="21"/>
        <v>0</v>
      </c>
      <c r="I82" s="53">
        <f t="shared" si="21"/>
        <v>0</v>
      </c>
      <c r="J82" s="53">
        <f t="shared" si="21"/>
        <v>0</v>
      </c>
      <c r="K82" s="53">
        <f t="shared" si="21"/>
        <v>0</v>
      </c>
      <c r="L82" s="53">
        <f t="shared" si="21"/>
        <v>0</v>
      </c>
      <c r="M82" s="53">
        <f t="shared" si="21"/>
        <v>0</v>
      </c>
      <c r="N82" s="53">
        <f t="shared" si="21"/>
        <v>0</v>
      </c>
      <c r="O82" s="53">
        <f t="shared" si="21"/>
        <v>0</v>
      </c>
      <c r="P82" s="53">
        <f t="shared" si="21"/>
        <v>0</v>
      </c>
      <c r="Q82" s="53">
        <f>IF(ISERROR(Q81/Q65),0,(Q81/Q65))</f>
        <v>0</v>
      </c>
      <c r="R82" s="53">
        <f>IF(ISERROR(R81/R65),0,(R81/R65))</f>
        <v>0</v>
      </c>
      <c r="S82" s="53">
        <f t="shared" ref="S82:AB82" si="22">IF(ISERROR(S81/S65),0,(S81/S65))</f>
        <v>0</v>
      </c>
      <c r="T82" s="53">
        <f t="shared" si="22"/>
        <v>0</v>
      </c>
      <c r="U82" s="53">
        <f t="shared" si="22"/>
        <v>0</v>
      </c>
      <c r="V82" s="53">
        <f t="shared" si="22"/>
        <v>0</v>
      </c>
      <c r="W82" s="53">
        <f t="shared" si="22"/>
        <v>0</v>
      </c>
      <c r="X82" s="53">
        <f t="shared" si="22"/>
        <v>0</v>
      </c>
      <c r="Y82" s="53">
        <f t="shared" si="22"/>
        <v>0</v>
      </c>
      <c r="Z82" s="53">
        <f t="shared" si="22"/>
        <v>0</v>
      </c>
      <c r="AA82" s="53">
        <f t="shared" si="22"/>
        <v>0</v>
      </c>
      <c r="AB82" s="53">
        <f t="shared" si="22"/>
        <v>0</v>
      </c>
      <c r="AC82" s="53">
        <f>IF(ISERROR(AC81/AC65),0,(AC81/AC65))</f>
        <v>0</v>
      </c>
      <c r="AD82" s="53">
        <f>IF(ISERROR(AD81/AD65),0,(AD81/AD65))</f>
        <v>0</v>
      </c>
      <c r="AE82" s="53">
        <f t="shared" ref="AE82:AN82" si="23">IF(ISERROR(AE81/AE65),0,(AE81/AE65))</f>
        <v>0</v>
      </c>
      <c r="AF82" s="53">
        <f t="shared" si="23"/>
        <v>0</v>
      </c>
      <c r="AG82" s="53">
        <f t="shared" si="23"/>
        <v>0</v>
      </c>
      <c r="AH82" s="53">
        <f t="shared" si="23"/>
        <v>0</v>
      </c>
      <c r="AI82" s="53">
        <f t="shared" si="23"/>
        <v>0</v>
      </c>
      <c r="AJ82" s="53">
        <f t="shared" si="23"/>
        <v>0</v>
      </c>
      <c r="AK82" s="53">
        <f t="shared" si="23"/>
        <v>0</v>
      </c>
      <c r="AL82" s="53">
        <f t="shared" si="23"/>
        <v>0</v>
      </c>
      <c r="AM82" s="53">
        <f t="shared" si="23"/>
        <v>0</v>
      </c>
      <c r="AN82" s="53">
        <f t="shared" si="23"/>
        <v>0</v>
      </c>
      <c r="AO82" s="53">
        <f>IF(ISERROR(AO81/AO65),0,(AO81/AO65))</f>
        <v>0</v>
      </c>
      <c r="AR82" s="43"/>
    </row>
    <row r="83" spans="1:44" ht="14.25" outlineLevel="1">
      <c r="A83" s="31"/>
      <c r="F83" s="43"/>
      <c r="G83" s="43"/>
      <c r="H83" s="43"/>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R83" s="43"/>
    </row>
    <row r="84" spans="1:44" ht="15" outlineLevel="1">
      <c r="A84" s="34" t="s">
        <v>75</v>
      </c>
      <c r="F84" s="36">
        <v>0</v>
      </c>
      <c r="G84" s="36">
        <v>0</v>
      </c>
      <c r="H84" s="36">
        <v>0</v>
      </c>
      <c r="I84" s="36">
        <v>0</v>
      </c>
      <c r="J84" s="36">
        <v>0</v>
      </c>
      <c r="K84" s="36">
        <v>0</v>
      </c>
      <c r="L84" s="36">
        <v>0</v>
      </c>
      <c r="M84" s="36">
        <v>0</v>
      </c>
      <c r="N84" s="36">
        <v>0</v>
      </c>
      <c r="O84" s="36">
        <v>0</v>
      </c>
      <c r="P84" s="36">
        <v>0</v>
      </c>
      <c r="Q84" s="36">
        <v>0</v>
      </c>
      <c r="R84" s="36">
        <v>0</v>
      </c>
      <c r="S84" s="36">
        <v>0</v>
      </c>
      <c r="T84" s="36">
        <v>0</v>
      </c>
      <c r="U84" s="36">
        <v>0</v>
      </c>
      <c r="V84" s="36">
        <v>0</v>
      </c>
      <c r="W84" s="36">
        <v>0</v>
      </c>
      <c r="X84" s="36">
        <v>0</v>
      </c>
      <c r="Y84" s="36">
        <v>0</v>
      </c>
      <c r="Z84" s="36">
        <v>0</v>
      </c>
      <c r="AA84" s="36">
        <v>0</v>
      </c>
      <c r="AB84" s="36">
        <v>0</v>
      </c>
      <c r="AC84" s="36">
        <v>0</v>
      </c>
      <c r="AD84" s="36">
        <v>0</v>
      </c>
      <c r="AE84" s="36">
        <v>0</v>
      </c>
      <c r="AF84" s="36">
        <v>0</v>
      </c>
      <c r="AG84" s="36">
        <v>0</v>
      </c>
      <c r="AH84" s="36">
        <v>0</v>
      </c>
      <c r="AI84" s="36">
        <v>0</v>
      </c>
      <c r="AJ84" s="36">
        <v>0</v>
      </c>
      <c r="AK84" s="36">
        <v>0</v>
      </c>
      <c r="AL84" s="36">
        <v>0</v>
      </c>
      <c r="AM84" s="36">
        <v>0</v>
      </c>
      <c r="AN84" s="36">
        <v>0</v>
      </c>
      <c r="AO84" s="36">
        <v>0</v>
      </c>
      <c r="AR84" s="43"/>
    </row>
    <row r="85" spans="1:44" ht="14.25" outlineLevel="1">
      <c r="A85" s="31"/>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R85" s="43"/>
    </row>
    <row r="86" spans="1:44" ht="15" outlineLevel="1">
      <c r="A86" s="34" t="s">
        <v>76</v>
      </c>
      <c r="F86" s="50">
        <f>F79+F84</f>
        <v>0</v>
      </c>
      <c r="G86" s="50">
        <f t="shared" ref="G86:P86" si="24">G79+G84</f>
        <v>0</v>
      </c>
      <c r="H86" s="50">
        <f t="shared" si="24"/>
        <v>0</v>
      </c>
      <c r="I86" s="50">
        <f t="shared" si="24"/>
        <v>0</v>
      </c>
      <c r="J86" s="50">
        <f t="shared" si="24"/>
        <v>0</v>
      </c>
      <c r="K86" s="50">
        <f t="shared" si="24"/>
        <v>0</v>
      </c>
      <c r="L86" s="50">
        <f t="shared" si="24"/>
        <v>0</v>
      </c>
      <c r="M86" s="50">
        <f t="shared" si="24"/>
        <v>0</v>
      </c>
      <c r="N86" s="50">
        <f t="shared" si="24"/>
        <v>0</v>
      </c>
      <c r="O86" s="50">
        <f t="shared" si="24"/>
        <v>0</v>
      </c>
      <c r="P86" s="50">
        <f t="shared" si="24"/>
        <v>0</v>
      </c>
      <c r="Q86" s="50">
        <f>Q79+Q84</f>
        <v>0</v>
      </c>
      <c r="R86" s="50">
        <f>R79+R84</f>
        <v>0</v>
      </c>
      <c r="S86" s="50">
        <f t="shared" ref="S86:AB86" si="25">S79+S84</f>
        <v>0</v>
      </c>
      <c r="T86" s="50">
        <f t="shared" si="25"/>
        <v>0</v>
      </c>
      <c r="U86" s="50">
        <f t="shared" si="25"/>
        <v>0</v>
      </c>
      <c r="V86" s="50">
        <f t="shared" si="25"/>
        <v>0</v>
      </c>
      <c r="W86" s="50">
        <f t="shared" si="25"/>
        <v>0</v>
      </c>
      <c r="X86" s="50">
        <f t="shared" si="25"/>
        <v>0</v>
      </c>
      <c r="Y86" s="50">
        <f t="shared" si="25"/>
        <v>0</v>
      </c>
      <c r="Z86" s="50">
        <f t="shared" si="25"/>
        <v>0</v>
      </c>
      <c r="AA86" s="50">
        <f t="shared" si="25"/>
        <v>0</v>
      </c>
      <c r="AB86" s="50">
        <f t="shared" si="25"/>
        <v>0</v>
      </c>
      <c r="AC86" s="50">
        <f>AC79+AC84</f>
        <v>0</v>
      </c>
      <c r="AD86" s="50">
        <f>AD79+AD84</f>
        <v>0</v>
      </c>
      <c r="AE86" s="50">
        <f t="shared" ref="AE86:AN86" si="26">AE79+AE84</f>
        <v>0</v>
      </c>
      <c r="AF86" s="50">
        <f t="shared" si="26"/>
        <v>0</v>
      </c>
      <c r="AG86" s="50">
        <f t="shared" si="26"/>
        <v>0</v>
      </c>
      <c r="AH86" s="50">
        <f t="shared" si="26"/>
        <v>0</v>
      </c>
      <c r="AI86" s="50">
        <f t="shared" si="26"/>
        <v>0</v>
      </c>
      <c r="AJ86" s="50">
        <f t="shared" si="26"/>
        <v>0</v>
      </c>
      <c r="AK86" s="50">
        <f t="shared" si="26"/>
        <v>0</v>
      </c>
      <c r="AL86" s="50">
        <f t="shared" si="26"/>
        <v>0</v>
      </c>
      <c r="AM86" s="50">
        <f t="shared" si="26"/>
        <v>0</v>
      </c>
      <c r="AN86" s="50">
        <f t="shared" si="26"/>
        <v>0</v>
      </c>
      <c r="AO86" s="50">
        <f>AO79+AO84</f>
        <v>0</v>
      </c>
      <c r="AR86" s="43"/>
    </row>
    <row r="87" spans="1:44" ht="15" outlineLevel="1">
      <c r="A87" s="34" t="s">
        <v>77</v>
      </c>
      <c r="F87" s="53">
        <f>IF(ISERROR(F86/F65),0,(F86/F65))</f>
        <v>0</v>
      </c>
      <c r="G87" s="53">
        <f t="shared" ref="G87:P87" si="27">IF(ISERROR(G86/G65),0,(G86/G65))</f>
        <v>0</v>
      </c>
      <c r="H87" s="53">
        <f t="shared" si="27"/>
        <v>0</v>
      </c>
      <c r="I87" s="53">
        <f t="shared" si="27"/>
        <v>0</v>
      </c>
      <c r="J87" s="53">
        <f t="shared" si="27"/>
        <v>0</v>
      </c>
      <c r="K87" s="53">
        <f t="shared" si="27"/>
        <v>0</v>
      </c>
      <c r="L87" s="53">
        <f t="shared" si="27"/>
        <v>0</v>
      </c>
      <c r="M87" s="53">
        <f t="shared" si="27"/>
        <v>0</v>
      </c>
      <c r="N87" s="53">
        <f t="shared" si="27"/>
        <v>0</v>
      </c>
      <c r="O87" s="53">
        <f t="shared" si="27"/>
        <v>0</v>
      </c>
      <c r="P87" s="53">
        <f t="shared" si="27"/>
        <v>0</v>
      </c>
      <c r="Q87" s="53">
        <f>IF(ISERROR(Q86/Q65),0,(Q86/Q65))</f>
        <v>0</v>
      </c>
      <c r="R87" s="53">
        <f>IF(ISERROR(R86/R65),0,(R86/R65))</f>
        <v>0</v>
      </c>
      <c r="S87" s="53">
        <f t="shared" ref="S87:AB87" si="28">IF(ISERROR(S86/S65),0,(S86/S65))</f>
        <v>0</v>
      </c>
      <c r="T87" s="53">
        <f t="shared" si="28"/>
        <v>0</v>
      </c>
      <c r="U87" s="53">
        <f t="shared" si="28"/>
        <v>0</v>
      </c>
      <c r="V87" s="53">
        <f t="shared" si="28"/>
        <v>0</v>
      </c>
      <c r="W87" s="53">
        <f t="shared" si="28"/>
        <v>0</v>
      </c>
      <c r="X87" s="53">
        <f t="shared" si="28"/>
        <v>0</v>
      </c>
      <c r="Y87" s="53">
        <f t="shared" si="28"/>
        <v>0</v>
      </c>
      <c r="Z87" s="53">
        <f t="shared" si="28"/>
        <v>0</v>
      </c>
      <c r="AA87" s="53">
        <f t="shared" si="28"/>
        <v>0</v>
      </c>
      <c r="AB87" s="53">
        <f t="shared" si="28"/>
        <v>0</v>
      </c>
      <c r="AC87" s="53">
        <f>IF(ISERROR(AC86/AC65),0,(AC86/AC65))</f>
        <v>0</v>
      </c>
      <c r="AD87" s="53">
        <f>IF(ISERROR(AD86/AD65),0,(AD86/AD65))</f>
        <v>0</v>
      </c>
      <c r="AE87" s="53">
        <f t="shared" ref="AE87:AN87" si="29">IF(ISERROR(AE86/AE65),0,(AE86/AE65))</f>
        <v>0</v>
      </c>
      <c r="AF87" s="53">
        <f t="shared" si="29"/>
        <v>0</v>
      </c>
      <c r="AG87" s="53">
        <f t="shared" si="29"/>
        <v>0</v>
      </c>
      <c r="AH87" s="53">
        <f t="shared" si="29"/>
        <v>0</v>
      </c>
      <c r="AI87" s="53">
        <f t="shared" si="29"/>
        <v>0</v>
      </c>
      <c r="AJ87" s="53">
        <f t="shared" si="29"/>
        <v>0</v>
      </c>
      <c r="AK87" s="53">
        <f t="shared" si="29"/>
        <v>0</v>
      </c>
      <c r="AL87" s="53">
        <f t="shared" si="29"/>
        <v>0</v>
      </c>
      <c r="AM87" s="53">
        <f t="shared" si="29"/>
        <v>0</v>
      </c>
      <c r="AN87" s="53">
        <f t="shared" si="29"/>
        <v>0</v>
      </c>
      <c r="AO87" s="53">
        <f>IF(ISERROR(AO86/AO65),0,(AO86/AO65))</f>
        <v>0</v>
      </c>
      <c r="AR87" s="43"/>
    </row>
    <row r="88" spans="1:44" ht="14.25" outlineLevel="1">
      <c r="A88" s="31"/>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R88" s="43"/>
    </row>
    <row r="89" spans="1:44" ht="15" outlineLevel="1">
      <c r="A89" s="34" t="s">
        <v>78</v>
      </c>
      <c r="F89" s="36">
        <v>0</v>
      </c>
      <c r="G89" s="36">
        <v>0</v>
      </c>
      <c r="H89" s="36">
        <v>0</v>
      </c>
      <c r="I89" s="36">
        <v>0</v>
      </c>
      <c r="J89" s="36">
        <v>0</v>
      </c>
      <c r="K89" s="36">
        <v>0</v>
      </c>
      <c r="L89" s="36">
        <v>0</v>
      </c>
      <c r="M89" s="36">
        <v>0</v>
      </c>
      <c r="N89" s="36">
        <v>0</v>
      </c>
      <c r="O89" s="36">
        <v>0</v>
      </c>
      <c r="P89" s="36">
        <v>0</v>
      </c>
      <c r="Q89" s="36">
        <v>0</v>
      </c>
      <c r="R89" s="36">
        <v>0</v>
      </c>
      <c r="S89" s="36">
        <v>0</v>
      </c>
      <c r="T89" s="36">
        <v>0</v>
      </c>
      <c r="U89" s="36">
        <v>0</v>
      </c>
      <c r="V89" s="36">
        <v>0</v>
      </c>
      <c r="W89" s="36">
        <v>0</v>
      </c>
      <c r="X89" s="36">
        <v>0</v>
      </c>
      <c r="Y89" s="36">
        <v>0</v>
      </c>
      <c r="Z89" s="36">
        <v>0</v>
      </c>
      <c r="AA89" s="36">
        <v>0</v>
      </c>
      <c r="AB89" s="36">
        <v>0</v>
      </c>
      <c r="AC89" s="36">
        <v>0</v>
      </c>
      <c r="AD89" s="36">
        <v>0</v>
      </c>
      <c r="AE89" s="36">
        <v>0</v>
      </c>
      <c r="AF89" s="36">
        <v>0</v>
      </c>
      <c r="AG89" s="36">
        <v>0</v>
      </c>
      <c r="AH89" s="36">
        <v>0</v>
      </c>
      <c r="AI89" s="36">
        <v>0</v>
      </c>
      <c r="AJ89" s="36">
        <v>0</v>
      </c>
      <c r="AK89" s="36">
        <v>0</v>
      </c>
      <c r="AL89" s="36">
        <v>0</v>
      </c>
      <c r="AM89" s="36">
        <v>0</v>
      </c>
      <c r="AN89" s="36">
        <v>0</v>
      </c>
      <c r="AO89" s="36">
        <v>0</v>
      </c>
      <c r="AR89" s="43"/>
    </row>
    <row r="90" spans="1:44" ht="14.25" outlineLevel="1">
      <c r="A90" s="31"/>
      <c r="F90" s="43"/>
      <c r="G90" s="43"/>
      <c r="H90" s="43"/>
      <c r="I90" s="43"/>
      <c r="J90" s="43"/>
      <c r="K90" s="43"/>
      <c r="L90" s="43"/>
      <c r="M90" s="43"/>
      <c r="N90" s="43"/>
      <c r="O90" s="43"/>
      <c r="P90" s="43"/>
      <c r="Q90" s="43"/>
      <c r="R90" s="43"/>
      <c r="S90" s="43"/>
      <c r="T90" s="43"/>
      <c r="U90" s="43"/>
      <c r="V90" s="43"/>
      <c r="W90" s="43"/>
      <c r="X90" s="43"/>
      <c r="Y90" s="43"/>
      <c r="Z90" s="43"/>
      <c r="AA90" s="43"/>
      <c r="AB90" s="43"/>
      <c r="AC90" s="43"/>
      <c r="AD90" s="43"/>
      <c r="AE90" s="43"/>
      <c r="AF90" s="43"/>
      <c r="AG90" s="43"/>
      <c r="AH90" s="43"/>
      <c r="AI90" s="43"/>
      <c r="AJ90" s="43"/>
      <c r="AK90" s="43"/>
      <c r="AL90" s="43"/>
      <c r="AM90" s="43"/>
      <c r="AN90" s="43"/>
      <c r="AO90" s="43"/>
      <c r="AR90" s="43"/>
    </row>
    <row r="91" spans="1:44" ht="15" outlineLevel="1">
      <c r="A91" s="34" t="s">
        <v>79</v>
      </c>
      <c r="F91" s="50">
        <f>F86+F89</f>
        <v>0</v>
      </c>
      <c r="G91" s="50">
        <f t="shared" ref="G91:P91" si="30">G86+G89</f>
        <v>0</v>
      </c>
      <c r="H91" s="50">
        <f t="shared" si="30"/>
        <v>0</v>
      </c>
      <c r="I91" s="50">
        <f t="shared" si="30"/>
        <v>0</v>
      </c>
      <c r="J91" s="50">
        <f t="shared" si="30"/>
        <v>0</v>
      </c>
      <c r="K91" s="50">
        <f t="shared" si="30"/>
        <v>0</v>
      </c>
      <c r="L91" s="50">
        <f t="shared" si="30"/>
        <v>0</v>
      </c>
      <c r="M91" s="50">
        <f t="shared" si="30"/>
        <v>0</v>
      </c>
      <c r="N91" s="50">
        <f t="shared" si="30"/>
        <v>0</v>
      </c>
      <c r="O91" s="50">
        <f t="shared" si="30"/>
        <v>0</v>
      </c>
      <c r="P91" s="50">
        <f t="shared" si="30"/>
        <v>0</v>
      </c>
      <c r="Q91" s="50">
        <f>Q86+Q89</f>
        <v>0</v>
      </c>
      <c r="R91" s="50">
        <f>R86+R89</f>
        <v>0</v>
      </c>
      <c r="S91" s="50">
        <f t="shared" ref="S91:AB91" si="31">S86+S89</f>
        <v>0</v>
      </c>
      <c r="T91" s="50">
        <f t="shared" si="31"/>
        <v>0</v>
      </c>
      <c r="U91" s="50">
        <f t="shared" si="31"/>
        <v>0</v>
      </c>
      <c r="V91" s="50">
        <f t="shared" si="31"/>
        <v>0</v>
      </c>
      <c r="W91" s="50">
        <f t="shared" si="31"/>
        <v>0</v>
      </c>
      <c r="X91" s="50">
        <f t="shared" si="31"/>
        <v>0</v>
      </c>
      <c r="Y91" s="50">
        <f t="shared" si="31"/>
        <v>0</v>
      </c>
      <c r="Z91" s="50">
        <f t="shared" si="31"/>
        <v>0</v>
      </c>
      <c r="AA91" s="50">
        <f t="shared" si="31"/>
        <v>0</v>
      </c>
      <c r="AB91" s="50">
        <f t="shared" si="31"/>
        <v>0</v>
      </c>
      <c r="AC91" s="50">
        <f>AC86+AC89</f>
        <v>0</v>
      </c>
      <c r="AD91" s="50">
        <f>AD86+AD89</f>
        <v>0</v>
      </c>
      <c r="AE91" s="50">
        <f t="shared" ref="AE91:AN91" si="32">AE86+AE89</f>
        <v>0</v>
      </c>
      <c r="AF91" s="50">
        <f t="shared" si="32"/>
        <v>0</v>
      </c>
      <c r="AG91" s="50">
        <f t="shared" si="32"/>
        <v>0</v>
      </c>
      <c r="AH91" s="50">
        <f t="shared" si="32"/>
        <v>0</v>
      </c>
      <c r="AI91" s="50">
        <f t="shared" si="32"/>
        <v>0</v>
      </c>
      <c r="AJ91" s="50">
        <f t="shared" si="32"/>
        <v>0</v>
      </c>
      <c r="AK91" s="50">
        <f t="shared" si="32"/>
        <v>0</v>
      </c>
      <c r="AL91" s="50">
        <f t="shared" si="32"/>
        <v>0</v>
      </c>
      <c r="AM91" s="50">
        <f t="shared" si="32"/>
        <v>0</v>
      </c>
      <c r="AN91" s="50">
        <f t="shared" si="32"/>
        <v>0</v>
      </c>
      <c r="AO91" s="50">
        <f>AO86+AO89</f>
        <v>0</v>
      </c>
      <c r="AR91" s="43"/>
    </row>
    <row r="92" spans="1:44" ht="15" outlineLevel="1">
      <c r="A92" s="34" t="s">
        <v>80</v>
      </c>
      <c r="F92" s="53">
        <f>IF(ISERROR(F91/F65),0,(F91/F65))</f>
        <v>0</v>
      </c>
      <c r="G92" s="53">
        <f t="shared" ref="G92:P92" si="33">IF(ISERROR(G91/G65),0,(G91/G65))</f>
        <v>0</v>
      </c>
      <c r="H92" s="53">
        <f t="shared" si="33"/>
        <v>0</v>
      </c>
      <c r="I92" s="53">
        <f t="shared" si="33"/>
        <v>0</v>
      </c>
      <c r="J92" s="53">
        <f t="shared" si="33"/>
        <v>0</v>
      </c>
      <c r="K92" s="53">
        <f t="shared" si="33"/>
        <v>0</v>
      </c>
      <c r="L92" s="53">
        <f t="shared" si="33"/>
        <v>0</v>
      </c>
      <c r="M92" s="53">
        <f t="shared" si="33"/>
        <v>0</v>
      </c>
      <c r="N92" s="53">
        <f t="shared" si="33"/>
        <v>0</v>
      </c>
      <c r="O92" s="53">
        <f t="shared" si="33"/>
        <v>0</v>
      </c>
      <c r="P92" s="53">
        <f t="shared" si="33"/>
        <v>0</v>
      </c>
      <c r="Q92" s="53">
        <f>IF(ISERROR(Q91/Q65),0,(Q91/Q65))</f>
        <v>0</v>
      </c>
      <c r="R92" s="53">
        <f>IF(ISERROR(R91/R65),0,(R91/R65))</f>
        <v>0</v>
      </c>
      <c r="S92" s="53">
        <f t="shared" ref="S92:AB92" si="34">IF(ISERROR(S91/S65),0,(S91/S65))</f>
        <v>0</v>
      </c>
      <c r="T92" s="53">
        <f t="shared" si="34"/>
        <v>0</v>
      </c>
      <c r="U92" s="53">
        <f t="shared" si="34"/>
        <v>0</v>
      </c>
      <c r="V92" s="53">
        <f t="shared" si="34"/>
        <v>0</v>
      </c>
      <c r="W92" s="53">
        <f t="shared" si="34"/>
        <v>0</v>
      </c>
      <c r="X92" s="53">
        <f t="shared" si="34"/>
        <v>0</v>
      </c>
      <c r="Y92" s="53">
        <f t="shared" si="34"/>
        <v>0</v>
      </c>
      <c r="Z92" s="53">
        <f t="shared" si="34"/>
        <v>0</v>
      </c>
      <c r="AA92" s="53">
        <f t="shared" si="34"/>
        <v>0</v>
      </c>
      <c r="AB92" s="53">
        <f t="shared" si="34"/>
        <v>0</v>
      </c>
      <c r="AC92" s="53">
        <f>IF(ISERROR(AC91/AC65),0,(AC91/AC65))</f>
        <v>0</v>
      </c>
      <c r="AD92" s="53">
        <f>IF(ISERROR(AD91/AD65),0,(AD91/AD65))</f>
        <v>0</v>
      </c>
      <c r="AE92" s="53">
        <f t="shared" ref="AE92:AN92" si="35">IF(ISERROR(AE91/AE65),0,(AE91/AE65))</f>
        <v>0</v>
      </c>
      <c r="AF92" s="53">
        <f t="shared" si="35"/>
        <v>0</v>
      </c>
      <c r="AG92" s="53">
        <f t="shared" si="35"/>
        <v>0</v>
      </c>
      <c r="AH92" s="53">
        <f t="shared" si="35"/>
        <v>0</v>
      </c>
      <c r="AI92" s="53">
        <f t="shared" si="35"/>
        <v>0</v>
      </c>
      <c r="AJ92" s="53">
        <f t="shared" si="35"/>
        <v>0</v>
      </c>
      <c r="AK92" s="53">
        <f t="shared" si="35"/>
        <v>0</v>
      </c>
      <c r="AL92" s="53">
        <f t="shared" si="35"/>
        <v>0</v>
      </c>
      <c r="AM92" s="53">
        <f t="shared" si="35"/>
        <v>0</v>
      </c>
      <c r="AN92" s="53">
        <f t="shared" si="35"/>
        <v>0</v>
      </c>
      <c r="AO92" s="53">
        <f>IF(ISERROR(AO91/AO65),0,(AO91/AO65))</f>
        <v>0</v>
      </c>
      <c r="AR92" s="43"/>
    </row>
    <row r="93" spans="1:44" ht="14.25" outlineLevel="1">
      <c r="A93" s="31"/>
      <c r="F93" s="43"/>
      <c r="G93" s="43"/>
      <c r="H93" s="43"/>
      <c r="I93" s="43"/>
      <c r="J93" s="43"/>
      <c r="K93" s="43"/>
      <c r="L93" s="43"/>
      <c r="M93" s="43"/>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R93" s="43"/>
    </row>
    <row r="94" spans="1:44" ht="15" outlineLevel="1">
      <c r="A94" s="34" t="s">
        <v>81</v>
      </c>
      <c r="F94" s="36">
        <v>0</v>
      </c>
      <c r="G94" s="36">
        <v>0</v>
      </c>
      <c r="H94" s="36">
        <v>0</v>
      </c>
      <c r="I94" s="36">
        <v>0</v>
      </c>
      <c r="J94" s="36">
        <v>0</v>
      </c>
      <c r="K94" s="36">
        <v>0</v>
      </c>
      <c r="L94" s="36">
        <v>0</v>
      </c>
      <c r="M94" s="36">
        <v>0</v>
      </c>
      <c r="N94" s="36">
        <v>0</v>
      </c>
      <c r="O94" s="36">
        <v>0</v>
      </c>
      <c r="P94" s="36">
        <v>0</v>
      </c>
      <c r="Q94" s="36">
        <v>0</v>
      </c>
      <c r="R94" s="36">
        <v>0</v>
      </c>
      <c r="S94" s="36">
        <v>0</v>
      </c>
      <c r="T94" s="36">
        <v>0</v>
      </c>
      <c r="U94" s="36">
        <v>0</v>
      </c>
      <c r="V94" s="36">
        <v>0</v>
      </c>
      <c r="W94" s="36">
        <v>0</v>
      </c>
      <c r="X94" s="36">
        <v>0</v>
      </c>
      <c r="Y94" s="36">
        <v>0</v>
      </c>
      <c r="Z94" s="36">
        <v>0</v>
      </c>
      <c r="AA94" s="36">
        <v>0</v>
      </c>
      <c r="AB94" s="36">
        <v>0</v>
      </c>
      <c r="AC94" s="36">
        <v>0</v>
      </c>
      <c r="AD94" s="36">
        <v>0</v>
      </c>
      <c r="AE94" s="36">
        <v>0</v>
      </c>
      <c r="AF94" s="36">
        <v>0</v>
      </c>
      <c r="AG94" s="36">
        <v>0</v>
      </c>
      <c r="AH94" s="36">
        <v>0</v>
      </c>
      <c r="AI94" s="36">
        <v>0</v>
      </c>
      <c r="AJ94" s="36">
        <v>0</v>
      </c>
      <c r="AK94" s="36">
        <v>0</v>
      </c>
      <c r="AL94" s="36">
        <v>0</v>
      </c>
      <c r="AM94" s="36">
        <v>0</v>
      </c>
      <c r="AN94" s="36">
        <v>0</v>
      </c>
      <c r="AO94" s="36">
        <v>0</v>
      </c>
      <c r="AR94" s="43"/>
    </row>
    <row r="95" spans="1:44" ht="14.25" outlineLevel="1">
      <c r="A95" s="31"/>
      <c r="F95" s="43"/>
      <c r="G95" s="43"/>
      <c r="H95" s="43"/>
      <c r="I95" s="43"/>
      <c r="J95" s="43"/>
      <c r="K95" s="43"/>
      <c r="L95" s="43"/>
      <c r="M95" s="43"/>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R95" s="43"/>
    </row>
    <row r="96" spans="1:44" ht="15" outlineLevel="1">
      <c r="A96" s="34" t="s">
        <v>82</v>
      </c>
      <c r="F96" s="50">
        <f>F91+F94</f>
        <v>0</v>
      </c>
      <c r="G96" s="50">
        <f t="shared" ref="G96:P96" si="36">G91+G94</f>
        <v>0</v>
      </c>
      <c r="H96" s="50">
        <f t="shared" si="36"/>
        <v>0</v>
      </c>
      <c r="I96" s="50">
        <f t="shared" si="36"/>
        <v>0</v>
      </c>
      <c r="J96" s="50">
        <f t="shared" si="36"/>
        <v>0</v>
      </c>
      <c r="K96" s="50">
        <f t="shared" si="36"/>
        <v>0</v>
      </c>
      <c r="L96" s="50">
        <f t="shared" si="36"/>
        <v>0</v>
      </c>
      <c r="M96" s="50">
        <f t="shared" si="36"/>
        <v>0</v>
      </c>
      <c r="N96" s="50">
        <f t="shared" si="36"/>
        <v>0</v>
      </c>
      <c r="O96" s="50">
        <f t="shared" si="36"/>
        <v>0</v>
      </c>
      <c r="P96" s="50">
        <f t="shared" si="36"/>
        <v>0</v>
      </c>
      <c r="Q96" s="50">
        <f>Q91+Q94</f>
        <v>0</v>
      </c>
      <c r="R96" s="50">
        <f>R91+R94</f>
        <v>0</v>
      </c>
      <c r="S96" s="50">
        <f t="shared" ref="S96:AB96" si="37">S91+S94</f>
        <v>0</v>
      </c>
      <c r="T96" s="50">
        <f t="shared" si="37"/>
        <v>0</v>
      </c>
      <c r="U96" s="50">
        <f t="shared" si="37"/>
        <v>0</v>
      </c>
      <c r="V96" s="50">
        <f t="shared" si="37"/>
        <v>0</v>
      </c>
      <c r="W96" s="50">
        <f t="shared" si="37"/>
        <v>0</v>
      </c>
      <c r="X96" s="50">
        <f t="shared" si="37"/>
        <v>0</v>
      </c>
      <c r="Y96" s="50">
        <f t="shared" si="37"/>
        <v>0</v>
      </c>
      <c r="Z96" s="50">
        <f t="shared" si="37"/>
        <v>0</v>
      </c>
      <c r="AA96" s="50">
        <f t="shared" si="37"/>
        <v>0</v>
      </c>
      <c r="AB96" s="50">
        <f t="shared" si="37"/>
        <v>0</v>
      </c>
      <c r="AC96" s="50">
        <f>AC91+AC94</f>
        <v>0</v>
      </c>
      <c r="AD96" s="50">
        <f>AD91+AD94</f>
        <v>0</v>
      </c>
      <c r="AE96" s="50">
        <f t="shared" ref="AE96:AN96" si="38">AE91+AE94</f>
        <v>0</v>
      </c>
      <c r="AF96" s="50">
        <f t="shared" si="38"/>
        <v>0</v>
      </c>
      <c r="AG96" s="50">
        <f t="shared" si="38"/>
        <v>0</v>
      </c>
      <c r="AH96" s="50">
        <f t="shared" si="38"/>
        <v>0</v>
      </c>
      <c r="AI96" s="50">
        <f t="shared" si="38"/>
        <v>0</v>
      </c>
      <c r="AJ96" s="50">
        <f t="shared" si="38"/>
        <v>0</v>
      </c>
      <c r="AK96" s="50">
        <f t="shared" si="38"/>
        <v>0</v>
      </c>
      <c r="AL96" s="50">
        <f t="shared" si="38"/>
        <v>0</v>
      </c>
      <c r="AM96" s="50">
        <f t="shared" si="38"/>
        <v>0</v>
      </c>
      <c r="AN96" s="50">
        <f t="shared" si="38"/>
        <v>0</v>
      </c>
      <c r="AO96" s="50">
        <f>AO91+AO94</f>
        <v>0</v>
      </c>
    </row>
    <row r="97" spans="1:41" ht="15" outlineLevel="1">
      <c r="A97" s="34" t="s">
        <v>83</v>
      </c>
      <c r="F97" s="53">
        <f>IF(ISERROR(F96/F65),0,(F96/F65))</f>
        <v>0</v>
      </c>
      <c r="G97" s="53">
        <f t="shared" ref="G97:P97" si="39">IF(ISERROR(G96/G65),0,(G96/G65))</f>
        <v>0</v>
      </c>
      <c r="H97" s="53">
        <f t="shared" si="39"/>
        <v>0</v>
      </c>
      <c r="I97" s="53">
        <f t="shared" si="39"/>
        <v>0</v>
      </c>
      <c r="J97" s="53">
        <f t="shared" si="39"/>
        <v>0</v>
      </c>
      <c r="K97" s="53">
        <f t="shared" si="39"/>
        <v>0</v>
      </c>
      <c r="L97" s="53">
        <f t="shared" si="39"/>
        <v>0</v>
      </c>
      <c r="M97" s="53">
        <f t="shared" si="39"/>
        <v>0</v>
      </c>
      <c r="N97" s="53">
        <f t="shared" si="39"/>
        <v>0</v>
      </c>
      <c r="O97" s="53">
        <f t="shared" si="39"/>
        <v>0</v>
      </c>
      <c r="P97" s="53">
        <f t="shared" si="39"/>
        <v>0</v>
      </c>
      <c r="Q97" s="53">
        <f>IF(ISERROR(Q96/Q65),0,(Q96/Q65))</f>
        <v>0</v>
      </c>
      <c r="R97" s="53">
        <f>IF(ISERROR(R96/R65),0,(R96/R65))</f>
        <v>0</v>
      </c>
      <c r="S97" s="53">
        <f t="shared" ref="S97:AB97" si="40">IF(ISERROR(S96/S65),0,(S96/S65))</f>
        <v>0</v>
      </c>
      <c r="T97" s="53">
        <f t="shared" si="40"/>
        <v>0</v>
      </c>
      <c r="U97" s="53">
        <f t="shared" si="40"/>
        <v>0</v>
      </c>
      <c r="V97" s="53">
        <f t="shared" si="40"/>
        <v>0</v>
      </c>
      <c r="W97" s="53">
        <f t="shared" si="40"/>
        <v>0</v>
      </c>
      <c r="X97" s="53">
        <f t="shared" si="40"/>
        <v>0</v>
      </c>
      <c r="Y97" s="53">
        <f t="shared" si="40"/>
        <v>0</v>
      </c>
      <c r="Z97" s="53">
        <f t="shared" si="40"/>
        <v>0</v>
      </c>
      <c r="AA97" s="53">
        <f t="shared" si="40"/>
        <v>0</v>
      </c>
      <c r="AB97" s="53">
        <f t="shared" si="40"/>
        <v>0</v>
      </c>
      <c r="AC97" s="53">
        <f>IF(ISERROR(AC96/AC65),0,(AC96/AC65))</f>
        <v>0</v>
      </c>
      <c r="AD97" s="53">
        <f>IF(ISERROR(AD96/AD65),0,(AD96/AD65))</f>
        <v>0</v>
      </c>
      <c r="AE97" s="53">
        <f t="shared" ref="AE97:AN97" si="41">IF(ISERROR(AE96/AE65),0,(AE96/AE65))</f>
        <v>0</v>
      </c>
      <c r="AF97" s="53">
        <f t="shared" si="41"/>
        <v>0</v>
      </c>
      <c r="AG97" s="53">
        <f t="shared" si="41"/>
        <v>0</v>
      </c>
      <c r="AH97" s="53">
        <f t="shared" si="41"/>
        <v>0</v>
      </c>
      <c r="AI97" s="53">
        <f t="shared" si="41"/>
        <v>0</v>
      </c>
      <c r="AJ97" s="53">
        <f t="shared" si="41"/>
        <v>0</v>
      </c>
      <c r="AK97" s="53">
        <f t="shared" si="41"/>
        <v>0</v>
      </c>
      <c r="AL97" s="53">
        <f t="shared" si="41"/>
        <v>0</v>
      </c>
      <c r="AM97" s="53">
        <f t="shared" si="41"/>
        <v>0</v>
      </c>
      <c r="AN97" s="53">
        <f t="shared" si="41"/>
        <v>0</v>
      </c>
      <c r="AO97" s="53">
        <f>IF(ISERROR(AO96/AO65),0,(AO96/AO65))</f>
        <v>0</v>
      </c>
    </row>
    <row r="98" spans="1:41" outlineLevel="1"/>
    <row r="99" spans="1:41">
      <c r="A99" s="58"/>
    </row>
  </sheetData>
  <conditionalFormatting sqref="A5:AR5">
    <cfRule type="expression" dxfId="20" priority="5" stopIfTrue="1">
      <formula>ErrorsPresent&gt;0</formula>
    </cfRule>
    <cfRule type="expression" dxfId="19" priority="6" stopIfTrue="1">
      <formula>ErrorsPresent&lt;0</formula>
    </cfRule>
  </conditionalFormatting>
  <conditionalFormatting sqref="B1:AR1">
    <cfRule type="expression" dxfId="18" priority="9" stopIfTrue="1">
      <formula>ErrorsPresent&gt;0</formula>
    </cfRule>
    <cfRule type="expression" dxfId="17" priority="10" stopIfTrue="1">
      <formula>ErrorsPresent&lt;0</formula>
    </cfRule>
  </conditionalFormatting>
  <conditionalFormatting sqref="B1:AR1">
    <cfRule type="expression" dxfId="16" priority="7" stopIfTrue="1">
      <formula>Error_Error&lt;0</formula>
    </cfRule>
    <cfRule type="expression" dxfId="15" priority="8" stopIfTrue="1">
      <formula>Error_Error&gt;0</formula>
    </cfRule>
  </conditionalFormatting>
  <conditionalFormatting sqref="A53:AR53">
    <cfRule type="expression" dxfId="14" priority="3" stopIfTrue="1">
      <formula>ErrorsPresent&gt;0</formula>
    </cfRule>
    <cfRule type="expression" dxfId="13" priority="4" stopIfTrue="1">
      <formula>ErrorsPresent&lt;0</formula>
    </cfRule>
  </conditionalFormatting>
  <conditionalFormatting sqref="A1">
    <cfRule type="expression" dxfId="12" priority="1" stopIfTrue="1">
      <formula>ErrorsPresent&gt;0</formula>
    </cfRule>
    <cfRule type="expression" dxfId="11" priority="2" stopIfTrue="1">
      <formula>ErrorsPresent&lt;0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39"/>
  <sheetViews>
    <sheetView showGridLines="0" zoomScale="80" zoomScaleNormal="80" workbookViewId="0">
      <selection activeCell="K34" sqref="K34"/>
    </sheetView>
  </sheetViews>
  <sheetFormatPr defaultColWidth="0" defaultRowHeight="15" customHeight="1" zeroHeight="1"/>
  <cols>
    <col min="1" max="1" width="15.85546875" style="85" customWidth="1"/>
    <col min="2" max="3" width="11.42578125" style="85" customWidth="1"/>
    <col min="4" max="4" width="17.85546875" style="85" customWidth="1"/>
    <col min="5" max="10" width="11.42578125" style="85" customWidth="1"/>
    <col min="11" max="11" width="35.7109375" style="85" customWidth="1"/>
    <col min="12" max="16" width="0" style="85" hidden="1" customWidth="1"/>
    <col min="17" max="16384" width="11.42578125" style="85" hidden="1"/>
  </cols>
  <sheetData>
    <row r="1" spans="1:11">
      <c r="A1" s="83" t="s">
        <v>206</v>
      </c>
      <c r="B1" s="23"/>
      <c r="C1" s="23"/>
      <c r="D1" s="23"/>
      <c r="E1" s="23"/>
      <c r="F1" s="23"/>
      <c r="G1" s="23"/>
      <c r="H1" s="23"/>
      <c r="I1" s="23"/>
      <c r="J1" s="23"/>
      <c r="K1" s="23"/>
    </row>
    <row r="2" spans="1:11" ht="15.75">
      <c r="A2" s="137" t="s">
        <v>214</v>
      </c>
    </row>
    <row r="3" spans="1:11"/>
    <row r="4" spans="1:11"/>
    <row r="5" spans="1:11"/>
    <row r="6" spans="1:11" ht="12" customHeight="1">
      <c r="A6" s="138" t="s">
        <v>215</v>
      </c>
      <c r="B6" s="30"/>
      <c r="C6" s="30"/>
      <c r="D6" s="30"/>
      <c r="E6" s="30"/>
      <c r="F6" s="30"/>
      <c r="G6" s="30"/>
      <c r="H6" s="30"/>
      <c r="I6" s="30"/>
      <c r="J6" s="30"/>
      <c r="K6" s="30"/>
    </row>
    <row r="7" spans="1:11"/>
    <row r="8" spans="1:11">
      <c r="A8" s="139" t="s">
        <v>216</v>
      </c>
      <c r="B8" s="140" t="s">
        <v>217</v>
      </c>
      <c r="C8" s="141"/>
      <c r="D8" s="141"/>
      <c r="E8" s="141"/>
      <c r="F8" s="141"/>
      <c r="G8" s="141"/>
    </row>
    <row r="9" spans="1:11">
      <c r="A9" s="140"/>
      <c r="B9" s="140" t="s">
        <v>218</v>
      </c>
      <c r="C9" s="141"/>
      <c r="D9" s="142">
        <v>12000</v>
      </c>
      <c r="E9" s="141" t="s">
        <v>219</v>
      </c>
      <c r="F9" s="141"/>
      <c r="G9" s="141"/>
    </row>
    <row r="10" spans="1:11">
      <c r="A10" s="140"/>
      <c r="B10" s="140"/>
      <c r="C10" s="141"/>
      <c r="D10" s="141"/>
      <c r="E10" s="141"/>
      <c r="F10" s="141"/>
      <c r="G10" s="141"/>
    </row>
    <row r="11" spans="1:11">
      <c r="A11" s="140"/>
      <c r="B11" s="140" t="s">
        <v>220</v>
      </c>
      <c r="C11" s="141"/>
      <c r="D11" s="143" t="s">
        <v>220</v>
      </c>
      <c r="E11" s="141" t="s">
        <v>363</v>
      </c>
      <c r="F11" s="141"/>
      <c r="G11" s="141"/>
    </row>
    <row r="12" spans="1:11">
      <c r="A12" s="140"/>
      <c r="B12" s="140"/>
      <c r="C12" s="141"/>
      <c r="D12" s="141"/>
      <c r="E12" s="141"/>
      <c r="F12" s="141"/>
      <c r="G12" s="141"/>
    </row>
    <row r="13" spans="1:11">
      <c r="A13" s="140"/>
      <c r="B13" s="140" t="s">
        <v>221</v>
      </c>
      <c r="C13" s="141"/>
      <c r="D13" s="144" t="s">
        <v>221</v>
      </c>
      <c r="E13" s="141" t="s">
        <v>362</v>
      </c>
      <c r="F13" s="141"/>
      <c r="G13" s="141"/>
    </row>
    <row r="14" spans="1:11">
      <c r="A14" s="140"/>
      <c r="B14" s="140"/>
      <c r="C14" s="141"/>
      <c r="D14" s="141"/>
      <c r="E14" s="141"/>
      <c r="F14" s="141"/>
      <c r="G14" s="141"/>
    </row>
    <row r="15" spans="1:11">
      <c r="A15" s="140"/>
      <c r="B15" s="140" t="s">
        <v>359</v>
      </c>
      <c r="C15" s="141"/>
      <c r="D15" s="81" t="s">
        <v>222</v>
      </c>
      <c r="E15" s="141" t="s">
        <v>360</v>
      </c>
      <c r="F15" s="141"/>
      <c r="G15" s="141"/>
    </row>
    <row r="16" spans="1:11">
      <c r="A16" s="140"/>
      <c r="B16" s="140"/>
      <c r="C16" s="141"/>
      <c r="D16" s="141"/>
      <c r="E16" s="141"/>
      <c r="F16" s="141"/>
      <c r="G16" s="141"/>
    </row>
    <row r="17" spans="1:7">
      <c r="A17" s="139" t="s">
        <v>223</v>
      </c>
      <c r="B17" s="140" t="s">
        <v>224</v>
      </c>
      <c r="C17" s="141"/>
      <c r="D17" s="141"/>
      <c r="E17" s="141"/>
      <c r="F17" s="141"/>
      <c r="G17" s="141"/>
    </row>
    <row r="18" spans="1:7">
      <c r="A18" s="140"/>
      <c r="B18" s="140" t="s">
        <v>225</v>
      </c>
      <c r="C18" s="141"/>
      <c r="D18" s="145">
        <f>1+2</f>
        <v>3</v>
      </c>
      <c r="E18" s="141" t="s">
        <v>364</v>
      </c>
      <c r="F18" s="141"/>
      <c r="G18" s="141"/>
    </row>
    <row r="19" spans="1:7">
      <c r="A19" s="140"/>
      <c r="B19" s="140"/>
      <c r="C19" s="141"/>
      <c r="D19" s="141"/>
      <c r="E19" s="141"/>
      <c r="F19" s="141"/>
      <c r="G19" s="141"/>
    </row>
    <row r="20" spans="1:7">
      <c r="A20" s="140"/>
      <c r="B20" s="140" t="s">
        <v>226</v>
      </c>
      <c r="C20" s="141"/>
      <c r="D20" s="146">
        <f>1+2</f>
        <v>3</v>
      </c>
      <c r="E20" s="141" t="s">
        <v>365</v>
      </c>
      <c r="F20" s="141"/>
      <c r="G20" s="141"/>
    </row>
    <row r="21" spans="1:7">
      <c r="A21" s="140"/>
      <c r="B21" s="140"/>
      <c r="C21" s="141"/>
      <c r="D21" s="141"/>
      <c r="E21" s="141"/>
      <c r="F21" s="141"/>
      <c r="G21" s="141"/>
    </row>
    <row r="22" spans="1:7">
      <c r="A22" s="140"/>
      <c r="B22" s="140" t="s">
        <v>227</v>
      </c>
      <c r="C22" s="141"/>
      <c r="D22" s="147">
        <v>123</v>
      </c>
      <c r="E22" s="141" t="s">
        <v>366</v>
      </c>
      <c r="F22" s="141"/>
      <c r="G22" s="141"/>
    </row>
    <row r="23" spans="1:7">
      <c r="A23" s="140"/>
      <c r="B23" s="140"/>
      <c r="C23" s="141"/>
      <c r="D23" s="141"/>
      <c r="E23" s="141"/>
      <c r="F23" s="141"/>
      <c r="G23" s="141"/>
    </row>
    <row r="24" spans="1:7">
      <c r="A24" s="140"/>
      <c r="B24" s="140" t="s">
        <v>361</v>
      </c>
      <c r="C24" s="141"/>
      <c r="D24" s="148">
        <v>0</v>
      </c>
      <c r="E24" s="141" t="s">
        <v>410</v>
      </c>
      <c r="F24" s="141"/>
      <c r="G24" s="141"/>
    </row>
    <row r="25" spans="1:7">
      <c r="A25" s="140"/>
      <c r="B25" s="140" t="s">
        <v>361</v>
      </c>
      <c r="C25" s="141"/>
      <c r="D25" s="148">
        <v>-1</v>
      </c>
      <c r="E25" s="141" t="s">
        <v>367</v>
      </c>
      <c r="F25" s="141"/>
      <c r="G25" s="141"/>
    </row>
    <row r="26" spans="1:7">
      <c r="A26" s="140"/>
      <c r="B26" s="140" t="s">
        <v>361</v>
      </c>
      <c r="C26" s="141"/>
      <c r="D26" s="148">
        <v>1</v>
      </c>
      <c r="E26" s="141" t="s">
        <v>368</v>
      </c>
      <c r="F26" s="141"/>
      <c r="G26" s="141"/>
    </row>
    <row r="27" spans="1:7">
      <c r="A27" s="140"/>
      <c r="B27" s="140"/>
      <c r="C27" s="141"/>
      <c r="D27" s="141"/>
      <c r="E27" s="141"/>
      <c r="F27" s="141"/>
      <c r="G27" s="141"/>
    </row>
    <row r="28" spans="1:7">
      <c r="A28" s="139" t="s">
        <v>228</v>
      </c>
      <c r="B28" s="140"/>
      <c r="C28" s="141"/>
      <c r="D28" s="141"/>
      <c r="E28" s="141"/>
      <c r="F28" s="141"/>
      <c r="G28" s="141"/>
    </row>
    <row r="29" spans="1:7">
      <c r="A29" s="139"/>
      <c r="B29" s="140" t="s">
        <v>229</v>
      </c>
      <c r="C29" s="141"/>
      <c r="D29" s="149" t="s">
        <v>229</v>
      </c>
      <c r="E29" s="141" t="s">
        <v>369</v>
      </c>
      <c r="F29" s="141"/>
      <c r="G29" s="141"/>
    </row>
    <row r="30" spans="1:7">
      <c r="A30" s="139"/>
      <c r="B30" s="140"/>
      <c r="C30" s="141"/>
      <c r="D30" s="140"/>
      <c r="E30" s="141"/>
      <c r="F30" s="141"/>
      <c r="G30" s="141"/>
    </row>
    <row r="31" spans="1:7">
      <c r="A31" s="139"/>
      <c r="B31" s="140" t="s">
        <v>230</v>
      </c>
      <c r="C31" s="141"/>
      <c r="D31" s="150">
        <v>0</v>
      </c>
      <c r="E31" s="141" t="s">
        <v>231</v>
      </c>
      <c r="F31" s="141"/>
      <c r="G31" s="141"/>
    </row>
    <row r="32" spans="1:7">
      <c r="A32" s="139"/>
      <c r="B32" s="140"/>
      <c r="C32" s="141"/>
      <c r="D32" s="140"/>
      <c r="E32" s="141"/>
      <c r="F32" s="141"/>
      <c r="G32" s="141"/>
    </row>
    <row r="33" spans="1:11">
      <c r="A33" s="103" t="s">
        <v>168</v>
      </c>
      <c r="B33" s="104"/>
      <c r="C33" s="104"/>
      <c r="D33" s="104"/>
      <c r="E33" s="104"/>
      <c r="F33" s="104"/>
      <c r="G33" s="104"/>
      <c r="H33" s="104"/>
      <c r="I33" s="104"/>
      <c r="J33" s="104"/>
      <c r="K33" s="104"/>
    </row>
    <row r="34" spans="1:11"/>
    <row r="35" spans="1:11"/>
    <row r="36" spans="1:11" ht="15" customHeight="1"/>
    <row r="37" spans="1:11" ht="15" customHeight="1"/>
    <row r="38" spans="1:11" ht="15" customHeight="1"/>
    <row r="39" spans="1:11" ht="15" customHeight="1"/>
  </sheetData>
  <conditionalFormatting sqref="B1:C1 A6:K6 A33:K33">
    <cfRule type="expression" dxfId="10" priority="6" stopIfTrue="1">
      <formula>ErrorsPresent&gt;0</formula>
    </cfRule>
    <cfRule type="expression" dxfId="9" priority="7" stopIfTrue="1">
      <formula>ErrorsPresent&lt;0</formula>
    </cfRule>
  </conditionalFormatting>
  <conditionalFormatting sqref="D11">
    <cfRule type="expression" dxfId="8" priority="5" stopIfTrue="1">
      <formula>isFormula(D11)</formula>
    </cfRule>
  </conditionalFormatting>
  <conditionalFormatting sqref="D24:D26">
    <cfRule type="cellIs" dxfId="7" priority="3" stopIfTrue="1" operator="greaterThan">
      <formula>0</formula>
    </cfRule>
    <cfRule type="cellIs" dxfId="6" priority="4" stopIfTrue="1" operator="lessThan">
      <formula>0</formula>
    </cfRule>
  </conditionalFormatting>
  <conditionalFormatting sqref="A1">
    <cfRule type="expression" dxfId="5" priority="1" stopIfTrue="1">
      <formula>ErrorsPresent&gt;0</formula>
    </cfRule>
    <cfRule type="expression" dxfId="4" priority="2" stopIfTrue="1">
      <formula>ErrorsPresent&lt;0</formula>
    </cfRule>
  </conditionalFormatting>
  <dataValidations count="1">
    <dataValidation type="list" allowBlank="1" showInputMessage="1" showErrorMessage="1" sqref="D15">
      <formula1>"List, Other List"</formula1>
    </dataValidation>
  </dataValidations>
  <pageMargins left="0.7" right="0.7" top="0.75" bottom="0.75" header="0.3" footer="0.3"/>
  <pageSetup paperSize="9" orientation="portrait" horizontalDpi="200" verticalDpi="20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42"/>
  <sheetViews>
    <sheetView showGridLines="0" zoomScale="90" zoomScaleNormal="90" workbookViewId="0">
      <selection activeCell="M45" sqref="M45"/>
    </sheetView>
  </sheetViews>
  <sheetFormatPr defaultColWidth="0" defaultRowHeight="15"/>
  <cols>
    <col min="1" max="1" width="20.7109375" style="85" customWidth="1"/>
    <col min="2" max="2" width="22.28515625" style="85" customWidth="1"/>
    <col min="3" max="13" width="11.42578125" style="85" customWidth="1"/>
    <col min="14" max="15" width="0" style="85" hidden="1" customWidth="1"/>
    <col min="16" max="16384" width="11.42578125" style="85" hidden="1"/>
  </cols>
  <sheetData>
    <row r="1" spans="1:13">
      <c r="A1" s="83" t="str">
        <f>TitleName</f>
        <v>IsysC_CostModel_v1 2.xlsm</v>
      </c>
      <c r="B1" s="83"/>
      <c r="C1" s="83"/>
      <c r="D1" s="83"/>
      <c r="E1" s="83"/>
      <c r="F1" s="83"/>
      <c r="G1" s="83"/>
      <c r="H1" s="83"/>
      <c r="I1" s="83"/>
      <c r="J1" s="83"/>
      <c r="K1" s="83"/>
      <c r="L1" s="83"/>
      <c r="M1" s="83"/>
    </row>
    <row r="2" spans="1:13" ht="15.75">
      <c r="A2" s="137" t="s">
        <v>232</v>
      </c>
    </row>
    <row r="6" spans="1:13" ht="12" customHeight="1">
      <c r="A6" s="138" t="s">
        <v>233</v>
      </c>
      <c r="B6" s="30"/>
      <c r="C6" s="30"/>
      <c r="D6" s="30"/>
      <c r="E6" s="30"/>
      <c r="F6" s="30"/>
      <c r="G6" s="30"/>
      <c r="H6" s="30"/>
      <c r="I6" s="30"/>
      <c r="J6" s="30"/>
      <c r="K6" s="30"/>
      <c r="L6" s="30"/>
      <c r="M6" s="30"/>
    </row>
    <row r="8" spans="1:13">
      <c r="D8" s="241" t="s">
        <v>370</v>
      </c>
      <c r="E8" s="242"/>
      <c r="F8" s="242"/>
      <c r="G8" s="242"/>
      <c r="H8" s="242"/>
      <c r="I8" s="242"/>
      <c r="J8" s="242"/>
      <c r="K8" s="242"/>
      <c r="L8" s="242"/>
    </row>
    <row r="9" spans="1:13">
      <c r="D9" s="243"/>
      <c r="E9" s="243"/>
      <c r="F9" s="243"/>
      <c r="G9" s="243"/>
      <c r="H9" s="243"/>
      <c r="I9" s="243"/>
      <c r="J9" s="243"/>
      <c r="K9" s="243"/>
      <c r="L9" s="243"/>
    </row>
    <row r="10" spans="1:13">
      <c r="D10" s="243"/>
      <c r="E10" s="243"/>
      <c r="F10" s="243"/>
      <c r="G10" s="243"/>
      <c r="H10" s="243"/>
      <c r="I10" s="243"/>
      <c r="J10" s="243"/>
      <c r="K10" s="243"/>
      <c r="L10" s="243"/>
    </row>
    <row r="11" spans="1:13">
      <c r="D11" s="243"/>
      <c r="E11" s="243"/>
      <c r="F11" s="243"/>
      <c r="G11" s="243"/>
      <c r="H11" s="243"/>
      <c r="I11" s="243"/>
      <c r="J11" s="243"/>
      <c r="K11" s="243"/>
      <c r="L11" s="243"/>
    </row>
    <row r="12" spans="1:13">
      <c r="C12" s="151"/>
      <c r="D12" s="152"/>
      <c r="E12" s="153"/>
      <c r="F12" s="153"/>
      <c r="G12" s="153"/>
      <c r="H12" s="153"/>
      <c r="I12" s="153"/>
      <c r="J12" s="153"/>
      <c r="K12" s="153"/>
      <c r="L12" s="153"/>
      <c r="M12" s="154"/>
    </row>
    <row r="13" spans="1:13">
      <c r="C13" s="151"/>
      <c r="D13" s="239"/>
      <c r="E13" s="240"/>
      <c r="F13" s="240"/>
      <c r="G13" s="240"/>
      <c r="H13" s="240"/>
      <c r="I13" s="240"/>
      <c r="J13" s="240"/>
      <c r="K13" s="240"/>
      <c r="L13" s="240"/>
      <c r="M13" s="154"/>
    </row>
    <row r="14" spans="1:13">
      <c r="C14" s="151"/>
      <c r="D14" s="239"/>
      <c r="E14" s="240"/>
      <c r="F14" s="240"/>
      <c r="G14" s="240"/>
      <c r="H14" s="240"/>
      <c r="I14" s="240"/>
      <c r="J14" s="240"/>
      <c r="K14" s="240"/>
      <c r="L14" s="240"/>
      <c r="M14" s="154"/>
    </row>
    <row r="15" spans="1:13">
      <c r="C15" s="151"/>
      <c r="D15" s="239"/>
      <c r="E15" s="240"/>
      <c r="F15" s="240"/>
      <c r="G15" s="240"/>
      <c r="H15" s="240"/>
      <c r="I15" s="240"/>
      <c r="J15" s="240"/>
      <c r="K15" s="240"/>
      <c r="L15" s="240"/>
      <c r="M15" s="154"/>
    </row>
    <row r="16" spans="1:13">
      <c r="C16" s="151"/>
      <c r="D16" s="239"/>
      <c r="E16" s="240"/>
      <c r="F16" s="240"/>
      <c r="G16" s="240"/>
      <c r="H16" s="240"/>
      <c r="I16" s="240"/>
      <c r="J16" s="240"/>
      <c r="K16" s="240"/>
      <c r="L16" s="240"/>
      <c r="M16" s="154"/>
    </row>
    <row r="17" spans="1:13">
      <c r="C17" s="151"/>
      <c r="D17" s="239"/>
      <c r="E17" s="240"/>
      <c r="F17" s="240"/>
      <c r="G17" s="240"/>
      <c r="H17" s="240"/>
      <c r="I17" s="240"/>
      <c r="J17" s="240"/>
      <c r="K17" s="240"/>
      <c r="L17" s="240"/>
      <c r="M17" s="154"/>
    </row>
    <row r="18" spans="1:13">
      <c r="C18" s="151"/>
      <c r="D18" s="239"/>
      <c r="E18" s="240"/>
      <c r="F18" s="240"/>
      <c r="G18" s="240"/>
      <c r="H18" s="240"/>
      <c r="I18" s="240"/>
      <c r="J18" s="240"/>
      <c r="K18" s="240"/>
      <c r="L18" s="240"/>
      <c r="M18" s="154"/>
    </row>
    <row r="19" spans="1:13">
      <c r="C19" s="151"/>
      <c r="D19" s="239"/>
      <c r="E19" s="240"/>
      <c r="F19" s="240"/>
      <c r="G19" s="240"/>
      <c r="H19" s="240"/>
      <c r="I19" s="240"/>
      <c r="J19" s="240"/>
      <c r="K19" s="240"/>
      <c r="L19" s="240"/>
      <c r="M19" s="154"/>
    </row>
    <row r="20" spans="1:13">
      <c r="C20" s="151"/>
      <c r="D20" s="154"/>
      <c r="E20" s="154"/>
      <c r="F20" s="154"/>
      <c r="G20" s="154"/>
      <c r="H20" s="154"/>
      <c r="I20" s="154"/>
      <c r="J20" s="154"/>
      <c r="K20" s="154"/>
      <c r="L20" s="154"/>
      <c r="M20" s="154"/>
    </row>
    <row r="21" spans="1:13">
      <c r="C21" s="151"/>
      <c r="D21" s="154"/>
      <c r="E21" s="154"/>
      <c r="F21" s="154"/>
      <c r="G21" s="154"/>
      <c r="H21" s="154"/>
      <c r="I21" s="154"/>
      <c r="J21" s="154"/>
      <c r="K21" s="154"/>
      <c r="L21" s="154"/>
      <c r="M21" s="154"/>
    </row>
    <row r="22" spans="1:13">
      <c r="C22" s="151"/>
      <c r="D22" s="154"/>
      <c r="E22" s="154"/>
      <c r="F22" s="154"/>
      <c r="G22" s="154"/>
      <c r="H22" s="154"/>
      <c r="I22" s="154"/>
      <c r="J22" s="154"/>
      <c r="K22" s="154"/>
      <c r="L22" s="154"/>
      <c r="M22" s="154"/>
    </row>
    <row r="23" spans="1:13">
      <c r="C23" s="151"/>
      <c r="D23" s="154"/>
      <c r="E23" s="154"/>
      <c r="F23" s="154"/>
      <c r="G23" s="154"/>
      <c r="H23" s="154"/>
      <c r="I23" s="154"/>
      <c r="J23" s="154"/>
      <c r="K23" s="154"/>
      <c r="L23" s="154"/>
      <c r="M23" s="154"/>
    </row>
    <row r="24" spans="1:13">
      <c r="A24" s="138" t="s">
        <v>234</v>
      </c>
      <c r="B24" s="30"/>
      <c r="C24" s="30"/>
      <c r="D24" s="30"/>
      <c r="E24" s="30"/>
      <c r="F24" s="30"/>
      <c r="G24" s="30"/>
      <c r="H24" s="30"/>
      <c r="I24" s="30"/>
      <c r="J24" s="30"/>
      <c r="K24" s="30"/>
      <c r="L24" s="30"/>
      <c r="M24" s="30"/>
    </row>
    <row r="26" spans="1:13">
      <c r="A26" s="155"/>
      <c r="B26" s="156" t="s">
        <v>235</v>
      </c>
      <c r="C26" s="157"/>
      <c r="D26" s="157"/>
      <c r="E26" s="157"/>
      <c r="F26" s="157"/>
      <c r="G26" s="157"/>
      <c r="H26" s="157"/>
      <c r="I26" s="157"/>
      <c r="J26" s="157"/>
    </row>
    <row r="27" spans="1:13">
      <c r="A27" s="155" t="s">
        <v>236</v>
      </c>
      <c r="B27" s="158" t="s">
        <v>237</v>
      </c>
      <c r="C27" s="236" t="s">
        <v>238</v>
      </c>
      <c r="D27" s="236"/>
      <c r="E27" s="236"/>
      <c r="F27" s="236"/>
      <c r="G27" s="236"/>
      <c r="H27" s="236"/>
      <c r="I27" s="236"/>
      <c r="J27" s="236"/>
    </row>
    <row r="28" spans="1:13">
      <c r="A28" s="155"/>
      <c r="B28" s="158" t="s">
        <v>239</v>
      </c>
      <c r="C28" s="236" t="s">
        <v>240</v>
      </c>
      <c r="D28" s="236"/>
      <c r="E28" s="236"/>
      <c r="F28" s="236"/>
      <c r="G28" s="236"/>
      <c r="H28" s="236"/>
      <c r="I28" s="236"/>
      <c r="J28" s="236"/>
    </row>
    <row r="29" spans="1:13">
      <c r="A29" s="155"/>
      <c r="B29" s="158" t="s">
        <v>241</v>
      </c>
      <c r="C29" s="236" t="s">
        <v>242</v>
      </c>
      <c r="D29" s="236"/>
      <c r="E29" s="236"/>
      <c r="F29" s="236"/>
      <c r="G29" s="236"/>
      <c r="H29" s="236"/>
      <c r="I29" s="236"/>
      <c r="J29" s="236"/>
    </row>
    <row r="30" spans="1:13">
      <c r="A30" s="155"/>
      <c r="B30" s="158"/>
      <c r="C30" s="236"/>
      <c r="D30" s="236"/>
      <c r="E30" s="236"/>
      <c r="F30" s="236"/>
      <c r="G30" s="236"/>
      <c r="H30" s="236"/>
      <c r="I30" s="236"/>
      <c r="J30" s="236"/>
    </row>
    <row r="31" spans="1:13" ht="15" customHeight="1">
      <c r="A31" s="155" t="s">
        <v>243</v>
      </c>
      <c r="B31" s="158" t="s">
        <v>244</v>
      </c>
      <c r="C31" s="236" t="s">
        <v>245</v>
      </c>
      <c r="D31" s="236"/>
      <c r="E31" s="236"/>
      <c r="F31" s="236"/>
      <c r="G31" s="236"/>
      <c r="H31" s="236"/>
      <c r="I31" s="236"/>
      <c r="J31" s="236"/>
    </row>
    <row r="32" spans="1:13">
      <c r="A32" s="159"/>
      <c r="B32" s="160" t="s">
        <v>246</v>
      </c>
      <c r="C32" s="236" t="str">
        <f>"Calculates dates and periods and years"</f>
        <v>Calculates dates and periods and years</v>
      </c>
      <c r="D32" s="236"/>
      <c r="E32" s="236"/>
      <c r="F32" s="236"/>
      <c r="G32" s="236"/>
      <c r="H32" s="236"/>
      <c r="I32" s="236"/>
      <c r="J32" s="236"/>
    </row>
    <row r="33" spans="1:13">
      <c r="A33" s="159"/>
      <c r="B33" s="160"/>
      <c r="C33" s="236"/>
      <c r="D33" s="236"/>
      <c r="E33" s="236"/>
      <c r="F33" s="236"/>
      <c r="G33" s="236"/>
      <c r="H33" s="236"/>
      <c r="I33" s="236"/>
      <c r="J33" s="236"/>
    </row>
    <row r="34" spans="1:13">
      <c r="A34" s="155" t="s">
        <v>247</v>
      </c>
      <c r="B34" s="158" t="s">
        <v>248</v>
      </c>
      <c r="C34" s="236" t="s">
        <v>249</v>
      </c>
      <c r="D34" s="236"/>
      <c r="E34" s="236"/>
      <c r="F34" s="236"/>
      <c r="G34" s="236"/>
      <c r="H34" s="236"/>
      <c r="I34" s="236"/>
      <c r="J34" s="236"/>
    </row>
    <row r="35" spans="1:13" ht="15" customHeight="1">
      <c r="A35" s="159"/>
      <c r="B35" s="158" t="s">
        <v>250</v>
      </c>
      <c r="C35" s="236" t="s">
        <v>249</v>
      </c>
      <c r="D35" s="236"/>
      <c r="E35" s="236"/>
      <c r="F35" s="236"/>
      <c r="G35" s="236"/>
      <c r="H35" s="236"/>
      <c r="I35" s="236"/>
      <c r="J35" s="236"/>
    </row>
    <row r="36" spans="1:13">
      <c r="A36" s="159"/>
      <c r="B36" s="160" t="s">
        <v>251</v>
      </c>
      <c r="C36" s="236" t="s">
        <v>252</v>
      </c>
      <c r="D36" s="236"/>
      <c r="E36" s="236"/>
      <c r="F36" s="236"/>
      <c r="G36" s="236"/>
      <c r="H36" s="236"/>
      <c r="I36" s="236"/>
      <c r="J36" s="236"/>
    </row>
    <row r="37" spans="1:13">
      <c r="A37" s="159"/>
      <c r="B37" s="158"/>
      <c r="C37" s="236"/>
      <c r="D37" s="236"/>
      <c r="E37" s="236"/>
      <c r="F37" s="236"/>
      <c r="G37" s="236"/>
      <c r="H37" s="236"/>
      <c r="I37" s="236"/>
      <c r="J37" s="236"/>
    </row>
    <row r="38" spans="1:13">
      <c r="A38" s="155" t="s">
        <v>253</v>
      </c>
      <c r="B38" s="158" t="s">
        <v>254</v>
      </c>
      <c r="C38" s="236" t="s">
        <v>255</v>
      </c>
      <c r="D38" s="236"/>
      <c r="E38" s="236"/>
      <c r="F38" s="236"/>
      <c r="G38" s="236"/>
      <c r="H38" s="236"/>
      <c r="I38" s="236"/>
      <c r="J38" s="236"/>
    </row>
    <row r="39" spans="1:13">
      <c r="A39" s="159"/>
      <c r="B39" s="158" t="s">
        <v>256</v>
      </c>
      <c r="C39" s="236" t="s">
        <v>257</v>
      </c>
      <c r="D39" s="236"/>
      <c r="E39" s="236"/>
      <c r="F39" s="236"/>
      <c r="G39" s="236"/>
      <c r="H39" s="236"/>
      <c r="I39" s="236"/>
      <c r="J39" s="236"/>
    </row>
    <row r="40" spans="1:13">
      <c r="B40" s="158" t="s">
        <v>258</v>
      </c>
      <c r="C40" s="236" t="s">
        <v>259</v>
      </c>
      <c r="D40" s="236"/>
      <c r="E40" s="236"/>
      <c r="F40" s="236"/>
      <c r="G40" s="236"/>
      <c r="H40" s="236"/>
      <c r="I40" s="236"/>
      <c r="J40" s="236"/>
    </row>
    <row r="43" spans="1:13">
      <c r="A43" s="138" t="s">
        <v>237</v>
      </c>
      <c r="B43" s="30"/>
      <c r="C43" s="30"/>
      <c r="D43" s="30"/>
      <c r="E43" s="30"/>
      <c r="F43" s="30"/>
      <c r="G43" s="30"/>
      <c r="H43" s="30"/>
      <c r="I43" s="30"/>
      <c r="J43" s="30"/>
      <c r="K43" s="30"/>
      <c r="L43" s="30"/>
      <c r="M43" s="30"/>
    </row>
    <row r="45" spans="1:13">
      <c r="A45" s="161" t="s">
        <v>260</v>
      </c>
      <c r="B45" s="236" t="str">
        <f>"The Inp_Constants sheet holds the key code lists and variables used within the model."</f>
        <v>The Inp_Constants sheet holds the key code lists and variables used within the model.</v>
      </c>
      <c r="C45" s="238"/>
      <c r="D45" s="238"/>
      <c r="E45" s="238"/>
      <c r="F45" s="238"/>
      <c r="G45" s="238"/>
      <c r="H45" s="238"/>
      <c r="I45" s="238"/>
      <c r="J45" s="238"/>
    </row>
    <row r="46" spans="1:13">
      <c r="A46" s="161"/>
      <c r="B46" s="236" t="str">
        <f>"Most of the code lists are used to provide drop-down menus and cell validation on the Inp_Constants sheet."</f>
        <v>Most of the code lists are used to provide drop-down menus and cell validation on the Inp_Constants sheet.</v>
      </c>
      <c r="C46" s="238"/>
      <c r="D46" s="238"/>
      <c r="E46" s="238"/>
      <c r="F46" s="238"/>
      <c r="G46" s="238"/>
      <c r="H46" s="238"/>
      <c r="I46" s="238"/>
      <c r="J46" s="238"/>
    </row>
    <row r="47" spans="1:13">
      <c r="A47" s="161"/>
      <c r="B47" s="236" t="s">
        <v>261</v>
      </c>
      <c r="C47" s="238"/>
      <c r="D47" s="238"/>
      <c r="E47" s="238"/>
      <c r="F47" s="238"/>
      <c r="G47" s="238"/>
      <c r="H47" s="238"/>
      <c r="I47" s="238"/>
      <c r="J47" s="238"/>
    </row>
    <row r="48" spans="1:13">
      <c r="A48" s="161"/>
    </row>
    <row r="49" spans="1:10">
      <c r="A49" s="161" t="s">
        <v>262</v>
      </c>
      <c r="B49" s="236" t="s">
        <v>263</v>
      </c>
      <c r="C49" s="238"/>
      <c r="D49" s="238"/>
      <c r="E49" s="238"/>
      <c r="F49" s="238"/>
      <c r="G49" s="238"/>
      <c r="H49" s="238"/>
      <c r="I49" s="238"/>
      <c r="J49" s="238"/>
    </row>
    <row r="50" spans="1:10">
      <c r="A50" s="161"/>
      <c r="B50" s="236" t="s">
        <v>264</v>
      </c>
      <c r="C50" s="238"/>
      <c r="D50" s="238"/>
      <c r="E50" s="238"/>
      <c r="F50" s="238"/>
      <c r="G50" s="238"/>
      <c r="H50" s="238"/>
      <c r="I50" s="238"/>
      <c r="J50" s="238"/>
    </row>
    <row r="51" spans="1:10">
      <c r="A51" s="161"/>
      <c r="B51" s="236" t="s">
        <v>265</v>
      </c>
      <c r="C51" s="238"/>
      <c r="D51" s="238"/>
      <c r="E51" s="238"/>
      <c r="F51" s="238"/>
      <c r="G51" s="238"/>
      <c r="H51" s="238"/>
      <c r="I51" s="238"/>
      <c r="J51" s="238"/>
    </row>
    <row r="52" spans="1:10">
      <c r="A52" s="161"/>
      <c r="B52" s="236"/>
      <c r="C52" s="238"/>
      <c r="D52" s="238"/>
      <c r="E52" s="238"/>
      <c r="F52" s="238"/>
      <c r="G52" s="238"/>
      <c r="H52" s="238"/>
      <c r="I52" s="238"/>
      <c r="J52" s="238"/>
    </row>
    <row r="53" spans="1:10">
      <c r="A53" s="161" t="s">
        <v>266</v>
      </c>
      <c r="B53" s="236" t="s">
        <v>267</v>
      </c>
      <c r="C53" s="238"/>
      <c r="D53" s="238"/>
      <c r="E53" s="238"/>
      <c r="F53" s="238"/>
      <c r="G53" s="238"/>
      <c r="H53" s="238"/>
      <c r="I53" s="238"/>
      <c r="J53" s="238"/>
    </row>
    <row r="54" spans="1:10">
      <c r="A54" s="161"/>
      <c r="B54" s="236"/>
      <c r="C54" s="238"/>
      <c r="D54" s="238"/>
      <c r="E54" s="238"/>
      <c r="F54" s="238"/>
      <c r="G54" s="238"/>
      <c r="H54" s="238"/>
      <c r="I54" s="238"/>
      <c r="J54" s="238"/>
    </row>
    <row r="55" spans="1:10">
      <c r="A55" s="161" t="s">
        <v>268</v>
      </c>
      <c r="B55" s="236" t="s">
        <v>269</v>
      </c>
      <c r="C55" s="238"/>
      <c r="D55" s="238"/>
      <c r="E55" s="238"/>
      <c r="F55" s="238"/>
      <c r="G55" s="238"/>
      <c r="H55" s="238"/>
      <c r="I55" s="238"/>
      <c r="J55" s="238"/>
    </row>
    <row r="56" spans="1:10">
      <c r="A56" s="161"/>
      <c r="B56" s="236" t="s">
        <v>270</v>
      </c>
      <c r="C56" s="238"/>
      <c r="D56" s="238"/>
      <c r="E56" s="238"/>
      <c r="F56" s="238"/>
      <c r="G56" s="238"/>
      <c r="H56" s="238"/>
      <c r="I56" s="238"/>
      <c r="J56" s="238"/>
    </row>
    <row r="57" spans="1:10">
      <c r="A57" s="161"/>
      <c r="B57" s="236"/>
      <c r="C57" s="238"/>
      <c r="D57" s="238"/>
      <c r="E57" s="238"/>
      <c r="F57" s="238"/>
      <c r="G57" s="238"/>
      <c r="H57" s="238"/>
      <c r="I57" s="238"/>
      <c r="J57" s="238"/>
    </row>
    <row r="58" spans="1:10">
      <c r="A58" s="161" t="s">
        <v>271</v>
      </c>
      <c r="B58" s="236" t="s">
        <v>272</v>
      </c>
      <c r="C58" s="238"/>
      <c r="D58" s="238"/>
      <c r="E58" s="238"/>
      <c r="F58" s="238"/>
      <c r="G58" s="238"/>
      <c r="H58" s="238"/>
      <c r="I58" s="238"/>
      <c r="J58" s="238"/>
    </row>
    <row r="59" spans="1:10">
      <c r="A59" s="161"/>
      <c r="B59" s="236" t="s">
        <v>270</v>
      </c>
      <c r="C59" s="238"/>
      <c r="D59" s="238"/>
      <c r="E59" s="238"/>
      <c r="F59" s="238"/>
      <c r="G59" s="238"/>
      <c r="H59" s="238"/>
      <c r="I59" s="238"/>
      <c r="J59" s="238"/>
    </row>
    <row r="60" spans="1:10">
      <c r="A60" s="161"/>
      <c r="B60" s="236" t="s">
        <v>265</v>
      </c>
      <c r="C60" s="238"/>
      <c r="D60" s="238"/>
      <c r="E60" s="238"/>
      <c r="F60" s="238"/>
      <c r="G60" s="238"/>
      <c r="H60" s="238"/>
      <c r="I60" s="238"/>
      <c r="J60" s="238"/>
    </row>
    <row r="62" spans="1:10">
      <c r="A62" s="161" t="s">
        <v>273</v>
      </c>
      <c r="B62" s="236" t="s">
        <v>274</v>
      </c>
      <c r="C62" s="238"/>
      <c r="D62" s="238"/>
      <c r="E62" s="238"/>
      <c r="F62" s="238"/>
      <c r="G62" s="238"/>
      <c r="H62" s="238"/>
      <c r="I62" s="238"/>
      <c r="J62" s="238"/>
    </row>
    <row r="63" spans="1:10">
      <c r="B63" s="236" t="s">
        <v>270</v>
      </c>
      <c r="C63" s="238"/>
      <c r="D63" s="238"/>
      <c r="E63" s="238"/>
      <c r="F63" s="238"/>
      <c r="G63" s="238"/>
      <c r="H63" s="238"/>
      <c r="I63" s="238"/>
      <c r="J63" s="238"/>
    </row>
    <row r="64" spans="1:10">
      <c r="B64" s="236" t="s">
        <v>265</v>
      </c>
      <c r="C64" s="238"/>
      <c r="D64" s="238"/>
      <c r="E64" s="238"/>
      <c r="F64" s="238"/>
      <c r="G64" s="238"/>
      <c r="H64" s="238"/>
      <c r="I64" s="238"/>
      <c r="J64" s="238"/>
    </row>
    <row r="66" spans="1:10">
      <c r="A66" s="161" t="s">
        <v>275</v>
      </c>
      <c r="B66" s="236" t="s">
        <v>276</v>
      </c>
      <c r="C66" s="238"/>
      <c r="D66" s="238"/>
      <c r="E66" s="238"/>
      <c r="F66" s="238"/>
      <c r="G66" s="238"/>
      <c r="H66" s="238"/>
      <c r="I66" s="238"/>
      <c r="J66" s="238"/>
    </row>
    <row r="67" spans="1:10">
      <c r="B67" s="236" t="s">
        <v>270</v>
      </c>
      <c r="C67" s="238"/>
      <c r="D67" s="238"/>
      <c r="E67" s="238"/>
      <c r="F67" s="238"/>
      <c r="G67" s="238"/>
      <c r="H67" s="238"/>
      <c r="I67" s="238"/>
      <c r="J67" s="238"/>
    </row>
    <row r="68" spans="1:10">
      <c r="B68" s="236" t="s">
        <v>265</v>
      </c>
      <c r="C68" s="238"/>
      <c r="D68" s="238"/>
      <c r="E68" s="238"/>
      <c r="F68" s="238"/>
      <c r="G68" s="238"/>
      <c r="H68" s="238"/>
      <c r="I68" s="238"/>
      <c r="J68" s="238"/>
    </row>
    <row r="70" spans="1:10">
      <c r="A70" s="161" t="s">
        <v>277</v>
      </c>
      <c r="B70" s="236" t="s">
        <v>278</v>
      </c>
      <c r="C70" s="238"/>
      <c r="D70" s="238"/>
      <c r="E70" s="238"/>
      <c r="F70" s="238"/>
      <c r="G70" s="238"/>
      <c r="H70" s="238"/>
      <c r="I70" s="238"/>
      <c r="J70" s="238"/>
    </row>
    <row r="71" spans="1:10">
      <c r="B71" s="236" t="s">
        <v>270</v>
      </c>
      <c r="C71" s="238"/>
      <c r="D71" s="238"/>
      <c r="E71" s="238"/>
      <c r="F71" s="238"/>
      <c r="G71" s="238"/>
      <c r="H71" s="238"/>
      <c r="I71" s="238"/>
      <c r="J71" s="238"/>
    </row>
    <row r="72" spans="1:10">
      <c r="B72" s="236" t="s">
        <v>265</v>
      </c>
      <c r="C72" s="238"/>
      <c r="D72" s="238"/>
      <c r="E72" s="238"/>
      <c r="F72" s="238"/>
      <c r="G72" s="238"/>
      <c r="H72" s="238"/>
      <c r="I72" s="238"/>
      <c r="J72" s="238"/>
    </row>
    <row r="74" spans="1:10">
      <c r="A74" s="161" t="s">
        <v>277</v>
      </c>
      <c r="B74" s="236" t="s">
        <v>279</v>
      </c>
      <c r="C74" s="238"/>
      <c r="D74" s="238"/>
      <c r="E74" s="238"/>
      <c r="F74" s="238"/>
      <c r="G74" s="238"/>
      <c r="H74" s="238"/>
      <c r="I74" s="238"/>
      <c r="J74" s="238"/>
    </row>
    <row r="75" spans="1:10">
      <c r="B75" s="236" t="s">
        <v>270</v>
      </c>
      <c r="C75" s="238"/>
      <c r="D75" s="238"/>
      <c r="E75" s="238"/>
      <c r="F75" s="238"/>
      <c r="G75" s="238"/>
      <c r="H75" s="238"/>
      <c r="I75" s="238"/>
      <c r="J75" s="238"/>
    </row>
    <row r="76" spans="1:10">
      <c r="B76" s="236" t="s">
        <v>265</v>
      </c>
      <c r="C76" s="238"/>
      <c r="D76" s="238"/>
      <c r="E76" s="238"/>
      <c r="F76" s="238"/>
      <c r="G76" s="238"/>
      <c r="H76" s="238"/>
      <c r="I76" s="238"/>
      <c r="J76" s="238"/>
    </row>
    <row r="78" spans="1:10">
      <c r="A78" s="161" t="s">
        <v>280</v>
      </c>
      <c r="B78" s="236" t="s">
        <v>281</v>
      </c>
      <c r="C78" s="238"/>
      <c r="D78" s="238"/>
      <c r="E78" s="238"/>
      <c r="F78" s="238"/>
      <c r="G78" s="238"/>
      <c r="H78" s="238"/>
      <c r="I78" s="238"/>
      <c r="J78" s="238"/>
    </row>
    <row r="79" spans="1:10">
      <c r="B79" s="236" t="s">
        <v>270</v>
      </c>
      <c r="C79" s="238"/>
      <c r="D79" s="238"/>
      <c r="E79" s="238"/>
      <c r="F79" s="238"/>
      <c r="G79" s="238"/>
      <c r="H79" s="238"/>
      <c r="I79" s="238"/>
      <c r="J79" s="238"/>
    </row>
    <row r="80" spans="1:10">
      <c r="B80" s="236" t="s">
        <v>265</v>
      </c>
      <c r="C80" s="238"/>
      <c r="D80" s="238"/>
      <c r="E80" s="238"/>
      <c r="F80" s="238"/>
      <c r="G80" s="238"/>
      <c r="H80" s="238"/>
      <c r="I80" s="238"/>
      <c r="J80" s="238"/>
    </row>
    <row r="83" spans="1:13">
      <c r="A83" s="138" t="s">
        <v>282</v>
      </c>
      <c r="B83" s="30"/>
      <c r="C83" s="30"/>
      <c r="D83" s="30"/>
      <c r="E83" s="30"/>
      <c r="F83" s="30"/>
      <c r="G83" s="30"/>
      <c r="H83" s="30"/>
      <c r="I83" s="30"/>
      <c r="J83" s="30"/>
      <c r="K83" s="30"/>
      <c r="L83" s="30"/>
      <c r="M83" s="30"/>
    </row>
    <row r="85" spans="1:13" ht="15.75">
      <c r="A85" s="161" t="s">
        <v>260</v>
      </c>
      <c r="B85" s="236" t="str">
        <f>"Timelines for the project will be calculated from the data input to the Calc_Timeline worksheet, naotably the PreContractPeriodDurationIn and ContractDurationIn variables."</f>
        <v>Timelines for the project will be calculated from the data input to the Calc_Timeline worksheet, naotably the PreContractPeriodDurationIn and ContractDurationIn variables.</v>
      </c>
      <c r="C85" s="237"/>
      <c r="D85" s="237"/>
      <c r="E85" s="237"/>
      <c r="F85" s="237"/>
      <c r="G85" s="237"/>
      <c r="H85" s="237"/>
      <c r="I85" s="237"/>
      <c r="J85" s="237"/>
    </row>
    <row r="86" spans="1:13" ht="15.75">
      <c r="A86" s="161"/>
      <c r="B86" s="236" t="s">
        <v>283</v>
      </c>
      <c r="C86" s="237"/>
      <c r="D86" s="237"/>
      <c r="E86" s="237"/>
      <c r="F86" s="237"/>
      <c r="G86" s="237"/>
      <c r="H86" s="237"/>
      <c r="I86" s="237"/>
      <c r="J86" s="237"/>
    </row>
    <row r="87" spans="1:13" ht="15.75">
      <c r="A87" s="161"/>
      <c r="B87" s="236" t="s">
        <v>284</v>
      </c>
      <c r="C87" s="237"/>
      <c r="D87" s="237"/>
      <c r="E87" s="237"/>
      <c r="F87" s="237"/>
      <c r="G87" s="237"/>
      <c r="H87" s="237"/>
      <c r="I87" s="237"/>
      <c r="J87" s="237"/>
    </row>
    <row r="88" spans="1:13" ht="15.75">
      <c r="A88" s="161"/>
      <c r="B88" s="236" t="s">
        <v>285</v>
      </c>
      <c r="C88" s="237"/>
      <c r="D88" s="237"/>
      <c r="E88" s="237"/>
      <c r="F88" s="237"/>
      <c r="G88" s="237"/>
      <c r="H88" s="237"/>
      <c r="I88" s="237"/>
      <c r="J88" s="237"/>
    </row>
    <row r="90" spans="1:13">
      <c r="A90" s="138" t="s">
        <v>239</v>
      </c>
      <c r="B90" s="30"/>
      <c r="C90" s="30"/>
      <c r="D90" s="30"/>
      <c r="E90" s="30"/>
      <c r="F90" s="30"/>
      <c r="G90" s="30"/>
      <c r="H90" s="30"/>
      <c r="I90" s="30"/>
      <c r="J90" s="30"/>
      <c r="K90" s="30"/>
      <c r="L90" s="30"/>
      <c r="M90" s="30"/>
    </row>
    <row r="92" spans="1:13" ht="15.75">
      <c r="A92" s="161" t="s">
        <v>260</v>
      </c>
      <c r="B92" s="236" t="s">
        <v>286</v>
      </c>
      <c r="C92" s="237"/>
      <c r="D92" s="237"/>
      <c r="E92" s="237"/>
      <c r="F92" s="237"/>
      <c r="G92" s="237"/>
      <c r="H92" s="237"/>
      <c r="I92" s="237"/>
      <c r="J92" s="237"/>
    </row>
    <row r="93" spans="1:13" ht="15.75">
      <c r="A93" s="161"/>
      <c r="B93" s="236" t="s">
        <v>287</v>
      </c>
      <c r="C93" s="237"/>
      <c r="D93" s="237"/>
      <c r="E93" s="237"/>
      <c r="F93" s="237"/>
      <c r="G93" s="237"/>
      <c r="H93" s="237"/>
      <c r="I93" s="237"/>
      <c r="J93" s="237"/>
    </row>
    <row r="94" spans="1:13" ht="15.75">
      <c r="A94" s="161"/>
      <c r="B94" s="236" t="s">
        <v>288</v>
      </c>
      <c r="C94" s="237"/>
      <c r="D94" s="237"/>
      <c r="E94" s="237"/>
      <c r="F94" s="237"/>
      <c r="G94" s="237"/>
      <c r="H94" s="237"/>
      <c r="I94" s="237"/>
      <c r="J94" s="237"/>
    </row>
    <row r="95" spans="1:13" ht="15.75">
      <c r="A95" s="161"/>
      <c r="B95" s="236" t="s">
        <v>289</v>
      </c>
      <c r="C95" s="237"/>
      <c r="D95" s="237"/>
      <c r="E95" s="237"/>
      <c r="F95" s="237"/>
      <c r="G95" s="237"/>
      <c r="H95" s="237"/>
      <c r="I95" s="237"/>
      <c r="J95" s="237"/>
    </row>
    <row r="96" spans="1:13" ht="15.75">
      <c r="A96" s="161"/>
      <c r="B96" s="236"/>
      <c r="C96" s="237"/>
      <c r="D96" s="237"/>
      <c r="E96" s="237"/>
      <c r="F96" s="237"/>
      <c r="G96" s="237"/>
      <c r="H96" s="237"/>
      <c r="I96" s="237"/>
      <c r="J96" s="237"/>
    </row>
    <row r="97" spans="1:10" ht="15.75">
      <c r="A97" s="161" t="s">
        <v>290</v>
      </c>
      <c r="B97" s="236"/>
      <c r="C97" s="237"/>
      <c r="D97" s="237"/>
      <c r="E97" s="237"/>
      <c r="F97" s="237"/>
      <c r="G97" s="237"/>
      <c r="H97" s="237"/>
      <c r="I97" s="237"/>
      <c r="J97" s="237"/>
    </row>
    <row r="98" spans="1:10" ht="15.75">
      <c r="A98" s="162" t="s">
        <v>291</v>
      </c>
      <c r="B98" s="236" t="e">
        <f>#REF!&amp; " (Model sequencial number)"</f>
        <v>#REF!</v>
      </c>
      <c r="C98" s="237"/>
      <c r="D98" s="237"/>
      <c r="E98" s="237"/>
      <c r="F98" s="237"/>
      <c r="G98" s="237"/>
      <c r="H98" s="237"/>
      <c r="I98" s="237"/>
      <c r="J98" s="237"/>
    </row>
    <row r="99" spans="1:10" ht="15.75">
      <c r="A99" s="162"/>
      <c r="B99" s="236" t="e">
        <f>#REF!&amp;" (reference Link to SAP GL)"</f>
        <v>#REF!</v>
      </c>
      <c r="C99" s="237"/>
      <c r="D99" s="237"/>
      <c r="E99" s="237"/>
      <c r="F99" s="237"/>
      <c r="G99" s="237"/>
      <c r="H99" s="237"/>
      <c r="I99" s="237"/>
      <c r="J99" s="237"/>
    </row>
    <row r="100" spans="1:10" ht="15.75">
      <c r="B100" s="236" t="e">
        <f>#REF!&amp;" (initials which identify cost contributor)"</f>
        <v>#REF!</v>
      </c>
      <c r="C100" s="237"/>
      <c r="D100" s="237"/>
      <c r="E100" s="237"/>
      <c r="F100" s="237"/>
      <c r="G100" s="237"/>
      <c r="H100" s="237"/>
      <c r="I100" s="237"/>
      <c r="J100" s="237"/>
    </row>
    <row r="101" spans="1:10" ht="15.75">
      <c r="B101" s="236" t="e">
        <f>#REF!&amp;" (Drop down of where the cost is captured)"</f>
        <v>#REF!</v>
      </c>
      <c r="C101" s="237"/>
      <c r="D101" s="237"/>
      <c r="E101" s="237"/>
      <c r="F101" s="237"/>
      <c r="G101" s="237"/>
      <c r="H101" s="237"/>
      <c r="I101" s="237"/>
      <c r="J101" s="237"/>
    </row>
    <row r="102" spans="1:10" ht="15.75">
      <c r="A102" s="163"/>
      <c r="B102" s="236" t="e">
        <f>#REF!&amp;"  (Department)"</f>
        <v>#REF!</v>
      </c>
      <c r="C102" s="237"/>
      <c r="D102" s="237"/>
      <c r="E102" s="237"/>
      <c r="F102" s="237"/>
      <c r="G102" s="237"/>
      <c r="H102" s="237"/>
      <c r="I102" s="237"/>
      <c r="J102" s="237"/>
    </row>
    <row r="103" spans="1:10" ht="15.75">
      <c r="A103" s="163"/>
      <c r="B103" s="161" t="e">
        <f>#REF!&amp;" (Process or team)"</f>
        <v>#REF!</v>
      </c>
      <c r="C103" s="164"/>
      <c r="D103" s="164"/>
      <c r="E103" s="164"/>
      <c r="F103" s="164"/>
      <c r="G103" s="164"/>
      <c r="H103" s="164"/>
      <c r="I103" s="164"/>
      <c r="J103" s="164"/>
    </row>
    <row r="104" spans="1:10" ht="15.75">
      <c r="A104" s="163"/>
      <c r="B104" s="161" t="e">
        <f>#REF!&amp;" (Task)"</f>
        <v>#REF!</v>
      </c>
      <c r="C104" s="164"/>
      <c r="D104" s="164"/>
      <c r="E104" s="164"/>
      <c r="F104" s="164"/>
      <c r="G104" s="164"/>
      <c r="H104" s="164"/>
      <c r="I104" s="164"/>
      <c r="J104" s="164"/>
    </row>
    <row r="105" spans="1:10" ht="15.75">
      <c r="A105" s="163"/>
      <c r="B105" s="236" t="s">
        <v>292</v>
      </c>
      <c r="C105" s="237"/>
      <c r="D105" s="237"/>
      <c r="E105" s="237"/>
      <c r="F105" s="237"/>
      <c r="G105" s="237"/>
      <c r="H105" s="237"/>
      <c r="I105" s="237"/>
      <c r="J105" s="237"/>
    </row>
    <row r="106" spans="1:10" ht="15.75">
      <c r="A106" s="163"/>
      <c r="B106" s="236" t="e">
        <f>#REF!&amp;" (Currently Serco, Peek, Siemens)"</f>
        <v>#REF!</v>
      </c>
      <c r="C106" s="237"/>
      <c r="D106" s="237"/>
      <c r="E106" s="237"/>
      <c r="F106" s="237"/>
      <c r="G106" s="237"/>
      <c r="H106" s="237"/>
      <c r="I106" s="237"/>
      <c r="J106" s="237"/>
    </row>
    <row r="107" spans="1:10" ht="15.75">
      <c r="A107" s="163"/>
      <c r="B107" s="161" t="e">
        <f>#REF!</f>
        <v>#REF!</v>
      </c>
      <c r="C107" s="164"/>
      <c r="D107" s="164"/>
      <c r="E107" s="164"/>
      <c r="F107" s="164"/>
      <c r="G107" s="164"/>
      <c r="H107" s="164"/>
      <c r="I107" s="164"/>
      <c r="J107" s="164"/>
    </row>
    <row r="108" spans="1:10" ht="15.75">
      <c r="A108" s="163"/>
      <c r="B108" s="236" t="e">
        <f>#REF!&amp;" (Where a 3rd party supplier is involved)"</f>
        <v>#REF!</v>
      </c>
      <c r="C108" s="237"/>
      <c r="D108" s="237"/>
      <c r="E108" s="237"/>
      <c r="F108" s="237"/>
      <c r="G108" s="237"/>
      <c r="H108" s="237"/>
      <c r="I108" s="237"/>
      <c r="J108" s="237"/>
    </row>
    <row r="109" spans="1:10" ht="15.75">
      <c r="A109" s="163"/>
      <c r="B109" s="161" t="e">
        <f>#REF!</f>
        <v>#REF!</v>
      </c>
      <c r="C109" s="164"/>
      <c r="D109" s="164"/>
      <c r="E109" s="164"/>
      <c r="F109" s="164"/>
      <c r="G109" s="164"/>
      <c r="H109" s="164"/>
      <c r="I109" s="164"/>
      <c r="J109" s="164"/>
    </row>
    <row r="110" spans="1:10" ht="15.75">
      <c r="A110" s="163"/>
      <c r="B110" s="161" t="e">
        <f>#REF!</f>
        <v>#REF!</v>
      </c>
      <c r="C110" s="164"/>
      <c r="D110" s="164"/>
      <c r="E110" s="164"/>
      <c r="F110" s="164"/>
      <c r="G110" s="164"/>
      <c r="H110" s="164"/>
      <c r="I110" s="164"/>
      <c r="J110" s="164"/>
    </row>
    <row r="111" spans="1:10" ht="15.75">
      <c r="A111" s="163"/>
      <c r="B111" s="161" t="e">
        <f>#REF!</f>
        <v>#REF!</v>
      </c>
      <c r="C111" s="164"/>
      <c r="D111" s="164"/>
      <c r="E111" s="164"/>
      <c r="F111" s="164"/>
      <c r="G111" s="164"/>
      <c r="H111" s="164"/>
      <c r="I111" s="164"/>
      <c r="J111" s="164"/>
    </row>
    <row r="112" spans="1:10" ht="15.75">
      <c r="A112" s="163"/>
      <c r="B112" s="161" t="e">
        <f>#REF!</f>
        <v>#REF!</v>
      </c>
      <c r="C112" s="164"/>
      <c r="D112" s="164"/>
      <c r="E112" s="164"/>
      <c r="F112" s="164"/>
      <c r="G112" s="164"/>
      <c r="H112" s="164"/>
      <c r="I112" s="164"/>
      <c r="J112" s="164"/>
    </row>
    <row r="113" spans="1:10" ht="15.75">
      <c r="A113" s="163"/>
      <c r="B113" s="236" t="e">
        <f>#REF!&amp;" (Same as Value but takes into account user switches)"</f>
        <v>#REF!</v>
      </c>
      <c r="C113" s="237"/>
      <c r="D113" s="237"/>
      <c r="E113" s="237"/>
      <c r="F113" s="237"/>
      <c r="G113" s="237"/>
      <c r="H113" s="237"/>
      <c r="I113" s="237"/>
      <c r="J113" s="237"/>
    </row>
    <row r="114" spans="1:10" ht="15.75">
      <c r="A114" s="163"/>
      <c r="B114" s="161" t="e">
        <f>#REF!&amp;" (Volumes)"</f>
        <v>#REF!</v>
      </c>
      <c r="C114" s="164"/>
      <c r="D114" s="164"/>
      <c r="E114" s="164"/>
      <c r="F114" s="164"/>
      <c r="G114" s="164"/>
      <c r="H114" s="164"/>
      <c r="I114" s="164"/>
      <c r="J114" s="164"/>
    </row>
    <row r="115" spans="1:10" ht="15.75">
      <c r="A115" s="163"/>
      <c r="B115" s="161"/>
      <c r="C115" s="164"/>
      <c r="D115" s="164"/>
      <c r="E115" s="164"/>
      <c r="F115" s="164"/>
      <c r="G115" s="164"/>
      <c r="H115" s="164"/>
      <c r="I115" s="164"/>
      <c r="J115" s="164"/>
    </row>
    <row r="116" spans="1:10" ht="15.75">
      <c r="A116" s="157"/>
      <c r="B116" s="236"/>
      <c r="C116" s="237"/>
      <c r="D116" s="237"/>
      <c r="E116" s="237"/>
      <c r="F116" s="237"/>
      <c r="G116" s="237"/>
      <c r="H116" s="237"/>
      <c r="I116" s="237"/>
      <c r="J116" s="237"/>
    </row>
    <row r="117" spans="1:10" ht="15.75">
      <c r="A117" s="162" t="s">
        <v>293</v>
      </c>
      <c r="B117" s="236" t="s">
        <v>294</v>
      </c>
      <c r="C117" s="237"/>
      <c r="D117" s="237"/>
      <c r="E117" s="237"/>
      <c r="F117" s="237"/>
      <c r="G117" s="237"/>
      <c r="H117" s="237"/>
      <c r="I117" s="237"/>
      <c r="J117" s="237"/>
    </row>
    <row r="118" spans="1:10" ht="15.75">
      <c r="A118" s="157"/>
      <c r="B118" s="236" t="s">
        <v>295</v>
      </c>
      <c r="C118" s="237"/>
      <c r="D118" s="237"/>
      <c r="E118" s="237"/>
      <c r="F118" s="237"/>
      <c r="G118" s="237"/>
      <c r="H118" s="237"/>
      <c r="I118" s="237"/>
      <c r="J118" s="237"/>
    </row>
    <row r="119" spans="1:10" ht="15.75">
      <c r="A119" s="157"/>
      <c r="B119" s="236" t="s">
        <v>296</v>
      </c>
      <c r="C119" s="237"/>
      <c r="D119" s="237"/>
      <c r="E119" s="237"/>
      <c r="F119" s="237"/>
      <c r="G119" s="237"/>
      <c r="H119" s="237"/>
      <c r="I119" s="237"/>
      <c r="J119" s="237"/>
    </row>
    <row r="120" spans="1:10" ht="15.75">
      <c r="A120" s="157"/>
      <c r="B120" s="236" t="s">
        <v>297</v>
      </c>
      <c r="C120" s="237"/>
      <c r="D120" s="237"/>
      <c r="E120" s="237"/>
      <c r="F120" s="237"/>
      <c r="G120" s="237"/>
      <c r="H120" s="237"/>
      <c r="I120" s="237"/>
      <c r="J120" s="237"/>
    </row>
    <row r="121" spans="1:10" ht="15.75">
      <c r="A121" s="157"/>
      <c r="B121" s="161" t="s">
        <v>298</v>
      </c>
      <c r="C121" s="164"/>
      <c r="D121" s="164"/>
      <c r="E121" s="164"/>
      <c r="F121" s="164"/>
      <c r="G121" s="164"/>
      <c r="H121" s="164"/>
      <c r="I121" s="164"/>
      <c r="J121" s="164"/>
    </row>
    <row r="122" spans="1:10" ht="15.75">
      <c r="A122" s="157"/>
      <c r="B122" s="236" t="s">
        <v>299</v>
      </c>
      <c r="C122" s="237"/>
      <c r="D122" s="237"/>
      <c r="E122" s="237"/>
      <c r="F122" s="237"/>
      <c r="G122" s="237"/>
      <c r="H122" s="237"/>
      <c r="I122" s="237"/>
      <c r="J122" s="237"/>
    </row>
    <row r="123" spans="1:10" ht="15.75">
      <c r="A123" s="157"/>
      <c r="B123" s="236" t="s">
        <v>300</v>
      </c>
      <c r="C123" s="237"/>
      <c r="D123" s="237"/>
      <c r="E123" s="237"/>
      <c r="F123" s="237"/>
      <c r="G123" s="237"/>
      <c r="H123" s="237"/>
      <c r="I123" s="237"/>
      <c r="J123" s="237"/>
    </row>
    <row r="124" spans="1:10" ht="15.75">
      <c r="A124" s="157"/>
      <c r="B124" s="236" t="s">
        <v>301</v>
      </c>
      <c r="C124" s="237"/>
      <c r="D124" s="237"/>
      <c r="E124" s="237"/>
      <c r="F124" s="237"/>
      <c r="G124" s="237"/>
      <c r="H124" s="237"/>
      <c r="I124" s="237"/>
      <c r="J124" s="237"/>
    </row>
    <row r="125" spans="1:10" ht="15.75">
      <c r="A125" s="157"/>
      <c r="B125" s="236" t="s">
        <v>302</v>
      </c>
      <c r="C125" s="237"/>
      <c r="D125" s="237"/>
      <c r="E125" s="237"/>
      <c r="F125" s="237"/>
      <c r="G125" s="237"/>
      <c r="H125" s="237"/>
      <c r="I125" s="237"/>
      <c r="J125" s="237"/>
    </row>
    <row r="126" spans="1:10" ht="15.75">
      <c r="A126" s="157"/>
      <c r="B126" s="236" t="s">
        <v>303</v>
      </c>
      <c r="C126" s="237"/>
      <c r="D126" s="237"/>
      <c r="E126" s="237"/>
      <c r="F126" s="237"/>
      <c r="G126" s="237"/>
      <c r="H126" s="237"/>
      <c r="I126" s="237"/>
      <c r="J126" s="237"/>
    </row>
    <row r="127" spans="1:10" ht="15.75">
      <c r="B127" s="236" t="s">
        <v>304</v>
      </c>
      <c r="C127" s="237"/>
      <c r="D127" s="237"/>
      <c r="E127" s="237"/>
      <c r="F127" s="237"/>
      <c r="G127" s="237"/>
      <c r="H127" s="237"/>
      <c r="I127" s="237"/>
      <c r="J127" s="237"/>
    </row>
    <row r="128" spans="1:10" ht="15.75">
      <c r="B128" s="236" t="s">
        <v>305</v>
      </c>
      <c r="C128" s="237"/>
      <c r="D128" s="237"/>
      <c r="E128" s="237"/>
      <c r="F128" s="237"/>
      <c r="G128" s="237"/>
      <c r="H128" s="237"/>
      <c r="I128" s="237"/>
      <c r="J128" s="237"/>
    </row>
    <row r="129" spans="1:13" ht="15.75">
      <c r="B129" s="236" t="s">
        <v>306</v>
      </c>
      <c r="C129" s="237"/>
      <c r="D129" s="237"/>
      <c r="E129" s="237"/>
      <c r="F129" s="237"/>
      <c r="G129" s="237"/>
      <c r="H129" s="237"/>
      <c r="I129" s="237"/>
      <c r="J129" s="237"/>
    </row>
    <row r="130" spans="1:13" ht="15.75">
      <c r="B130" s="236" t="s">
        <v>307</v>
      </c>
      <c r="C130" s="237"/>
      <c r="D130" s="237"/>
      <c r="E130" s="237"/>
      <c r="F130" s="237"/>
      <c r="G130" s="237"/>
      <c r="H130" s="237"/>
      <c r="I130" s="237"/>
      <c r="J130" s="237"/>
    </row>
    <row r="132" spans="1:13">
      <c r="A132" s="138" t="s">
        <v>308</v>
      </c>
      <c r="B132" s="30"/>
      <c r="C132" s="30"/>
      <c r="D132" s="30"/>
      <c r="E132" s="30"/>
      <c r="F132" s="30"/>
      <c r="G132" s="30"/>
      <c r="H132" s="30"/>
      <c r="I132" s="30"/>
      <c r="J132" s="30"/>
      <c r="K132" s="30"/>
      <c r="L132" s="30"/>
      <c r="M132" s="30"/>
    </row>
    <row r="138" spans="1:13">
      <c r="A138" s="138" t="s">
        <v>309</v>
      </c>
      <c r="B138" s="30"/>
      <c r="C138" s="30"/>
      <c r="D138" s="30"/>
      <c r="E138" s="30"/>
      <c r="F138" s="30"/>
      <c r="G138" s="30"/>
      <c r="H138" s="30"/>
      <c r="I138" s="30"/>
      <c r="J138" s="30"/>
      <c r="K138" s="30"/>
      <c r="L138" s="30"/>
      <c r="M138" s="30"/>
    </row>
    <row r="140" spans="1:13">
      <c r="B140" s="165" t="s">
        <v>310</v>
      </c>
      <c r="C140" s="165"/>
      <c r="D140" s="165"/>
      <c r="E140" s="165"/>
      <c r="F140" s="165"/>
      <c r="G140" s="165"/>
      <c r="H140" s="165"/>
      <c r="I140" s="165"/>
      <c r="J140" s="165"/>
    </row>
    <row r="141" spans="1:13">
      <c r="B141" s="165" t="s">
        <v>311</v>
      </c>
      <c r="C141" s="165"/>
      <c r="D141" s="165"/>
      <c r="E141" s="165"/>
      <c r="F141" s="165"/>
      <c r="G141" s="165"/>
      <c r="H141" s="165"/>
      <c r="I141" s="165"/>
      <c r="J141" s="165"/>
    </row>
    <row r="142" spans="1:13">
      <c r="B142" s="165" t="s">
        <v>312</v>
      </c>
      <c r="C142" s="165"/>
      <c r="D142" s="165"/>
      <c r="E142" s="165"/>
      <c r="F142" s="165"/>
      <c r="G142" s="165"/>
      <c r="H142" s="165"/>
      <c r="I142" s="165"/>
      <c r="J142" s="165"/>
    </row>
  </sheetData>
  <mergeCells count="85">
    <mergeCell ref="D17:L17"/>
    <mergeCell ref="D8:L11"/>
    <mergeCell ref="D13:L13"/>
    <mergeCell ref="D14:L14"/>
    <mergeCell ref="D15:L15"/>
    <mergeCell ref="D16:L16"/>
    <mergeCell ref="C36:J36"/>
    <mergeCell ref="D18:L18"/>
    <mergeCell ref="D19:L19"/>
    <mergeCell ref="C27:J27"/>
    <mergeCell ref="C28:J28"/>
    <mergeCell ref="C29:J29"/>
    <mergeCell ref="C30:J30"/>
    <mergeCell ref="C31:J31"/>
    <mergeCell ref="C32:J32"/>
    <mergeCell ref="C33:J33"/>
    <mergeCell ref="C34:J34"/>
    <mergeCell ref="C35:J35"/>
    <mergeCell ref="B53:J53"/>
    <mergeCell ref="C37:J37"/>
    <mergeCell ref="C38:J38"/>
    <mergeCell ref="C39:J39"/>
    <mergeCell ref="C40:J40"/>
    <mergeCell ref="B45:J45"/>
    <mergeCell ref="B46:J46"/>
    <mergeCell ref="B47:J47"/>
    <mergeCell ref="B49:J49"/>
    <mergeCell ref="B50:J50"/>
    <mergeCell ref="B51:J51"/>
    <mergeCell ref="B52:J52"/>
    <mergeCell ref="B67:J67"/>
    <mergeCell ref="B54:J54"/>
    <mergeCell ref="B55:J55"/>
    <mergeCell ref="B56:J56"/>
    <mergeCell ref="B57:J57"/>
    <mergeCell ref="B58:J58"/>
    <mergeCell ref="B59:J59"/>
    <mergeCell ref="B60:J60"/>
    <mergeCell ref="B62:J62"/>
    <mergeCell ref="B63:J63"/>
    <mergeCell ref="B64:J64"/>
    <mergeCell ref="B66:J66"/>
    <mergeCell ref="B86:J86"/>
    <mergeCell ref="B68:J68"/>
    <mergeCell ref="B70:J70"/>
    <mergeCell ref="B71:J71"/>
    <mergeCell ref="B72:J72"/>
    <mergeCell ref="B74:J74"/>
    <mergeCell ref="B75:J75"/>
    <mergeCell ref="B76:J76"/>
    <mergeCell ref="B78:J78"/>
    <mergeCell ref="B79:J79"/>
    <mergeCell ref="B80:J80"/>
    <mergeCell ref="B85:J85"/>
    <mergeCell ref="B101:J101"/>
    <mergeCell ref="B87:J87"/>
    <mergeCell ref="B88:J88"/>
    <mergeCell ref="B92:J92"/>
    <mergeCell ref="B93:J93"/>
    <mergeCell ref="B94:J94"/>
    <mergeCell ref="B95:J95"/>
    <mergeCell ref="B96:J96"/>
    <mergeCell ref="B97:J97"/>
    <mergeCell ref="B98:J98"/>
    <mergeCell ref="B99:J99"/>
    <mergeCell ref="B100:J100"/>
    <mergeCell ref="B123:J123"/>
    <mergeCell ref="B102:J102"/>
    <mergeCell ref="B105:J105"/>
    <mergeCell ref="B106:J106"/>
    <mergeCell ref="B108:J108"/>
    <mergeCell ref="B113:J113"/>
    <mergeCell ref="B116:J116"/>
    <mergeCell ref="B117:J117"/>
    <mergeCell ref="B118:J118"/>
    <mergeCell ref="B119:J119"/>
    <mergeCell ref="B120:J120"/>
    <mergeCell ref="B122:J122"/>
    <mergeCell ref="B130:J130"/>
    <mergeCell ref="B124:J124"/>
    <mergeCell ref="B125:J125"/>
    <mergeCell ref="B126:J126"/>
    <mergeCell ref="B127:J127"/>
    <mergeCell ref="B128:J128"/>
    <mergeCell ref="B129:J129"/>
  </mergeCells>
  <conditionalFormatting sqref="A6:M6 A1:M1 A24:M24 A43:M43 A83:M83 A90:M90 A132:M132 A138:M138">
    <cfRule type="expression" dxfId="3" priority="3" stopIfTrue="1">
      <formula>ErrorsPresent&gt;0</formula>
    </cfRule>
    <cfRule type="expression" dxfId="2" priority="4" stopIfTrue="1">
      <formula>ErrorsPresent&lt;0</formula>
    </cfRule>
  </conditionalFormatting>
  <conditionalFormatting sqref="A1:M1">
    <cfRule type="expression" dxfId="1" priority="1" stopIfTrue="1">
      <formula>Error_Error&lt;0</formula>
    </cfRule>
    <cfRule type="expression" dxfId="0" priority="2" stopIfTrue="1">
      <formula>Error_Error&gt;0</formula>
    </cfRule>
  </conditionalFormatting>
  <pageMargins left="0.7" right="0.7" top="0.75" bottom="0.75" header="0.3" footer="0.3"/>
  <pageSetup paperSize="9" orientation="portrait" horizontalDpi="200" verticalDpi="2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
  <sheetViews>
    <sheetView workbookViewId="0">
      <selection activeCell="L18" sqref="L18"/>
    </sheetView>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219</vt:i4>
      </vt:variant>
    </vt:vector>
  </HeadingPairs>
  <TitlesOfParts>
    <vt:vector size="245" baseType="lpstr">
      <vt:lpstr>Figure 17-1</vt:lpstr>
      <vt:lpstr>Figure 17-2</vt:lpstr>
      <vt:lpstr>Figure 17-3</vt:lpstr>
      <vt:lpstr>Figure 17-4</vt:lpstr>
      <vt:lpstr>Figure 17-5a</vt:lpstr>
      <vt:lpstr>Figure 17-6</vt:lpstr>
      <vt:lpstr>Figure 17-7</vt:lpstr>
      <vt:lpstr>Figure 17-8</vt:lpstr>
      <vt:lpstr>Figure 17-9</vt:lpstr>
      <vt:lpstr>Figure 17-10</vt:lpstr>
      <vt:lpstr>Figure 17-11a</vt:lpstr>
      <vt:lpstr>Figure 17-11b</vt:lpstr>
      <vt:lpstr>Figure 17-11c</vt:lpstr>
      <vt:lpstr>Figure 17-11d</vt:lpstr>
      <vt:lpstr>Figure 17-11e</vt:lpstr>
      <vt:lpstr>Figure 17-11f</vt:lpstr>
      <vt:lpstr>Figure 17-11g</vt:lpstr>
      <vt:lpstr>Figure 17-11h</vt:lpstr>
      <vt:lpstr>Figure 17-11i</vt:lpstr>
      <vt:lpstr>Figure 17-12</vt:lpstr>
      <vt:lpstr>Figure 17-15</vt:lpstr>
      <vt:lpstr>Figure 17-16</vt:lpstr>
      <vt:lpstr>Figure 17-17</vt:lpstr>
      <vt:lpstr>Figure 17-19</vt:lpstr>
      <vt:lpstr>Figure 17-20</vt:lpstr>
      <vt:lpstr>Inp_User</vt:lpstr>
      <vt:lpstr>'Figure 17-1'!_Toc18551417</vt:lpstr>
      <vt:lpstr>'Figure 17-1'!_Toc18551418</vt:lpstr>
      <vt:lpstr>'Figure 17-1'!_Toc18551420</vt:lpstr>
      <vt:lpstr>'Figure 17-1'!_Toc18551421</vt:lpstr>
      <vt:lpstr>'Figure 17-1'!_Toc18551422</vt:lpstr>
      <vt:lpstr>'Figure 17-1'!_Toc18551427</vt:lpstr>
      <vt:lpstr>'Figure 17-11c'!ActiveMonthCountdown</vt:lpstr>
      <vt:lpstr>'Figure 17-11e'!ActiveMonthCountdown</vt:lpstr>
      <vt:lpstr>'Figure 17-11f'!ActiveMonthCountdown</vt:lpstr>
      <vt:lpstr>'Figure 17-11g'!ActiveMonthCountdown</vt:lpstr>
      <vt:lpstr>'Figure 17-11h'!ActiveMonthCountdown</vt:lpstr>
      <vt:lpstr>'Figure 17-11i'!ActiveMonthCountdown</vt:lpstr>
      <vt:lpstr>ActiveMonthCountdown</vt:lpstr>
      <vt:lpstr>'Figure 17-11a'!ActivePeriodFlag</vt:lpstr>
      <vt:lpstr>'Figure 17-11b'!ActivePeriodFlag</vt:lpstr>
      <vt:lpstr>'Figure 17-11c'!ActivePeriodFlag</vt:lpstr>
      <vt:lpstr>'Figure 17-11d'!ActivePeriodFlag</vt:lpstr>
      <vt:lpstr>'Figure 17-11e'!ActivePeriodFlag</vt:lpstr>
      <vt:lpstr>'Figure 17-11f'!ActivePeriodFlag</vt:lpstr>
      <vt:lpstr>'Figure 17-11g'!ActivePeriodFlag</vt:lpstr>
      <vt:lpstr>'Figure 17-11h'!ActivePeriodFlag</vt:lpstr>
      <vt:lpstr>'Figure 17-11i'!ActivePeriodFlag</vt:lpstr>
      <vt:lpstr>ActivePeriodFlag</vt:lpstr>
      <vt:lpstr>Calculations_C1_S1</vt:lpstr>
      <vt:lpstr>Calculations_Timeperiods</vt:lpstr>
      <vt:lpstr>'Figure 17-11c'!CalendarMonth</vt:lpstr>
      <vt:lpstr>'Figure 17-11e'!CalendarMonth</vt:lpstr>
      <vt:lpstr>'Figure 17-11f'!CalendarMonth</vt:lpstr>
      <vt:lpstr>'Figure 17-11g'!CalendarMonth</vt:lpstr>
      <vt:lpstr>'Figure 17-11h'!CalendarMonth</vt:lpstr>
      <vt:lpstr>'Figure 17-11i'!CalendarMonth</vt:lpstr>
      <vt:lpstr>CalendarMonth</vt:lpstr>
      <vt:lpstr>'Figure 17-11c'!CompanyMonth</vt:lpstr>
      <vt:lpstr>'Figure 17-11e'!CompanyMonth</vt:lpstr>
      <vt:lpstr>'Figure 17-11f'!CompanyMonth</vt:lpstr>
      <vt:lpstr>'Figure 17-11g'!CompanyMonth</vt:lpstr>
      <vt:lpstr>'Figure 17-11h'!CompanyMonth</vt:lpstr>
      <vt:lpstr>'Figure 17-11i'!CompanyMonth</vt:lpstr>
      <vt:lpstr>CompanyMonth</vt:lpstr>
      <vt:lpstr>'Figure 17-11c'!CompanyYear</vt:lpstr>
      <vt:lpstr>'Figure 17-11e'!CompanyYear</vt:lpstr>
      <vt:lpstr>'Figure 17-11f'!CompanyYear</vt:lpstr>
      <vt:lpstr>'Figure 17-11g'!CompanyYear</vt:lpstr>
      <vt:lpstr>'Figure 17-11h'!CompanyYear</vt:lpstr>
      <vt:lpstr>'Figure 17-11i'!CompanyYear</vt:lpstr>
      <vt:lpstr>CompanyYear</vt:lpstr>
      <vt:lpstr>'Figure 17-12'!Control_error</vt:lpstr>
      <vt:lpstr>'Figure 17-15'!Control_error</vt:lpstr>
      <vt:lpstr>'Figure 17-16'!Control_error</vt:lpstr>
      <vt:lpstr>'Figure 17-11a'!Date_From</vt:lpstr>
      <vt:lpstr>'Figure 17-11b'!Date_From</vt:lpstr>
      <vt:lpstr>Date_From</vt:lpstr>
      <vt:lpstr>'Figure 17-11c'!DateFromMth</vt:lpstr>
      <vt:lpstr>'Figure 17-11e'!DateFromMth</vt:lpstr>
      <vt:lpstr>'Figure 17-11f'!DateFromMth</vt:lpstr>
      <vt:lpstr>'Figure 17-11g'!DateFromMth</vt:lpstr>
      <vt:lpstr>'Figure 17-11h'!DateFromMth</vt:lpstr>
      <vt:lpstr>'Figure 17-11i'!DateFromMth</vt:lpstr>
      <vt:lpstr>DateFromMth</vt:lpstr>
      <vt:lpstr>'Figure 17-11a'!DateToMth</vt:lpstr>
      <vt:lpstr>'Figure 17-11b'!DateToMth</vt:lpstr>
      <vt:lpstr>'Figure 17-11c'!DateToMth</vt:lpstr>
      <vt:lpstr>'Figure 17-11d'!DateToMth</vt:lpstr>
      <vt:lpstr>'Figure 17-11e'!DateToMth</vt:lpstr>
      <vt:lpstr>'Figure 17-11f'!DateToMth</vt:lpstr>
      <vt:lpstr>'Figure 17-11g'!DateToMth</vt:lpstr>
      <vt:lpstr>'Figure 17-11h'!DateToMth</vt:lpstr>
      <vt:lpstr>'Figure 17-11i'!DateToMth</vt:lpstr>
      <vt:lpstr>DateToMth</vt:lpstr>
      <vt:lpstr>'Figure 17-11a'!Error_Timelines</vt:lpstr>
      <vt:lpstr>'Figure 17-11b'!Error_Timelines</vt:lpstr>
      <vt:lpstr>Error_Timelines</vt:lpstr>
      <vt:lpstr>'Figure 17-11a'!FinancialYear</vt:lpstr>
      <vt:lpstr>'Figure 17-11b'!FinancialYear</vt:lpstr>
      <vt:lpstr>FinancialYear</vt:lpstr>
      <vt:lpstr>'Figure 17-12'!ModelDetails</vt:lpstr>
      <vt:lpstr>'Figure 17-15'!ModelDetails</vt:lpstr>
      <vt:lpstr>'Figure 17-16'!ModelDetails</vt:lpstr>
      <vt:lpstr>'Figure 17-11c'!MonthInYear</vt:lpstr>
      <vt:lpstr>'Figure 17-11e'!MonthInYear</vt:lpstr>
      <vt:lpstr>'Figure 17-11f'!MonthInYear</vt:lpstr>
      <vt:lpstr>'Figure 17-11g'!MonthInYear</vt:lpstr>
      <vt:lpstr>'Figure 17-11h'!MonthInYear</vt:lpstr>
      <vt:lpstr>'Figure 17-11i'!MonthInYear</vt:lpstr>
      <vt:lpstr>MonthInYear</vt:lpstr>
      <vt:lpstr>'Figure 17-11a'!MonthListIn</vt:lpstr>
      <vt:lpstr>'Figure 17-11b'!MonthListIn</vt:lpstr>
      <vt:lpstr>'Figure 17-11c'!MonthListIn</vt:lpstr>
      <vt:lpstr>'Figure 17-11d'!MonthListIn</vt:lpstr>
      <vt:lpstr>'Figure 17-11e'!MonthListIn</vt:lpstr>
      <vt:lpstr>'Figure 17-11f'!MonthListIn</vt:lpstr>
      <vt:lpstr>'Figure 17-11g'!MonthListIn</vt:lpstr>
      <vt:lpstr>'Figure 17-11h'!MonthListIn</vt:lpstr>
      <vt:lpstr>'Figure 17-11i'!MonthListIn</vt:lpstr>
      <vt:lpstr>MonthListIn</vt:lpstr>
      <vt:lpstr>'Figure 17-11c'!MonthName</vt:lpstr>
      <vt:lpstr>'Figure 17-11d'!MonthName</vt:lpstr>
      <vt:lpstr>'Figure 17-11e'!MonthName</vt:lpstr>
      <vt:lpstr>'Figure 17-11f'!MonthName</vt:lpstr>
      <vt:lpstr>'Figure 17-11g'!MonthName</vt:lpstr>
      <vt:lpstr>'Figure 17-11h'!MonthName</vt:lpstr>
      <vt:lpstr>'Figure 17-11i'!MonthName</vt:lpstr>
      <vt:lpstr>'Figure 17-11a'!PeriodCounter</vt:lpstr>
      <vt:lpstr>'Figure 17-11b'!PeriodCounter</vt:lpstr>
      <vt:lpstr>'Figure 17-11c'!PeriodCounter</vt:lpstr>
      <vt:lpstr>'Figure 17-11d'!PeriodCounter</vt:lpstr>
      <vt:lpstr>'Figure 17-11e'!PeriodCounter</vt:lpstr>
      <vt:lpstr>'Figure 17-11f'!PeriodCounter</vt:lpstr>
      <vt:lpstr>'Figure 17-11g'!PeriodCounter</vt:lpstr>
      <vt:lpstr>'Figure 17-11h'!PeriodCounter</vt:lpstr>
      <vt:lpstr>'Figure 17-11i'!PeriodCounter</vt:lpstr>
      <vt:lpstr>PeriodCounter</vt:lpstr>
      <vt:lpstr>'Figure 17-11a'!PeriodNoMth</vt:lpstr>
      <vt:lpstr>'Figure 17-11b'!PeriodNoMth</vt:lpstr>
      <vt:lpstr>'Figure 17-11c'!PeriodNoMth</vt:lpstr>
      <vt:lpstr>'Figure 17-11d'!PeriodNoMth</vt:lpstr>
      <vt:lpstr>'Figure 17-11e'!PeriodNoMth</vt:lpstr>
      <vt:lpstr>'Figure 17-11f'!PeriodNoMth</vt:lpstr>
      <vt:lpstr>'Figure 17-11g'!PeriodNoMth</vt:lpstr>
      <vt:lpstr>'Figure 17-11h'!PeriodNoMth</vt:lpstr>
      <vt:lpstr>'Figure 17-11i'!PeriodNoMth</vt:lpstr>
      <vt:lpstr>PeriodNoMth</vt:lpstr>
      <vt:lpstr>'Figure 17-11c'!PLA7A</vt:lpstr>
      <vt:lpstr>'Figure 17-11e'!PLA7A</vt:lpstr>
      <vt:lpstr>'Figure 17-11f'!PLA7A</vt:lpstr>
      <vt:lpstr>'Figure 17-11g'!PLA7A</vt:lpstr>
      <vt:lpstr>'Figure 17-11h'!PLA7A</vt:lpstr>
      <vt:lpstr>'Figure 17-11i'!PLA7A</vt:lpstr>
      <vt:lpstr>PLA7A</vt:lpstr>
      <vt:lpstr>'Figure 17-11c'!PLA7B</vt:lpstr>
      <vt:lpstr>'Figure 17-11e'!PLA7B</vt:lpstr>
      <vt:lpstr>'Figure 17-11f'!PLA7B</vt:lpstr>
      <vt:lpstr>'Figure 17-11g'!PLA7B</vt:lpstr>
      <vt:lpstr>'Figure 17-11h'!PLA7B</vt:lpstr>
      <vt:lpstr>'Figure 17-11i'!PLA7B</vt:lpstr>
      <vt:lpstr>PLA7B</vt:lpstr>
      <vt:lpstr>'Figure 17-11a'!PreContractPeriodDuration</vt:lpstr>
      <vt:lpstr>'Figure 17-11b'!PreContractPeriodDuration</vt:lpstr>
      <vt:lpstr>'Figure 17-11c'!PreContractPeriodDuration</vt:lpstr>
      <vt:lpstr>'Figure 17-11d'!PreContractPeriodDuration</vt:lpstr>
      <vt:lpstr>'Figure 17-11e'!PreContractPeriodDuration</vt:lpstr>
      <vt:lpstr>'Figure 17-11f'!PreContractPeriodDuration</vt:lpstr>
      <vt:lpstr>'Figure 17-11g'!PreContractPeriodDuration</vt:lpstr>
      <vt:lpstr>'Figure 17-11h'!PreContractPeriodDuration</vt:lpstr>
      <vt:lpstr>'Figure 17-11i'!PreContractPeriodDuration</vt:lpstr>
      <vt:lpstr>PreContractPeriodDuration</vt:lpstr>
      <vt:lpstr>'Figure 17-11c'!Print_Area</vt:lpstr>
      <vt:lpstr>'Figure 17-11d'!Print_Area</vt:lpstr>
      <vt:lpstr>'Figure 17-11e'!Print_Area</vt:lpstr>
      <vt:lpstr>'Figure 17-11f'!Print_Area</vt:lpstr>
      <vt:lpstr>'Figure 17-11g'!Print_Area</vt:lpstr>
      <vt:lpstr>'Figure 17-11h'!Print_Area</vt:lpstr>
      <vt:lpstr>'Figure 17-11i'!Print_Area</vt:lpstr>
      <vt:lpstr>'Figure 17-11c'!Print_Titles</vt:lpstr>
      <vt:lpstr>'Figure 17-11d'!Print_Titles</vt:lpstr>
      <vt:lpstr>'Figure 17-11e'!Print_Titles</vt:lpstr>
      <vt:lpstr>'Figure 17-11f'!Print_Titles</vt:lpstr>
      <vt:lpstr>'Figure 17-11g'!Print_Titles</vt:lpstr>
      <vt:lpstr>'Figure 17-11h'!Print_Titles</vt:lpstr>
      <vt:lpstr>'Figure 17-11i'!Print_Titles</vt:lpstr>
      <vt:lpstr>'Figure 17-11b'!ProjectStartDate</vt:lpstr>
      <vt:lpstr>ProjectStartDate</vt:lpstr>
      <vt:lpstr>'Figure 17-11c'!QuarterNumber</vt:lpstr>
      <vt:lpstr>'Figure 17-11e'!QuarterNumber</vt:lpstr>
      <vt:lpstr>'Figure 17-11f'!QuarterNumber</vt:lpstr>
      <vt:lpstr>'Figure 17-11g'!QuarterNumber</vt:lpstr>
      <vt:lpstr>'Figure 17-11h'!QuarterNumber</vt:lpstr>
      <vt:lpstr>'Figure 17-11i'!QuarterNumber</vt:lpstr>
      <vt:lpstr>QuarterNumber</vt:lpstr>
      <vt:lpstr>'Figure 17-11c'!TCUpdateSourceData</vt:lpstr>
      <vt:lpstr>'Figure 17-11e'!TCUpdateSourceData</vt:lpstr>
      <vt:lpstr>'Figure 17-11f'!TCUpdateSourceData</vt:lpstr>
      <vt:lpstr>'Figure 17-11g'!TCUpdateSourceData</vt:lpstr>
      <vt:lpstr>'Figure 17-11h'!TCUpdateSourceData</vt:lpstr>
      <vt:lpstr>'Figure 17-11i'!TCUpdateSourceData</vt:lpstr>
      <vt:lpstr>TCUpdateSourceData</vt:lpstr>
      <vt:lpstr>'Figure 17-11c'!TIbloc1</vt:lpstr>
      <vt:lpstr>'Figure 17-11e'!TIbloc1</vt:lpstr>
      <vt:lpstr>'Figure 17-11f'!TIbloc1</vt:lpstr>
      <vt:lpstr>'Figure 17-11g'!TIbloc1</vt:lpstr>
      <vt:lpstr>'Figure 17-11h'!TIbloc1</vt:lpstr>
      <vt:lpstr>'Figure 17-11i'!TIbloc1</vt:lpstr>
      <vt:lpstr>TIbloc1</vt:lpstr>
      <vt:lpstr>'Figure 17-11c'!TIMAN1</vt:lpstr>
      <vt:lpstr>'Figure 17-11e'!TIMAN1</vt:lpstr>
      <vt:lpstr>'Figure 17-11f'!TIMAN1</vt:lpstr>
      <vt:lpstr>'Figure 17-11g'!TIMAN1</vt:lpstr>
      <vt:lpstr>'Figure 17-11h'!TIMAN1</vt:lpstr>
      <vt:lpstr>'Figure 17-11i'!TIMAN1</vt:lpstr>
      <vt:lpstr>TIMAN1</vt:lpstr>
      <vt:lpstr>'Figure 17-11c'!TimelineIn</vt:lpstr>
      <vt:lpstr>'Figure 17-11e'!TimelineIn</vt:lpstr>
      <vt:lpstr>'Figure 17-11f'!TimelineIn</vt:lpstr>
      <vt:lpstr>'Figure 17-11g'!TimelineIn</vt:lpstr>
      <vt:lpstr>'Figure 17-11h'!TimelineIn</vt:lpstr>
      <vt:lpstr>'Figure 17-11i'!TimelineIn</vt:lpstr>
      <vt:lpstr>TimelineIn</vt:lpstr>
      <vt:lpstr>'Figure 17-11c'!TIMGE1</vt:lpstr>
      <vt:lpstr>'Figure 17-11e'!TIMGE1</vt:lpstr>
      <vt:lpstr>'Figure 17-11f'!TIMGE1</vt:lpstr>
      <vt:lpstr>'Figure 17-11g'!TIMGE1</vt:lpstr>
      <vt:lpstr>'Figure 17-11h'!TIMGE1</vt:lpstr>
      <vt:lpstr>'Figure 17-11i'!TIMGE1</vt:lpstr>
      <vt:lpstr>TIMGE1</vt:lpstr>
      <vt:lpstr>'Figure 17-11c'!TIMMO1</vt:lpstr>
      <vt:lpstr>'Figure 17-11e'!TIMMO1</vt:lpstr>
      <vt:lpstr>'Figure 17-11f'!TIMMO1</vt:lpstr>
      <vt:lpstr>'Figure 17-11g'!TIMMO1</vt:lpstr>
      <vt:lpstr>'Figure 17-11h'!TIMMO1</vt:lpstr>
      <vt:lpstr>'Figure 17-11i'!TIMMO1</vt:lpstr>
      <vt:lpstr>TIMMO1</vt:lpstr>
      <vt:lpstr>TitleName</vt:lpstr>
      <vt:lpstr>'Figure 17-11c'!YearCounter</vt:lpstr>
      <vt:lpstr>'Figure 17-11e'!YearCounter</vt:lpstr>
      <vt:lpstr>'Figure 17-11f'!YearCounter</vt:lpstr>
      <vt:lpstr>'Figure 17-11g'!YearCounter</vt:lpstr>
      <vt:lpstr>'Figure 17-11h'!YearCounter</vt:lpstr>
      <vt:lpstr>'Figure 17-11i'!YearCounter</vt:lpstr>
      <vt:lpstr>YearCounter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dc:creator>
  <cp:lastModifiedBy>Jacl</cp:lastModifiedBy>
  <dcterms:created xsi:type="dcterms:W3CDTF">2013-08-19T12:47:51Z</dcterms:created>
  <dcterms:modified xsi:type="dcterms:W3CDTF">2013-11-01T00:09:02Z</dcterms:modified>
</cp:coreProperties>
</file>