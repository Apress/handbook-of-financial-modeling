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charts/chart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workbookPr codeName="ThisWorkbook" defaultThemeVersion="124226"/>
  <bookViews>
    <workbookView xWindow="480" yWindow="225" windowWidth="22995" windowHeight="9855"/>
  </bookViews>
  <sheets>
    <sheet name="Figure 13-1" sheetId="1" r:id="rId1"/>
    <sheet name="Figure 13-2" sheetId="4" r:id="rId2"/>
    <sheet name="Figure 13-3" sheetId="5" r:id="rId3"/>
    <sheet name="Figure 13-4" sheetId="6" r:id="rId4"/>
    <sheet name="Figure 13-6" sheetId="7" r:id="rId5"/>
    <sheet name="Figure 13-8" sheetId="8" r:id="rId6"/>
    <sheet name="Figure 13-9" sheetId="9" r:id="rId7"/>
    <sheet name="Figure 13-10" sheetId="10" r:id="rId8"/>
    <sheet name="Figure 13-11" sheetId="11" r:id="rId9"/>
    <sheet name="Figure 13-13" sheetId="12" r:id="rId10"/>
  </sheets>
  <externalReferences>
    <externalReference r:id="rId11"/>
  </externalReferences>
  <definedNames>
    <definedName name="_MSG01">'Figure 13-13'!$C$49</definedName>
    <definedName name="_MSG02">'Figure 13-13'!$C$50</definedName>
    <definedName name="_MSG03">'Figure 13-13'!$C$51</definedName>
    <definedName name="_MSG04">'Figure 13-13'!$C$52</definedName>
    <definedName name="_MSG05">'Figure 13-13'!$C$53</definedName>
    <definedName name="_MSG06">'Figure 13-13'!$C$54</definedName>
    <definedName name="_MSG08">'Figure 13-13'!$C$56</definedName>
    <definedName name="_MSG09">'Figure 13-13'!$C$57</definedName>
    <definedName name="_MSG10">'Figure 13-13'!$C$58</definedName>
    <definedName name="_PLA2">'Figure 13-10'!$B$4</definedName>
    <definedName name="_PLA4">'Figure 13-11'!$A$4</definedName>
    <definedName name="_PLA9">'Figure 13-13'!$A$4</definedName>
    <definedName name="_TOP01">'Figure 13-13'!$I$3:$I$8</definedName>
    <definedName name="_TOP02">'Figure 13-13'!$K$3:$K$8</definedName>
    <definedName name="Bookname" localSheetId="6">'Figure 13-9'!$A$1</definedName>
    <definedName name="Chartbit1">'Figure 13-13'!$E$65</definedName>
    <definedName name="Chartbit2">'Figure 13-13'!$E$66</definedName>
    <definedName name="Chartbit3">'Figure 13-13'!$E$67</definedName>
    <definedName name="CoMON">'Figure 13-13'!$E$53</definedName>
    <definedName name="CosBot">'Figure 13-13'!$B$80</definedName>
    <definedName name="CosDrop">'Figure 13-13'!$B$76:$B$79</definedName>
    <definedName name="CostOfMoney">'Figure 13-13'!$F$16</definedName>
    <definedName name="CosTop">'Figure 13-13'!$B$76</definedName>
    <definedName name="Depreciation">'Figure 13-13'!$C$15</definedName>
    <definedName name="DepreciationOn">'Figure 13-13'!$E$57</definedName>
    <definedName name="Discount">'Figure 13-13'!$F$15</definedName>
    <definedName name="DisON">'Figure 13-13'!$E$51</definedName>
    <definedName name="f_BAListMU">OFFSET(BATop,1,0,BABot,1)</definedName>
    <definedName name="f_CCAListMU">OFFSET(CCATop,1,0,CCABot,1)</definedName>
    <definedName name="f_CCBListMU">OFFSET(CCBTop,1,0,CCBBot,1)</definedName>
    <definedName name="f_CCCListMU">OFFSET(CCCTop,1,0,CCCBot,1)</definedName>
    <definedName name="f_CCDListMU">OFFSET(CCDTop,1,0,CCDBot,1)</definedName>
    <definedName name="f_CCEListMU">OFFSET(CCETop,1,0,CCEBot,1)</definedName>
    <definedName name="f_CCFListMU">OFFSET(CCFTop,1,0,CCFBot,1)</definedName>
    <definedName name="f_CCListMu">OFFSET(CCTop,1,0,CCBot,1)</definedName>
    <definedName name="f_ChkCon">OR([1]Conversion!$FL1=1,[1]Conversion!$P1=0,[1]Conversion!$Q1=0)</definedName>
    <definedName name="f_CoListMU">OFFSET(CoTop,1,0,CoBot,1)</definedName>
    <definedName name="f_CoMC01">IF(CoMON,_CoM02,1)</definedName>
    <definedName name="f_CostDropMU">OFFSET(CosTop,1,0,CosBot,1)</definedName>
    <definedName name="f_CPListMU">OFFSET(CPTop,1,0,CPBot,1)</definedName>
    <definedName name="f_CR2ListMU">OFFSET(CR2Top,1,0,CR2Bot,1)</definedName>
    <definedName name="f_CRListMU">OFFSET(CRTop,1,0,CRBot,1)</definedName>
    <definedName name="f_CTListMU">OFFSET(CTTop,1,0,CTBot,1)</definedName>
    <definedName name="f_CUListMU">OFFSET(CUTop,1,0,CUBot,1)</definedName>
    <definedName name="f_CurCon">SUMIF(CurList,[1]Conversion!$Q1,[1]Constants!A$270:A$280)</definedName>
    <definedName name="f_CurListMU">OFFSET(CurTop,1,0,CurBot,1)</definedName>
    <definedName name="f_CX2ListMU">OFFSET(CX2Top,1,0,CX2Bot,1)</definedName>
    <definedName name="f_CXListMU">OFFSET(CXTop,1,0,CXBot,1)</definedName>
    <definedName name="f_De2ListMU">OFFSET(De2Top,1,0,De2Bot,1)</definedName>
    <definedName name="f_DeListMU">OFFSET(DeTop,1,0,DeBot,1)</definedName>
    <definedName name="f_ESListMU">OFFSET(ESTop,1,0,ESBot,1)</definedName>
    <definedName name="f_FiListMU">OFFSET(FiTop,1,0,FiBot,1)</definedName>
    <definedName name="f_FinCalc">1+IF(FinON,'[1]Final Price'!$FJ1,0)</definedName>
    <definedName name="f_FoListMU">OFFSET(FoTop,1,0,FoBot,1)</definedName>
    <definedName name="f_GMMar">1-IF(MargON,'[1]Cost Plus'!$FI1,0)</definedName>
    <definedName name="f_IndCon">1+IF(Indexed,SUMIF(InList,[1]Conversion!$EZ1,[1]Constants!A$533:A$548),0)</definedName>
    <definedName name="f_InListMU">OFFSET(InTop,1,0,InBot,1)</definedName>
    <definedName name="f_MilPro">SUMIF(ServList,'[1]Profile before CoM'!$V1,'[1]Customer Charges'!A$273:A$290)</definedName>
    <definedName name="f_MultiCon">'[1]Main Input'!A1*[1]Conversion!$P1</definedName>
    <definedName name="f_OrListMU">OFFSET(OrTop,1,0,OrBot,1)</definedName>
    <definedName name="f_PAListMU">OFFSET(PATop,1,0,PABot,1)</definedName>
    <definedName name="f_PriceDropMU">OFFSET(PriTop,1,0,PriBot,1)</definedName>
    <definedName name="f_RCListMU">OFFSET(RCTop,1,0,RCBot,1)</definedName>
    <definedName name="f_ReListMU">OFFSET(ReTop,1,0,ReBot,1)</definedName>
    <definedName name="f_ResVal">IF(DepreciationOn,SUMIF(ResList1,'[1]Cost Plus'!$FB1,[1]Capital!A$28:A$33),1)</definedName>
    <definedName name="f_RoListMU">OFFSET(RoTop,1,0,RoBot,1)</definedName>
    <definedName name="f_RRListMU">OFFSET(RRTop,1,0,RRBot,1)</definedName>
    <definedName name="f_SiListMU">OFFSET(SiTop,1,0,SiBot,1)</definedName>
    <definedName name="f_SuListMU">OFFSET(SuTop,1,0,SuBot,1)</definedName>
    <definedName name="f_SumCalc11">SUMIF([1]Conversion!$AF$5:$EY$5,[1]Conversion!A$4,[1]Conversion!$AF1:$EY1)</definedName>
    <definedName name="f_SumCalc12">SUMIF('[1]Cost Plus'!$AF$5:$EY$5,'[1]Cost Plus'!A$4,'[1]Cost Plus'!$AF1:$EY1)</definedName>
    <definedName name="f_SumCalc13">SUMIF('[1]Profile before CoM'!$AF$5:$EY$5,'[1]Profile before CoM'!A$4,'[1]Profile before CoM'!$AF1:$EY1)</definedName>
    <definedName name="f_SumCalc14">SUMIF('[1]Profile with CoM'!$AF$5:$EY$5,'[1]Profile with CoM'!A$4,'[1]Profile with CoM'!$AF1:$EY1)</definedName>
    <definedName name="f_SumCalc15">SUMIF([1]Capital!$AF$5:$EY$5,[1]Capital!A$5,[1]Capital!$AF1:$EY1)</definedName>
    <definedName name="f_SumCalc16">SUMIF(#REF!,#REF!,#REF!)</definedName>
    <definedName name="f_UC1ListMU">OFFSET(UC1Top,1,0,UC1Bot,1)</definedName>
    <definedName name="f_UC2ListMU">OFFSET(UC2Top,1,0,UC2Bot,1)</definedName>
    <definedName name="f_UC3ListMU">OFFSET(UC3Top,1,0,UC3Bot,1)</definedName>
    <definedName name="f_UnListMU">OFFSET(UnTop,1,0,UnBot,1)</definedName>
    <definedName name="FilenameIn" localSheetId="9">[1]Audit!$D$13</definedName>
    <definedName name="FilenameIn">'Figure 13-6'!$D$32</definedName>
    <definedName name="Financing">'Figure 13-13'!$I$14</definedName>
    <definedName name="FINCB1">'Figure 13-13'!$A$85</definedName>
    <definedName name="FINFD1">'Figure 13-13'!$A$12</definedName>
    <definedName name="FINGD1">'Figure 13-13'!$A$61</definedName>
    <definedName name="FinON">'Figure 13-13'!$E$54</definedName>
    <definedName name="FINST1">'Figure 13-13'!$A$46</definedName>
    <definedName name="INbloc1">'Figure 13-9'!$A$1:$M$296</definedName>
    <definedName name="Indexation">'Figure 13-13'!$C$14</definedName>
    <definedName name="IndexationImpact">'Figure 13-13'!$F$22:$F$25</definedName>
    <definedName name="Indexed">'Figure 13-13'!$E$49</definedName>
    <definedName name="Invoicing">'Figure 13-13'!$L$14</definedName>
    <definedName name="Margin">'Figure 13-13'!$C$16</definedName>
    <definedName name="MargON">'Figure 13-13'!$E$50</definedName>
    <definedName name="MileON">'Figure 13-13'!$E$52</definedName>
    <definedName name="Milestones">'Figure 13-13'!$F$14</definedName>
    <definedName name="MLbloc1">'Figure 13-11'!$1:$1048576</definedName>
    <definedName name="OutCur">'Figure 13-13'!$L$16</definedName>
    <definedName name="OverON">'Figure 13-13'!$E$56</definedName>
    <definedName name="OverProf">'Figure 13-13'!$I$16</definedName>
    <definedName name="OverProfOn">'Figure 13-13'!$E$58</definedName>
    <definedName name="PLA2A">'Figure 13-10'!$B$1</definedName>
    <definedName name="PLA4A">'Figure 13-11'!$A$1</definedName>
    <definedName name="PLA9A">'Figure 13-13'!$A$1</definedName>
    <definedName name="PLA9B">'Figure 13-13'!$F$1</definedName>
    <definedName name="PriBot">'Figure 13-13'!$C$82</definedName>
    <definedName name="PriDrop">'Figure 13-13'!$C$76:$C$81</definedName>
    <definedName name="_xlnm.Print_Area" localSheetId="7">'Figure 13-10'!$B$9:$O$38</definedName>
    <definedName name="_xlnm.Print_Area" localSheetId="8">'Figure 13-11'!$B$8:$X$131</definedName>
    <definedName name="_xlnm.Print_Area" localSheetId="9">'Figure 13-13'!$A$2:$M$40</definedName>
    <definedName name="_xlnm.Print_Titles" localSheetId="7">'Figure 13-10'!$1:$8</definedName>
    <definedName name="_xlnm.Print_Titles" localSheetId="8">'Figure 13-11'!$1:$6</definedName>
    <definedName name="PriTop">'Figure 13-13'!$C$76</definedName>
    <definedName name="Receivables">'Figure 13-13'!$L$15</definedName>
    <definedName name="ServiceCredits">'Figure 13-13'!$I$17</definedName>
    <definedName name="Servicing">'Figure 13-13'!$I$15</definedName>
    <definedName name="TotalCostOfMoneyTarget">'Figure 13-13'!$I$7</definedName>
  </definedNames>
  <calcPr calcId="144525"/>
</workbook>
</file>

<file path=xl/calcChain.xml><?xml version="1.0" encoding="utf-8"?>
<calcChain xmlns="http://schemas.openxmlformats.org/spreadsheetml/2006/main">
  <c r="B80" i="12" l="1"/>
  <c r="C82" i="12"/>
  <c r="B88" i="12"/>
  <c r="B89" i="12"/>
  <c r="B90" i="12"/>
  <c r="B91" i="12"/>
  <c r="B92" i="12"/>
  <c r="B93" i="12"/>
  <c r="B94" i="12"/>
  <c r="C94" i="12" s="1"/>
  <c r="B95" i="12"/>
  <c r="B96" i="12"/>
  <c r="B97" i="12"/>
  <c r="C97" i="12" s="1"/>
  <c r="B98" i="12"/>
  <c r="AF101" i="12"/>
  <c r="AG101" i="12"/>
  <c r="AH101" i="12"/>
  <c r="AI101" i="12"/>
  <c r="AJ101" i="12"/>
  <c r="AK101" i="12"/>
  <c r="AL101" i="12"/>
  <c r="AM101" i="12"/>
  <c r="AN101" i="12"/>
  <c r="AO101" i="12"/>
  <c r="AP101" i="12"/>
  <c r="AQ101" i="12"/>
  <c r="AR101" i="12"/>
  <c r="AS101" i="12"/>
  <c r="AT101" i="12"/>
  <c r="AU101" i="12"/>
  <c r="AV101" i="12"/>
  <c r="AW101" i="12"/>
  <c r="AX101" i="12"/>
  <c r="AY101" i="12"/>
  <c r="AZ101" i="12"/>
  <c r="BA101" i="12"/>
  <c r="BB101" i="12"/>
  <c r="BC101" i="12"/>
  <c r="BD101" i="12"/>
  <c r="BE101" i="12"/>
  <c r="BF101" i="12"/>
  <c r="BG101" i="12"/>
  <c r="BH101" i="12"/>
  <c r="BI101" i="12"/>
  <c r="BJ101" i="12"/>
  <c r="BK101" i="12"/>
  <c r="BL101" i="12"/>
  <c r="BM101" i="12"/>
  <c r="BN101" i="12"/>
  <c r="BO101" i="12"/>
  <c r="BP101" i="12"/>
  <c r="BQ101" i="12"/>
  <c r="BR101" i="12"/>
  <c r="BS101" i="12"/>
  <c r="BT101" i="12"/>
  <c r="BU101" i="12"/>
  <c r="BV101" i="12"/>
  <c r="BW101" i="12"/>
  <c r="BX101" i="12"/>
  <c r="BY101" i="12"/>
  <c r="BZ101" i="12"/>
  <c r="CA101" i="12"/>
  <c r="CB101" i="12"/>
  <c r="CC101" i="12"/>
  <c r="CD101" i="12"/>
  <c r="CE101" i="12"/>
  <c r="CF101" i="12"/>
  <c r="CG101" i="12"/>
  <c r="CH101" i="12"/>
  <c r="CI101" i="12"/>
  <c r="CJ101" i="12"/>
  <c r="CK101" i="12"/>
  <c r="CL101" i="12"/>
  <c r="CM101" i="12"/>
  <c r="CN101" i="12"/>
  <c r="CO101" i="12"/>
  <c r="CP101" i="12"/>
  <c r="CQ101" i="12"/>
  <c r="CR101" i="12"/>
  <c r="CS101" i="12"/>
  <c r="CT101" i="12"/>
  <c r="CU101" i="12"/>
  <c r="CV101" i="12"/>
  <c r="CW101" i="12"/>
  <c r="CX101" i="12"/>
  <c r="CY101" i="12"/>
  <c r="CZ101" i="12"/>
  <c r="DA101" i="12"/>
  <c r="DB101" i="12"/>
  <c r="DC101" i="12"/>
  <c r="DD101" i="12"/>
  <c r="DE101" i="12"/>
  <c r="DF101" i="12"/>
  <c r="DG101" i="12"/>
  <c r="DH101" i="12"/>
  <c r="DI101" i="12"/>
  <c r="DJ101" i="12"/>
  <c r="DK101" i="12"/>
  <c r="DL101" i="12"/>
  <c r="DM101" i="12"/>
  <c r="DN101" i="12"/>
  <c r="DO101" i="12"/>
  <c r="DP101" i="12"/>
  <c r="DQ101" i="12"/>
  <c r="DR101" i="12"/>
  <c r="DS101" i="12"/>
  <c r="DT101" i="12"/>
  <c r="DU101" i="12"/>
  <c r="DV101" i="12"/>
  <c r="DW101" i="12"/>
  <c r="DX101" i="12"/>
  <c r="DY101" i="12"/>
  <c r="DZ101" i="12"/>
  <c r="EA101" i="12"/>
  <c r="EB101" i="12"/>
  <c r="EC101" i="12"/>
  <c r="ED101" i="12"/>
  <c r="EE101" i="12"/>
  <c r="EF101" i="12"/>
  <c r="EG101" i="12"/>
  <c r="EH101" i="12"/>
  <c r="EI101" i="12"/>
  <c r="EJ101" i="12"/>
  <c r="EK101" i="12"/>
  <c r="EL101" i="12"/>
  <c r="EM101" i="12"/>
  <c r="EN101" i="12"/>
  <c r="EO101" i="12"/>
  <c r="EP101" i="12"/>
  <c r="EQ101" i="12"/>
  <c r="ER101" i="12"/>
  <c r="ES101" i="12"/>
  <c r="ET101" i="12"/>
  <c r="EU101" i="12"/>
  <c r="EV101" i="12"/>
  <c r="EW101" i="12"/>
  <c r="EX101" i="12"/>
  <c r="B103" i="12"/>
  <c r="B104" i="12"/>
  <c r="B49" i="12"/>
  <c r="C49" i="12"/>
  <c r="E49" i="12"/>
  <c r="B50" i="12"/>
  <c r="C50" i="12" s="1"/>
  <c r="E50" i="12"/>
  <c r="B51" i="12"/>
  <c r="C51" i="12" s="1"/>
  <c r="E51" i="12"/>
  <c r="B52" i="12"/>
  <c r="C52" i="12" s="1"/>
  <c r="E52" i="12"/>
  <c r="B53" i="12"/>
  <c r="C53" i="12"/>
  <c r="E53" i="12"/>
  <c r="B54" i="12"/>
  <c r="C54" i="12" s="1"/>
  <c r="E54" i="12"/>
  <c r="B55" i="12"/>
  <c r="B56" i="12"/>
  <c r="C56" i="12" s="1"/>
  <c r="E56" i="12"/>
  <c r="B57" i="12"/>
  <c r="C57" i="12" s="1"/>
  <c r="E57" i="12"/>
  <c r="B58" i="12"/>
  <c r="C58" i="12"/>
  <c r="E58" i="12"/>
  <c r="C55" i="12" l="1"/>
  <c r="D25" i="10" l="1"/>
  <c r="D23" i="10"/>
  <c r="D14" i="10"/>
  <c r="B46" i="9"/>
  <c r="D11" i="7" l="1"/>
  <c r="G34" i="6"/>
  <c r="F26" i="6"/>
  <c r="F34" i="6" l="1"/>
  <c r="F38" i="6"/>
  <c r="F32" i="6"/>
  <c r="I33" i="6"/>
  <c r="H34" i="6"/>
  <c r="F33" i="6"/>
  <c r="H38" i="6"/>
  <c r="G38" i="6"/>
  <c r="G33" i="6"/>
  <c r="I38" i="6"/>
  <c r="F35" i="6"/>
  <c r="G28" i="6"/>
  <c r="G32" i="6"/>
  <c r="G35" i="6" s="1"/>
  <c r="I34" i="6"/>
  <c r="H28" i="6"/>
  <c r="H32" i="6"/>
  <c r="H35" i="6" s="1"/>
  <c r="I28" i="6"/>
  <c r="I32" i="6"/>
  <c r="H33" i="6"/>
  <c r="F24" i="6"/>
  <c r="F28" i="6"/>
  <c r="G26" i="6"/>
  <c r="H24" i="6"/>
  <c r="H26" i="6"/>
  <c r="G24" i="6"/>
  <c r="I24" i="6"/>
  <c r="I26" i="6"/>
  <c r="I35" i="6" l="1"/>
  <c r="AF103" i="12" l="1"/>
  <c r="AG103" i="12" l="1"/>
  <c r="AH103" i="12" l="1"/>
  <c r="AI103" i="12" l="1"/>
  <c r="AJ103" i="12" l="1"/>
  <c r="AK103" i="12" l="1"/>
  <c r="AL103" i="12" l="1"/>
  <c r="AM103" i="12" l="1"/>
  <c r="AN103" i="12" l="1"/>
  <c r="AO103" i="12" l="1"/>
  <c r="AP103" i="12" l="1"/>
  <c r="AQ103" i="12" l="1"/>
  <c r="AR103" i="12" l="1"/>
  <c r="AS103" i="12" l="1"/>
  <c r="AT103" i="12" l="1"/>
  <c r="AU103" i="12" l="1"/>
  <c r="AV103" i="12" l="1"/>
  <c r="AW103" i="12" l="1"/>
  <c r="AX103" i="12" l="1"/>
  <c r="AY103" i="12" l="1"/>
  <c r="AZ103" i="12" l="1"/>
  <c r="BA103" i="12" l="1"/>
  <c r="BB103" i="12" l="1"/>
  <c r="BC103" i="12" l="1"/>
  <c r="BD103" i="12" l="1"/>
  <c r="BE103" i="12" l="1"/>
  <c r="BF103" i="12" l="1"/>
  <c r="BG103" i="12" l="1"/>
  <c r="BH103" i="12" l="1"/>
  <c r="BI103" i="12" l="1"/>
  <c r="BJ103" i="12" l="1"/>
  <c r="BK103" i="12" l="1"/>
  <c r="BL103" i="12" l="1"/>
  <c r="BM103" i="12" l="1"/>
  <c r="BN103" i="12" l="1"/>
  <c r="BO103" i="12" l="1"/>
  <c r="BP103" i="12" l="1"/>
  <c r="BQ103" i="12" l="1"/>
  <c r="BR103" i="12" l="1"/>
  <c r="BS103" i="12" l="1"/>
  <c r="BT103" i="12" l="1"/>
  <c r="BU103" i="12" l="1"/>
  <c r="BV103" i="12" l="1"/>
  <c r="BW103" i="12" l="1"/>
  <c r="BX103" i="12" l="1"/>
  <c r="BY103" i="12" l="1"/>
  <c r="BZ103" i="12" l="1"/>
  <c r="CA103" i="12" l="1"/>
  <c r="CB103" i="12" l="1"/>
  <c r="CC103" i="12" l="1"/>
  <c r="CD103" i="12" l="1"/>
  <c r="CE103" i="12" l="1"/>
  <c r="CF103" i="12" l="1"/>
  <c r="CG103" i="12" l="1"/>
  <c r="CH103" i="12" l="1"/>
  <c r="CI103" i="12" l="1"/>
  <c r="CJ103" i="12" l="1"/>
  <c r="CK103" i="12" l="1"/>
  <c r="CL103" i="12" l="1"/>
  <c r="CM103" i="12" l="1"/>
  <c r="CN103" i="12" l="1"/>
  <c r="CO103" i="12" l="1"/>
  <c r="CP103" i="12" l="1"/>
  <c r="CQ103" i="12" l="1"/>
  <c r="CR103" i="12" l="1"/>
  <c r="CS103" i="12" l="1"/>
  <c r="CT103" i="12" l="1"/>
  <c r="CU103" i="12" l="1"/>
  <c r="CV103" i="12" l="1"/>
  <c r="CW103" i="12" l="1"/>
  <c r="CX103" i="12" l="1"/>
  <c r="CY103" i="12" l="1"/>
  <c r="CZ103" i="12" l="1"/>
  <c r="DA103" i="12" l="1"/>
  <c r="DB103" i="12" l="1"/>
  <c r="DC103" i="12" l="1"/>
  <c r="DD103" i="12" l="1"/>
  <c r="DE103" i="12" l="1"/>
  <c r="DF103" i="12" l="1"/>
  <c r="DG103" i="12" l="1"/>
  <c r="DH103" i="12" l="1"/>
  <c r="DI103" i="12" l="1"/>
  <c r="DJ103" i="12" l="1"/>
  <c r="DK103" i="12" l="1"/>
  <c r="DL103" i="12" l="1"/>
  <c r="DM103" i="12" l="1"/>
  <c r="DN103" i="12" l="1"/>
  <c r="DO103" i="12" l="1"/>
  <c r="DP103" i="12" l="1"/>
  <c r="DQ103" i="12" l="1"/>
  <c r="DR103" i="12" l="1"/>
  <c r="DS103" i="12" l="1"/>
  <c r="DT103" i="12" l="1"/>
  <c r="DU103" i="12" l="1"/>
  <c r="DV103" i="12" l="1"/>
  <c r="DW103" i="12" l="1"/>
  <c r="DX103" i="12" l="1"/>
  <c r="DY103" i="12" l="1"/>
  <c r="DZ103" i="12" l="1"/>
  <c r="EA103" i="12" l="1"/>
  <c r="EB103" i="12" l="1"/>
  <c r="EC103" i="12" l="1"/>
  <c r="ED103" i="12" l="1"/>
  <c r="EE103" i="12" l="1"/>
  <c r="EF103" i="12" l="1"/>
  <c r="EG103" i="12" l="1"/>
  <c r="EH103" i="12" l="1"/>
  <c r="EI103" i="12" l="1"/>
  <c r="EJ103" i="12" l="1"/>
  <c r="EK103" i="12" l="1"/>
  <c r="EL103" i="12" l="1"/>
  <c r="EM103" i="12" l="1"/>
  <c r="EN103" i="12" l="1"/>
  <c r="EO103" i="12" l="1"/>
  <c r="EP103" i="12" l="1"/>
  <c r="EQ103" i="12" l="1"/>
  <c r="ER103" i="12" l="1"/>
  <c r="ES103" i="12" l="1"/>
  <c r="ET103" i="12" l="1"/>
  <c r="EU103" i="12" l="1"/>
  <c r="EV103" i="12" l="1"/>
  <c r="EW103" i="12" l="1"/>
  <c r="C90" i="12" l="1"/>
  <c r="C92" i="12"/>
  <c r="C93" i="12"/>
  <c r="C89" i="12"/>
  <c r="C98" i="12"/>
  <c r="C91" i="12"/>
  <c r="C88" i="12"/>
  <c r="C96" i="12"/>
  <c r="C95" i="12"/>
  <c r="EX103" i="12"/>
  <c r="C103" i="12" s="1"/>
  <c r="L4" i="12" l="1"/>
  <c r="C100" i="12"/>
  <c r="E88" i="12" l="1"/>
  <c r="E98" i="12"/>
  <c r="E97" i="12"/>
  <c r="E96" i="12"/>
  <c r="E93" i="12"/>
  <c r="E90" i="12"/>
  <c r="E94" i="12"/>
  <c r="E89" i="12"/>
  <c r="E92" i="12"/>
  <c r="E95" i="12"/>
  <c r="E91" i="12"/>
  <c r="E100" i="12" l="1"/>
  <c r="AV104" i="12" l="1"/>
  <c r="BZ104" i="12"/>
  <c r="CQ104" i="12"/>
  <c r="BB104" i="12"/>
  <c r="DG104" i="12"/>
  <c r="CD104" i="12"/>
  <c r="CI104" i="12"/>
  <c r="CS104" i="12"/>
  <c r="CK104" i="12"/>
  <c r="AN104" i="12"/>
  <c r="EB104" i="12"/>
  <c r="EM104" i="12"/>
  <c r="DS104" i="12"/>
  <c r="AK104" i="12"/>
  <c r="CL104" i="12"/>
  <c r="EJ104" i="12"/>
  <c r="BQ104" i="12"/>
  <c r="CE104" i="12"/>
  <c r="BV104" i="12"/>
  <c r="AP104" i="12"/>
  <c r="AO104" i="12"/>
  <c r="EE104" i="12"/>
  <c r="EN104" i="12"/>
  <c r="AL104" i="12"/>
  <c r="ES104" i="12"/>
  <c r="CZ104" i="12"/>
  <c r="AY104" i="12"/>
  <c r="EP104" i="12"/>
  <c r="EC104" i="12"/>
  <c r="DI104" i="12"/>
  <c r="DK104" i="12"/>
  <c r="DW104" i="12"/>
  <c r="DE104" i="12"/>
  <c r="CG104" i="12"/>
  <c r="BH104" i="12"/>
  <c r="AJ104" i="12"/>
  <c r="CT104" i="12"/>
  <c r="DU104" i="12"/>
  <c r="CC104" i="12"/>
  <c r="BR104" i="12"/>
  <c r="BL104" i="12"/>
  <c r="BD104" i="12"/>
  <c r="DX104" i="12"/>
  <c r="DC104" i="12"/>
  <c r="EQ104" i="12"/>
  <c r="DD104" i="12"/>
  <c r="DH104" i="12"/>
  <c r="EV104" i="12"/>
  <c r="ED104" i="12"/>
  <c r="DY104" i="12"/>
  <c r="BF104" i="12"/>
  <c r="EX104" i="12"/>
  <c r="CH104" i="12"/>
  <c r="BE104" i="12"/>
  <c r="BP104" i="12"/>
  <c r="AZ104" i="12"/>
  <c r="EH104" i="12"/>
  <c r="BO104" i="12"/>
  <c r="ER104" i="12"/>
  <c r="BK104" i="12"/>
  <c r="DJ104" i="12"/>
  <c r="DB104" i="12"/>
  <c r="AT104" i="12"/>
  <c r="AR104" i="12"/>
  <c r="BJ104" i="12"/>
  <c r="EW104" i="12"/>
  <c r="DZ104" i="12"/>
  <c r="BI104" i="12"/>
  <c r="DA104" i="12"/>
  <c r="ET104" i="12"/>
  <c r="BN104" i="12"/>
  <c r="AU104" i="12"/>
  <c r="CX104" i="12"/>
  <c r="CP104" i="12"/>
  <c r="CY104" i="12"/>
  <c r="CV104" i="12"/>
  <c r="DR104" i="12"/>
  <c r="DM104" i="12"/>
  <c r="BG104" i="12"/>
  <c r="AI104" i="12"/>
  <c r="BS104" i="12"/>
  <c r="CW104" i="12"/>
  <c r="CO104" i="12"/>
  <c r="BU104" i="12"/>
  <c r="DP104" i="12"/>
  <c r="CU104" i="12"/>
  <c r="BX104" i="12"/>
  <c r="DT104" i="12"/>
  <c r="DQ104" i="12"/>
  <c r="CB104" i="12"/>
  <c r="CJ104" i="12"/>
  <c r="AH104" i="12"/>
  <c r="EL104" i="12"/>
  <c r="AQ104" i="12"/>
  <c r="EI104" i="12"/>
  <c r="AX104" i="12"/>
  <c r="AM104" i="12"/>
  <c r="CA104" i="12"/>
  <c r="EU104" i="12"/>
  <c r="BM104" i="12"/>
  <c r="AS104" i="12"/>
  <c r="BT104" i="12"/>
  <c r="BC104" i="12"/>
  <c r="CM104" i="12"/>
  <c r="DL104" i="12"/>
  <c r="BY104" i="12"/>
  <c r="AW104" i="12"/>
  <c r="EA104" i="12"/>
  <c r="DV104" i="12"/>
  <c r="CR104" i="12"/>
  <c r="BA104" i="12"/>
  <c r="AG104" i="12"/>
  <c r="EG104" i="12"/>
  <c r="CN104" i="12"/>
  <c r="EK104" i="12"/>
  <c r="DN104" i="12"/>
  <c r="BW104" i="12"/>
  <c r="DF104" i="12"/>
  <c r="AF104" i="12"/>
  <c r="EF104" i="12"/>
  <c r="EO104" i="12"/>
  <c r="DO104" i="12"/>
  <c r="CF104" i="12"/>
  <c r="C104" i="12" l="1"/>
  <c r="L5" i="12" l="1"/>
  <c r="L6" i="12" l="1"/>
  <c r="L3" i="12" l="1"/>
</calcChain>
</file>

<file path=xl/comments1.xml><?xml version="1.0" encoding="utf-8"?>
<comments xmlns="http://schemas.openxmlformats.org/spreadsheetml/2006/main">
  <authors>
    <author>John Brotherton</author>
  </authors>
  <commentList>
    <comment ref="D20" authorId="0">
      <text>
        <r>
          <rPr>
            <b/>
            <sz val="8"/>
            <color indexed="81"/>
            <rFont val="Tahoma"/>
            <family val="2"/>
          </rPr>
          <t xml:space="preserve">IMPORTANT
</t>
        </r>
        <r>
          <rPr>
            <sz val="8"/>
            <color indexed="81"/>
            <rFont val="Tahoma"/>
            <family val="2"/>
          </rPr>
          <t>Read the Comment.</t>
        </r>
      </text>
    </comment>
  </commentList>
</comments>
</file>

<file path=xl/comments2.xml><?xml version="1.0" encoding="utf-8"?>
<comments xmlns="http://schemas.openxmlformats.org/spreadsheetml/2006/main">
  <authors>
    <author>Martin Brader</author>
  </authors>
  <commentList>
    <comment ref="C14" authorId="0">
      <text>
        <r>
          <rPr>
            <sz val="10"/>
            <color indexed="17"/>
            <rFont val="Tahoma"/>
            <family val="2"/>
          </rPr>
          <t>Apply inflation / indexation factors entered on "Constants" sheet.</t>
        </r>
      </text>
    </comment>
    <comment ref="F14" authorId="0">
      <text>
        <r>
          <rPr>
            <sz val="10"/>
            <color indexed="17"/>
            <rFont val="Tahoma"/>
            <family val="2"/>
          </rPr>
          <t>Apply Charging Profiles ( Payment Milestones, Service Charges, etc.) set on the "Customer Charges" sheet.</t>
        </r>
      </text>
    </comment>
    <comment ref="I14" authorId="0">
      <text>
        <r>
          <rPr>
            <sz val="10"/>
            <color indexed="17"/>
            <rFont val="Tahoma"/>
            <family val="2"/>
          </rPr>
          <t>Apply finance leasing charges (paid to 3rd Party eg. a bank) on the "Final Price" sheet.</t>
        </r>
      </text>
    </comment>
    <comment ref="C15" authorId="0">
      <text>
        <r>
          <rPr>
            <sz val="10"/>
            <color indexed="17"/>
            <rFont val="Tahoma"/>
            <family val="2"/>
          </rPr>
          <t>Remove any residual value from "Cost Plus" (price) sheet. Cost not removed. Income from sale not included.</t>
        </r>
      </text>
    </comment>
    <comment ref="F15" authorId="0">
      <text>
        <r>
          <rPr>
            <sz val="10"/>
            <color indexed="17"/>
            <rFont val="Tahoma"/>
            <family val="2"/>
          </rPr>
          <t>Apply Discounts set on the "Customer Charges" sheet.</t>
        </r>
      </text>
    </comment>
    <comment ref="I15" authorId="0">
      <text>
        <r>
          <rPr>
            <sz val="10"/>
            <color indexed="17"/>
            <rFont val="Tahoma"/>
            <family val="2"/>
          </rPr>
          <t>Spread any "Indirect" costs over designated Services on the "Service Prices" sheet. Designate Services on the "Constants" sheet.</t>
        </r>
      </text>
    </comment>
    <comment ref="C16" authorId="0">
      <text>
        <r>
          <rPr>
            <sz val="10"/>
            <color indexed="17"/>
            <rFont val="Tahoma"/>
            <family val="2"/>
          </rPr>
          <t>Apply Profit Margin to basic costs. Generates the "Cost Plus" sheet</t>
        </r>
      </text>
    </comment>
    <comment ref="F16" authorId="0">
      <text>
        <r>
          <rPr>
            <sz val="10"/>
            <color indexed="17"/>
            <rFont val="Tahoma"/>
            <family val="2"/>
          </rPr>
          <t>Apply Cost of Money factor to the profiled price (calculated on the "CoM" sheet).</t>
        </r>
      </text>
    </comment>
    <comment ref="I16" authorId="0">
      <text>
        <r>
          <rPr>
            <sz val="10"/>
            <color indexed="17"/>
            <rFont val="Tahoma"/>
            <family val="2"/>
          </rPr>
          <t>ON = Overhead applied by Overhead profile
OFF = Overhead spread by Service profile.</t>
        </r>
      </text>
    </comment>
  </commentList>
</comments>
</file>

<file path=xl/sharedStrings.xml><?xml version="1.0" encoding="utf-8"?>
<sst xmlns="http://schemas.openxmlformats.org/spreadsheetml/2006/main" count="586" uniqueCount="455">
  <si>
    <t>No Such Model</t>
  </si>
  <si>
    <t>Assumption Register</t>
  </si>
  <si>
    <t>Register</t>
  </si>
  <si>
    <t>Originator</t>
  </si>
  <si>
    <t>Validator</t>
  </si>
  <si>
    <t>Owner</t>
  </si>
  <si>
    <t>ID</t>
  </si>
  <si>
    <t>Input reference</t>
  </si>
  <si>
    <t>Name</t>
  </si>
  <si>
    <t>Entry Date</t>
  </si>
  <si>
    <t>Due Date</t>
  </si>
  <si>
    <t>Status</t>
  </si>
  <si>
    <t>Closure Date</t>
  </si>
  <si>
    <t>Actions</t>
  </si>
  <si>
    <t>END</t>
  </si>
  <si>
    <t>I0020</t>
  </si>
  <si>
    <t>Mike Smith, VP Commercial projects</t>
  </si>
  <si>
    <t>Jim Carter, Metrics and Benchmarks Manager</t>
  </si>
  <si>
    <t>Price Margin %</t>
  </si>
  <si>
    <t>Awaiting validation</t>
  </si>
  <si>
    <t>Validation cannot commence until 01/12/2013 as validator is unavailable</t>
  </si>
  <si>
    <t>Description</t>
  </si>
  <si>
    <t>Derek Lambie, Crystals project Sponsor</t>
  </si>
  <si>
    <t>The Acceptable profit margin on is minimum of 15% (Annual Profit statement 2012, CEO report)</t>
  </si>
  <si>
    <t>ASS001_00</t>
  </si>
  <si>
    <t>Melanie Smith</t>
  </si>
  <si>
    <t xml:space="preserve">Tax rates are based on the online site at the Inland Revenue </t>
  </si>
  <si>
    <t>Validated</t>
  </si>
  <si>
    <t>ASS001_01</t>
  </si>
  <si>
    <t>ASS002_00</t>
  </si>
  <si>
    <t>Validator must be allocated</t>
  </si>
  <si>
    <t>NonSuch Financial Model</t>
  </si>
  <si>
    <t>Model Calculations</t>
  </si>
  <si>
    <t>Financial year</t>
  </si>
  <si>
    <t>Input Links</t>
  </si>
  <si>
    <t>Sales price</t>
  </si>
  <si>
    <t>% discounts given</t>
  </si>
  <si>
    <t>Purchase cost from supplier A</t>
  </si>
  <si>
    <t>Purchase cost from supplier B</t>
  </si>
  <si>
    <t>Purchase cost from supplier C</t>
  </si>
  <si>
    <t>1.00 Income</t>
  </si>
  <si>
    <t>1.01, 1.02</t>
  </si>
  <si>
    <t>1.01, 1.03</t>
  </si>
  <si>
    <t>Returned units</t>
  </si>
  <si>
    <t>Sales price x Number of units returned</t>
  </si>
  <si>
    <t>1.01, 1.02, 1.04</t>
  </si>
  <si>
    <t>2.00 Direct costs</t>
  </si>
  <si>
    <t>Purchase costs</t>
  </si>
  <si>
    <t>2.01, 2.04</t>
  </si>
  <si>
    <t>Supplier A</t>
  </si>
  <si>
    <t>2.02, 2.05</t>
  </si>
  <si>
    <t>Supplier B</t>
  </si>
  <si>
    <t>2.03, 2.06</t>
  </si>
  <si>
    <t>Supplier C</t>
  </si>
  <si>
    <t>Total</t>
  </si>
  <si>
    <t>2.08, 2.09</t>
  </si>
  <si>
    <t>Input ref</t>
  </si>
  <si>
    <t>Ass ref</t>
  </si>
  <si>
    <t>No Such Company</t>
  </si>
  <si>
    <t>Model Description &amp; Scope</t>
  </si>
  <si>
    <t>Project:</t>
  </si>
  <si>
    <t>Client</t>
  </si>
  <si>
    <t>Business Unit</t>
  </si>
  <si>
    <t>Confidentiality</t>
  </si>
  <si>
    <t>Sponsor's details:-</t>
  </si>
  <si>
    <t>Phone</t>
  </si>
  <si>
    <t>Email</t>
  </si>
  <si>
    <t xml:space="preserve">Model Owner's details:- </t>
  </si>
  <si>
    <t>Project:-</t>
  </si>
  <si>
    <t>Document Information:-</t>
  </si>
  <si>
    <t>Filename</t>
  </si>
  <si>
    <t>© Copyright 2013 No Such Company - All Rights Reserved</t>
  </si>
  <si>
    <t>Some name</t>
  </si>
  <si>
    <t>IT Infrastructure</t>
  </si>
  <si>
    <t>+nn nnn nnnnnn</t>
  </si>
  <si>
    <t>nnnnnnnn@nosuch.com</t>
  </si>
  <si>
    <t>Nosuch_v1.0 Final.xls</t>
  </si>
  <si>
    <t>Audit</t>
  </si>
  <si>
    <t>Model detail</t>
  </si>
  <si>
    <t>Model Name</t>
  </si>
  <si>
    <t>Version number</t>
  </si>
  <si>
    <t>Usage history</t>
  </si>
  <si>
    <t>Model version</t>
  </si>
  <si>
    <t>Date</t>
  </si>
  <si>
    <t>User</t>
  </si>
  <si>
    <t>Model feature</t>
  </si>
  <si>
    <t>Feature</t>
  </si>
  <si>
    <t>Completion date</t>
  </si>
  <si>
    <t>Nosuch</t>
  </si>
  <si>
    <t>nosuchmodel.xls</t>
  </si>
  <si>
    <t>Modeler name</t>
  </si>
  <si>
    <t>John Smith</t>
  </si>
  <si>
    <t>js@models.net</t>
  </si>
  <si>
    <t>JS</t>
  </si>
  <si>
    <t>TM</t>
  </si>
  <si>
    <t>Outputs date stamping</t>
  </si>
  <si>
    <t>No SaveAs feature</t>
  </si>
  <si>
    <t>Sheet Functions:</t>
  </si>
  <si>
    <t>Sheet:</t>
  </si>
  <si>
    <t>Input:</t>
  </si>
  <si>
    <t>Lookup tables and key variables</t>
  </si>
  <si>
    <t>Detailed Data Rows. Raw data in units. Unit costs in local currency. Tags and Labels.</t>
  </si>
  <si>
    <t>Graphs. Key Business Indicators. Function switches.</t>
  </si>
  <si>
    <t>Detailed Data Rows:</t>
  </si>
  <si>
    <t>Calculates Residual Value.</t>
  </si>
  <si>
    <t>Others:</t>
  </si>
  <si>
    <t>Error checking panel.</t>
  </si>
  <si>
    <t>Tracks changes in terms of Final Price and Costs by Cost Type.</t>
  </si>
  <si>
    <t>General:</t>
  </si>
  <si>
    <t>Four code lists:
                        (a)  BAR Cost Codes
                        (b)  Cost Types
                        (c)  Customer Services
                        (d)  Suppliers
provide switches allowing the user to switch off one, all, or some, categories.</t>
  </si>
  <si>
    <t>Essential code list for the Accounting Module BAR Pack. Users must NOT amend these codes.</t>
  </si>
  <si>
    <t>Includes Y/N switches through which Users can exclude from the model costs related to any combination of codes.</t>
  </si>
  <si>
    <t>Standard list of Fujitsu Capability Units and associated short codes. Should be compatible with CCM or CSM list. Used for analysis.</t>
  </si>
  <si>
    <t>If, and only if, a cost is a Capital Asset (Capex, see above) then it will require an Economic Life in order to determine Depreciation (within the Accounting Module) and Residual Value (in the Pricing Module).</t>
  </si>
  <si>
    <t>Standard list of Fujitsu Cost Classifications and associated short codes. Should be compatible with CCM or CSM list. Used for analysis.</t>
  </si>
  <si>
    <t>Key variables: WACC Rate (Weighted Average Cost of Capital) and Tax Rate. Used in the Cost of Money calculation.</t>
  </si>
  <si>
    <t>Standard list of Fujitsu Cost Phases and associated short codes. Should be compatible with CCM or CSM list. Used for analysis.</t>
  </si>
  <si>
    <t>Standard list of Fujitsu Cost Types and associated short codes. Should be compatible with CCM or CSM list. Used for analysis.</t>
  </si>
  <si>
    <t>List of currencies and exchange rates (against the "Base Currency"). Includes date of last update.</t>
  </si>
  <si>
    <t>The table lists the Services titles, as understood by the customer, that the customer wishes to see priced.</t>
  </si>
  <si>
    <r>
      <t xml:space="preserve">Users may retitle, but must </t>
    </r>
    <r>
      <rPr>
        <b/>
        <u/>
        <sz val="10"/>
        <color indexed="8"/>
        <rFont val="Arial"/>
        <family val="2"/>
      </rPr>
      <t>NOT</t>
    </r>
    <r>
      <rPr>
        <sz val="10"/>
        <color indexed="8"/>
        <rFont val="Arial"/>
        <family val="2"/>
      </rPr>
      <t xml:space="preserve"> add or remove Service categories (rows) to the table.</t>
    </r>
  </si>
  <si>
    <t>The country from which the service will be delivered.</t>
  </si>
  <si>
    <t>Standard list of Fujitsu Country names and associated short codes. Should be compatible with CCM or CSM list. Used for analysis.</t>
  </si>
  <si>
    <t>(F)ixed or (V)ariable cost. Does the cost vary in-line with changes to volume (Variable) or not (Fixed).</t>
  </si>
  <si>
    <t>Two tables. The first (input) table allows the User to enter annual inflation rates along with the month from which the indexation is applied.</t>
  </si>
  <si>
    <t>The second table converts the annual table into a monthly profile, stepped upon the given month.</t>
  </si>
  <si>
    <t>Leasing arrangements are determined within the Accounting Module. Category titles and uplift factors are entered here as a percentage factor of cost designed to cover the cost of external financing charges.</t>
  </si>
  <si>
    <t>Table of Profit Categories. Also includes Opex and Hurdle Rates for each category.</t>
  </si>
  <si>
    <t>Code for Work Breakdown Structure, based on code structure set up in the Oracle Time Recording and Costing Systems.</t>
  </si>
  <si>
    <t>Used for analysis.</t>
  </si>
  <si>
    <t>Categories relate to creditor payment terms (0, 30, 60 or 90 days).</t>
  </si>
  <si>
    <t>The table provides drop-down menu and cell validation on the 'Main Input' sheet.</t>
  </si>
  <si>
    <t>Only applicable for direct Labour related costs.</t>
  </si>
  <si>
    <t>Can be used for geographical analysis, along with Delivery Country and Region.</t>
  </si>
  <si>
    <t>Timelines</t>
  </si>
  <si>
    <t>No provision is made for automatically increasing the maximum model timespan.</t>
  </si>
  <si>
    <t>The user is not prevented from altering the calculated timeline.</t>
  </si>
  <si>
    <t>Main Input</t>
  </si>
  <si>
    <t>The Main Input sheet is intended to be used with data from the CSM, the CCM or a standard issued cost collection template.</t>
  </si>
  <si>
    <t>Data should be taken, as volumes, from the 'Output Units' sheet</t>
  </si>
  <si>
    <t>Main Input entries</t>
  </si>
  <si>
    <t xml:space="preserve">Left hand input block:  </t>
  </si>
  <si>
    <r>
      <t xml:space="preserve">Originator </t>
    </r>
    <r>
      <rPr>
        <i/>
        <sz val="10"/>
        <color indexed="8"/>
        <rFont val="Arial"/>
        <family val="2"/>
      </rPr>
      <t>(initials which identify cost contributor)</t>
    </r>
  </si>
  <si>
    <t xml:space="preserve">(Copy directly from CCM or CSM) </t>
  </si>
  <si>
    <t>Capability Unit</t>
  </si>
  <si>
    <r>
      <t>Cost Type*</t>
    </r>
    <r>
      <rPr>
        <sz val="10"/>
        <color indexed="8"/>
        <rFont val="Arial"/>
        <family val="2"/>
      </rPr>
      <t xml:space="preserve"> </t>
    </r>
    <r>
      <rPr>
        <i/>
        <sz val="10"/>
        <color indexed="8"/>
        <rFont val="Arial"/>
        <family val="2"/>
      </rPr>
      <t>(standard corporate codes)</t>
    </r>
  </si>
  <si>
    <t>Cost Phase</t>
  </si>
  <si>
    <r>
      <t>Description</t>
    </r>
    <r>
      <rPr>
        <i/>
        <sz val="10"/>
        <color indexed="8"/>
        <rFont val="Arial"/>
        <family val="2"/>
      </rPr>
      <t xml:space="preserve"> (free text field; describe role, item and/or function)</t>
    </r>
  </si>
  <si>
    <r>
      <t xml:space="preserve">Notes </t>
    </r>
    <r>
      <rPr>
        <i/>
        <sz val="10"/>
        <color indexed="8"/>
        <rFont val="Arial"/>
        <family val="2"/>
      </rPr>
      <t>(free text)</t>
    </r>
  </si>
  <si>
    <t>Cost Classifications</t>
  </si>
  <si>
    <t>Role</t>
  </si>
  <si>
    <t>Site</t>
  </si>
  <si>
    <r>
      <t>Supplier*</t>
    </r>
    <r>
      <rPr>
        <sz val="10"/>
        <color indexed="8"/>
        <rFont val="Arial"/>
        <family val="2"/>
      </rPr>
      <t xml:space="preserve"> </t>
    </r>
    <r>
      <rPr>
        <i/>
        <sz val="10"/>
        <color indexed="8"/>
        <rFont val="Arial"/>
        <family val="2"/>
      </rPr>
      <t>(may include sub-divisions)</t>
    </r>
  </si>
  <si>
    <r>
      <t>BAR Cost Code*</t>
    </r>
    <r>
      <rPr>
        <sz val="10"/>
        <color indexed="8"/>
        <rFont val="Arial"/>
        <family val="2"/>
      </rPr>
      <t xml:space="preserve"> </t>
    </r>
    <r>
      <rPr>
        <i/>
        <sz val="10"/>
        <color indexed="17"/>
        <rFont val="Arial"/>
        <family val="2"/>
      </rPr>
      <t>(used in the Accounting Module)</t>
    </r>
    <r>
      <rPr>
        <sz val="10"/>
        <color indexed="8"/>
        <rFont val="Arial"/>
        <family val="2"/>
      </rPr>
      <t>.</t>
    </r>
  </si>
  <si>
    <t>Fixed or Variable cost behaviour</t>
  </si>
  <si>
    <t>Oracle Code (a code related to the Work Breakdown Structure used in corporate Project Management Systems).</t>
  </si>
  <si>
    <t>Delivery Country</t>
  </si>
  <si>
    <r>
      <t>Unit Cost*</t>
    </r>
    <r>
      <rPr>
        <sz val="10"/>
        <color indexed="8"/>
        <rFont val="Arial"/>
        <family val="2"/>
      </rPr>
      <t xml:space="preserve"> </t>
    </r>
    <r>
      <rPr>
        <i/>
        <sz val="10"/>
        <color indexed="8"/>
        <rFont val="Arial"/>
        <family val="2"/>
      </rPr>
      <t>(cost of a single Unit, in local currency)</t>
    </r>
  </si>
  <si>
    <r>
      <t>Currency*</t>
    </r>
    <r>
      <rPr>
        <sz val="10"/>
        <color indexed="8"/>
        <rFont val="Arial"/>
        <family val="2"/>
      </rPr>
      <t xml:space="preserve"> </t>
    </r>
    <r>
      <rPr>
        <i/>
        <sz val="10"/>
        <color indexed="8"/>
        <rFont val="Arial"/>
        <family val="2"/>
      </rPr>
      <t>(the local currency of the Unit Cost)</t>
    </r>
  </si>
  <si>
    <t>Region</t>
  </si>
  <si>
    <r>
      <t xml:space="preserve">User Code 1 </t>
    </r>
    <r>
      <rPr>
        <i/>
        <sz val="10"/>
        <color indexed="8"/>
        <rFont val="Arial"/>
        <family val="2"/>
      </rPr>
      <t>(spare cost analysis code)</t>
    </r>
  </si>
  <si>
    <r>
      <t xml:space="preserve">User Code 2 </t>
    </r>
    <r>
      <rPr>
        <i/>
        <sz val="10"/>
        <color indexed="8"/>
        <rFont val="Arial"/>
        <family val="2"/>
      </rPr>
      <t>(spare cost analysis code)</t>
    </r>
  </si>
  <si>
    <r>
      <t xml:space="preserve">User Code 3 </t>
    </r>
    <r>
      <rPr>
        <i/>
        <sz val="10"/>
        <color indexed="8"/>
        <rFont val="Arial"/>
        <family val="2"/>
      </rPr>
      <t>(spare cost analysis code)</t>
    </r>
  </si>
  <si>
    <r>
      <t>Customer Code A*</t>
    </r>
    <r>
      <rPr>
        <sz val="10"/>
        <color indexed="8"/>
        <rFont val="Arial"/>
        <family val="2"/>
      </rPr>
      <t xml:space="preserve"> </t>
    </r>
    <r>
      <rPr>
        <i/>
        <sz val="10"/>
        <color indexed="8"/>
        <rFont val="Arial"/>
        <family val="2"/>
      </rPr>
      <t>(the "Services" or "Price List Items" that the customer wants priced; limited to 15)</t>
    </r>
  </si>
  <si>
    <r>
      <t xml:space="preserve">Customer Code B </t>
    </r>
    <r>
      <rPr>
        <i/>
        <sz val="10"/>
        <color indexed="8"/>
        <rFont val="Arial"/>
        <family val="2"/>
      </rPr>
      <t>(additional analysis code)</t>
    </r>
  </si>
  <si>
    <r>
      <t xml:space="preserve">Customer Code C </t>
    </r>
    <r>
      <rPr>
        <i/>
        <sz val="10"/>
        <color indexed="8"/>
        <rFont val="Arial"/>
        <family val="2"/>
      </rPr>
      <t>(additional analysis code)</t>
    </r>
  </si>
  <si>
    <r>
      <t xml:space="preserve">Customer Code D </t>
    </r>
    <r>
      <rPr>
        <i/>
        <sz val="10"/>
        <color indexed="8"/>
        <rFont val="Arial"/>
        <family val="2"/>
      </rPr>
      <t>(additional analysis code)</t>
    </r>
  </si>
  <si>
    <r>
      <t xml:space="preserve">Customer Code E </t>
    </r>
    <r>
      <rPr>
        <i/>
        <sz val="10"/>
        <color indexed="8"/>
        <rFont val="Arial"/>
        <family val="2"/>
      </rPr>
      <t>(additional analysis code)</t>
    </r>
  </si>
  <si>
    <r>
      <t xml:space="preserve">Customer Code F </t>
    </r>
    <r>
      <rPr>
        <i/>
        <sz val="10"/>
        <color indexed="8"/>
        <rFont val="Arial"/>
        <family val="2"/>
      </rPr>
      <t>(additional analysis code)</t>
    </r>
  </si>
  <si>
    <r>
      <t xml:space="preserve">Unit Type </t>
    </r>
    <r>
      <rPr>
        <i/>
        <sz val="10"/>
        <color indexed="8"/>
        <rFont val="Arial"/>
        <family val="2"/>
      </rPr>
      <t>(the nature of the costed unit)</t>
    </r>
  </si>
  <si>
    <t xml:space="preserve">Right hand input block:  </t>
  </si>
  <si>
    <r>
      <t>Index Code*</t>
    </r>
    <r>
      <rPr>
        <sz val="10"/>
        <color indexed="8"/>
        <rFont val="Arial"/>
        <family val="2"/>
      </rPr>
      <t xml:space="preserve"> </t>
    </r>
    <r>
      <rPr>
        <i/>
        <sz val="10"/>
        <color indexed="8"/>
        <rFont val="Arial"/>
        <family val="2"/>
      </rPr>
      <t>(see "Inflation / Indexation" note above)</t>
    </r>
  </si>
  <si>
    <r>
      <t xml:space="preserve">Financing </t>
    </r>
    <r>
      <rPr>
        <i/>
        <sz val="10"/>
        <color indexed="8"/>
        <rFont val="Arial"/>
        <family val="2"/>
      </rPr>
      <t>(see "External Financing" note above)</t>
    </r>
  </si>
  <si>
    <r>
      <t xml:space="preserve">Capital Life </t>
    </r>
    <r>
      <rPr>
        <i/>
        <sz val="10"/>
        <color indexed="8"/>
        <rFont val="Arial"/>
        <family val="2"/>
      </rPr>
      <t>(aka Economic Life, applies only to assets, see "Capital" note above)</t>
    </r>
  </si>
  <si>
    <r>
      <t>Margin Code*</t>
    </r>
    <r>
      <rPr>
        <sz val="10"/>
        <color indexed="8"/>
        <rFont val="Arial"/>
        <family val="2"/>
      </rPr>
      <t xml:space="preserve"> </t>
    </r>
    <r>
      <rPr>
        <i/>
        <sz val="10"/>
        <color indexed="8"/>
        <rFont val="Arial"/>
        <family val="2"/>
      </rPr>
      <t>(used to apply Profit Margin, see "Margin" note above).</t>
    </r>
  </si>
  <si>
    <r>
      <t>Revenue Class*</t>
    </r>
    <r>
      <rPr>
        <i/>
        <sz val="10"/>
        <color indexed="8"/>
        <rFont val="Arial"/>
        <family val="2"/>
      </rPr>
      <t xml:space="preserve"> </t>
    </r>
    <r>
      <rPr>
        <i/>
        <sz val="10"/>
        <color indexed="17"/>
        <rFont val="Arial"/>
        <family val="2"/>
      </rPr>
      <t>(used in the Accounting Module)</t>
    </r>
    <r>
      <rPr>
        <sz val="10"/>
        <color indexed="8"/>
        <rFont val="Arial"/>
        <family val="2"/>
      </rPr>
      <t>.</t>
    </r>
  </si>
  <si>
    <r>
      <t>Capex / Opex*</t>
    </r>
    <r>
      <rPr>
        <sz val="10"/>
        <color indexed="8"/>
        <rFont val="Arial"/>
        <family val="2"/>
      </rPr>
      <t xml:space="preserve"> </t>
    </r>
    <r>
      <rPr>
        <i/>
        <sz val="10"/>
        <color indexed="17"/>
        <rFont val="Arial"/>
        <family val="2"/>
      </rPr>
      <t>(used in the Accounting Module)</t>
    </r>
    <r>
      <rPr>
        <sz val="10"/>
        <color indexed="8"/>
        <rFont val="Arial"/>
        <family val="2"/>
      </rPr>
      <t>.</t>
    </r>
  </si>
  <si>
    <r>
      <t>Pre-payment/Accrual Code*</t>
    </r>
    <r>
      <rPr>
        <sz val="10"/>
        <color indexed="8"/>
        <rFont val="Arial"/>
        <family val="2"/>
      </rPr>
      <t xml:space="preserve"> </t>
    </r>
    <r>
      <rPr>
        <i/>
        <sz val="10"/>
        <color indexed="17"/>
        <rFont val="Arial"/>
        <family val="2"/>
      </rPr>
      <t>(used in the Accounting Module)</t>
    </r>
    <r>
      <rPr>
        <sz val="10"/>
        <color indexed="8"/>
        <rFont val="Arial"/>
        <family val="2"/>
      </rPr>
      <t>.</t>
    </r>
  </si>
  <si>
    <r>
      <t>Accounting Treatment*</t>
    </r>
    <r>
      <rPr>
        <sz val="10"/>
        <color indexed="8"/>
        <rFont val="Arial"/>
        <family val="2"/>
      </rPr>
      <t xml:space="preserve"> </t>
    </r>
    <r>
      <rPr>
        <i/>
        <sz val="10"/>
        <color indexed="17"/>
        <rFont val="Arial"/>
        <family val="2"/>
      </rPr>
      <t>(used in the Accounting Module)</t>
    </r>
    <r>
      <rPr>
        <i/>
        <sz val="10"/>
        <color indexed="8"/>
        <rFont val="Arial"/>
        <family val="2"/>
      </rPr>
      <t>.</t>
    </r>
  </si>
  <si>
    <r>
      <t>Payment Type*</t>
    </r>
    <r>
      <rPr>
        <sz val="10"/>
        <color indexed="8"/>
        <rFont val="Arial"/>
        <family val="2"/>
      </rPr>
      <t xml:space="preserve"> </t>
    </r>
    <r>
      <rPr>
        <i/>
        <sz val="10"/>
        <color indexed="8"/>
        <rFont val="Arial"/>
        <family val="2"/>
      </rPr>
      <t>(relates to Creditor payment terms)</t>
    </r>
  </si>
  <si>
    <r>
      <t>Note:</t>
    </r>
    <r>
      <rPr>
        <sz val="10"/>
        <color indexed="8"/>
        <rFont val="Arial"/>
        <family val="2"/>
      </rPr>
      <t xml:space="preserve"> </t>
    </r>
    <r>
      <rPr>
        <b/>
        <sz val="10"/>
        <color indexed="16"/>
        <rFont val="Arial"/>
        <family val="2"/>
      </rPr>
      <t>Mandatory Field*</t>
    </r>
    <r>
      <rPr>
        <sz val="10"/>
        <color indexed="8"/>
        <rFont val="Arial"/>
        <family val="2"/>
      </rPr>
      <t xml:space="preserve"> </t>
    </r>
    <r>
      <rPr>
        <i/>
        <sz val="10"/>
        <color indexed="8"/>
        <rFont val="Arial"/>
        <family val="2"/>
      </rPr>
      <t>(must be completed)</t>
    </r>
  </si>
  <si>
    <t>Issues and Functions</t>
  </si>
  <si>
    <t>Margin</t>
  </si>
  <si>
    <t>(Switched)</t>
  </si>
  <si>
    <t>Cost of Money</t>
  </si>
  <si>
    <t>A rate for the cost of money (the WACC or Weighted Average Cost of Capital Rate) for internal funding is provided.</t>
  </si>
  <si>
    <t>The User should ensure that the WACC Rate is up to date.</t>
  </si>
  <si>
    <t>The User is not prevented from altering the rate.</t>
  </si>
  <si>
    <t>The Cost of Money therefore takes into account variations based on both Charge Profiling and Payment Terms (receivables).</t>
  </si>
  <si>
    <t>Currency Conversions</t>
  </si>
  <si>
    <t>The User should ensure that the rates are up to date.</t>
  </si>
  <si>
    <t>The User is not prevented from altering or adding to the table.</t>
  </si>
  <si>
    <t>The model's "Base Currency" refers to the reference currency in the long term conversion table and cannot be changed "on the fly".</t>
  </si>
  <si>
    <r>
      <t xml:space="preserve">When saving, auditing or interfacing with the </t>
    </r>
    <r>
      <rPr>
        <i/>
        <sz val="10"/>
        <color indexed="8"/>
        <rFont val="Arial"/>
        <family val="2"/>
      </rPr>
      <t>Accounting Module</t>
    </r>
    <r>
      <rPr>
        <sz val="10"/>
        <color indexed="8"/>
        <rFont val="Arial"/>
        <family val="2"/>
      </rPr>
      <t xml:space="preserve">, </t>
    </r>
    <r>
      <rPr>
        <i/>
        <sz val="10"/>
        <color indexed="8"/>
        <rFont val="Arial"/>
        <family val="2"/>
      </rPr>
      <t>"Output Currency"</t>
    </r>
    <r>
      <rPr>
        <sz val="10"/>
        <color indexed="8"/>
        <rFont val="Arial"/>
        <family val="2"/>
      </rPr>
      <t xml:space="preserve"> must be the same as </t>
    </r>
    <r>
      <rPr>
        <i/>
        <sz val="10"/>
        <color indexed="8"/>
        <rFont val="Arial"/>
        <family val="2"/>
      </rPr>
      <t>"Base Currency".</t>
    </r>
  </si>
  <si>
    <r>
      <t xml:space="preserve">If </t>
    </r>
    <r>
      <rPr>
        <i/>
        <sz val="10"/>
        <color indexed="8"/>
        <rFont val="Arial"/>
        <family val="2"/>
      </rPr>
      <t>"Output Currency"</t>
    </r>
    <r>
      <rPr>
        <sz val="10"/>
        <color indexed="8"/>
        <rFont val="Arial"/>
        <family val="2"/>
      </rPr>
      <t xml:space="preserve"> is not the same as </t>
    </r>
    <r>
      <rPr>
        <i/>
        <sz val="10"/>
        <color indexed="8"/>
        <rFont val="Arial"/>
        <family val="2"/>
      </rPr>
      <t>"Base Currency"</t>
    </r>
    <r>
      <rPr>
        <sz val="10"/>
        <color indexed="8"/>
        <rFont val="Arial"/>
        <family val="2"/>
      </rPr>
      <t xml:space="preserve"> a general (orange header) WARNING is indicated.</t>
    </r>
  </si>
  <si>
    <t>Inflation / Indexation</t>
  </si>
  <si>
    <t>Customer's Service Codes</t>
  </si>
  <si>
    <t>This table is for the User to provide a set of customer-based or customer-defined codes for use in the model.</t>
  </si>
  <si>
    <t>These codes may be used to assist the User to complete customer price templates</t>
  </si>
  <si>
    <t>Provision is made for six code types.</t>
  </si>
  <si>
    <t>The first category of the primary Customer Code is reserved for Indirect Costs.</t>
  </si>
  <si>
    <t>External financing</t>
  </si>
  <si>
    <t>External financing does not show on Fujitsu accounts.</t>
  </si>
  <si>
    <t>Capital</t>
  </si>
  <si>
    <r>
      <t xml:space="preserve">The </t>
    </r>
    <r>
      <rPr>
        <i/>
        <sz val="10"/>
        <color indexed="8"/>
        <rFont val="Arial"/>
        <family val="2"/>
      </rPr>
      <t>"Capital"</t>
    </r>
    <r>
      <rPr>
        <sz val="10"/>
        <color indexed="8"/>
        <rFont val="Arial"/>
        <family val="2"/>
      </rPr>
      <t xml:space="preserve"> sheet calculates the Residual Value of assets based on the </t>
    </r>
    <r>
      <rPr>
        <i/>
        <sz val="10"/>
        <color indexed="8"/>
        <rFont val="Arial"/>
        <family val="2"/>
      </rPr>
      <t>"Capital Life"</t>
    </r>
    <r>
      <rPr>
        <sz val="10"/>
        <color indexed="8"/>
        <rFont val="Arial"/>
        <family val="2"/>
      </rPr>
      <t xml:space="preserve"> of said assets.</t>
    </r>
  </si>
  <si>
    <t>No cost is removed to compensate for the reduction in price.</t>
  </si>
  <si>
    <t>Any income from the sale of residual assets must be made in the Accounting Module.</t>
  </si>
  <si>
    <t>Charge Profiling</t>
  </si>
  <si>
    <t>Charges may be profiled by Customer Service.</t>
  </si>
  <si>
    <t>A charging profile is input as a % per month.</t>
  </si>
  <si>
    <t>The charging profile may be based on: Milestones, Flat Charge, Regular Payments, Volumes, Cost to Date etc.</t>
  </si>
  <si>
    <t>Some information (Volumes, Cost per Month and Cost to Date) are provided for assistance.</t>
  </si>
  <si>
    <t>All profiled months must add up to 100%.</t>
  </si>
  <si>
    <t>Error Checks</t>
  </si>
  <si>
    <t>Conditional Formatting is used to label a zero as "TRUE", a positive integer as "FALSE" and a negative integer as "WARNING".</t>
  </si>
  <si>
    <t>Most error flags are recorder in columns to the far right of the worksheets, and page Master Checks summarise these columns.</t>
  </si>
  <si>
    <t>ZZEND</t>
  </si>
  <si>
    <t>Overview</t>
  </si>
  <si>
    <t>Styles Legend</t>
  </si>
  <si>
    <t>Key</t>
  </si>
  <si>
    <t>Input Cells</t>
  </si>
  <si>
    <t>Input</t>
  </si>
  <si>
    <t>Input value</t>
  </si>
  <si>
    <t>Optional</t>
  </si>
  <si>
    <t>Place holder. Formula which may be typed over</t>
  </si>
  <si>
    <t>Mandatory</t>
  </si>
  <si>
    <t>list</t>
  </si>
  <si>
    <t>Significant</t>
  </si>
  <si>
    <t>Important</t>
  </si>
  <si>
    <t>Named Input Cell with Comment</t>
  </si>
  <si>
    <t>Formula Cells</t>
  </si>
  <si>
    <t>Prime</t>
  </si>
  <si>
    <t>Formula</t>
  </si>
  <si>
    <t>External</t>
  </si>
  <si>
    <t>This cell contains a reference to an external file</t>
  </si>
  <si>
    <t>Other</t>
  </si>
  <si>
    <t>Removed</t>
  </si>
  <si>
    <t>Styles</t>
  </si>
  <si>
    <t>CheckPositive</t>
  </si>
  <si>
    <t>CheckInconsistent</t>
  </si>
  <si>
    <t>CheckNegative</t>
  </si>
  <si>
    <t>This cell contains an error check</t>
  </si>
  <si>
    <t>Tab and Function Colours</t>
  </si>
  <si>
    <t>Assumptions and Inputs</t>
  </si>
  <si>
    <t>Model Logic</t>
  </si>
  <si>
    <t>Cover</t>
  </si>
  <si>
    <t>Admin &amp; documentation</t>
  </si>
  <si>
    <t>Outputs</t>
  </si>
  <si>
    <t>Calculation</t>
  </si>
  <si>
    <t>INTERNAL USE ONLY</t>
  </si>
  <si>
    <t>A Cost of Money factor is calculated on the 'CoM' sheet and applied on the 'Profile with CoM' worksheet.</t>
  </si>
  <si>
    <t>Financial Dashboard</t>
  </si>
  <si>
    <t>Note: these are for information only and are not input cells. Output Currency is set on the 'Financial Dashboard' sheet.</t>
  </si>
  <si>
    <t>Note: In order to reduce the risk of exchange rate inaccuracy, for Audit and Accounting Model interface purposes, Output Currency must be the same as the Base Currency. The Output Currency is set on the 'Financial Dashboard' sheet.</t>
  </si>
  <si>
    <t>If Overhead allocation is not required it can be switched off from the 'Financial Dashboard' sheet. The first Service then behaves in the same way as the others.</t>
  </si>
  <si>
    <t>Note: these are for information only and are not input cells. Creditor and Receivables Terms are set on the 'Financial Dashboard' sheet.</t>
  </si>
  <si>
    <t>Shows Base Currency (currently EUR) and Output Currency (currently EUR). Compared to generate CheckCur  in the check column.</t>
  </si>
  <si>
    <t>Most of the code lists are used to provide drop-down menus and cell validation on the 'Main Input' sheet.</t>
  </si>
  <si>
    <t>Provides drop-down menu and cell validation on the 'Main Input' sheet. Informs Cost and Cost Plus tables on 'Interface' sheet.</t>
  </si>
  <si>
    <t>Provides drop-down menu and cell validation on the 'Main Input' sheet. Informs Cost table on 'Interface' sheet.</t>
  </si>
  <si>
    <t>Essential code list for the Accounting Module. Provides drop-down menu and cell validation on the 'Main Input' sheet. Informs Cost, Cost Plus and Profiled summary tables on the 'Interface' sheet. Users must NOT amend these codes.</t>
  </si>
  <si>
    <t>Provides drop-down menu and cell validation on the 'Main Input' sheet.</t>
  </si>
  <si>
    <t>May be associated with a Region and used to populate the relevant column on the 'Main Input' sheet, but this is not automatic.</t>
  </si>
  <si>
    <t>The table also serves as a lookup so that the Finance Rate column on the 'Main Input' sheet is populated automatically.</t>
  </si>
  <si>
    <t>The table also serves as a lookup so that the Margin column on the 'Main Input' sheet is populated automatically.</t>
  </si>
  <si>
    <t>Essential code list for the Accounting Module. Provides drop-down menu and cell validation on the 'Main Input' sheet. Informs Cost table on 'Interface' sheet. Users must NOT amend these codes</t>
  </si>
  <si>
    <t>Monetary figures in the 'Main Input' sheet are shown in local currencies.</t>
  </si>
  <si>
    <t>Cost Indexation is based on the flag entered in the Index Code column (right hand input block of the 'Main Input' sheet).</t>
  </si>
  <si>
    <t>External financing is based on flags placed in the Financing column (right hand input block of the 'Main Input' sheet).</t>
  </si>
  <si>
    <t>An assets Capital Life is entered from a drop down menu on the Capital Life column (right hand input block of the Main Input' sheet).</t>
  </si>
  <si>
    <t>Conversion</t>
  </si>
  <si>
    <t>Indexation is applied on the 'Conversion' sheet.</t>
  </si>
  <si>
    <t>Units are multiplied by Unit Costs on the 'Conversion' sheet.</t>
  </si>
  <si>
    <t>The conversion to Output Currency is applied in the 'Conversion' worksheet by reference to the Currency column.</t>
  </si>
  <si>
    <t>Cost Indexation is applied on the 'Conversion' sheet.</t>
  </si>
  <si>
    <t>Margin is applied on the 'Cost Plus' sheet.</t>
  </si>
  <si>
    <t>Profit is applied to converted costs in the 'Cost Plus' worksheet by reference to calculations in the Margin column.</t>
  </si>
  <si>
    <t>The Cost of Money is based on the difference in NPV between 'Cost Plus' and 'Profile before CoM' (after payment terms).</t>
  </si>
  <si>
    <t>Residual Value is removed from prices on the 'Cost Plus' sheet.</t>
  </si>
  <si>
    <t>Lease Financing is applied on the 'Final Price' sheet.</t>
  </si>
  <si>
    <t>The 'Customer Charges' and 'Service Prices' sheets are structured according to these Services.</t>
  </si>
  <si>
    <t>Once associated with a Service (on the 'Customer Charges' sheet), the volume is used to calculate a price per volume unit (on the 'Service Prices' sheet).</t>
  </si>
  <si>
    <t>Calculations to apportion Indirect Costs to the remaining Services may take place on the 'Service Prices' sheet.</t>
  </si>
  <si>
    <t>External financing is applied on the Final Price sheet and is carried forward onto the 'Service Prices' sheet.</t>
  </si>
  <si>
    <t>Provides drop-down menu and cell validation. Informs Cost, Cost Plus and Profiled tables on 'Interface' sheet.</t>
  </si>
  <si>
    <t>Capital (Capex) or Operational (Opex) expenditure. Is this a capital asset to be depreciated on the corporate books? If so it is Capex. Essential code list for the Accounting Module. Provides drop-down menu. Informs Cost summary table  on the 'Interface' sheet. Users must NOT amend these codes.</t>
  </si>
  <si>
    <t>Errors are formally Booknamelaid out on the 'Error Checks' sheet.</t>
  </si>
  <si>
    <t>Constants</t>
  </si>
  <si>
    <t>The 'Constants' sheet holds the key code lists and variables used within the model.</t>
  </si>
  <si>
    <t>The User is not prevented from maintaining the Margin Table ('Constants' sheet), amending or adding new codes as necessary.</t>
  </si>
  <si>
    <t>A set of long term currency conversion rates is provided on the 'Constants' sheet.</t>
  </si>
  <si>
    <t>A set of long term indexation rates are provided on the 'Constants' worksheet.</t>
  </si>
  <si>
    <t>An uplift to account for external financing charges may be entered on the Financing Table of the Constants sheet.</t>
  </si>
  <si>
    <t>The User should maintain the Financing Table on the 'Constants' sheet with data from the Accounting Module.</t>
  </si>
  <si>
    <t>BAR Cost Code (28 options)</t>
  </si>
  <si>
    <t>Customer's Service Codes (16 options)</t>
  </si>
  <si>
    <t>There is a limit of 16 Services in the model</t>
  </si>
  <si>
    <t>CODE B = Sub-Country (6 options)</t>
  </si>
  <si>
    <t>Cost Classification (25 options)</t>
  </si>
  <si>
    <t>CODE C = Operating Entity (6 options)</t>
  </si>
  <si>
    <t>CODE D = Tower (6 options)</t>
  </si>
  <si>
    <t>CODE E = Category (6 options)</t>
  </si>
  <si>
    <t>CODE F = Customer Code F (6 options)</t>
  </si>
  <si>
    <t>Delivery Country (127 options)</t>
  </si>
  <si>
    <t>Accounting Treatment (26 options)</t>
  </si>
  <si>
    <t>Bid Details</t>
  </si>
  <si>
    <t>BAR Revenue Code (6 options)</t>
  </si>
  <si>
    <t>Bid &amp; Contract Dates</t>
  </si>
  <si>
    <t>Capex / Opex (2 options)</t>
  </si>
  <si>
    <t>Cost Phase (6 options)</t>
  </si>
  <si>
    <t>Cost Types (11 options)</t>
  </si>
  <si>
    <t>Capability Units (32 options)</t>
  </si>
  <si>
    <t>Capital Life Of Assets (3 options)</t>
  </si>
  <si>
    <t>ForV (2 options)</t>
  </si>
  <si>
    <t>Lease Financing (8 options)</t>
  </si>
  <si>
    <t>Margin (7 options)</t>
  </si>
  <si>
    <t>Miscellaneous Constants</t>
  </si>
  <si>
    <t>User Code 1 (5 options)</t>
  </si>
  <si>
    <t>Oracle (228 options)</t>
  </si>
  <si>
    <t>Prepayments and Accruals (9 options)</t>
  </si>
  <si>
    <t>Currency Preferences</t>
  </si>
  <si>
    <t>Payment Type (4 options)</t>
  </si>
  <si>
    <t>Region (8 options)</t>
  </si>
  <si>
    <t>Role (130 options)</t>
  </si>
  <si>
    <t>Site (20 options)</t>
  </si>
  <si>
    <t>Suppliers (32 options)</t>
  </si>
  <si>
    <t>Terms</t>
  </si>
  <si>
    <t>User Code 2 (5 options)</t>
  </si>
  <si>
    <t>User Code 3 (5 options)</t>
  </si>
  <si>
    <t>Unit Types (20 options)</t>
  </si>
  <si>
    <t>Currency Rates (9 options)</t>
  </si>
  <si>
    <t>Errors that exceed the Error Tolerance (currently 0.001) can be flagged as either a positive integer (1) or a negative (-100). Otherwise the check figure will be zero (no error).</t>
  </si>
  <si>
    <t>Indexation Rates (14 options)</t>
  </si>
  <si>
    <t>Volumes</t>
  </si>
  <si>
    <t>The WACC Rate currently stands at 12.9%</t>
  </si>
  <si>
    <t>Key inputs which affect the 'Timelines' sheet. Pre-Contract period, Contract Start Date and Contract Duration.</t>
  </si>
  <si>
    <t>Not currently used for profiling costs, but may be associated with a Customer Service on the 'Customer Charges' and used for charge profiling.</t>
  </si>
  <si>
    <t>The first (primary) Customer Code A (Services) is used to summarise Cost Plus data on the Customer Charges sheet.</t>
  </si>
  <si>
    <t>Charge profiling is carried out on the 'Customer Charges' sheet.</t>
  </si>
  <si>
    <t>Note: Fixed assets must use the asset codes designated within the Accounting Module. These are currently: ASS-13, ASS-14 and ASS-15.</t>
  </si>
  <si>
    <t>WACC Rate currently 12.9%</t>
  </si>
  <si>
    <t>Tax Rate (not used) currently 7.5%</t>
  </si>
  <si>
    <t>If required, the first Service (currently titled 'Indirect Costs') is reserved for Indirect or Overhead costs.</t>
  </si>
  <si>
    <t>The table also includes the means of allocating Indirect costs from the first Service code (Indirect Costs) into other Services.</t>
  </si>
  <si>
    <t>Shows Creditor Terms (currently 30 days) and Receivables (currently 30 days).</t>
  </si>
  <si>
    <t>Freeform analysis code, currently assigned to User Code 1.</t>
  </si>
  <si>
    <t>Freeform analysis code, currently assigned to User Code 2.</t>
  </si>
  <si>
    <t>Freeform analysis code, currently assigned to User Code 3.</t>
  </si>
  <si>
    <t>Months pre-contract</t>
  </si>
  <si>
    <t>Current</t>
  </si>
  <si>
    <t>Previous</t>
  </si>
  <si>
    <t>Variation</t>
  </si>
  <si>
    <t>Months of Contract</t>
  </si>
  <si>
    <t>Total Price</t>
  </si>
  <si>
    <t>Contract Start Date</t>
  </si>
  <si>
    <t>Total Cost</t>
  </si>
  <si>
    <t>Contract End Date</t>
  </si>
  <si>
    <t>Blended Margin</t>
  </si>
  <si>
    <t>Company Year Start</t>
  </si>
  <si>
    <t>Company Year End</t>
  </si>
  <si>
    <t>Pre Contract Start</t>
  </si>
  <si>
    <t>Indexation</t>
  </si>
  <si>
    <t>ON</t>
  </si>
  <si>
    <t>Charging Profiles</t>
  </si>
  <si>
    <t>Financing</t>
  </si>
  <si>
    <t>Invoicing/Billing</t>
  </si>
  <si>
    <t>Discount</t>
  </si>
  <si>
    <t>Overhead Spread</t>
  </si>
  <si>
    <t>Receivables</t>
  </si>
  <si>
    <t>Cost Of Money</t>
  </si>
  <si>
    <t>Overhead Profiling</t>
  </si>
  <si>
    <t>Output Currency</t>
  </si>
  <si>
    <t>EUR</t>
  </si>
  <si>
    <t>STATUS MESSAGES</t>
  </si>
  <si>
    <t>GRAPH DATA</t>
  </si>
  <si>
    <t>Used in Macro</t>
  </si>
  <si>
    <t>Post-contract period</t>
  </si>
  <si>
    <t>Months</t>
  </si>
  <si>
    <t>Headings</t>
  </si>
  <si>
    <t>Costs</t>
  </si>
  <si>
    <t>Revenue</t>
  </si>
  <si>
    <t>Graph Drop Down</t>
  </si>
  <si>
    <t>Cost Options</t>
  </si>
  <si>
    <t>Price Options</t>
  </si>
  <si>
    <t>Raw Costs</t>
  </si>
  <si>
    <t>Cost Plus</t>
  </si>
  <si>
    <t>Costs after Terms</t>
  </si>
  <si>
    <t>Profiled</t>
  </si>
  <si>
    <t>After CoM</t>
  </si>
  <si>
    <t>Final</t>
  </si>
  <si>
    <t>Cost Base by Cost Type</t>
  </si>
  <si>
    <t>Dashboard</t>
  </si>
  <si>
    <t>Variable Charging</t>
  </si>
  <si>
    <t>'Financial Dashboard'!R101C32:R101C100</t>
  </si>
  <si>
    <t>'Financial Dashboard'!R103C32:R103C100</t>
  </si>
  <si>
    <t>'Financial Dashboard'!R104C32:R104C100</t>
  </si>
  <si>
    <t>Units and Unit Costs multiplied out. Currency conversion. Indexation. Switches applied.</t>
  </si>
  <si>
    <t>Some code lists (e.g.. Indexation Rates, Margin, Currency Rates and Capital Life of Assets) provide lookup tables of additional information.</t>
  </si>
  <si>
    <t>These switches withhold costs from the 'Conversion' sheet. Data remains on the 'Main Input' sheet, but does not flow any further into the model.</t>
  </si>
  <si>
    <t>This table is for the User to provide basic details about the customer for use in the model. E.g.. Client Name, Bid Name, Siebel Number etc.</t>
  </si>
  <si>
    <t>The first Customer Service Code (currently titled 'Customer Service Code') is of critical importance to the Pricing Model.</t>
  </si>
  <si>
    <t>The subsequent Customer Service Codes are spare code tables providing drop-down menus and cell validation for any tags that assist in the customer's analytical requirements. They are currently titled as follows:</t>
  </si>
  <si>
    <t>Lease Financing represents finance charges which the customer can expect to pay to 3rd Parties (e.g.. a bank). These charges will not pass through the FJS books.</t>
  </si>
  <si>
    <t>Table may be independent of other classifications (e.g.. Cost Type) but may be associated if appropriate.</t>
  </si>
  <si>
    <t>Collection of assorted constants, including: End of Sheet marker, Months in a Year, Error Tolerance etc.</t>
  </si>
  <si>
    <t>Timelines for the contract will be calculated from the data input to the 'Constants' worksheet, notably the PreContractPeriodDurationIn and ContractDurationIn variables.</t>
  </si>
  <si>
    <t>The standard model covers 123 months and is configured as 3 months of start-up and 120 months (10 years) of service.</t>
  </si>
  <si>
    <t>Both the start-up (PreContractPeriodDurationIn) and contract duration (ContractDurationIn) may be varied as long as their sum does not exceed 123 months.</t>
  </si>
  <si>
    <t>The active contract length (start-up plus the term) is indicated in the header rows of the Processing worksheets by cells with a blue background.</t>
  </si>
  <si>
    <t>A new cost row should be used whenever a code changes (e.g.. for each Cost Phase, Unit Cost or Customer Code)</t>
  </si>
  <si>
    <t>The Margin calculations based on the Margin Code flag (column FC in the right hand input block of the 'Main Input' sheet).</t>
  </si>
  <si>
    <t>The User is not prevented from altering or adding to the non-primary codes (i.e.. Customer Codes B to F).</t>
  </si>
  <si>
    <t>Charges are profiled (as Milestones, Service Charges, Periodic Charges etc.), by Service on the 'Customer Charges' sheet.</t>
  </si>
  <si>
    <t>External financing charges will be made by the customer to an external source of finance (e.g.. a bank).</t>
  </si>
  <si>
    <t>A row or cell has been switched off</t>
  </si>
  <si>
    <t>09/24/2013</t>
  </si>
  <si>
    <t>12/17/2013</t>
  </si>
  <si>
    <t>09/30/2013</t>
  </si>
  <si>
    <t>09/26/2013</t>
  </si>
  <si>
    <t>10/28/2013</t>
  </si>
  <si>
    <t>The acceptable profit margin on is minimum of 15% (Annual Profit statement 2012, CEO report)</t>
  </si>
  <si>
    <t>The acceptable profit margin on is minimum of 17.5%</t>
  </si>
  <si>
    <t>Corporate Tax Rate</t>
  </si>
  <si>
    <t>Sales units (in 1,000s)</t>
  </si>
  <si>
    <t>Number of units returned</t>
  </si>
  <si>
    <t>Units purchased from supplier A</t>
  </si>
  <si>
    <t>Units purchased from supplier B</t>
  </si>
  <si>
    <t>Units purchased from supplier C</t>
  </si>
  <si>
    <t>Average labor rate (per hour)</t>
  </si>
  <si>
    <t>No of hours worked</t>
  </si>
  <si>
    <t>Labor cost</t>
  </si>
  <si>
    <t>Average labor rate x No of hours worked</t>
  </si>
  <si>
    <t>Discounts given</t>
  </si>
  <si>
    <t>Sales price x Sales units x % discounts given</t>
  </si>
  <si>
    <t>Unit Purchase price from supplier A x Purchase cost from supplier A</t>
  </si>
  <si>
    <t>Unit Purchase price from supplier B x Purchase cost from supplier B</t>
  </si>
  <si>
    <t>Unit Purchase price from supplier C x Purchase cost from supplier C</t>
  </si>
  <si>
    <t>Sales price x Sales units</t>
  </si>
  <si>
    <t>Direct labor</t>
  </si>
  <si>
    <t xml:space="preserve">Stakeholder's details:- </t>
  </si>
  <si>
    <t>IS infrastructure model, designed and built by System Applications team to provide detail behind system costs. Primary goal for this model is to support the onging organization transformation program</t>
  </si>
  <si>
    <t>Model name</t>
  </si>
  <si>
    <t>File name</t>
  </si>
  <si>
    <t>Disclaimer message</t>
  </si>
  <si>
    <t>04/17/2013</t>
  </si>
  <si>
    <t>04/28/2013</t>
  </si>
  <si>
    <t>03/31/2013</t>
  </si>
  <si>
    <t>08/29/2013</t>
  </si>
  <si>
    <t>The objective of the model is to take financial information and use it to price customer defined services.</t>
  </si>
  <si>
    <t>Drop-down</t>
  </si>
  <si>
    <t>Choose from drop-down menu.</t>
  </si>
  <si>
    <t>This cell contains a prime formula</t>
  </si>
  <si>
    <r>
      <t xml:space="preserve">Something from the drop-down menu </t>
    </r>
    <r>
      <rPr>
        <u/>
        <sz val="10"/>
        <color indexed="8"/>
        <rFont val="Calibri"/>
        <family val="2"/>
        <scheme val="minor"/>
      </rPr>
      <t>must</t>
    </r>
    <r>
      <rPr>
        <sz val="10"/>
        <color indexed="8"/>
        <rFont val="Calibri"/>
        <family val="2"/>
        <scheme val="minor"/>
      </rPr>
      <t xml:space="preserve"> be entered in this cell or "completeness" error will be flagged.</t>
    </r>
  </si>
  <si>
    <t>This cell contains a formula that has been copied from a prime formula</t>
  </si>
  <si>
    <t>Error checks</t>
  </si>
</sst>
</file>

<file path=xl/styles.xml><?xml version="1.0" encoding="utf-8"?>
<styleSheet xmlns="http://schemas.openxmlformats.org/spreadsheetml/2006/main" xmlns:mc="http://schemas.openxmlformats.org/markup-compatibility/2006" xmlns:x14ac="http://schemas.microsoft.com/office/spreadsheetml/2009/9/ac" mc:Ignorable="x14ac">
  <numFmts count="118">
    <numFmt numFmtId="41" formatCode="_-* #,##0_-;\-* #,##0_-;_-* &quot;-&quot;_-;_-@_-"/>
    <numFmt numFmtId="44" formatCode="_-&quot;£&quot;* #,##0.00_-;\-&quot;£&quot;* #,##0.00_-;_-&quot;£&quot;* &quot;-&quot;??_-;_-@_-"/>
    <numFmt numFmtId="43" formatCode="_-* #,##0.00_-;\-* #,##0.00_-;_-* &quot;-&quot;??_-;_-@_-"/>
    <numFmt numFmtId="164" formatCode="_-\ #,##0_-;[Red]\-\ #,##0_-;_-&quot;-&quot;_-"/>
    <numFmt numFmtId="165" formatCode="_-* #,##0_-;[Red]\-\ #,##0_-;_-* &quot;-&quot;??_-;_-@_-"/>
    <numFmt numFmtId="166" formatCode="_-[$€-2]* #,##0.00_-;\-[$€-2]* #,##0.00_-;_-[$€-2]* &quot;-&quot;??_-"/>
    <numFmt numFmtId="167" formatCode="#,##0_);[Red]\(#,##0\);\-_)"/>
    <numFmt numFmtId="168" formatCode="0.0_)%;[Red]\(0.0%\);0.0_)%"/>
    <numFmt numFmtId="169" formatCode="#,##0_ ;[Red]\(#,##0\);\-\ "/>
    <numFmt numFmtId="170" formatCode="#,##0.0,,_);[Red]\(#,##0.0,,\);\-_0_)"/>
    <numFmt numFmtId="171" formatCode="dd\ mmm\ yy"/>
    <numFmt numFmtId="172" formatCode="0.0%"/>
    <numFmt numFmtId="173" formatCode="#,##0;\(#,##0\)"/>
    <numFmt numFmtId="174" formatCode="#,##0.00_ ;[Red]\-#,##0.00\ "/>
    <numFmt numFmtId="175" formatCode="#,##0_ ;[Red]\-#,##0\ "/>
    <numFmt numFmtId="176" formatCode="#,##0.0_ ;[Red]\-#,##0.0\ "/>
    <numFmt numFmtId="177" formatCode="&quot;FALSE&quot;;&quot;WARNING&quot;;&quot;TRUE&quot;"/>
    <numFmt numFmtId="178" formatCode="mmm\-yyyy"/>
    <numFmt numFmtId="179" formatCode="0\ &quot;Days&quot;"/>
    <numFmt numFmtId="180" formatCode="0.000%"/>
    <numFmt numFmtId="181" formatCode="_-* #,##0_-;[Red]\(#,##0\);_-* &quot;-&quot;??_-;_-@_-"/>
    <numFmt numFmtId="182" formatCode="#,##0.0_);\(#,##0.0\)"/>
    <numFmt numFmtId="183" formatCode="#,##0.0;\(#,##0.0\)"/>
    <numFmt numFmtId="184" formatCode="#,##0.0_);\(#,##0.0\);#,##0.0_);@_)"/>
    <numFmt numFmtId="185" formatCode="&quot;£&quot;_(#,##0.00_);&quot;£&quot;\(#,##0.00\);&quot;£&quot;_(0.00_);@_)"/>
    <numFmt numFmtId="186" formatCode="&quot;$&quot;_(#,##0.00_);&quot;$&quot;\(#,##0.00\);&quot;$&quot;_(0.00_);@_)"/>
    <numFmt numFmtId="187" formatCode="&quot;$&quot;_(#,##0.00_);&quot;$&quot;\(#,##0.00\)"/>
    <numFmt numFmtId="188" formatCode="#,##0.00_);\(#,##0.00\);0.00_);@_)"/>
    <numFmt numFmtId="189" formatCode="\€_(#,##0.00_);\€\(#,##0.00\);\€_(0.00_);@_)"/>
    <numFmt numFmtId="190" formatCode="0.00\x_)_);&quot;NM&quot;_x_)_);0.00\x_)_);@_%_)"/>
    <numFmt numFmtId="191" formatCode="0.000000"/>
    <numFmt numFmtId="192" formatCode="#,##0_)\x;\(#,##0\)\x;0_)\x;@_)_x"/>
    <numFmt numFmtId="193" formatCode="#,##0.0_)\x;\(#,##0.0\)\x;0.0_)\x;@_)_x"/>
    <numFmt numFmtId="194" formatCode="#,##0_)_x;\(#,##0\)_x;0_)_x;@_)_x"/>
    <numFmt numFmtId="195" formatCode="#,##0.0_)_x;\(#,##0.0\)_x;0.0_)_x;@_)_x"/>
    <numFmt numFmtId="196" formatCode="#,##0.0_)_%;\(#,##0.0\)_%"/>
    <numFmt numFmtId="197" formatCode="&quot;\&quot;#,##0;[Red]&quot;\&quot;&quot;\&quot;\-&quot;\&quot;#,##0"/>
    <numFmt numFmtId="198" formatCode="m\-d\-yy"/>
    <numFmt numFmtId="199" formatCode="#,##0.0\ \ \ _);\(#,##0.0\)"/>
    <numFmt numFmtId="200" formatCode="#,##0&quot;  &quot;;\(#,##0\)&quot; &quot;"/>
    <numFmt numFmtId="201" formatCode="_(* #,##0.00_);_(* \(#,##0.00\);_(* &quot;-&quot;??_);_(@_)"/>
    <numFmt numFmtId="202" formatCode="#,##0_);\(#,##0\);\-_)"/>
    <numFmt numFmtId="203" formatCode="\£#,##0_);\(\£#,##0\)"/>
    <numFmt numFmtId="204" formatCode="&quot;$&quot;#,##0_);[Red]&quot;\&quot;\(&quot;$&quot;#,##0&quot;\&quot;\)"/>
    <numFmt numFmtId="205" formatCode="#,##0.0000;\-#,##0.0000"/>
    <numFmt numFmtId="206" formatCode="_(&quot;$&quot;* #,##0.00_);_(&quot;$&quot;* \(#,##0.00\);_(&quot;$&quot;* &quot;-&quot;??_);_(@_)"/>
    <numFmt numFmtId="207" formatCode="0.0;\(0.0\);\-"/>
    <numFmt numFmtId="208" formatCode="General_)"/>
    <numFmt numFmtId="209" formatCode="0.0%;\(0.0\)%"/>
    <numFmt numFmtId="210" formatCode="#,##0_)_-;[Red]\(#,##0\)_-;\-_)_-"/>
    <numFmt numFmtId="211" formatCode="_(* #,##0.0_);_(* \(#,##0.0\);_(* &quot;-&quot;??_);_(@_)"/>
    <numFmt numFmtId="212" formatCode="\ \ \ \ \ #,##0.0_);\(#,##0.0\)"/>
    <numFmt numFmtId="213" formatCode="#,##0.0_);\(#,##0.0\);0.0_)"/>
    <numFmt numFmtId="214" formatCode="#,##0.00_);\(#,##0.00\);0.00_)"/>
    <numFmt numFmtId="215" formatCode="0.0%;\(0.0%\);\-"/>
    <numFmt numFmtId="216" formatCode="#,##0.0;[Red]\(#,##0.0\);\-"/>
    <numFmt numFmtId="217" formatCode="#,##0.0"/>
    <numFmt numFmtId="218" formatCode="[Magenta]&quot;Err&quot;;[Magenta]&quot;Err&quot;;[Blue]&quot;OK&quot;"/>
    <numFmt numFmtId="219" formatCode="#,##0;[Red]\(#,##0\);\-"/>
    <numFmt numFmtId="220" formatCode="0.0"/>
    <numFmt numFmtId="221" formatCode="#,##0.0_);[Red]\(#,##0.0\);\-_)"/>
    <numFmt numFmtId="222" formatCode="0%;[Red]\(0%\);\-"/>
    <numFmt numFmtId="223" formatCode="#;#;"/>
    <numFmt numFmtId="224" formatCode="&quot;$&quot;#,##0.0;\(&quot;$&quot;#,##0.0\);&quot;$&quot;#,##0.0"/>
    <numFmt numFmtId="225" formatCode="\£#,##0.0;\(\£#,##0.0\);\£#,##0.0"/>
    <numFmt numFmtId="226" formatCode="0.0%;\(0.0%\)"/>
    <numFmt numFmtId="227" formatCode="&quot;$&quot;#,##0.00_);[Red]\(&quot;$&quot;#,##0.00\)"/>
    <numFmt numFmtId="228" formatCode="#,##0;\(#,##0\);\-"/>
    <numFmt numFmtId="229" formatCode="0_);\(0\)"/>
    <numFmt numFmtId="230" formatCode="&quot;Stock&quot;_%_);;&quot;Asset&quot;_%_)"/>
    <numFmt numFmtId="231" formatCode="_(* #,##0_);_(* \(#,##0\);_(* &quot;-&quot;_);_(@_)"/>
    <numFmt numFmtId="232" formatCode="#,##0_ ;[Red]\(#,##0\);\-"/>
    <numFmt numFmtId="233" formatCode="#,##0.0_);\-#,##0.0_);\-"/>
    <numFmt numFmtId="234" formatCode="0&quot; years&quot;"/>
    <numFmt numFmtId="235" formatCode="dd\ mmm\ yyyy_);&quot;Error &lt;0  &quot;;dd\ mmm\ yyyy_);&quot;  &quot;@"/>
    <numFmt numFmtId="236" formatCode="mmm/yyyy_);;&quot;-  &quot;;&quot;  &quot;@"/>
    <numFmt numFmtId="237" formatCode="mmm\ d\,\ yyyy"/>
    <numFmt numFmtId="238" formatCode="0.0000"/>
    <numFmt numFmtId="239" formatCode="_(&quot;$&quot;* #,##0_);_(&quot;$&quot;* \(#,##0\);_(&quot;$&quot;* &quot;-&quot;_);_(@_)"/>
    <numFmt numFmtId="240" formatCode="#,##0.0\ ;\(#,##0.0\)"/>
    <numFmt numFmtId="241" formatCode="_-* #,##0.00\ &quot;€&quot;_-;\-* #,##0.00\ &quot;€&quot;_-;_-* &quot;-&quot;??\ &quot;€&quot;_-;_-@_-"/>
    <numFmt numFmtId="242" formatCode="0.000"/>
    <numFmt numFmtId="243" formatCode="0.00_)"/>
    <numFmt numFmtId="244" formatCode="_(* #,##0_);_(* \(#,##0\);_(* &quot;-&quot;\ \ _);@"/>
    <numFmt numFmtId="245" formatCode="00"/>
    <numFmt numFmtId="246" formatCode="#,##0_);\(#,##0\);&quot;-  &quot;"/>
    <numFmt numFmtId="247" formatCode="0.00%;\(0.00%\)"/>
    <numFmt numFmtId="248" formatCode="#,###_);[Red]\(#,###\);#"/>
    <numFmt numFmtId="249" formatCode="_ * #,##0_ ;_ * \-#,##0_ ;_ * &quot;-&quot;_ ;_ @_ "/>
    <numFmt numFmtId="250" formatCode="_ * #,##0.00_ ;_ * \-#,##0.00_ ;_ * &quot;-&quot;??_ ;_ @_ "/>
    <numFmt numFmtId="251" formatCode="#,##0.0,,_);\(#,##0.0,,\);\-_0_)"/>
    <numFmt numFmtId="252" formatCode="#,##0.0,;[Red]\(#,##0.0,\);\-_)"/>
    <numFmt numFmtId="253" formatCode="#,##0%_);\(#,##0%\)"/>
    <numFmt numFmtId="254" formatCode="#,##0.00&quot;x&quot;;\(#,##0.00\)&quot;x&quot;"/>
    <numFmt numFmtId="255" formatCode="\(0\);;\(@\)"/>
    <numFmt numFmtId="256" formatCode="_(* #,##0.0_);[Red]\(* #,##0.0\);_(* &quot;-&quot;_);_(@_)"/>
    <numFmt numFmtId="257" formatCode="&quot;No&quot;;&quot;Yes&quot;"/>
    <numFmt numFmtId="258" formatCode="[Blue]#,##0,_);[Red]\(#,##0,\)"/>
    <numFmt numFmtId="259" formatCode="d\ mmm\ yy"/>
    <numFmt numFmtId="260" formatCode="#,##0_%_);\(#,##0\)_%;**;@_%_)"/>
    <numFmt numFmtId="261" formatCode=";;;"/>
    <numFmt numFmtId="262" formatCode="0.0%_ ;[Red]\-0.0%_ ;#"/>
    <numFmt numFmtId="263" formatCode="[&gt;10]#,##0.0_);[&lt;-10]\-#,##0.0_);#,##0.00_);@_)"/>
    <numFmt numFmtId="264" formatCode="\£#,##0.00_);[Red]\(\£#,##0.00\)"/>
    <numFmt numFmtId="265" formatCode="mmmm\-yy"/>
    <numFmt numFmtId="266" formatCode="0.00\ \ \x"/>
    <numFmt numFmtId="267" formatCode="0.0000%"/>
    <numFmt numFmtId="268" formatCode="m/d/yy\ h:mm:ss"/>
    <numFmt numFmtId="269" formatCode="#,##0.0%;\(#,##0.0%\);\-"/>
    <numFmt numFmtId="270" formatCode="0_);[Red]\(0\);\-_)"/>
    <numFmt numFmtId="271" formatCode="#,##0.0##;[Red]\-#,##0.0##"/>
    <numFmt numFmtId="272" formatCode="dd\ mmm\-yy"/>
    <numFmt numFmtId="273" formatCode="#,##0_ ;\(#,##0\)_-;&quot;-&quot;"/>
    <numFmt numFmtId="274" formatCode="dd\ mmm\ yyyy"/>
    <numFmt numFmtId="275" formatCode="&quot;Asset&quot;_%_);;&quot;Stock&quot;_%_)"/>
    <numFmt numFmtId="276" formatCode="&quot;+&quot;0.0%;&quot;-&quot;0.0%;\-"/>
    <numFmt numFmtId="277" formatCode="#,##0.00000;\-#,##0.00000"/>
    <numFmt numFmtId="278" formatCode="mm/dd/yyyy"/>
  </numFmts>
  <fonts count="273">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0"/>
      <color theme="1"/>
      <name val="Calibri"/>
      <family val="2"/>
      <scheme val="minor"/>
    </font>
    <font>
      <b/>
      <sz val="10"/>
      <color theme="0"/>
      <name val="Calibri"/>
      <family val="2"/>
      <scheme val="minor"/>
    </font>
    <font>
      <b/>
      <sz val="10"/>
      <color theme="1"/>
      <name val="Calibri"/>
      <family val="2"/>
      <scheme val="minor"/>
    </font>
    <font>
      <b/>
      <i/>
      <sz val="11"/>
      <color theme="1"/>
      <name val="Calibri"/>
      <family val="2"/>
      <scheme val="minor"/>
    </font>
    <font>
      <b/>
      <sz val="10"/>
      <name val="Calibri"/>
      <family val="2"/>
      <scheme val="minor"/>
    </font>
    <font>
      <i/>
      <sz val="10"/>
      <color theme="1"/>
      <name val="Calibri"/>
      <family val="2"/>
      <scheme val="minor"/>
    </font>
    <font>
      <u/>
      <sz val="10"/>
      <color theme="1"/>
      <name val="Calibri"/>
      <family val="2"/>
      <scheme val="minor"/>
    </font>
    <font>
      <sz val="10"/>
      <name val="Arial"/>
      <family val="2"/>
    </font>
    <font>
      <sz val="9"/>
      <name val="Tahoma"/>
      <family val="2"/>
    </font>
    <font>
      <sz val="14"/>
      <color indexed="18"/>
      <name val="Tahoma"/>
      <family val="2"/>
    </font>
    <font>
      <sz val="10"/>
      <color indexed="8"/>
      <name val="Arial"/>
      <family val="2"/>
    </font>
    <font>
      <b/>
      <sz val="10"/>
      <color indexed="10"/>
      <name val="Tahoma"/>
      <family val="2"/>
    </font>
    <font>
      <b/>
      <sz val="10"/>
      <color indexed="23"/>
      <name val="Arial"/>
      <family val="2"/>
    </font>
    <font>
      <sz val="10"/>
      <color indexed="55"/>
      <name val="Verdana"/>
      <family val="2"/>
    </font>
    <font>
      <sz val="10"/>
      <color indexed="62"/>
      <name val="Arial"/>
      <family val="2"/>
    </font>
    <font>
      <b/>
      <i/>
      <sz val="10"/>
      <name val="Arial"/>
      <family val="2"/>
    </font>
    <font>
      <b/>
      <sz val="10"/>
      <color indexed="9"/>
      <name val="Arial"/>
      <family val="2"/>
    </font>
    <font>
      <sz val="10"/>
      <name val="Helv"/>
      <charset val="204"/>
    </font>
    <font>
      <sz val="9"/>
      <color indexed="23"/>
      <name val="Arial"/>
      <family val="2"/>
    </font>
    <font>
      <i/>
      <sz val="10"/>
      <name val="Arial"/>
      <family val="2"/>
    </font>
    <font>
      <sz val="10"/>
      <color indexed="17"/>
      <name val="Arial"/>
      <family val="2"/>
    </font>
    <font>
      <sz val="11"/>
      <color indexed="8"/>
      <name val="Calibri"/>
      <family val="2"/>
    </font>
    <font>
      <sz val="9"/>
      <color indexed="12"/>
      <name val="Arial"/>
      <family val="2"/>
    </font>
    <font>
      <b/>
      <sz val="10.5"/>
      <color indexed="8"/>
      <name val="Arial"/>
      <family val="2"/>
    </font>
    <font>
      <sz val="10"/>
      <color indexed="12"/>
      <name val="Arial"/>
      <family val="2"/>
    </font>
    <font>
      <sz val="11"/>
      <color indexed="18"/>
      <name val="Arial"/>
      <family val="2"/>
    </font>
    <font>
      <b/>
      <sz val="14"/>
      <color indexed="9"/>
      <name val="Arial"/>
      <family val="2"/>
    </font>
    <font>
      <b/>
      <sz val="12"/>
      <color indexed="9"/>
      <name val="Arial"/>
      <family val="2"/>
    </font>
    <font>
      <b/>
      <sz val="12"/>
      <name val="Arial"/>
      <family val="2"/>
    </font>
    <font>
      <b/>
      <sz val="11"/>
      <name val="Arial"/>
      <family val="2"/>
    </font>
    <font>
      <sz val="11"/>
      <name val="Arial"/>
      <family val="2"/>
    </font>
    <font>
      <b/>
      <sz val="16"/>
      <color indexed="9"/>
      <name val="Arial"/>
      <family val="2"/>
    </font>
    <font>
      <b/>
      <i/>
      <sz val="9"/>
      <name val="Tahoma"/>
      <family val="2"/>
    </font>
    <font>
      <b/>
      <i/>
      <sz val="10"/>
      <color indexed="8"/>
      <name val="Arial"/>
      <family val="2"/>
    </font>
    <font>
      <sz val="10"/>
      <name val="Calibri"/>
      <family val="2"/>
      <scheme val="minor"/>
    </font>
    <font>
      <u/>
      <sz val="11"/>
      <color theme="10"/>
      <name val="Calibri"/>
      <family val="2"/>
      <scheme val="minor"/>
    </font>
    <font>
      <sz val="9"/>
      <color rgb="FF000000"/>
      <name val="Arial"/>
      <family val="2"/>
    </font>
    <font>
      <b/>
      <sz val="11"/>
      <color indexed="9"/>
      <name val="Arial"/>
      <family val="2"/>
    </font>
    <font>
      <sz val="10"/>
      <color indexed="9"/>
      <name val="Arial"/>
      <family val="2"/>
    </font>
    <font>
      <b/>
      <sz val="10"/>
      <color indexed="8"/>
      <name val="Arial"/>
      <family val="2"/>
    </font>
    <font>
      <b/>
      <u/>
      <sz val="10"/>
      <color indexed="8"/>
      <name val="Arial"/>
      <family val="2"/>
    </font>
    <font>
      <i/>
      <sz val="10"/>
      <color indexed="8"/>
      <name val="Arial"/>
      <family val="2"/>
    </font>
    <font>
      <b/>
      <sz val="10"/>
      <color indexed="16"/>
      <name val="Arial"/>
      <family val="2"/>
    </font>
    <font>
      <i/>
      <sz val="10"/>
      <color indexed="17"/>
      <name val="Arial"/>
      <family val="2"/>
    </font>
    <font>
      <u/>
      <sz val="10"/>
      <color indexed="8"/>
      <name val="Arial"/>
      <family val="2"/>
    </font>
    <font>
      <i/>
      <sz val="10"/>
      <color indexed="62"/>
      <name val="Arial"/>
      <family val="2"/>
    </font>
    <font>
      <b/>
      <sz val="8"/>
      <color indexed="81"/>
      <name val="Tahoma"/>
      <family val="2"/>
    </font>
    <font>
      <sz val="8"/>
      <color indexed="81"/>
      <name val="Tahoma"/>
      <family val="2"/>
    </font>
    <font>
      <sz val="10"/>
      <color indexed="8"/>
      <name val="Calibri"/>
      <family val="2"/>
      <scheme val="minor"/>
    </font>
    <font>
      <b/>
      <sz val="10"/>
      <color indexed="9"/>
      <name val="Calibri"/>
      <family val="2"/>
      <scheme val="minor"/>
    </font>
    <font>
      <sz val="10"/>
      <color indexed="9"/>
      <name val="Calibri"/>
      <family val="2"/>
      <scheme val="minor"/>
    </font>
    <font>
      <b/>
      <sz val="10"/>
      <color indexed="8"/>
      <name val="Calibri"/>
      <family val="2"/>
      <scheme val="minor"/>
    </font>
    <font>
      <sz val="10"/>
      <color indexed="61"/>
      <name val="Calibri"/>
      <family val="2"/>
      <scheme val="minor"/>
    </font>
    <font>
      <u/>
      <sz val="10"/>
      <color indexed="8"/>
      <name val="Calibri"/>
      <family val="2"/>
      <scheme val="minor"/>
    </font>
    <font>
      <sz val="10"/>
      <color indexed="17"/>
      <name val="Calibri"/>
      <family val="2"/>
      <scheme val="minor"/>
    </font>
    <font>
      <b/>
      <sz val="10"/>
      <color indexed="42"/>
      <name val="Calibri"/>
      <family val="2"/>
      <scheme val="minor"/>
    </font>
    <font>
      <sz val="10"/>
      <color indexed="47"/>
      <name val="Calibri"/>
      <family val="2"/>
      <scheme val="minor"/>
    </font>
    <font>
      <b/>
      <sz val="10"/>
      <color indexed="12"/>
      <name val="Calibri"/>
      <family val="2"/>
      <scheme val="minor"/>
    </font>
    <font>
      <u/>
      <sz val="10"/>
      <color indexed="12"/>
      <name val="Arial"/>
      <family val="2"/>
    </font>
    <font>
      <b/>
      <sz val="10"/>
      <color indexed="12"/>
      <name val="Arial"/>
      <family val="2"/>
    </font>
    <font>
      <b/>
      <sz val="10"/>
      <name val="Arial"/>
      <family val="2"/>
    </font>
    <font>
      <sz val="10"/>
      <color indexed="17"/>
      <name val="Tahoma"/>
      <family val="2"/>
    </font>
    <font>
      <b/>
      <sz val="10"/>
      <color theme="0"/>
      <name val="Verdana"/>
      <family val="2"/>
    </font>
    <font>
      <sz val="9"/>
      <name val="Verdana"/>
      <family val="2"/>
    </font>
    <font>
      <b/>
      <sz val="9"/>
      <color theme="0"/>
      <name val="Verdana"/>
      <family val="2"/>
    </font>
    <font>
      <sz val="10"/>
      <color indexed="23"/>
      <name val="Arial"/>
      <family val="2"/>
    </font>
    <font>
      <sz val="9"/>
      <color indexed="8"/>
      <name val="Arial"/>
      <family val="2"/>
    </font>
    <font>
      <sz val="11"/>
      <color theme="1"/>
      <name val="Arial"/>
      <family val="2"/>
    </font>
    <font>
      <sz val="10"/>
      <color indexed="8"/>
      <name val="MS Sans Serif"/>
      <family val="2"/>
    </font>
    <font>
      <sz val="12"/>
      <name val="Times New Roman"/>
      <family val="1"/>
    </font>
    <font>
      <sz val="10"/>
      <name val="Times New Roman"/>
      <family val="1"/>
    </font>
    <font>
      <sz val="8"/>
      <name val="Palatino"/>
      <family val="1"/>
    </font>
    <font>
      <sz val="10"/>
      <name val="Geneva"/>
    </font>
    <font>
      <sz val="10"/>
      <name val="Helv"/>
      <family val="2"/>
    </font>
    <font>
      <sz val="9"/>
      <name val="Arial"/>
      <family val="2"/>
    </font>
    <font>
      <sz val="12"/>
      <name val="바탕체"/>
      <family val="1"/>
      <charset val="255"/>
    </font>
    <font>
      <b/>
      <sz val="22"/>
      <color indexed="18"/>
      <name val="Arial"/>
      <family val="2"/>
    </font>
    <font>
      <b/>
      <sz val="14"/>
      <color indexed="18"/>
      <name val="Arial"/>
      <family val="2"/>
    </font>
    <font>
      <b/>
      <sz val="10"/>
      <color indexed="18"/>
      <name val="Arial"/>
      <family val="2"/>
    </font>
    <font>
      <b/>
      <u val="singleAccounting"/>
      <sz val="10"/>
      <color indexed="18"/>
      <name val="Arial"/>
      <family val="2"/>
    </font>
    <font>
      <sz val="8"/>
      <name val="Arial"/>
      <family val="2"/>
    </font>
    <font>
      <b/>
      <sz val="14"/>
      <color indexed="10"/>
      <name val="Helv"/>
    </font>
    <font>
      <sz val="9"/>
      <color indexed="9"/>
      <name val="Arial"/>
      <family val="2"/>
    </font>
    <font>
      <sz val="11"/>
      <color indexed="9"/>
      <name val="Calibri"/>
      <family val="2"/>
    </font>
    <font>
      <sz val="8"/>
      <name val="Times New Roman"/>
      <family val="1"/>
    </font>
    <font>
      <b/>
      <sz val="14"/>
      <name val="Times New Roman"/>
      <family val="1"/>
    </font>
    <font>
      <sz val="12"/>
      <name val="Arial"/>
      <family val="2"/>
    </font>
    <font>
      <sz val="10"/>
      <name val="Arial Narrow"/>
      <family val="2"/>
    </font>
    <font>
      <sz val="10"/>
      <color indexed="12"/>
      <name val="Times New Roman"/>
      <family val="1"/>
    </font>
    <font>
      <sz val="12"/>
      <color indexed="12"/>
      <name val="Times New Roman"/>
      <family val="1"/>
    </font>
    <font>
      <sz val="9"/>
      <color indexed="20"/>
      <name val="Arial"/>
      <family val="2"/>
    </font>
    <font>
      <sz val="10"/>
      <color indexed="20"/>
      <name val="Arial"/>
      <family val="2"/>
    </font>
    <font>
      <sz val="11"/>
      <color indexed="37"/>
      <name val="Calibri"/>
      <family val="2"/>
    </font>
    <font>
      <sz val="11"/>
      <color indexed="20"/>
      <name val="Calibri"/>
      <family val="2"/>
    </font>
    <font>
      <sz val="10"/>
      <name val="ICL Franklin"/>
      <family val="2"/>
    </font>
    <font>
      <sz val="12"/>
      <color indexed="8"/>
      <name val="Times New Roman"/>
      <family val="1"/>
    </font>
    <font>
      <sz val="8"/>
      <color indexed="12"/>
      <name val="Tms Rmn"/>
    </font>
    <font>
      <i/>
      <sz val="8"/>
      <color indexed="62"/>
      <name val="Arial"/>
      <family val="2"/>
    </font>
    <font>
      <sz val="9"/>
      <color indexed="62"/>
      <name val="Arial"/>
      <family val="2"/>
    </font>
    <font>
      <i/>
      <sz val="8"/>
      <name val="Arial"/>
      <family val="2"/>
    </font>
    <font>
      <u val="singleAccounting"/>
      <sz val="10"/>
      <name val="Arial"/>
      <family val="2"/>
    </font>
    <font>
      <sz val="24"/>
      <name val="Times New Roman"/>
      <family val="1"/>
    </font>
    <font>
      <sz val="10"/>
      <name val="Helv"/>
    </font>
    <font>
      <sz val="10"/>
      <name val="MS Sans Serif"/>
      <family val="2"/>
    </font>
    <font>
      <b/>
      <sz val="10"/>
      <color indexed="52"/>
      <name val="Arial"/>
      <family val="2"/>
    </font>
    <font>
      <b/>
      <sz val="11"/>
      <color indexed="17"/>
      <name val="Calibri"/>
      <family val="2"/>
    </font>
    <font>
      <b/>
      <sz val="11"/>
      <color indexed="52"/>
      <name val="Calibri"/>
      <family val="2"/>
    </font>
    <font>
      <b/>
      <sz val="9"/>
      <color indexed="9"/>
      <name val="Arial"/>
      <family val="2"/>
    </font>
    <font>
      <b/>
      <sz val="11"/>
      <color indexed="9"/>
      <name val="Calibri"/>
      <family val="2"/>
    </font>
    <font>
      <b/>
      <i/>
      <sz val="8"/>
      <name val="Arial"/>
      <family val="2"/>
    </font>
    <font>
      <sz val="7"/>
      <name val="Book Antiqua"/>
      <family val="1"/>
    </font>
    <font>
      <b/>
      <sz val="16"/>
      <color indexed="10"/>
      <name val="Helv"/>
    </font>
    <font>
      <sz val="12"/>
      <name val="Helvetica"/>
    </font>
    <font>
      <sz val="8"/>
      <color indexed="12"/>
      <name val="Times New Roman"/>
      <family val="1"/>
    </font>
    <font>
      <sz val="10"/>
      <color indexed="0"/>
      <name val="MS Sans Serif"/>
      <family val="2"/>
    </font>
    <font>
      <sz val="8"/>
      <name val="trebuchet"/>
    </font>
    <font>
      <sz val="14"/>
      <name val="Palatino"/>
      <family val="1"/>
    </font>
    <font>
      <sz val="16"/>
      <name val="Palatino"/>
      <family val="1"/>
    </font>
    <font>
      <sz val="32"/>
      <name val="Helvetica-Black"/>
    </font>
    <font>
      <u/>
      <sz val="10"/>
      <name val="Arial"/>
      <family val="2"/>
    </font>
    <font>
      <sz val="10"/>
      <color indexed="12"/>
      <name val="Arial Narrow"/>
      <family val="2"/>
    </font>
    <font>
      <sz val="12"/>
      <name val="Tms Rmn"/>
    </font>
    <font>
      <sz val="11"/>
      <color indexed="12"/>
      <name val="Book Antiqua"/>
      <family val="1"/>
    </font>
    <font>
      <sz val="11"/>
      <name val="Book Antiqua"/>
      <family val="1"/>
    </font>
    <font>
      <b/>
      <sz val="8"/>
      <color indexed="9"/>
      <name val="Tahoma"/>
      <family val="2"/>
    </font>
    <font>
      <b/>
      <sz val="12"/>
      <name val="Helv"/>
    </font>
    <font>
      <sz val="10"/>
      <color indexed="10"/>
      <name val="Arial"/>
      <family val="2"/>
    </font>
    <font>
      <strike/>
      <sz val="10"/>
      <name val="Arial"/>
      <family val="2"/>
    </font>
    <font>
      <sz val="8"/>
      <color indexed="8"/>
      <name val="Arial"/>
      <family val="2"/>
    </font>
    <font>
      <sz val="10"/>
      <name val="Helvetica"/>
    </font>
    <font>
      <sz val="8"/>
      <color indexed="14"/>
      <name val="Times New Roman"/>
      <family val="1"/>
    </font>
    <font>
      <u val="doubleAccounting"/>
      <sz val="10"/>
      <name val="Arial"/>
      <family val="2"/>
    </font>
    <font>
      <sz val="9"/>
      <color indexed="12"/>
      <name val="Times New Roman"/>
      <family val="1"/>
    </font>
    <font>
      <b/>
      <sz val="11"/>
      <color indexed="8"/>
      <name val="Calibri"/>
      <family val="2"/>
    </font>
    <font>
      <i/>
      <sz val="9"/>
      <color indexed="23"/>
      <name val="Arial"/>
      <family val="2"/>
    </font>
    <font>
      <i/>
      <sz val="10"/>
      <color indexed="23"/>
      <name val="Arial"/>
      <family val="2"/>
    </font>
    <font>
      <i/>
      <sz val="11"/>
      <color indexed="23"/>
      <name val="Calibri"/>
      <family val="2"/>
    </font>
    <font>
      <sz val="6"/>
      <color indexed="23"/>
      <name val="Helvetica-Black"/>
    </font>
    <font>
      <sz val="9.5"/>
      <color indexed="23"/>
      <name val="Helvetica-Black"/>
    </font>
    <font>
      <sz val="7"/>
      <name val="Palatino"/>
      <family val="1"/>
    </font>
    <font>
      <sz val="7"/>
      <name val="Arial"/>
      <family val="2"/>
    </font>
    <font>
      <sz val="10"/>
      <color indexed="12"/>
      <name val="Helvetica"/>
      <family val="2"/>
    </font>
    <font>
      <sz val="9"/>
      <color indexed="17"/>
      <name val="Arial"/>
      <family val="2"/>
    </font>
    <font>
      <sz val="11"/>
      <color indexed="17"/>
      <name val="Calibri"/>
      <family val="2"/>
    </font>
    <font>
      <sz val="10"/>
      <color indexed="17"/>
      <name val="Times New Roman"/>
      <family val="1"/>
    </font>
    <font>
      <b/>
      <sz val="8"/>
      <name val="Arial"/>
      <family val="2"/>
    </font>
    <font>
      <sz val="6"/>
      <color indexed="16"/>
      <name val="Palatino"/>
      <family val="1"/>
    </font>
    <font>
      <sz val="6"/>
      <name val="Palatino"/>
      <family val="1"/>
    </font>
    <font>
      <b/>
      <sz val="8"/>
      <color indexed="9"/>
      <name val="Arial"/>
      <family val="2"/>
    </font>
    <font>
      <b/>
      <i/>
      <sz val="8"/>
      <name val="Helv"/>
    </font>
    <font>
      <b/>
      <sz val="15"/>
      <color indexed="56"/>
      <name val="Arial"/>
      <family val="2"/>
    </font>
    <font>
      <b/>
      <sz val="15"/>
      <color indexed="62"/>
      <name val="Calibri"/>
      <family val="2"/>
    </font>
    <font>
      <b/>
      <sz val="15"/>
      <color indexed="56"/>
      <name val="Calibri"/>
      <family val="2"/>
    </font>
    <font>
      <sz val="10"/>
      <name val="Helvetica-Black"/>
    </font>
    <font>
      <sz val="28"/>
      <name val="Helvetica-Black"/>
    </font>
    <font>
      <b/>
      <sz val="13"/>
      <color indexed="56"/>
      <name val="Arial"/>
      <family val="2"/>
    </font>
    <font>
      <b/>
      <sz val="13"/>
      <color indexed="62"/>
      <name val="Calibri"/>
      <family val="2"/>
    </font>
    <font>
      <b/>
      <sz val="13"/>
      <color indexed="56"/>
      <name val="Calibri"/>
      <family val="2"/>
    </font>
    <font>
      <sz val="18"/>
      <name val="Palatino"/>
      <family val="1"/>
    </font>
    <font>
      <b/>
      <sz val="11"/>
      <color indexed="56"/>
      <name val="Arial"/>
      <family val="2"/>
    </font>
    <font>
      <b/>
      <sz val="11"/>
      <color indexed="62"/>
      <name val="Calibri"/>
      <family val="2"/>
    </font>
    <font>
      <b/>
      <sz val="11"/>
      <color indexed="56"/>
      <name val="Calibri"/>
      <family val="2"/>
    </font>
    <font>
      <b/>
      <sz val="12"/>
      <color indexed="8"/>
      <name val="Arial"/>
      <family val="2"/>
    </font>
    <font>
      <b/>
      <u/>
      <sz val="8"/>
      <name val="Times New Roman"/>
      <family val="1"/>
    </font>
    <font>
      <sz val="8"/>
      <name val="Helv"/>
    </font>
    <font>
      <b/>
      <i/>
      <sz val="18"/>
      <color indexed="10"/>
      <name val="Arial"/>
      <family val="2"/>
    </font>
    <font>
      <b/>
      <sz val="14"/>
      <name val="Arial MT"/>
    </font>
    <font>
      <sz val="11"/>
      <color indexed="62"/>
      <name val="Calibri"/>
      <family val="2"/>
    </font>
    <font>
      <sz val="11"/>
      <color indexed="48"/>
      <name val="Calibri"/>
      <family val="2"/>
    </font>
    <font>
      <sz val="18"/>
      <name val="Times New Roman"/>
      <family val="1"/>
    </font>
    <font>
      <b/>
      <sz val="13"/>
      <name val="Times New Roman"/>
      <family val="1"/>
    </font>
    <font>
      <b/>
      <i/>
      <sz val="12"/>
      <name val="Times New Roman"/>
      <family val="1"/>
    </font>
    <font>
      <i/>
      <sz val="12"/>
      <name val="Times New Roman"/>
      <family val="1"/>
    </font>
    <font>
      <sz val="11"/>
      <name val="Times New Roman"/>
      <family val="1"/>
    </font>
    <font>
      <b/>
      <sz val="22"/>
      <color indexed="16"/>
      <name val="Arial"/>
      <family val="2"/>
    </font>
    <font>
      <b/>
      <sz val="10"/>
      <name val="MS Sans Serif"/>
      <family val="2"/>
    </font>
    <font>
      <b/>
      <sz val="8"/>
      <color indexed="8"/>
      <name val="Tahoma"/>
      <family val="2"/>
    </font>
    <font>
      <sz val="9"/>
      <color indexed="52"/>
      <name val="Arial"/>
      <family val="2"/>
    </font>
    <font>
      <sz val="10"/>
      <color indexed="52"/>
      <name val="Arial"/>
      <family val="2"/>
    </font>
    <font>
      <sz val="11"/>
      <color indexed="52"/>
      <name val="Calibri"/>
      <family val="2"/>
    </font>
    <font>
      <b/>
      <sz val="12"/>
      <color indexed="10"/>
      <name val="Helv"/>
    </font>
    <font>
      <sz val="12"/>
      <color indexed="8"/>
      <name val="Arial"/>
      <family val="2"/>
    </font>
    <font>
      <sz val="9"/>
      <color indexed="60"/>
      <name val="Arial"/>
      <family val="2"/>
    </font>
    <font>
      <sz val="10"/>
      <color indexed="60"/>
      <name val="Arial"/>
      <family val="2"/>
    </font>
    <font>
      <sz val="11"/>
      <color indexed="60"/>
      <name val="Calibri"/>
      <family val="2"/>
    </font>
    <font>
      <b/>
      <sz val="8"/>
      <color indexed="23"/>
      <name val="Verdana Ref"/>
      <family val="2"/>
    </font>
    <font>
      <b/>
      <i/>
      <sz val="16"/>
      <name val="Helv"/>
    </font>
    <font>
      <sz val="10"/>
      <name val="Palatino"/>
    </font>
    <font>
      <sz val="10"/>
      <color indexed="53"/>
      <name val="Arial"/>
      <family val="2"/>
    </font>
    <font>
      <sz val="8"/>
      <name val="Helvetica"/>
      <family val="2"/>
    </font>
    <font>
      <b/>
      <sz val="8"/>
      <name val="Helvetica"/>
    </font>
    <font>
      <sz val="10"/>
      <name val="Palatino"/>
      <family val="1"/>
    </font>
    <font>
      <sz val="10"/>
      <name val="Book Antiqua"/>
      <family val="1"/>
    </font>
    <font>
      <i/>
      <sz val="10"/>
      <name val="Helv"/>
    </font>
    <font>
      <sz val="12"/>
      <color indexed="62"/>
      <name val="Arial"/>
      <family val="2"/>
    </font>
    <font>
      <sz val="10"/>
      <name val="CG Times"/>
      <family val="1"/>
    </font>
    <font>
      <sz val="8"/>
      <color indexed="12"/>
      <name val="Arial"/>
      <family val="2"/>
    </font>
    <font>
      <sz val="10"/>
      <color indexed="14"/>
      <name val="Arial"/>
      <family val="2"/>
    </font>
    <font>
      <sz val="8"/>
      <color indexed="12"/>
      <name val="Helv"/>
    </font>
    <font>
      <sz val="8"/>
      <name val="Tahoma"/>
      <family val="2"/>
    </font>
    <font>
      <b/>
      <sz val="8"/>
      <name val="Tahoma"/>
      <family val="2"/>
    </font>
    <font>
      <b/>
      <sz val="9"/>
      <color indexed="63"/>
      <name val="Arial"/>
      <family val="2"/>
    </font>
    <font>
      <b/>
      <sz val="10"/>
      <color indexed="63"/>
      <name val="Arial"/>
      <family val="2"/>
    </font>
    <font>
      <b/>
      <sz val="11"/>
      <color indexed="63"/>
      <name val="Calibri"/>
      <family val="2"/>
    </font>
    <font>
      <sz val="11"/>
      <color indexed="8"/>
      <name val="Times New Roman"/>
      <family val="1"/>
    </font>
    <font>
      <b/>
      <i/>
      <sz val="11"/>
      <color indexed="8"/>
      <name val="Times New Roman"/>
      <family val="1"/>
    </font>
    <font>
      <b/>
      <sz val="11"/>
      <color indexed="16"/>
      <name val="Times New Roman"/>
      <family val="1"/>
    </font>
    <font>
      <b/>
      <sz val="22"/>
      <color indexed="8"/>
      <name val="Times New Roman"/>
      <family val="1"/>
    </font>
    <font>
      <i/>
      <sz val="12"/>
      <color indexed="12"/>
      <name val="Tms Rmn"/>
    </font>
    <font>
      <b/>
      <sz val="26"/>
      <name val="Times New Roman"/>
      <family val="1"/>
    </font>
    <font>
      <b/>
      <sz val="18"/>
      <name val="Times New Roman"/>
      <family val="1"/>
    </font>
    <font>
      <sz val="10"/>
      <color indexed="16"/>
      <name val="Helvetica-Black"/>
    </font>
    <font>
      <sz val="22"/>
      <name val="UBSHeadline"/>
      <family val="1"/>
    </font>
    <font>
      <sz val="10"/>
      <color indexed="18"/>
      <name val="Arial"/>
      <family val="2"/>
    </font>
    <font>
      <sz val="10"/>
      <color indexed="55"/>
      <name val="Arial"/>
      <family val="2"/>
    </font>
    <font>
      <sz val="12"/>
      <color indexed="8"/>
      <name val="Helvetica"/>
      <family val="2"/>
    </font>
    <font>
      <b/>
      <sz val="12"/>
      <color indexed="56"/>
      <name val="Times New Roman"/>
      <family val="1"/>
    </font>
    <font>
      <b/>
      <sz val="9"/>
      <name val="Arial"/>
      <family val="2"/>
    </font>
    <font>
      <sz val="8"/>
      <name val="Trebuchet MS"/>
      <family val="2"/>
    </font>
    <font>
      <sz val="16"/>
      <color indexed="9"/>
      <name val="Tahoma"/>
      <family val="2"/>
    </font>
    <font>
      <b/>
      <sz val="8"/>
      <color indexed="12"/>
      <name val="Times New Roman"/>
      <family val="1"/>
    </font>
    <font>
      <sz val="10"/>
      <color indexed="10"/>
      <name val="Times New Roman"/>
      <family val="1"/>
    </font>
    <font>
      <sz val="10"/>
      <color indexed="55"/>
      <name val="Times New Roman"/>
      <family val="1"/>
    </font>
    <font>
      <sz val="14"/>
      <name val="Arial"/>
      <family val="2"/>
    </font>
    <font>
      <sz val="18"/>
      <name val="Arial"/>
      <family val="2"/>
    </font>
    <font>
      <b/>
      <sz val="10"/>
      <color indexed="39"/>
      <name val="Arial"/>
      <family val="2"/>
    </font>
    <font>
      <sz val="8"/>
      <color indexed="62"/>
      <name val="Arial"/>
      <family val="2"/>
    </font>
    <font>
      <b/>
      <sz val="8"/>
      <color indexed="8"/>
      <name val="Arial"/>
      <family val="2"/>
    </font>
    <font>
      <sz val="10"/>
      <color indexed="39"/>
      <name val="Arial"/>
      <family val="2"/>
    </font>
    <font>
      <b/>
      <sz val="14"/>
      <color indexed="17"/>
      <name val="Arial"/>
      <family val="2"/>
    </font>
    <font>
      <sz val="19"/>
      <name val="Arial"/>
      <family val="2"/>
    </font>
    <font>
      <sz val="19"/>
      <color indexed="48"/>
      <name val="Arial"/>
      <family val="2"/>
    </font>
    <font>
      <sz val="8"/>
      <color indexed="14"/>
      <name val="Arial"/>
      <family val="2"/>
    </font>
    <font>
      <b/>
      <sz val="10"/>
      <color indexed="9"/>
      <name val="Book Antiqua"/>
      <family val="1"/>
    </font>
    <font>
      <sz val="8"/>
      <name val="Helvetica"/>
    </font>
    <font>
      <b/>
      <sz val="8"/>
      <name val="Times New Roman"/>
      <family val="1"/>
    </font>
    <font>
      <sz val="8"/>
      <name val="Arial Narrow"/>
      <family val="2"/>
    </font>
    <font>
      <b/>
      <sz val="18"/>
      <color indexed="62"/>
      <name val="Cambria"/>
      <family val="2"/>
    </font>
    <font>
      <b/>
      <u/>
      <sz val="12"/>
      <name val="Arial Narrow"/>
      <family val="2"/>
    </font>
    <font>
      <b/>
      <sz val="16"/>
      <color indexed="16"/>
      <name val="Arial"/>
      <family val="2"/>
    </font>
    <font>
      <i/>
      <sz val="10"/>
      <name val="Times New Roman"/>
      <family val="1"/>
    </font>
    <font>
      <b/>
      <u/>
      <sz val="10"/>
      <name val="Arial Narrow"/>
      <family val="2"/>
    </font>
    <font>
      <b/>
      <u/>
      <sz val="10"/>
      <name val="Helv"/>
    </font>
    <font>
      <b/>
      <sz val="10"/>
      <name val="Times New Roman"/>
      <family val="1"/>
    </font>
    <font>
      <b/>
      <sz val="9"/>
      <name val="Palatino"/>
      <family val="1"/>
    </font>
    <font>
      <sz val="9"/>
      <color indexed="21"/>
      <name val="Helvetica-Black"/>
    </font>
    <font>
      <sz val="9"/>
      <name val="Helvetica-Black"/>
    </font>
    <font>
      <sz val="10"/>
      <name val="Frutiger 45 Light"/>
      <family val="2"/>
    </font>
    <font>
      <sz val="12"/>
      <color indexed="8"/>
      <name val="Palatino"/>
      <family val="1"/>
    </font>
    <font>
      <sz val="12"/>
      <name val="Palatino"/>
      <family val="1"/>
    </font>
    <font>
      <sz val="11"/>
      <name val="Helvetica-Black"/>
    </font>
    <font>
      <sz val="11"/>
      <color indexed="8"/>
      <name val="Helvetica-Black"/>
    </font>
    <font>
      <b/>
      <sz val="18"/>
      <color indexed="56"/>
      <name val="Cambria"/>
      <family val="2"/>
    </font>
    <font>
      <b/>
      <i/>
      <sz val="14"/>
      <color indexed="9"/>
      <name val="Times New Roman"/>
      <family val="1"/>
    </font>
    <font>
      <b/>
      <sz val="10"/>
      <name val="Arial Narrow"/>
      <family val="2"/>
    </font>
    <font>
      <b/>
      <sz val="9"/>
      <color indexed="8"/>
      <name val="Arial"/>
      <family val="2"/>
    </font>
    <font>
      <b/>
      <sz val="8"/>
      <name val="Helv"/>
    </font>
    <font>
      <b/>
      <sz val="7"/>
      <color indexed="12"/>
      <name val="Arial"/>
      <family val="2"/>
    </font>
    <font>
      <u/>
      <sz val="8"/>
      <color indexed="8"/>
      <name val="Arial"/>
      <family val="2"/>
    </font>
    <font>
      <i/>
      <sz val="12"/>
      <color indexed="8"/>
      <name val="Arial MT"/>
    </font>
    <font>
      <sz val="8"/>
      <color indexed="10"/>
      <name val="Arial Narrow"/>
      <family val="2"/>
    </font>
    <font>
      <sz val="8"/>
      <color indexed="16"/>
      <name val="Helv"/>
    </font>
    <font>
      <sz val="11"/>
      <name val="µ¸¿ò"/>
      <charset val="129"/>
    </font>
    <font>
      <sz val="10"/>
      <color indexed="10"/>
      <name val="Arial Narrow"/>
      <family val="2"/>
    </font>
    <font>
      <sz val="9"/>
      <color indexed="10"/>
      <name val="Arial"/>
      <family val="2"/>
    </font>
    <font>
      <sz val="11"/>
      <color indexed="14"/>
      <name val="Calibri"/>
      <family val="2"/>
    </font>
    <font>
      <sz val="11"/>
      <color indexed="10"/>
      <name val="Calibri"/>
      <family val="2"/>
    </font>
    <font>
      <sz val="10"/>
      <name val="Tahoma"/>
      <family val="2"/>
    </font>
  </fonts>
  <fills count="121">
    <fill>
      <patternFill patternType="none"/>
    </fill>
    <fill>
      <patternFill patternType="gray125"/>
    </fill>
    <fill>
      <patternFill patternType="solid">
        <fgColor rgb="FFFFFFCC"/>
      </patternFill>
    </fill>
    <fill>
      <patternFill patternType="solid">
        <fgColor rgb="FF002060"/>
        <bgColor indexed="64"/>
      </patternFill>
    </fill>
    <fill>
      <patternFill patternType="solid">
        <fgColor theme="3" tint="0.39997558519241921"/>
        <bgColor indexed="64"/>
      </patternFill>
    </fill>
    <fill>
      <patternFill patternType="solid">
        <fgColor theme="0" tint="-4.9989318521683403E-2"/>
        <bgColor indexed="64"/>
      </patternFill>
    </fill>
    <fill>
      <patternFill patternType="solid">
        <fgColor rgb="FF7030A0"/>
        <bgColor indexed="64"/>
      </patternFill>
    </fill>
    <fill>
      <patternFill patternType="solid">
        <fgColor theme="1" tint="4.9989318521683403E-2"/>
        <bgColor indexed="64"/>
      </patternFill>
    </fill>
    <fill>
      <patternFill patternType="solid">
        <fgColor theme="0" tint="-0.14999847407452621"/>
        <bgColor indexed="64"/>
      </patternFill>
    </fill>
    <fill>
      <patternFill patternType="solid">
        <fgColor indexed="22"/>
        <bgColor indexed="64"/>
      </patternFill>
    </fill>
    <fill>
      <patternFill patternType="solid">
        <fgColor indexed="57"/>
        <bgColor indexed="64"/>
      </patternFill>
    </fill>
    <fill>
      <patternFill patternType="solid">
        <fgColor indexed="26"/>
        <bgColor indexed="64"/>
      </patternFill>
    </fill>
    <fill>
      <patternFill patternType="solid">
        <fgColor indexed="41"/>
        <bgColor indexed="64"/>
      </patternFill>
    </fill>
    <fill>
      <patternFill patternType="solid">
        <fgColor indexed="43"/>
      </patternFill>
    </fill>
    <fill>
      <patternFill patternType="solid">
        <fgColor indexed="43"/>
        <bgColor indexed="64"/>
      </patternFill>
    </fill>
    <fill>
      <patternFill patternType="solid">
        <fgColor indexed="47"/>
        <bgColor indexed="64"/>
      </patternFill>
    </fill>
    <fill>
      <patternFill patternType="solid">
        <fgColor indexed="53"/>
        <bgColor indexed="64"/>
      </patternFill>
    </fill>
    <fill>
      <patternFill patternType="solid">
        <fgColor indexed="23"/>
        <bgColor indexed="64"/>
      </patternFill>
    </fill>
    <fill>
      <patternFill patternType="solid">
        <fgColor indexed="42"/>
        <bgColor indexed="64"/>
      </patternFill>
    </fill>
    <fill>
      <patternFill patternType="solid">
        <fgColor indexed="24"/>
        <bgColor indexed="64"/>
      </patternFill>
    </fill>
    <fill>
      <patternFill patternType="solid">
        <fgColor indexed="62"/>
        <bgColor indexed="64"/>
      </patternFill>
    </fill>
    <fill>
      <patternFill patternType="solid">
        <fgColor indexed="8"/>
        <bgColor indexed="64"/>
      </patternFill>
    </fill>
    <fill>
      <patternFill patternType="solid">
        <fgColor indexed="17"/>
        <bgColor indexed="64"/>
      </patternFill>
    </fill>
    <fill>
      <patternFill patternType="solid">
        <fgColor indexed="55"/>
        <bgColor indexed="64"/>
      </patternFill>
    </fill>
    <fill>
      <patternFill patternType="solid">
        <fgColor indexed="10"/>
        <bgColor indexed="64"/>
      </patternFill>
    </fill>
    <fill>
      <patternFill patternType="solid">
        <fgColor indexed="12"/>
        <bgColor indexed="64"/>
      </patternFill>
    </fill>
    <fill>
      <patternFill patternType="solid">
        <fgColor theme="1"/>
        <bgColor indexed="64"/>
      </patternFill>
    </fill>
    <fill>
      <patternFill patternType="lightUp"/>
    </fill>
    <fill>
      <patternFill patternType="lightUp">
        <bgColor indexed="55"/>
      </patternFill>
    </fill>
    <fill>
      <patternFill patternType="solid">
        <fgColor indexed="9"/>
        <bgColor indexed="64"/>
      </patternFill>
    </fill>
    <fill>
      <patternFill patternType="solid">
        <fgColor rgb="FF002095"/>
        <bgColor indexed="64"/>
      </patternFill>
    </fill>
    <fill>
      <patternFill patternType="solid">
        <fgColor rgb="FFA3FFCF"/>
        <bgColor indexed="64"/>
      </patternFill>
    </fill>
    <fill>
      <patternFill patternType="solid">
        <fgColor theme="0" tint="-0.14996795556505021"/>
        <bgColor indexed="64"/>
      </patternFill>
    </fill>
    <fill>
      <patternFill patternType="solid">
        <fgColor indexed="56"/>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44"/>
        <bgColor indexed="44"/>
      </patternFill>
    </fill>
    <fill>
      <patternFill patternType="solid">
        <fgColor indexed="61"/>
        <bgColor indexed="61"/>
      </patternFill>
    </fill>
    <fill>
      <patternFill patternType="solid">
        <fgColor indexed="54"/>
        <bgColor indexed="54"/>
      </patternFill>
    </fill>
    <fill>
      <patternFill patternType="solid">
        <fgColor indexed="22"/>
        <bgColor indexed="22"/>
      </patternFill>
    </fill>
    <fill>
      <patternFill patternType="solid">
        <fgColor indexed="24"/>
        <bgColor indexed="24"/>
      </patternFill>
    </fill>
    <fill>
      <patternFill patternType="solid">
        <fgColor indexed="58"/>
        <bgColor indexed="58"/>
      </patternFill>
    </fill>
    <fill>
      <patternFill patternType="solid">
        <fgColor indexed="62"/>
      </patternFill>
    </fill>
    <fill>
      <patternFill patternType="solid">
        <fgColor indexed="48"/>
        <bgColor indexed="48"/>
      </patternFill>
    </fill>
    <fill>
      <patternFill patternType="solid">
        <fgColor indexed="15"/>
        <bgColor indexed="15"/>
      </patternFill>
    </fill>
    <fill>
      <patternFill patternType="solid">
        <fgColor indexed="31"/>
        <bgColor indexed="31"/>
      </patternFill>
    </fill>
    <fill>
      <patternFill patternType="solid">
        <fgColor indexed="45"/>
        <bgColor indexed="45"/>
      </patternFill>
    </fill>
    <fill>
      <patternFill patternType="solid">
        <fgColor indexed="40"/>
        <bgColor indexed="40"/>
      </patternFill>
    </fill>
    <fill>
      <patternFill patternType="solid">
        <fgColor indexed="55"/>
        <bgColor indexed="55"/>
      </patternFill>
    </fill>
    <fill>
      <patternFill patternType="solid">
        <fgColor indexed="10"/>
      </patternFill>
    </fill>
    <fill>
      <patternFill patternType="solid">
        <fgColor indexed="25"/>
        <bgColor indexed="25"/>
      </patternFill>
    </fill>
    <fill>
      <patternFill patternType="solid">
        <fgColor indexed="41"/>
        <bgColor indexed="41"/>
      </patternFill>
    </fill>
    <fill>
      <patternFill patternType="solid">
        <fgColor indexed="60"/>
        <bgColor indexed="60"/>
      </patternFill>
    </fill>
    <fill>
      <patternFill patternType="solid">
        <fgColor indexed="11"/>
        <bgColor indexed="11"/>
      </patternFill>
    </fill>
    <fill>
      <patternFill patternType="solid">
        <fgColor indexed="50"/>
        <bgColor indexed="50"/>
      </patternFill>
    </fill>
    <fill>
      <patternFill patternType="solid">
        <fgColor indexed="57"/>
      </patternFill>
    </fill>
    <fill>
      <patternFill patternType="solid">
        <fgColor indexed="57"/>
        <bgColor indexed="57"/>
      </patternFill>
    </fill>
    <fill>
      <patternFill patternType="solid">
        <fgColor indexed="18"/>
        <bgColor indexed="18"/>
      </patternFill>
    </fill>
    <fill>
      <patternFill patternType="solid">
        <fgColor indexed="26"/>
        <bgColor indexed="26"/>
      </patternFill>
    </fill>
    <fill>
      <patternFill patternType="solid">
        <fgColor indexed="47"/>
        <bgColor indexed="47"/>
      </patternFill>
    </fill>
    <fill>
      <patternFill patternType="solid">
        <fgColor indexed="51"/>
        <bgColor indexed="51"/>
      </patternFill>
    </fill>
    <fill>
      <patternFill patternType="solid">
        <fgColor indexed="53"/>
      </patternFill>
    </fill>
    <fill>
      <patternFill patternType="solid">
        <fgColor indexed="53"/>
        <bgColor indexed="53"/>
      </patternFill>
    </fill>
    <fill>
      <patternFill patternType="solid">
        <fgColor indexed="40"/>
        <bgColor indexed="10"/>
      </patternFill>
    </fill>
    <fill>
      <patternFill patternType="solid">
        <fgColor indexed="44"/>
        <bgColor indexed="64"/>
      </patternFill>
    </fill>
    <fill>
      <patternFill patternType="solid">
        <fgColor indexed="13"/>
      </patternFill>
    </fill>
    <fill>
      <patternFill patternType="solid">
        <fgColor indexed="22"/>
      </patternFill>
    </fill>
    <fill>
      <patternFill patternType="solid">
        <fgColor indexed="35"/>
        <bgColor indexed="35"/>
      </patternFill>
    </fill>
    <fill>
      <patternFill patternType="lightGray">
        <fgColor indexed="15"/>
      </patternFill>
    </fill>
    <fill>
      <patternFill patternType="solid">
        <fgColor indexed="55"/>
      </patternFill>
    </fill>
    <fill>
      <patternFill patternType="solid">
        <fgColor indexed="14"/>
        <bgColor indexed="64"/>
      </patternFill>
    </fill>
    <fill>
      <patternFill patternType="solid">
        <fgColor indexed="51"/>
        <bgColor indexed="64"/>
      </patternFill>
    </fill>
    <fill>
      <patternFill patternType="solid">
        <fgColor indexed="21"/>
        <bgColor indexed="64"/>
      </patternFill>
    </fill>
    <fill>
      <patternFill patternType="gray125">
        <fgColor indexed="26"/>
        <bgColor indexed="26"/>
      </patternFill>
    </fill>
    <fill>
      <patternFill patternType="solid">
        <fgColor indexed="26"/>
      </patternFill>
    </fill>
    <fill>
      <patternFill patternType="lightUp">
        <fgColor indexed="9"/>
        <bgColor indexed="55"/>
      </patternFill>
    </fill>
    <fill>
      <patternFill patternType="lightUp">
        <fgColor indexed="9"/>
        <bgColor indexed="24"/>
      </patternFill>
    </fill>
    <fill>
      <patternFill patternType="lightUp">
        <fgColor indexed="9"/>
        <bgColor indexed="29"/>
      </patternFill>
    </fill>
    <fill>
      <patternFill patternType="lightUp">
        <fgColor indexed="9"/>
        <bgColor indexed="12"/>
      </patternFill>
    </fill>
    <fill>
      <patternFill patternType="lightUp">
        <fgColor indexed="9"/>
        <bgColor indexed="57"/>
      </patternFill>
    </fill>
    <fill>
      <patternFill patternType="gray0625">
        <fgColor indexed="13"/>
        <bgColor indexed="9"/>
      </patternFill>
    </fill>
    <fill>
      <patternFill patternType="gray0625">
        <bgColor indexed="22"/>
      </patternFill>
    </fill>
    <fill>
      <patternFill patternType="gray0625">
        <bgColor indexed="27"/>
      </patternFill>
    </fill>
    <fill>
      <patternFill patternType="solid">
        <fgColor indexed="65"/>
        <bgColor indexed="64"/>
      </patternFill>
    </fill>
    <fill>
      <patternFill patternType="solid">
        <fgColor indexed="60"/>
      </patternFill>
    </fill>
    <fill>
      <patternFill patternType="gray0625">
        <fgColor indexed="9"/>
        <bgColor indexed="44"/>
      </patternFill>
    </fill>
    <fill>
      <patternFill patternType="gray0625">
        <fgColor indexed="9"/>
        <bgColor indexed="42"/>
      </patternFill>
    </fill>
    <fill>
      <patternFill patternType="lightGray">
        <fgColor indexed="10"/>
      </patternFill>
    </fill>
    <fill>
      <patternFill patternType="mediumGray">
        <fgColor indexed="22"/>
      </patternFill>
    </fill>
    <fill>
      <patternFill patternType="solid">
        <fgColor indexed="9"/>
      </patternFill>
    </fill>
    <fill>
      <patternFill patternType="solid">
        <fgColor indexed="12"/>
      </patternFill>
    </fill>
    <fill>
      <patternFill patternType="solid">
        <fgColor indexed="50"/>
      </patternFill>
    </fill>
    <fill>
      <patternFill patternType="solid">
        <fgColor indexed="43"/>
        <bgColor indexed="48"/>
      </patternFill>
    </fill>
    <fill>
      <patternFill patternType="lightUp">
        <fgColor indexed="48"/>
        <bgColor indexed="41"/>
      </patternFill>
    </fill>
    <fill>
      <patternFill patternType="solid">
        <fgColor indexed="54"/>
      </patternFill>
    </fill>
    <fill>
      <patternFill patternType="solid">
        <fgColor indexed="54"/>
        <bgColor indexed="64"/>
      </patternFill>
    </fill>
    <fill>
      <patternFill patternType="solid">
        <fgColor indexed="40"/>
      </patternFill>
    </fill>
    <fill>
      <patternFill patternType="solid">
        <fgColor indexed="41"/>
      </patternFill>
    </fill>
    <fill>
      <patternFill patternType="solid">
        <fgColor indexed="23"/>
      </patternFill>
    </fill>
    <fill>
      <patternFill patternType="solid">
        <fgColor indexed="40"/>
        <bgColor indexed="64"/>
      </patternFill>
    </fill>
    <fill>
      <patternFill patternType="solid">
        <fgColor rgb="FF33CCCC"/>
        <bgColor rgb="FFFFFFFF"/>
      </patternFill>
    </fill>
    <fill>
      <patternFill patternType="solid">
        <fgColor indexed="15"/>
      </patternFill>
    </fill>
    <fill>
      <patternFill patternType="solid">
        <fgColor indexed="20"/>
      </patternFill>
    </fill>
    <fill>
      <patternFill patternType="solid">
        <fgColor indexed="18"/>
        <bgColor indexed="64"/>
      </patternFill>
    </fill>
    <fill>
      <patternFill patternType="solid">
        <fgColor indexed="63"/>
        <bgColor indexed="64"/>
      </patternFill>
    </fill>
    <fill>
      <patternFill patternType="solid">
        <fgColor indexed="15"/>
        <bgColor indexed="64"/>
      </patternFill>
    </fill>
    <fill>
      <patternFill patternType="solid">
        <fgColor indexed="16"/>
        <bgColor indexed="64"/>
      </patternFill>
    </fill>
    <fill>
      <patternFill patternType="solid">
        <fgColor indexed="58"/>
        <bgColor indexed="64"/>
      </patternFill>
    </fill>
    <fill>
      <patternFill patternType="solid">
        <fgColor indexed="27"/>
        <bgColor indexed="64"/>
      </patternFill>
    </fill>
  </fills>
  <borders count="108">
    <border>
      <left/>
      <right/>
      <top/>
      <bottom/>
      <diagonal/>
    </border>
    <border>
      <left style="thin">
        <color rgb="FFB2B2B2"/>
      </left>
      <right style="thin">
        <color rgb="FFB2B2B2"/>
      </right>
      <top style="thin">
        <color rgb="FFB2B2B2"/>
      </top>
      <bottom style="thin">
        <color rgb="FFB2B2B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medium">
        <color indexed="23"/>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style="medium">
        <color indexed="23"/>
      </right>
      <top/>
      <bottom style="medium">
        <color indexed="23"/>
      </bottom>
      <diagonal/>
    </border>
    <border>
      <left/>
      <right/>
      <top style="medium">
        <color indexed="23"/>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medium">
        <color indexed="23"/>
      </bottom>
      <diagonal/>
    </border>
    <border>
      <left style="thin">
        <color indexed="55"/>
      </left>
      <right style="thin">
        <color indexed="55"/>
      </right>
      <top style="thin">
        <color indexed="55"/>
      </top>
      <bottom style="thin">
        <color indexed="55"/>
      </bottom>
      <diagonal/>
    </border>
    <border>
      <left style="thin">
        <color indexed="17"/>
      </left>
      <right style="thin">
        <color indexed="17"/>
      </right>
      <top style="thin">
        <color indexed="17"/>
      </top>
      <bottom style="thin">
        <color indexed="17"/>
      </bottom>
      <diagonal/>
    </border>
    <border>
      <left style="hair">
        <color indexed="64"/>
      </left>
      <right style="hair">
        <color indexed="64"/>
      </right>
      <top style="hair">
        <color indexed="64"/>
      </top>
      <bottom style="hair">
        <color indexed="64"/>
      </bottom>
      <diagonal/>
    </border>
    <border>
      <left style="dotted">
        <color indexed="23"/>
      </left>
      <right style="dotted">
        <color indexed="23"/>
      </right>
      <top style="dotted">
        <color indexed="23"/>
      </top>
      <bottom style="dotted">
        <color indexed="23"/>
      </bottom>
      <diagonal/>
    </border>
    <border>
      <left/>
      <right/>
      <top style="dashed">
        <color indexed="53"/>
      </top>
      <bottom style="dashed">
        <color indexed="53"/>
      </bottom>
      <diagonal/>
    </border>
    <border>
      <left style="thin">
        <color indexed="20"/>
      </left>
      <right style="thin">
        <color indexed="20"/>
      </right>
      <top style="thin">
        <color indexed="20"/>
      </top>
      <bottom style="thin">
        <color indexed="20"/>
      </bottom>
      <diagonal/>
    </border>
    <border>
      <left style="thin">
        <color indexed="64"/>
      </left>
      <right style="thin">
        <color indexed="64"/>
      </right>
      <top style="thin">
        <color indexed="64"/>
      </top>
      <bottom style="thin">
        <color indexed="64"/>
      </bottom>
      <diagonal/>
    </border>
    <border>
      <left style="thin">
        <color indexed="62"/>
      </left>
      <right/>
      <top style="thin">
        <color indexed="62"/>
      </top>
      <bottom style="thin">
        <color indexed="62"/>
      </bottom>
      <diagonal/>
    </border>
    <border>
      <left/>
      <right/>
      <top style="thin">
        <color indexed="62"/>
      </top>
      <bottom style="thin">
        <color indexed="62"/>
      </bottom>
      <diagonal/>
    </border>
    <border>
      <left/>
      <right style="thin">
        <color indexed="62"/>
      </right>
      <top style="thin">
        <color indexed="62"/>
      </top>
      <bottom style="thin">
        <color indexed="62"/>
      </bottom>
      <diagonal/>
    </border>
    <border>
      <left style="thin">
        <color indexed="64"/>
      </left>
      <right style="thin">
        <color indexed="17"/>
      </right>
      <top style="thin">
        <color indexed="17"/>
      </top>
      <bottom style="thin">
        <color indexed="17"/>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55"/>
      </right>
      <top/>
      <bottom style="thin">
        <color indexed="55"/>
      </bottom>
      <diagonal/>
    </border>
    <border>
      <left style="thin">
        <color indexed="55"/>
      </left>
      <right style="thin">
        <color indexed="55"/>
      </right>
      <top/>
      <bottom style="thin">
        <color indexed="55"/>
      </bottom>
      <diagonal/>
    </border>
    <border>
      <left/>
      <right style="thin">
        <color indexed="64"/>
      </right>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64"/>
      </bottom>
      <diagonal/>
    </border>
    <border>
      <left/>
      <right style="thin">
        <color indexed="55"/>
      </right>
      <top style="thin">
        <color indexed="55"/>
      </top>
      <bottom style="thin">
        <color indexed="55"/>
      </bottom>
      <diagonal/>
    </border>
    <border>
      <left style="thin">
        <color indexed="23"/>
      </left>
      <right style="thin">
        <color indexed="23"/>
      </right>
      <top style="thin">
        <color indexed="64"/>
      </top>
      <bottom style="thin">
        <color indexed="23"/>
      </bottom>
      <diagonal/>
    </border>
    <border>
      <left/>
      <right style="thin">
        <color indexed="55"/>
      </right>
      <top style="thin">
        <color indexed="55"/>
      </top>
      <bottom style="thin">
        <color indexed="64"/>
      </bottom>
      <diagonal/>
    </border>
    <border>
      <left style="thin">
        <color indexed="64"/>
      </left>
      <right/>
      <top/>
      <bottom/>
      <diagonal/>
    </border>
    <border>
      <left style="thin">
        <color indexed="55"/>
      </left>
      <right/>
      <top style="thin">
        <color indexed="55"/>
      </top>
      <bottom style="thin">
        <color indexed="55"/>
      </bottom>
      <diagonal/>
    </border>
    <border>
      <left style="hair">
        <color indexed="64"/>
      </left>
      <right/>
      <top style="hair">
        <color indexed="64"/>
      </top>
      <bottom style="hair">
        <color indexed="64"/>
      </bottom>
      <diagonal/>
    </border>
    <border>
      <left style="thin">
        <color indexed="23"/>
      </left>
      <right/>
      <top style="thin">
        <color indexed="23"/>
      </top>
      <bottom style="thin">
        <color indexed="23"/>
      </bottom>
      <diagonal/>
    </border>
    <border>
      <left style="thin">
        <color indexed="23"/>
      </left>
      <right style="thin">
        <color indexed="23"/>
      </right>
      <top style="thin">
        <color indexed="23"/>
      </top>
      <bottom style="thin">
        <color indexed="23"/>
      </bottom>
      <diagonal/>
    </border>
    <border>
      <left style="thin">
        <color rgb="FF7F7F7F"/>
      </left>
      <right style="thin">
        <color rgb="FF7F7F7F"/>
      </right>
      <top style="thin">
        <color rgb="FF7F7F7F"/>
      </top>
      <bottom style="thin">
        <color rgb="FF7F7F7F"/>
      </bottom>
      <diagonal/>
    </border>
    <border>
      <left/>
      <right/>
      <top/>
      <bottom style="thin">
        <color indexed="64"/>
      </bottom>
      <diagonal/>
    </border>
    <border>
      <left/>
      <right/>
      <top style="hair">
        <color indexed="8"/>
      </top>
      <bottom style="hair">
        <color indexed="8"/>
      </bottom>
      <diagonal/>
    </border>
    <border>
      <left/>
      <right/>
      <top/>
      <bottom style="medium">
        <color indexed="18"/>
      </bottom>
      <diagonal/>
    </border>
    <border>
      <left style="double">
        <color indexed="64"/>
      </left>
      <right/>
      <top/>
      <bottom style="hair">
        <color indexed="64"/>
      </bottom>
      <diagonal/>
    </border>
    <border>
      <left style="thin">
        <color indexed="22"/>
      </left>
      <right style="thin">
        <color indexed="22"/>
      </right>
      <top style="thin">
        <color indexed="22"/>
      </top>
      <bottom style="thin">
        <color indexed="22"/>
      </bottom>
      <diagonal/>
    </border>
    <border>
      <left style="thin">
        <color indexed="8"/>
      </left>
      <right style="thin">
        <color indexed="8"/>
      </right>
      <top style="thin">
        <color indexed="8"/>
      </top>
      <bottom style="thin">
        <color indexed="8"/>
      </bottom>
      <diagonal/>
    </border>
    <border>
      <left/>
      <right style="thin">
        <color indexed="9"/>
      </right>
      <top/>
      <bottom/>
      <diagonal/>
    </border>
    <border>
      <left/>
      <right/>
      <top/>
      <bottom style="thin">
        <color indexed="9"/>
      </bottom>
      <diagonal/>
    </border>
    <border>
      <left/>
      <right style="thin">
        <color indexed="22"/>
      </right>
      <top/>
      <bottom/>
      <diagonal/>
    </border>
    <border>
      <left/>
      <right/>
      <top/>
      <bottom style="thin">
        <color indexed="44"/>
      </bottom>
      <diagonal/>
    </border>
    <border>
      <left/>
      <right/>
      <top style="thin">
        <color indexed="22"/>
      </top>
      <bottom style="thin">
        <color indexed="22"/>
      </bottom>
      <diagonal/>
    </border>
    <border>
      <left style="thin">
        <color indexed="18"/>
      </left>
      <right style="thin">
        <color indexed="18"/>
      </right>
      <top style="thin">
        <color indexed="18"/>
      </top>
      <bottom style="thin">
        <color indexed="18"/>
      </bottom>
      <diagonal/>
    </border>
    <border>
      <left style="double">
        <color indexed="63"/>
      </left>
      <right style="double">
        <color indexed="63"/>
      </right>
      <top style="double">
        <color indexed="63"/>
      </top>
      <bottom style="double">
        <color indexed="63"/>
      </bottom>
      <diagonal/>
    </border>
    <border>
      <left style="medium">
        <color indexed="12"/>
      </left>
      <right style="medium">
        <color indexed="12"/>
      </right>
      <top style="medium">
        <color indexed="12"/>
      </top>
      <bottom style="medium">
        <color indexed="12"/>
      </bottom>
      <diagonal/>
    </border>
    <border>
      <left style="thin">
        <color indexed="22"/>
      </left>
      <right/>
      <top/>
      <bottom/>
      <diagonal/>
    </border>
    <border>
      <left style="hair">
        <color indexed="22"/>
      </left>
      <right style="hair">
        <color indexed="22"/>
      </right>
      <top style="hair">
        <color indexed="22"/>
      </top>
      <bottom style="hair">
        <color indexed="22"/>
      </bottom>
      <diagonal/>
    </border>
    <border>
      <left/>
      <right/>
      <top style="thin">
        <color indexed="64"/>
      </top>
      <bottom/>
      <diagonal/>
    </border>
    <border>
      <left/>
      <right/>
      <top style="thin">
        <color indexed="64"/>
      </top>
      <bottom style="double">
        <color indexed="64"/>
      </bottom>
      <diagonal/>
    </border>
    <border>
      <left/>
      <right style="thin">
        <color indexed="8"/>
      </right>
      <top style="thin">
        <color indexed="8"/>
      </top>
      <bottom/>
      <diagonal/>
    </border>
    <border>
      <left style="dashed">
        <color indexed="22"/>
      </left>
      <right style="dashed">
        <color indexed="22"/>
      </right>
      <top style="dashed">
        <color indexed="22"/>
      </top>
      <bottom style="dashed">
        <color indexed="22"/>
      </bottom>
      <diagonal/>
    </border>
    <border>
      <left style="thin">
        <color indexed="64"/>
      </left>
      <right style="medium">
        <color indexed="10"/>
      </right>
      <top style="thin">
        <color indexed="64"/>
      </top>
      <bottom style="thin">
        <color indexed="64"/>
      </bottom>
      <diagonal/>
    </border>
    <border>
      <left style="medium">
        <color indexed="10"/>
      </left>
      <right style="medium">
        <color indexed="10"/>
      </right>
      <top style="medium">
        <color indexed="10"/>
      </top>
      <bottom style="medium">
        <color indexed="10"/>
      </bottom>
      <diagonal/>
    </border>
    <border>
      <left/>
      <right/>
      <top/>
      <bottom style="dotted">
        <color indexed="64"/>
      </bottom>
      <diagonal/>
    </border>
    <border>
      <left/>
      <right/>
      <top style="medium">
        <color indexed="64"/>
      </top>
      <bottom style="medium">
        <color indexed="64"/>
      </bottom>
      <diagonal/>
    </border>
    <border>
      <left/>
      <right/>
      <top/>
      <bottom style="thick">
        <color indexed="62"/>
      </bottom>
      <diagonal/>
    </border>
    <border>
      <left/>
      <right/>
      <top/>
      <bottom style="thick">
        <color indexed="48"/>
      </bottom>
      <diagonal/>
    </border>
    <border>
      <left/>
      <right/>
      <top/>
      <bottom style="thick">
        <color indexed="22"/>
      </bottom>
      <diagonal/>
    </border>
    <border>
      <left/>
      <right/>
      <top/>
      <bottom style="thick">
        <color indexed="58"/>
      </bottom>
      <diagonal/>
    </border>
    <border>
      <left/>
      <right/>
      <top/>
      <bottom style="medium">
        <color indexed="30"/>
      </bottom>
      <diagonal/>
    </border>
    <border>
      <left/>
      <right/>
      <top/>
      <bottom style="medium">
        <color indexed="58"/>
      </bottom>
      <diagonal/>
    </border>
    <border>
      <left style="thin">
        <color indexed="8"/>
      </left>
      <right/>
      <top style="thin">
        <color indexed="8"/>
      </top>
      <bottom/>
      <diagonal/>
    </border>
    <border>
      <left/>
      <right style="thin">
        <color indexed="64"/>
      </right>
      <top/>
      <bottom style="thin">
        <color indexed="64"/>
      </bottom>
      <diagonal/>
    </border>
    <border>
      <left/>
      <right/>
      <top/>
      <bottom style="double">
        <color indexed="52"/>
      </bottom>
      <diagonal/>
    </border>
    <border>
      <left/>
      <right/>
      <top/>
      <bottom style="double">
        <color indexed="17"/>
      </bottom>
      <diagonal/>
    </border>
    <border>
      <left/>
      <right/>
      <top/>
      <bottom style="medium">
        <color indexed="64"/>
      </bottom>
      <diagonal/>
    </border>
    <border>
      <left/>
      <right/>
      <top style="thin">
        <color indexed="24"/>
      </top>
      <bottom style="thin">
        <color indexed="24"/>
      </bottom>
      <diagonal/>
    </border>
    <border>
      <left/>
      <right/>
      <top/>
      <bottom style="double">
        <color indexed="24"/>
      </bottom>
      <diagonal/>
    </border>
    <border>
      <left/>
      <right/>
      <top/>
      <bottom style="thin">
        <color indexed="24"/>
      </bottom>
      <diagonal/>
    </border>
    <border>
      <left style="thin">
        <color indexed="63"/>
      </left>
      <right style="thin">
        <color indexed="63"/>
      </right>
      <top style="thin">
        <color indexed="63"/>
      </top>
      <bottom style="thin">
        <color indexed="63"/>
      </bottom>
      <diagonal/>
    </border>
    <border>
      <left/>
      <right style="medium">
        <color indexed="64"/>
      </right>
      <top/>
      <bottom/>
      <diagonal/>
    </border>
    <border>
      <left style="dashed">
        <color indexed="54"/>
      </left>
      <right style="dashed">
        <color indexed="54"/>
      </right>
      <top style="dashed">
        <color indexed="54"/>
      </top>
      <bottom style="dashed">
        <color indexed="54"/>
      </bottom>
      <diagonal/>
    </border>
    <border>
      <left style="thin">
        <color indexed="8"/>
      </left>
      <right style="thin">
        <color indexed="8"/>
      </right>
      <top/>
      <bottom style="thin">
        <color indexed="8"/>
      </bottom>
      <diagonal/>
    </border>
    <border>
      <left style="thin">
        <color indexed="8"/>
      </left>
      <right/>
      <top/>
      <bottom style="thin">
        <color indexed="8"/>
      </bottom>
      <diagonal/>
    </border>
    <border>
      <left/>
      <right/>
      <top/>
      <bottom style="thin">
        <color indexed="8"/>
      </bottom>
      <diagonal/>
    </border>
    <border>
      <left/>
      <right style="thin">
        <color indexed="8"/>
      </right>
      <top/>
      <bottom style="thin">
        <color indexed="8"/>
      </bottom>
      <diagonal/>
    </border>
    <border>
      <left/>
      <right/>
      <top/>
      <bottom style="thick">
        <color indexed="8"/>
      </bottom>
      <diagonal/>
    </border>
    <border>
      <left/>
      <right style="thick">
        <color indexed="8"/>
      </right>
      <top/>
      <bottom/>
      <diagonal/>
    </border>
    <border>
      <left style="thin">
        <color indexed="8"/>
      </left>
      <right style="thin">
        <color indexed="8"/>
      </right>
      <top/>
      <bottom/>
      <diagonal/>
    </border>
    <border>
      <left style="thin">
        <color indexed="8"/>
      </left>
      <right/>
      <top/>
      <bottom/>
      <diagonal/>
    </border>
    <border>
      <left style="thin">
        <color indexed="8"/>
      </left>
      <right/>
      <top style="thin">
        <color indexed="8"/>
      </top>
      <bottom style="thin">
        <color indexed="8"/>
      </bottom>
      <diagonal/>
    </border>
    <border>
      <left/>
      <right style="thin">
        <color indexed="8"/>
      </right>
      <top/>
      <bottom/>
      <diagonal/>
    </border>
    <border>
      <left/>
      <right style="thin">
        <color indexed="8"/>
      </right>
      <top style="thin">
        <color indexed="8"/>
      </top>
      <bottom style="thin">
        <color indexed="8"/>
      </bottom>
      <diagonal/>
    </border>
    <border>
      <left/>
      <right/>
      <top style="thin">
        <color indexed="8"/>
      </top>
      <bottom style="thin">
        <color indexed="8"/>
      </bottom>
      <diagonal/>
    </border>
    <border>
      <left style="thin">
        <color indexed="8"/>
      </left>
      <right style="thin">
        <color indexed="8"/>
      </right>
      <top style="thin">
        <color indexed="8"/>
      </top>
      <bottom/>
      <diagonal/>
    </border>
    <border>
      <left/>
      <right/>
      <top style="thin">
        <color indexed="8"/>
      </top>
      <bottom/>
      <diagonal/>
    </border>
    <border>
      <left/>
      <right/>
      <top style="medium">
        <color indexed="23"/>
      </top>
      <bottom style="medium">
        <color indexed="23"/>
      </bottom>
      <diagonal/>
    </border>
    <border>
      <left style="thin">
        <color indexed="48"/>
      </left>
      <right style="thin">
        <color indexed="48"/>
      </right>
      <top style="thin">
        <color indexed="48"/>
      </top>
      <bottom style="thin">
        <color indexed="48"/>
      </bottom>
      <diagonal/>
    </border>
    <border>
      <left style="thin">
        <color indexed="58"/>
      </left>
      <right style="medium">
        <color indexed="58"/>
      </right>
      <top style="medium">
        <color indexed="58"/>
      </top>
      <bottom style="thin">
        <color indexed="58"/>
      </bottom>
      <diagonal/>
    </border>
    <border>
      <left style="thin">
        <color indexed="54"/>
      </left>
      <right/>
      <top style="thin">
        <color indexed="54"/>
      </top>
      <bottom/>
      <diagonal/>
    </border>
    <border>
      <left style="thin">
        <color rgb="FF000080"/>
      </left>
      <right style="thin">
        <color rgb="FF000080"/>
      </right>
      <top style="thin">
        <color rgb="FF000080"/>
      </top>
      <bottom style="thin">
        <color rgb="FF000080"/>
      </bottom>
      <diagonal/>
    </border>
    <border>
      <left style="medium">
        <color indexed="64"/>
      </left>
      <right style="medium">
        <color indexed="64"/>
      </right>
      <top style="medium">
        <color indexed="64"/>
      </top>
      <bottom style="medium">
        <color indexed="64"/>
      </bottom>
      <diagonal/>
    </border>
    <border>
      <left/>
      <right/>
      <top style="thin">
        <color indexed="62"/>
      </top>
      <bottom style="double">
        <color indexed="62"/>
      </bottom>
      <diagonal/>
    </border>
    <border>
      <left/>
      <right/>
      <top style="thin">
        <color indexed="48"/>
      </top>
      <bottom style="double">
        <color indexed="48"/>
      </bottom>
      <diagonal/>
    </border>
    <border>
      <left style="double">
        <color indexed="64"/>
      </left>
      <right style="double">
        <color indexed="64"/>
      </right>
      <top style="double">
        <color indexed="64"/>
      </top>
      <bottom style="double">
        <color indexed="64"/>
      </bottom>
      <diagonal/>
    </border>
    <border>
      <left style="medium">
        <color indexed="9"/>
      </left>
      <right style="medium">
        <color indexed="49"/>
      </right>
      <top/>
      <bottom/>
      <diagonal/>
    </border>
  </borders>
  <cellStyleXfs count="2011">
    <xf numFmtId="0" fontId="0" fillId="0" borderId="0"/>
    <xf numFmtId="0" fontId="1" fillId="2" borderId="1" applyNumberFormat="0" applyFont="0" applyAlignment="0" applyProtection="0"/>
    <xf numFmtId="0" fontId="12" fillId="0" borderId="0"/>
    <xf numFmtId="0" fontId="13" fillId="0" borderId="0"/>
    <xf numFmtId="0" fontId="15" fillId="0" borderId="0"/>
    <xf numFmtId="0" fontId="12" fillId="0" borderId="0"/>
    <xf numFmtId="0" fontId="12" fillId="0" borderId="0"/>
    <xf numFmtId="0" fontId="22" fillId="0" borderId="0"/>
    <xf numFmtId="0" fontId="12" fillId="0" borderId="0"/>
    <xf numFmtId="0" fontId="15" fillId="0" borderId="0"/>
    <xf numFmtId="0" fontId="22" fillId="0" borderId="0"/>
    <xf numFmtId="0" fontId="22" fillId="0" borderId="0"/>
    <xf numFmtId="0" fontId="22" fillId="0" borderId="0"/>
    <xf numFmtId="0" fontId="12" fillId="0" borderId="0"/>
    <xf numFmtId="165" fontId="23" fillId="9" borderId="15"/>
    <xf numFmtId="165" fontId="21" fillId="10" borderId="15"/>
    <xf numFmtId="43" fontId="12" fillId="0" borderId="0" applyFont="0" applyFill="0" applyBorder="0" applyAlignment="0" applyProtection="0"/>
    <xf numFmtId="44" fontId="12" fillId="0" borderId="0" applyFont="0" applyFill="0" applyBorder="0" applyAlignment="0" applyProtection="0"/>
    <xf numFmtId="0" fontId="24" fillId="0" borderId="0"/>
    <xf numFmtId="0" fontId="25" fillId="11" borderId="16">
      <alignment horizontal="center"/>
    </xf>
    <xf numFmtId="166" fontId="26" fillId="0" borderId="0" applyFont="0" applyFill="0" applyBorder="0" applyAlignment="0" applyProtection="0"/>
    <xf numFmtId="165" fontId="12" fillId="12" borderId="15"/>
    <xf numFmtId="167" fontId="27" fillId="0" borderId="0" applyNumberFormat="0" applyAlignment="0"/>
    <xf numFmtId="167" fontId="28" fillId="0" borderId="0" applyNumberFormat="0" applyFill="0" applyBorder="0" applyAlignment="0" applyProtection="0"/>
    <xf numFmtId="15" fontId="29" fillId="13" borderId="17">
      <alignment horizontal="center"/>
      <protection locked="0"/>
    </xf>
    <xf numFmtId="168" fontId="29" fillId="13" borderId="17" applyAlignment="0">
      <protection locked="0"/>
    </xf>
    <xf numFmtId="167" fontId="29" fillId="13" borderId="17" applyAlignment="0">
      <protection locked="0"/>
    </xf>
    <xf numFmtId="167" fontId="15" fillId="0" borderId="0" applyFill="0" applyBorder="0" applyAlignment="0"/>
    <xf numFmtId="165" fontId="12" fillId="9" borderId="15"/>
    <xf numFmtId="165" fontId="12" fillId="11" borderId="15"/>
    <xf numFmtId="165" fontId="12" fillId="11" borderId="15"/>
    <xf numFmtId="165" fontId="12" fillId="11" borderId="15"/>
    <xf numFmtId="165" fontId="12" fillId="11" borderId="15"/>
    <xf numFmtId="165" fontId="12" fillId="11" borderId="15">
      <protection locked="0"/>
    </xf>
    <xf numFmtId="0" fontId="12" fillId="0" borderId="0"/>
    <xf numFmtId="0" fontId="12" fillId="0" borderId="0"/>
    <xf numFmtId="0" fontId="12" fillId="0" borderId="0"/>
    <xf numFmtId="169" fontId="30" fillId="14" borderId="18">
      <protection locked="0"/>
    </xf>
    <xf numFmtId="169" fontId="30" fillId="15" borderId="18">
      <protection locked="0"/>
    </xf>
    <xf numFmtId="0" fontId="31" fillId="16" borderId="0" applyNumberFormat="0">
      <alignment horizontal="left" vertical="center" indent="1"/>
    </xf>
    <xf numFmtId="0" fontId="32" fillId="17" borderId="0" applyNumberFormat="0">
      <alignment vertical="center"/>
    </xf>
    <xf numFmtId="0" fontId="33" fillId="9" borderId="0">
      <alignment vertical="center"/>
    </xf>
    <xf numFmtId="0" fontId="34" fillId="0" borderId="19">
      <alignment vertical="center"/>
    </xf>
    <xf numFmtId="9" fontId="12" fillId="0" borderId="0" applyFont="0" applyFill="0" applyBorder="0" applyAlignment="0" applyProtection="0"/>
    <xf numFmtId="165" fontId="12" fillId="18" borderId="15"/>
    <xf numFmtId="15" fontId="12" fillId="18" borderId="15"/>
    <xf numFmtId="170" fontId="35" fillId="0" borderId="12" applyFont="0" applyFill="0" applyBorder="0" applyAlignment="0" applyProtection="0"/>
    <xf numFmtId="171" fontId="12" fillId="0" borderId="0" applyFont="0" applyFill="0" applyBorder="0" applyAlignment="0" applyProtection="0"/>
    <xf numFmtId="172" fontId="12" fillId="0" borderId="0" applyFont="0" applyFill="0" applyBorder="0" applyAlignment="0" applyProtection="0"/>
    <xf numFmtId="0" fontId="15" fillId="0" borderId="0"/>
    <xf numFmtId="173" fontId="36" fillId="19" borderId="0" applyNumberFormat="0">
      <alignment vertical="center"/>
    </xf>
    <xf numFmtId="0" fontId="40" fillId="0" borderId="0" applyNumberFormat="0" applyFill="0" applyBorder="0" applyAlignment="0" applyProtection="0"/>
    <xf numFmtId="0" fontId="13" fillId="0" borderId="0"/>
    <xf numFmtId="0" fontId="63" fillId="0" borderId="0" applyNumberFormat="0" applyFill="0" applyBorder="0" applyAlignment="0" applyProtection="0">
      <alignment vertical="top"/>
      <protection locked="0"/>
    </xf>
    <xf numFmtId="0" fontId="68" fillId="0" borderId="0">
      <alignment horizontal="left"/>
    </xf>
    <xf numFmtId="0" fontId="68" fillId="31" borderId="42"/>
    <xf numFmtId="0" fontId="68" fillId="32" borderId="42" applyNumberFormat="0" applyAlignment="0" applyProtection="0"/>
    <xf numFmtId="0" fontId="68" fillId="11" borderId="42"/>
    <xf numFmtId="0" fontId="67" fillId="3" borderId="0"/>
    <xf numFmtId="0" fontId="69" fillId="30" borderId="0"/>
    <xf numFmtId="0" fontId="69" fillId="26" borderId="0"/>
    <xf numFmtId="0" fontId="72" fillId="0" borderId="0"/>
    <xf numFmtId="0" fontId="73" fillId="0" borderId="0"/>
    <xf numFmtId="0" fontId="73" fillId="0" borderId="0"/>
    <xf numFmtId="0" fontId="73"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173" fontId="74" fillId="0" borderId="43" applyFont="0" applyFill="0" applyBorder="0" applyAlignment="0" applyProtection="0"/>
    <xf numFmtId="182" fontId="75" fillId="0" borderId="0" applyFont="0" applyFill="0" applyBorder="0" applyAlignment="0" applyProtection="0"/>
    <xf numFmtId="183" fontId="76" fillId="0" borderId="0" applyFont="0" applyFill="0" applyBorder="0" applyAlignment="0"/>
    <xf numFmtId="0" fontId="12" fillId="0" borderId="0"/>
    <xf numFmtId="0" fontId="12" fillId="0" borderId="0"/>
    <xf numFmtId="0" fontId="12" fillId="0" borderId="0"/>
    <xf numFmtId="0" fontId="12" fillId="0" borderId="0"/>
    <xf numFmtId="0" fontId="12" fillId="0" borderId="0"/>
    <xf numFmtId="0" fontId="12" fillId="0" borderId="0"/>
    <xf numFmtId="0" fontId="74" fillId="0" borderId="0"/>
    <xf numFmtId="0" fontId="12" fillId="0" borderId="0"/>
    <xf numFmtId="0" fontId="12" fillId="0" borderId="0"/>
    <xf numFmtId="0" fontId="12" fillId="0" borderId="0"/>
    <xf numFmtId="0" fontId="74" fillId="0" borderId="0"/>
    <xf numFmtId="0" fontId="74" fillId="0" borderId="0"/>
    <xf numFmtId="0" fontId="74" fillId="0" borderId="0"/>
    <xf numFmtId="0" fontId="74"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74"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15"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5" fillId="0" borderId="0">
      <alignment vertical="top"/>
    </xf>
    <xf numFmtId="0" fontId="15" fillId="0" borderId="0">
      <alignment vertical="top"/>
    </xf>
    <xf numFmtId="0" fontId="15" fillId="0" borderId="0">
      <alignment vertical="top"/>
    </xf>
    <xf numFmtId="0" fontId="15" fillId="0" borderId="0">
      <alignment vertical="top"/>
    </xf>
    <xf numFmtId="0" fontId="15" fillId="0" borderId="0">
      <alignment vertical="top"/>
    </xf>
    <xf numFmtId="0" fontId="15" fillId="0" borderId="0">
      <alignment vertical="top"/>
    </xf>
    <xf numFmtId="0" fontId="15" fillId="0" borderId="0">
      <alignment vertical="top"/>
    </xf>
    <xf numFmtId="0" fontId="15" fillId="0" borderId="0">
      <alignment vertical="top"/>
    </xf>
    <xf numFmtId="0" fontId="15" fillId="0" borderId="0">
      <alignment vertical="top"/>
    </xf>
    <xf numFmtId="0" fontId="15" fillId="0" borderId="0">
      <alignment vertical="top"/>
    </xf>
    <xf numFmtId="0" fontId="74" fillId="0" borderId="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15"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5" fillId="0" borderId="0">
      <alignment vertical="top"/>
    </xf>
    <xf numFmtId="0" fontId="15" fillId="0" borderId="0">
      <alignment vertical="top"/>
    </xf>
    <xf numFmtId="0" fontId="15" fillId="0" borderId="0">
      <alignment vertical="top"/>
    </xf>
    <xf numFmtId="0" fontId="15" fillId="0" borderId="0">
      <alignment vertical="top"/>
    </xf>
    <xf numFmtId="0" fontId="15" fillId="0" borderId="0">
      <alignment vertical="top"/>
    </xf>
    <xf numFmtId="0" fontId="15" fillId="0" borderId="0">
      <alignment vertical="top"/>
    </xf>
    <xf numFmtId="0" fontId="15" fillId="0" borderId="0">
      <alignment vertical="top"/>
    </xf>
    <xf numFmtId="0" fontId="15" fillId="0" borderId="0">
      <alignment vertical="top"/>
    </xf>
    <xf numFmtId="0" fontId="15" fillId="0" borderId="0">
      <alignment vertical="top"/>
    </xf>
    <xf numFmtId="0" fontId="15" fillId="0" borderId="0">
      <alignment vertical="top"/>
    </xf>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184" fontId="12" fillId="0" borderId="0" applyFont="0" applyFill="0" applyBorder="0" applyAlignment="0" applyProtection="0"/>
    <xf numFmtId="184" fontId="12" fillId="0" borderId="0" applyFont="0" applyFill="0" applyBorder="0" applyAlignment="0" applyProtection="0"/>
    <xf numFmtId="184" fontId="12" fillId="0" borderId="0" applyFont="0" applyFill="0" applyBorder="0" applyAlignment="0" applyProtection="0"/>
    <xf numFmtId="184" fontId="12" fillId="0" borderId="0" applyFont="0" applyFill="0" applyBorder="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22" fillId="0" borderId="0"/>
    <xf numFmtId="0" fontId="74" fillId="0" borderId="0"/>
    <xf numFmtId="0" fontId="77" fillId="0" borderId="0"/>
    <xf numFmtId="0" fontId="15" fillId="0" borderId="0"/>
    <xf numFmtId="0" fontId="15" fillId="0" borderId="0"/>
    <xf numFmtId="0" fontId="78" fillId="0" borderId="0"/>
    <xf numFmtId="0" fontId="78" fillId="0" borderId="0"/>
    <xf numFmtId="0" fontId="22" fillId="0" borderId="0"/>
    <xf numFmtId="185" fontId="12" fillId="0" borderId="0" applyFont="0" applyFill="0" applyBorder="0" applyAlignment="0" applyProtection="0"/>
    <xf numFmtId="186" fontId="12" fillId="0" borderId="0" applyFont="0" applyFill="0" applyBorder="0" applyAlignment="0" applyProtection="0"/>
    <xf numFmtId="186" fontId="12" fillId="0" borderId="0" applyFont="0" applyFill="0" applyBorder="0" applyAlignment="0" applyProtection="0"/>
    <xf numFmtId="185" fontId="12" fillId="0" borderId="0" applyFont="0" applyFill="0" applyBorder="0" applyAlignment="0" applyProtection="0"/>
    <xf numFmtId="187" fontId="12" fillId="0" borderId="0" applyFont="0" applyFill="0" applyBorder="0" applyAlignment="0" applyProtection="0"/>
    <xf numFmtId="186" fontId="79" fillId="0" borderId="0" applyFont="0" applyFill="0" applyBorder="0" applyAlignment="0" applyProtection="0"/>
    <xf numFmtId="186" fontId="12" fillId="0" borderId="0" applyFont="0" applyFill="0" applyBorder="0" applyAlignment="0" applyProtection="0"/>
    <xf numFmtId="186" fontId="12" fillId="0" borderId="0" applyFont="0" applyFill="0" applyBorder="0" applyAlignment="0" applyProtection="0"/>
    <xf numFmtId="186" fontId="12" fillId="0" borderId="0" applyFont="0" applyFill="0" applyBorder="0" applyAlignment="0" applyProtection="0"/>
    <xf numFmtId="188" fontId="12" fillId="0" borderId="0" applyFont="0" applyFill="0" applyBorder="0" applyAlignment="0" applyProtection="0"/>
    <xf numFmtId="188" fontId="12" fillId="0" borderId="0" applyFont="0" applyFill="0" applyBorder="0" applyAlignment="0" applyProtection="0"/>
    <xf numFmtId="39" fontId="12" fillId="0" borderId="0" applyFont="0" applyFill="0" applyBorder="0" applyAlignment="0" applyProtection="0"/>
    <xf numFmtId="188" fontId="79" fillId="0" borderId="0" applyFont="0" applyFill="0" applyBorder="0" applyAlignment="0" applyProtection="0"/>
    <xf numFmtId="188" fontId="12" fillId="0" borderId="0" applyFont="0" applyFill="0" applyBorder="0" applyAlignment="0" applyProtection="0"/>
    <xf numFmtId="188" fontId="12" fillId="0" borderId="0" applyFont="0" applyFill="0" applyBorder="0" applyAlignment="0" applyProtection="0"/>
    <xf numFmtId="188" fontId="12" fillId="0" borderId="0" applyFont="0" applyFill="0" applyBorder="0" applyAlignment="0" applyProtection="0"/>
    <xf numFmtId="0" fontId="80" fillId="0" borderId="0"/>
    <xf numFmtId="0" fontId="80" fillId="0" borderId="0"/>
    <xf numFmtId="0" fontId="12" fillId="0" borderId="0" applyFont="0" applyFill="0" applyBorder="0" applyAlignment="0" applyProtection="0"/>
    <xf numFmtId="0" fontId="80" fillId="0" borderId="0"/>
    <xf numFmtId="0" fontId="15" fillId="0" borderId="0">
      <alignment vertical="top"/>
    </xf>
    <xf numFmtId="0" fontId="15" fillId="0" borderId="0">
      <alignment vertical="top"/>
    </xf>
    <xf numFmtId="0" fontId="15" fillId="0" borderId="0">
      <alignment vertical="top"/>
    </xf>
    <xf numFmtId="0" fontId="15" fillId="0" borderId="0">
      <alignment vertical="top"/>
    </xf>
    <xf numFmtId="0" fontId="15" fillId="0" borderId="0">
      <alignment vertical="top"/>
    </xf>
    <xf numFmtId="0" fontId="15" fillId="0" borderId="0">
      <alignment vertical="top"/>
    </xf>
    <xf numFmtId="0" fontId="15" fillId="0" borderId="0">
      <alignment vertical="top"/>
    </xf>
    <xf numFmtId="0" fontId="15" fillId="0" borderId="0">
      <alignment vertical="top"/>
    </xf>
    <xf numFmtId="0" fontId="15" fillId="0" borderId="0">
      <alignment vertical="top"/>
    </xf>
    <xf numFmtId="0" fontId="15" fillId="0" borderId="0">
      <alignment vertical="top"/>
    </xf>
    <xf numFmtId="0" fontId="15" fillId="0" borderId="0"/>
    <xf numFmtId="189" fontId="12" fillId="0" borderId="0" applyFont="0" applyFill="0" applyBorder="0" applyAlignment="0" applyProtection="0"/>
    <xf numFmtId="0" fontId="12" fillId="0" borderId="0" applyFont="0" applyFill="0" applyBorder="0" applyAlignment="0" applyProtection="0"/>
    <xf numFmtId="0" fontId="12" fillId="0" borderId="0" applyFont="0" applyFill="0" applyBorder="0" applyAlignment="0" applyProtection="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22" fillId="0" borderId="0"/>
    <xf numFmtId="0" fontId="22" fillId="0" borderId="0" applyNumberFormat="0" applyFont="0" applyBorder="0" applyAlignment="0"/>
    <xf numFmtId="0" fontId="74" fillId="0" borderId="0"/>
    <xf numFmtId="0" fontId="81" fillId="0" borderId="0" applyNumberFormat="0" applyFill="0" applyBorder="0" applyAlignment="0" applyProtection="0"/>
    <xf numFmtId="0" fontId="81" fillId="0" borderId="0" applyNumberFormat="0" applyFill="0" applyBorder="0" applyAlignment="0" applyProtection="0"/>
    <xf numFmtId="0" fontId="81" fillId="0" borderId="0" applyNumberFormat="0" applyFill="0" applyBorder="0" applyAlignment="0" applyProtection="0"/>
    <xf numFmtId="0" fontId="81" fillId="0" borderId="0" applyNumberFormat="0" applyFill="0" applyBorder="0" applyAlignment="0" applyProtection="0"/>
    <xf numFmtId="0" fontId="81" fillId="0" borderId="0" applyNumberFormat="0" applyFill="0" applyBorder="0" applyAlignment="0" applyProtection="0"/>
    <xf numFmtId="0" fontId="81" fillId="0" borderId="0" applyNumberFormat="0" applyFill="0" applyBorder="0" applyAlignment="0" applyProtection="0"/>
    <xf numFmtId="0" fontId="81" fillId="0" borderId="0" applyNumberFormat="0" applyFill="0" applyBorder="0" applyAlignment="0" applyProtection="0"/>
    <xf numFmtId="0" fontId="81" fillId="0" borderId="0" applyNumberFormat="0" applyFill="0" applyBorder="0" applyAlignment="0" applyProtection="0"/>
    <xf numFmtId="0" fontId="81" fillId="0" borderId="0" applyNumberFormat="0" applyFill="0" applyBorder="0" applyAlignment="0" applyProtection="0"/>
    <xf numFmtId="0" fontId="81" fillId="0" borderId="0" applyNumberFormat="0" applyFill="0" applyBorder="0" applyAlignment="0" applyProtection="0"/>
    <xf numFmtId="0" fontId="81" fillId="0" borderId="0" applyNumberFormat="0" applyFill="0" applyBorder="0" applyAlignment="0" applyProtection="0"/>
    <xf numFmtId="0" fontId="81" fillId="0" borderId="0" applyNumberFormat="0" applyFill="0" applyBorder="0" applyAlignment="0" applyProtection="0"/>
    <xf numFmtId="0" fontId="12" fillId="13" borderId="0" applyNumberFormat="0" applyFont="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5" fillId="0" borderId="0"/>
    <xf numFmtId="0" fontId="2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190" fontId="12" fillId="0" borderId="0">
      <alignment horizontal="left" wrapText="1"/>
    </xf>
    <xf numFmtId="0" fontId="15" fillId="0" borderId="0"/>
    <xf numFmtId="0" fontId="15" fillId="0" borderId="0"/>
    <xf numFmtId="0" fontId="15" fillId="0" borderId="0"/>
    <xf numFmtId="0" fontId="15" fillId="0" borderId="0"/>
    <xf numFmtId="0" fontId="22" fillId="0" borderId="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5" fillId="0" borderId="0">
      <alignment vertical="top"/>
    </xf>
    <xf numFmtId="0" fontId="15" fillId="0" borderId="0">
      <alignment vertical="top"/>
    </xf>
    <xf numFmtId="0" fontId="15" fillId="0" borderId="0">
      <alignment vertical="top"/>
    </xf>
    <xf numFmtId="0" fontId="15" fillId="0" borderId="0">
      <alignment vertical="top"/>
    </xf>
    <xf numFmtId="0" fontId="15" fillId="0" borderId="0">
      <alignment vertical="top"/>
    </xf>
    <xf numFmtId="0" fontId="15" fillId="0" borderId="0">
      <alignment vertical="top"/>
    </xf>
    <xf numFmtId="0" fontId="15" fillId="0" borderId="0">
      <alignment vertical="top"/>
    </xf>
    <xf numFmtId="0" fontId="15" fillId="0" borderId="0">
      <alignment vertical="top"/>
    </xf>
    <xf numFmtId="0" fontId="15" fillId="0" borderId="0">
      <alignment vertical="top"/>
    </xf>
    <xf numFmtId="0" fontId="15" fillId="0" borderId="0">
      <alignment vertical="top"/>
    </xf>
    <xf numFmtId="0" fontId="15" fillId="0" borderId="0">
      <alignment vertical="top"/>
    </xf>
    <xf numFmtId="0" fontId="15" fillId="0" borderId="0">
      <alignment vertical="top"/>
    </xf>
    <xf numFmtId="0" fontId="15" fillId="0" borderId="0">
      <alignment vertical="top"/>
    </xf>
    <xf numFmtId="0" fontId="15" fillId="0" borderId="0">
      <alignment vertical="top"/>
    </xf>
    <xf numFmtId="0" fontId="15" fillId="0" borderId="0">
      <alignment vertical="top"/>
    </xf>
    <xf numFmtId="0" fontId="15" fillId="0" borderId="0">
      <alignment vertical="top"/>
    </xf>
    <xf numFmtId="0" fontId="15" fillId="0" borderId="0">
      <alignment vertical="top"/>
    </xf>
    <xf numFmtId="0" fontId="15" fillId="0" borderId="0">
      <alignment vertical="top"/>
    </xf>
    <xf numFmtId="0" fontId="15" fillId="0" borderId="0">
      <alignment vertical="top"/>
    </xf>
    <xf numFmtId="0" fontId="15" fillId="0" borderId="0">
      <alignment vertical="top"/>
    </xf>
    <xf numFmtId="0" fontId="15" fillId="0" borderId="0">
      <alignment vertical="top"/>
    </xf>
    <xf numFmtId="0" fontId="15" fillId="0" borderId="0">
      <alignment vertical="top"/>
    </xf>
    <xf numFmtId="0" fontId="15" fillId="0" borderId="0">
      <alignment vertical="top"/>
    </xf>
    <xf numFmtId="0" fontId="15" fillId="0" borderId="0">
      <alignment vertical="top"/>
    </xf>
    <xf numFmtId="0" fontId="15" fillId="0" borderId="0">
      <alignment vertical="top"/>
    </xf>
    <xf numFmtId="0" fontId="15" fillId="0" borderId="0">
      <alignment vertical="top"/>
    </xf>
    <xf numFmtId="0" fontId="15" fillId="0" borderId="0">
      <alignment vertical="top"/>
    </xf>
    <xf numFmtId="0" fontId="15" fillId="0" borderId="0">
      <alignment vertical="top"/>
    </xf>
    <xf numFmtId="0" fontId="15" fillId="0" borderId="0">
      <alignment vertical="top"/>
    </xf>
    <xf numFmtId="0" fontId="15" fillId="0" borderId="0">
      <alignment vertical="top"/>
    </xf>
    <xf numFmtId="0" fontId="15" fillId="0" borderId="0">
      <alignment vertical="top"/>
    </xf>
    <xf numFmtId="0" fontId="15" fillId="0" borderId="0">
      <alignment vertical="top"/>
    </xf>
    <xf numFmtId="0" fontId="15" fillId="0" borderId="0">
      <alignment vertical="top"/>
    </xf>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77" fillId="0" borderId="0"/>
    <xf numFmtId="191" fontId="12" fillId="0" borderId="0">
      <alignment horizontal="left" wrapText="1"/>
    </xf>
    <xf numFmtId="192" fontId="12" fillId="0" borderId="0" applyFont="0" applyFill="0" applyBorder="0" applyAlignment="0" applyProtection="0"/>
    <xf numFmtId="193" fontId="12" fillId="0" borderId="0" applyFont="0" applyFill="0" applyBorder="0" applyAlignment="0" applyProtection="0"/>
    <xf numFmtId="192" fontId="79" fillId="0" borderId="0" applyFont="0" applyFill="0" applyBorder="0" applyAlignment="0" applyProtection="0"/>
    <xf numFmtId="194" fontId="12" fillId="0" borderId="0" applyFont="0" applyFill="0" applyBorder="0" applyProtection="0">
      <alignment horizontal="right"/>
    </xf>
    <xf numFmtId="194" fontId="12" fillId="0" borderId="0" applyFont="0" applyFill="0" applyBorder="0" applyProtection="0">
      <alignment horizontal="right"/>
    </xf>
    <xf numFmtId="195" fontId="12" fillId="0" borderId="0" applyFont="0" applyFill="0" applyBorder="0" applyProtection="0">
      <alignment horizontal="right"/>
    </xf>
    <xf numFmtId="194" fontId="79" fillId="0" borderId="0" applyFont="0" applyFill="0" applyBorder="0" applyProtection="0">
      <alignment horizontal="right"/>
    </xf>
    <xf numFmtId="191" fontId="12" fillId="0" borderId="0" applyFont="0" applyFill="0" applyBorder="0" applyAlignment="0" applyProtection="0"/>
    <xf numFmtId="0" fontId="15" fillId="0" borderId="0">
      <alignment vertical="top"/>
    </xf>
    <xf numFmtId="0" fontId="15" fillId="0" borderId="0">
      <alignment vertical="top"/>
    </xf>
    <xf numFmtId="0" fontId="15" fillId="0" borderId="0">
      <alignment vertical="top"/>
    </xf>
    <xf numFmtId="0" fontId="15" fillId="0" borderId="0">
      <alignment vertical="top"/>
    </xf>
    <xf numFmtId="0" fontId="15" fillId="0" borderId="0">
      <alignment vertical="top"/>
    </xf>
    <xf numFmtId="0" fontId="15" fillId="0" borderId="0">
      <alignment vertical="top"/>
    </xf>
    <xf numFmtId="0" fontId="15" fillId="0" borderId="0">
      <alignment vertical="top"/>
    </xf>
    <xf numFmtId="0" fontId="15" fillId="0" borderId="0">
      <alignment vertical="top"/>
    </xf>
    <xf numFmtId="0" fontId="15" fillId="0" borderId="0">
      <alignment vertical="top"/>
    </xf>
    <xf numFmtId="0" fontId="15" fillId="0" borderId="0">
      <alignment vertical="top"/>
    </xf>
    <xf numFmtId="0" fontId="78" fillId="0" borderId="0"/>
    <xf numFmtId="191" fontId="12" fillId="0" borderId="0" applyFont="0" applyFill="0" applyBorder="0" applyAlignment="0" applyProtection="0"/>
    <xf numFmtId="196" fontId="12" fillId="0" borderId="0" applyFon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74"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15" fillId="0" borderId="0">
      <alignment vertical="top"/>
    </xf>
    <xf numFmtId="0" fontId="15" fillId="0" borderId="0">
      <alignment vertical="top"/>
    </xf>
    <xf numFmtId="0" fontId="15" fillId="0" borderId="0">
      <alignment vertical="top"/>
    </xf>
    <xf numFmtId="0" fontId="15" fillId="0" borderId="0">
      <alignment vertical="top"/>
    </xf>
    <xf numFmtId="0" fontId="15" fillId="0" borderId="0">
      <alignment vertical="top"/>
    </xf>
    <xf numFmtId="0" fontId="15" fillId="0" borderId="0">
      <alignment vertical="top"/>
    </xf>
    <xf numFmtId="0" fontId="15" fillId="0" borderId="0">
      <alignment vertical="top"/>
    </xf>
    <xf numFmtId="0" fontId="15" fillId="0" borderId="0">
      <alignment vertical="top"/>
    </xf>
    <xf numFmtId="0" fontId="15" fillId="0" borderId="0">
      <alignment vertical="top"/>
    </xf>
    <xf numFmtId="0" fontId="15" fillId="0" borderId="0">
      <alignment vertical="top"/>
    </xf>
    <xf numFmtId="0" fontId="15" fillId="0" borderId="0">
      <alignment vertical="top"/>
    </xf>
    <xf numFmtId="0" fontId="15" fillId="0" borderId="0">
      <alignment vertical="top"/>
    </xf>
    <xf numFmtId="0" fontId="15" fillId="0" borderId="0">
      <alignment vertical="top"/>
    </xf>
    <xf numFmtId="0" fontId="15" fillId="0" borderId="0">
      <alignment vertical="top"/>
    </xf>
    <xf numFmtId="0" fontId="15" fillId="0" borderId="0">
      <alignment vertical="top"/>
    </xf>
    <xf numFmtId="0" fontId="15" fillId="0" borderId="0">
      <alignment vertical="top"/>
    </xf>
    <xf numFmtId="0" fontId="15" fillId="0" borderId="0">
      <alignment vertical="top"/>
    </xf>
    <xf numFmtId="0" fontId="15" fillId="0" borderId="0">
      <alignment vertical="top"/>
    </xf>
    <xf numFmtId="0" fontId="15" fillId="0" borderId="0">
      <alignment vertical="top"/>
    </xf>
    <xf numFmtId="0" fontId="15" fillId="0" borderId="0">
      <alignment vertical="top"/>
    </xf>
    <xf numFmtId="0" fontId="15"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5"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5" fillId="0" borderId="0"/>
    <xf numFmtId="0" fontId="78" fillId="0" borderId="0"/>
    <xf numFmtId="0" fontId="12" fillId="0" borderId="0" applyFill="0" applyBorder="0" applyAlignment="0" applyProtection="0"/>
    <xf numFmtId="0" fontId="15" fillId="0" borderId="0"/>
    <xf numFmtId="0" fontId="82" fillId="0" borderId="0" applyNumberFormat="0" applyFill="0" applyBorder="0" applyProtection="0">
      <alignment vertical="top"/>
    </xf>
    <xf numFmtId="0" fontId="82" fillId="0" borderId="0" applyNumberFormat="0" applyFill="0" applyBorder="0" applyProtection="0">
      <alignment vertical="top"/>
    </xf>
    <xf numFmtId="0" fontId="82" fillId="0" borderId="0" applyNumberFormat="0" applyFill="0" applyBorder="0" applyProtection="0">
      <alignment vertical="top"/>
    </xf>
    <xf numFmtId="0" fontId="82" fillId="0" borderId="0" applyNumberFormat="0" applyFill="0" applyBorder="0" applyProtection="0">
      <alignment vertical="top"/>
    </xf>
    <xf numFmtId="0" fontId="82" fillId="0" borderId="0" applyNumberFormat="0" applyFill="0" applyBorder="0" applyProtection="0">
      <alignment vertical="top"/>
    </xf>
    <xf numFmtId="0" fontId="82" fillId="0" borderId="0" applyNumberFormat="0" applyFill="0" applyBorder="0" applyProtection="0">
      <alignment vertical="top"/>
    </xf>
    <xf numFmtId="0" fontId="82" fillId="0" borderId="0" applyNumberFormat="0" applyFill="0" applyBorder="0" applyProtection="0">
      <alignment vertical="top"/>
    </xf>
    <xf numFmtId="0" fontId="82" fillId="0" borderId="0" applyNumberFormat="0" applyFill="0" applyBorder="0" applyProtection="0">
      <alignment vertical="top"/>
    </xf>
    <xf numFmtId="0" fontId="82" fillId="0" borderId="0" applyNumberFormat="0" applyFill="0" applyBorder="0" applyProtection="0">
      <alignment vertical="top"/>
    </xf>
    <xf numFmtId="0" fontId="71" fillId="0" borderId="44" applyNumberFormat="0" applyFill="0" applyAlignment="0" applyProtection="0"/>
    <xf numFmtId="0" fontId="71" fillId="0" borderId="44" applyNumberFormat="0" applyFill="0" applyAlignment="0" applyProtection="0"/>
    <xf numFmtId="0" fontId="71" fillId="0" borderId="44" applyNumberFormat="0" applyFill="0" applyAlignment="0" applyProtection="0"/>
    <xf numFmtId="0" fontId="71" fillId="0" borderId="44" applyNumberFormat="0" applyFill="0" applyAlignment="0" applyProtection="0"/>
    <xf numFmtId="0" fontId="71" fillId="0" borderId="44" applyNumberFormat="0" applyFill="0" applyAlignment="0" applyProtection="0"/>
    <xf numFmtId="0" fontId="71" fillId="0" borderId="44" applyNumberFormat="0" applyFill="0" applyAlignment="0" applyProtection="0"/>
    <xf numFmtId="0" fontId="83" fillId="0" borderId="45" applyNumberFormat="0" applyFill="0" applyProtection="0">
      <alignment horizontal="center"/>
    </xf>
    <xf numFmtId="0" fontId="83" fillId="0" borderId="45" applyNumberFormat="0" applyFill="0" applyProtection="0">
      <alignment horizontal="center"/>
    </xf>
    <xf numFmtId="0" fontId="83" fillId="0" borderId="45" applyNumberFormat="0" applyFill="0" applyProtection="0">
      <alignment horizontal="center"/>
    </xf>
    <xf numFmtId="0" fontId="83" fillId="0" borderId="45" applyNumberFormat="0" applyFill="0" applyProtection="0">
      <alignment horizontal="center"/>
    </xf>
    <xf numFmtId="0" fontId="83" fillId="0" borderId="45" applyNumberFormat="0" applyFill="0" applyProtection="0">
      <alignment horizontal="center"/>
    </xf>
    <xf numFmtId="0" fontId="83" fillId="0" borderId="45" applyNumberFormat="0" applyFill="0" applyProtection="0">
      <alignment horizontal="center"/>
    </xf>
    <xf numFmtId="0" fontId="83" fillId="0" borderId="0" applyNumberFormat="0" applyFill="0" applyBorder="0" applyProtection="0">
      <alignment horizontal="left"/>
    </xf>
    <xf numFmtId="0" fontId="83" fillId="0" borderId="0" applyNumberFormat="0" applyFill="0" applyBorder="0" applyProtection="0">
      <alignment horizontal="left"/>
    </xf>
    <xf numFmtId="0" fontId="83" fillId="0" borderId="0" applyNumberFormat="0" applyFill="0" applyBorder="0" applyProtection="0">
      <alignment horizontal="left"/>
    </xf>
    <xf numFmtId="0" fontId="83" fillId="0" borderId="0" applyNumberFormat="0" applyFill="0" applyBorder="0" applyProtection="0">
      <alignment horizontal="left"/>
    </xf>
    <xf numFmtId="0" fontId="83" fillId="0" borderId="0" applyNumberFormat="0" applyFill="0" applyBorder="0" applyProtection="0">
      <alignment horizontal="left"/>
    </xf>
    <xf numFmtId="0" fontId="83" fillId="0" borderId="0" applyNumberFormat="0" applyFill="0" applyBorder="0" applyProtection="0">
      <alignment horizontal="left"/>
    </xf>
    <xf numFmtId="0" fontId="83" fillId="0" borderId="0" applyNumberFormat="0" applyFill="0" applyBorder="0" applyProtection="0">
      <alignment horizontal="left"/>
    </xf>
    <xf numFmtId="0" fontId="84" fillId="0" borderId="0" applyNumberFormat="0" applyFill="0" applyBorder="0" applyProtection="0">
      <alignment horizontal="centerContinuous"/>
    </xf>
    <xf numFmtId="0" fontId="84" fillId="0" borderId="0" applyNumberFormat="0" applyFill="0" applyBorder="0" applyProtection="0">
      <alignment horizontal="centerContinuous"/>
    </xf>
    <xf numFmtId="0" fontId="84" fillId="0" borderId="0" applyNumberFormat="0" applyFill="0" applyBorder="0" applyProtection="0">
      <alignment horizontal="centerContinuous"/>
    </xf>
    <xf numFmtId="0" fontId="84" fillId="0" borderId="0" applyNumberFormat="0" applyFill="0" applyBorder="0" applyProtection="0">
      <alignment horizontal="centerContinuous"/>
    </xf>
    <xf numFmtId="0" fontId="84" fillId="0" borderId="0" applyNumberFormat="0" applyFill="0" applyBorder="0" applyProtection="0">
      <alignment horizontal="centerContinuous"/>
    </xf>
    <xf numFmtId="0" fontId="84" fillId="0" borderId="0" applyNumberFormat="0" applyFill="0" applyBorder="0" applyProtection="0">
      <alignment horizontal="centerContinuous"/>
    </xf>
    <xf numFmtId="0" fontId="84" fillId="0" borderId="0" applyNumberFormat="0" applyFill="0" applyBorder="0" applyProtection="0">
      <alignment horizontal="centerContinuous"/>
    </xf>
    <xf numFmtId="0" fontId="15" fillId="0" borderId="0"/>
    <xf numFmtId="0" fontId="22" fillId="0" borderId="0"/>
    <xf numFmtId="0" fontId="74" fillId="0" borderId="0"/>
    <xf numFmtId="172" fontId="12" fillId="0" borderId="0" applyFont="0" applyFill="0" applyBorder="0" applyAlignment="0" applyProtection="0"/>
    <xf numFmtId="197" fontId="12" fillId="0" borderId="0" applyFont="0" applyFill="0" applyBorder="0" applyAlignment="0" applyProtection="0"/>
    <xf numFmtId="0" fontId="12" fillId="0" borderId="0"/>
    <xf numFmtId="0" fontId="74" fillId="0" borderId="0"/>
    <xf numFmtId="2" fontId="85" fillId="0" borderId="26" applyBorder="0">
      <alignment horizontal="right" vertical="center" wrapText="1"/>
    </xf>
    <xf numFmtId="0" fontId="71" fillId="34" borderId="0" applyNumberFormat="0" applyBorder="0" applyAlignment="0" applyProtection="0"/>
    <xf numFmtId="0" fontId="15" fillId="34" borderId="0" applyNumberFormat="0" applyBorder="0" applyAlignment="0" applyProtection="0"/>
    <xf numFmtId="0" fontId="26" fillId="34" borderId="0" applyNumberFormat="0" applyBorder="0" applyAlignment="0" applyProtection="0"/>
    <xf numFmtId="0" fontId="15" fillId="34" borderId="0" applyNumberFormat="0" applyBorder="0" applyAlignment="0" applyProtection="0"/>
    <xf numFmtId="0" fontId="26" fillId="34" borderId="0" applyNumberFormat="0" applyBorder="0" applyAlignment="0" applyProtection="0"/>
    <xf numFmtId="0" fontId="71" fillId="35" borderId="0" applyNumberFormat="0" applyBorder="0" applyAlignment="0" applyProtection="0"/>
    <xf numFmtId="0" fontId="15" fillId="35" borderId="0" applyNumberFormat="0" applyBorder="0" applyAlignment="0" applyProtection="0"/>
    <xf numFmtId="0" fontId="26" fillId="35" borderId="0" applyNumberFormat="0" applyBorder="0" applyAlignment="0" applyProtection="0"/>
    <xf numFmtId="0" fontId="15" fillId="35" borderId="0" applyNumberFormat="0" applyBorder="0" applyAlignment="0" applyProtection="0"/>
    <xf numFmtId="0" fontId="26" fillId="35" borderId="0" applyNumberFormat="0" applyBorder="0" applyAlignment="0" applyProtection="0"/>
    <xf numFmtId="0" fontId="71" fillId="36" borderId="0" applyNumberFormat="0" applyBorder="0" applyAlignment="0" applyProtection="0"/>
    <xf numFmtId="0" fontId="15" fillId="36" borderId="0" applyNumberFormat="0" applyBorder="0" applyAlignment="0" applyProtection="0"/>
    <xf numFmtId="0" fontId="26" fillId="36" borderId="0" applyNumberFormat="0" applyBorder="0" applyAlignment="0" applyProtection="0"/>
    <xf numFmtId="0" fontId="15" fillId="36" borderId="0" applyNumberFormat="0" applyBorder="0" applyAlignment="0" applyProtection="0"/>
    <xf numFmtId="0" fontId="26" fillId="36" borderId="0" applyNumberFormat="0" applyBorder="0" applyAlignment="0" applyProtection="0"/>
    <xf numFmtId="0" fontId="71" fillId="37" borderId="0" applyNumberFormat="0" applyBorder="0" applyAlignment="0" applyProtection="0"/>
    <xf numFmtId="0" fontId="15" fillId="37" borderId="0" applyNumberFormat="0" applyBorder="0" applyAlignment="0" applyProtection="0"/>
    <xf numFmtId="0" fontId="26" fillId="37" borderId="0" applyNumberFormat="0" applyBorder="0" applyAlignment="0" applyProtection="0"/>
    <xf numFmtId="0" fontId="15" fillId="37" borderId="0" applyNumberFormat="0" applyBorder="0" applyAlignment="0" applyProtection="0"/>
    <xf numFmtId="0" fontId="26" fillId="37" borderId="0" applyNumberFormat="0" applyBorder="0" applyAlignment="0" applyProtection="0"/>
    <xf numFmtId="0" fontId="71" fillId="38" borderId="0" applyNumberFormat="0" applyBorder="0" applyAlignment="0" applyProtection="0"/>
    <xf numFmtId="0" fontId="15" fillId="38" borderId="0" applyNumberFormat="0" applyBorder="0" applyAlignment="0" applyProtection="0"/>
    <xf numFmtId="0" fontId="26" fillId="38" borderId="0" applyNumberFormat="0" applyBorder="0" applyAlignment="0" applyProtection="0"/>
    <xf numFmtId="0" fontId="15" fillId="38" borderId="0" applyNumberFormat="0" applyBorder="0" applyAlignment="0" applyProtection="0"/>
    <xf numFmtId="0" fontId="26" fillId="38" borderId="0" applyNumberFormat="0" applyBorder="0" applyAlignment="0" applyProtection="0"/>
    <xf numFmtId="0" fontId="71" fillId="39" borderId="0" applyNumberFormat="0" applyBorder="0" applyAlignment="0" applyProtection="0"/>
    <xf numFmtId="0" fontId="15" fillId="39" borderId="0" applyNumberFormat="0" applyBorder="0" applyAlignment="0" applyProtection="0"/>
    <xf numFmtId="0" fontId="26" fillId="39" borderId="0" applyNumberFormat="0" applyBorder="0" applyAlignment="0" applyProtection="0"/>
    <xf numFmtId="0" fontId="15" fillId="39" borderId="0" applyNumberFormat="0" applyBorder="0" applyAlignment="0" applyProtection="0"/>
    <xf numFmtId="0" fontId="26" fillId="39" borderId="0" applyNumberFormat="0" applyBorder="0" applyAlignment="0" applyProtection="0"/>
    <xf numFmtId="2" fontId="85" fillId="0" borderId="27" applyBorder="0">
      <alignment horizontal="right" vertical="center" wrapText="1"/>
      <protection locked="0"/>
    </xf>
    <xf numFmtId="0" fontId="86" fillId="0" borderId="0"/>
    <xf numFmtId="2" fontId="85" fillId="0" borderId="27" applyBorder="0">
      <alignment horizontal="right" vertical="center" wrapText="1"/>
      <protection locked="0"/>
    </xf>
    <xf numFmtId="0" fontId="71" fillId="40" borderId="0" applyNumberFormat="0" applyBorder="0" applyAlignment="0" applyProtection="0"/>
    <xf numFmtId="0" fontId="15" fillId="40" borderId="0" applyNumberFormat="0" applyBorder="0" applyAlignment="0" applyProtection="0"/>
    <xf numFmtId="0" fontId="26" fillId="40" borderId="0" applyNumberFormat="0" applyBorder="0" applyAlignment="0" applyProtection="0"/>
    <xf numFmtId="0" fontId="15" fillId="40" borderId="0" applyNumberFormat="0" applyBorder="0" applyAlignment="0" applyProtection="0"/>
    <xf numFmtId="0" fontId="26" fillId="40" borderId="0" applyNumberFormat="0" applyBorder="0" applyAlignment="0" applyProtection="0"/>
    <xf numFmtId="0" fontId="71" fillId="41" borderId="0" applyNumberFormat="0" applyBorder="0" applyAlignment="0" applyProtection="0"/>
    <xf numFmtId="0" fontId="15" fillId="41" borderId="0" applyNumberFormat="0" applyBorder="0" applyAlignment="0" applyProtection="0"/>
    <xf numFmtId="0" fontId="26" fillId="41" borderId="0" applyNumberFormat="0" applyBorder="0" applyAlignment="0" applyProtection="0"/>
    <xf numFmtId="0" fontId="15" fillId="41" borderId="0" applyNumberFormat="0" applyBorder="0" applyAlignment="0" applyProtection="0"/>
    <xf numFmtId="0" fontId="26" fillId="41" borderId="0" applyNumberFormat="0" applyBorder="0" applyAlignment="0" applyProtection="0"/>
    <xf numFmtId="0" fontId="71" fillId="42" borderId="0" applyNumberFormat="0" applyBorder="0" applyAlignment="0" applyProtection="0"/>
    <xf numFmtId="0" fontId="15" fillId="42" borderId="0" applyNumberFormat="0" applyBorder="0" applyAlignment="0" applyProtection="0"/>
    <xf numFmtId="0" fontId="26" fillId="42" borderId="0" applyNumberFormat="0" applyBorder="0" applyAlignment="0" applyProtection="0"/>
    <xf numFmtId="0" fontId="15" fillId="42" borderId="0" applyNumberFormat="0" applyBorder="0" applyAlignment="0" applyProtection="0"/>
    <xf numFmtId="0" fontId="26" fillId="42" borderId="0" applyNumberFormat="0" applyBorder="0" applyAlignment="0" applyProtection="0"/>
    <xf numFmtId="0" fontId="71" fillId="37" borderId="0" applyNumberFormat="0" applyBorder="0" applyAlignment="0" applyProtection="0"/>
    <xf numFmtId="0" fontId="15" fillId="37" borderId="0" applyNumberFormat="0" applyBorder="0" applyAlignment="0" applyProtection="0"/>
    <xf numFmtId="0" fontId="26" fillId="37" borderId="0" applyNumberFormat="0" applyBorder="0" applyAlignment="0" applyProtection="0"/>
    <xf numFmtId="0" fontId="15" fillId="37" borderId="0" applyNumberFormat="0" applyBorder="0" applyAlignment="0" applyProtection="0"/>
    <xf numFmtId="0" fontId="26" fillId="37" borderId="0" applyNumberFormat="0" applyBorder="0" applyAlignment="0" applyProtection="0"/>
    <xf numFmtId="0" fontId="71" fillId="40" borderId="0" applyNumberFormat="0" applyBorder="0" applyAlignment="0" applyProtection="0"/>
    <xf numFmtId="0" fontId="15" fillId="40" borderId="0" applyNumberFormat="0" applyBorder="0" applyAlignment="0" applyProtection="0"/>
    <xf numFmtId="0" fontId="26" fillId="40" borderId="0" applyNumberFormat="0" applyBorder="0" applyAlignment="0" applyProtection="0"/>
    <xf numFmtId="0" fontId="15" fillId="40" borderId="0" applyNumberFormat="0" applyBorder="0" applyAlignment="0" applyProtection="0"/>
    <xf numFmtId="0" fontId="26" fillId="40" borderId="0" applyNumberFormat="0" applyBorder="0" applyAlignment="0" applyProtection="0"/>
    <xf numFmtId="0" fontId="71" fillId="43" borderId="0" applyNumberFormat="0" applyBorder="0" applyAlignment="0" applyProtection="0"/>
    <xf numFmtId="0" fontId="15" fillId="43" borderId="0" applyNumberFormat="0" applyBorder="0" applyAlignment="0" applyProtection="0"/>
    <xf numFmtId="0" fontId="26" fillId="43" borderId="0" applyNumberFormat="0" applyBorder="0" applyAlignment="0" applyProtection="0"/>
    <xf numFmtId="0" fontId="15" fillId="43" borderId="0" applyNumberFormat="0" applyBorder="0" applyAlignment="0" applyProtection="0"/>
    <xf numFmtId="0" fontId="26" fillId="43" borderId="0" applyNumberFormat="0" applyBorder="0" applyAlignment="0" applyProtection="0"/>
    <xf numFmtId="2" fontId="85" fillId="0" borderId="28" applyBorder="0">
      <alignment horizontal="right" vertical="center" wrapText="1"/>
      <protection locked="0"/>
    </xf>
    <xf numFmtId="0" fontId="87" fillId="44" borderId="0" applyNumberFormat="0" applyBorder="0" applyAlignment="0" applyProtection="0"/>
    <xf numFmtId="0" fontId="43" fillId="44" borderId="0" applyNumberFormat="0" applyBorder="0" applyAlignment="0" applyProtection="0"/>
    <xf numFmtId="0" fontId="88" fillId="44" borderId="0" applyNumberFormat="0" applyBorder="0" applyAlignment="0" applyProtection="0"/>
    <xf numFmtId="0" fontId="43" fillId="44" borderId="0" applyNumberFormat="0" applyBorder="0" applyAlignment="0" applyProtection="0"/>
    <xf numFmtId="0" fontId="88" fillId="44" borderId="0" applyNumberFormat="0" applyBorder="0" applyAlignment="0" applyProtection="0"/>
    <xf numFmtId="0" fontId="87" fillId="41" borderId="0" applyNumberFormat="0" applyBorder="0" applyAlignment="0" applyProtection="0"/>
    <xf numFmtId="0" fontId="43" fillId="41" borderId="0" applyNumberFormat="0" applyBorder="0" applyAlignment="0" applyProtection="0"/>
    <xf numFmtId="0" fontId="88" fillId="41" borderId="0" applyNumberFormat="0" applyBorder="0" applyAlignment="0" applyProtection="0"/>
    <xf numFmtId="0" fontId="43" fillId="41" borderId="0" applyNumberFormat="0" applyBorder="0" applyAlignment="0" applyProtection="0"/>
    <xf numFmtId="0" fontId="88" fillId="41" borderId="0" applyNumberFormat="0" applyBorder="0" applyAlignment="0" applyProtection="0"/>
    <xf numFmtId="0" fontId="87" fillId="42" borderId="0" applyNumberFormat="0" applyBorder="0" applyAlignment="0" applyProtection="0"/>
    <xf numFmtId="0" fontId="43" fillId="42" borderId="0" applyNumberFormat="0" applyBorder="0" applyAlignment="0" applyProtection="0"/>
    <xf numFmtId="0" fontId="88" fillId="42" borderId="0" applyNumberFormat="0" applyBorder="0" applyAlignment="0" applyProtection="0"/>
    <xf numFmtId="0" fontId="43" fillId="42" borderId="0" applyNumberFormat="0" applyBorder="0" applyAlignment="0" applyProtection="0"/>
    <xf numFmtId="0" fontId="88" fillId="42" borderId="0" applyNumberFormat="0" applyBorder="0" applyAlignment="0" applyProtection="0"/>
    <xf numFmtId="0" fontId="87" fillId="45" borderId="0" applyNumberFormat="0" applyBorder="0" applyAlignment="0" applyProtection="0"/>
    <xf numFmtId="0" fontId="43" fillId="45" borderId="0" applyNumberFormat="0" applyBorder="0" applyAlignment="0" applyProtection="0"/>
    <xf numFmtId="0" fontId="88" fillId="45" borderId="0" applyNumberFormat="0" applyBorder="0" applyAlignment="0" applyProtection="0"/>
    <xf numFmtId="0" fontId="43" fillId="45" borderId="0" applyNumberFormat="0" applyBorder="0" applyAlignment="0" applyProtection="0"/>
    <xf numFmtId="0" fontId="88" fillId="45" borderId="0" applyNumberFormat="0" applyBorder="0" applyAlignment="0" applyProtection="0"/>
    <xf numFmtId="0" fontId="87" fillId="46" borderId="0" applyNumberFormat="0" applyBorder="0" applyAlignment="0" applyProtection="0"/>
    <xf numFmtId="0" fontId="43" fillId="46" borderId="0" applyNumberFormat="0" applyBorder="0" applyAlignment="0" applyProtection="0"/>
    <xf numFmtId="0" fontId="88" fillId="46" borderId="0" applyNumberFormat="0" applyBorder="0" applyAlignment="0" applyProtection="0"/>
    <xf numFmtId="0" fontId="43" fillId="46" borderId="0" applyNumberFormat="0" applyBorder="0" applyAlignment="0" applyProtection="0"/>
    <xf numFmtId="0" fontId="88" fillId="46" borderId="0" applyNumberFormat="0" applyBorder="0" applyAlignment="0" applyProtection="0"/>
    <xf numFmtId="0" fontId="87" fillId="47" borderId="0" applyNumberFormat="0" applyBorder="0" applyAlignment="0" applyProtection="0"/>
    <xf numFmtId="0" fontId="43" fillId="47" borderId="0" applyNumberFormat="0" applyBorder="0" applyAlignment="0" applyProtection="0"/>
    <xf numFmtId="0" fontId="88" fillId="47" borderId="0" applyNumberFormat="0" applyBorder="0" applyAlignment="0" applyProtection="0"/>
    <xf numFmtId="0" fontId="43" fillId="47" borderId="0" applyNumberFormat="0" applyBorder="0" applyAlignment="0" applyProtection="0"/>
    <xf numFmtId="0" fontId="88" fillId="47" borderId="0" applyNumberFormat="0" applyBorder="0" applyAlignment="0" applyProtection="0"/>
    <xf numFmtId="0" fontId="26" fillId="48" borderId="0" applyNumberFormat="0" applyBorder="0" applyAlignment="0" applyProtection="0"/>
    <xf numFmtId="0" fontId="26" fillId="49" borderId="0" applyNumberFormat="0" applyBorder="0" applyAlignment="0" applyProtection="0"/>
    <xf numFmtId="0" fontId="26" fillId="50" borderId="0" applyNumberFormat="0" applyBorder="0" applyAlignment="0" applyProtection="0"/>
    <xf numFmtId="0" fontId="26" fillId="51" borderId="0" applyNumberFormat="0" applyBorder="0" applyAlignment="0" applyProtection="0"/>
    <xf numFmtId="0" fontId="88" fillId="52" borderId="0" applyNumberFormat="0" applyBorder="0" applyAlignment="0" applyProtection="0"/>
    <xf numFmtId="0" fontId="88" fillId="53" borderId="0" applyNumberFormat="0" applyBorder="0" applyAlignment="0" applyProtection="0"/>
    <xf numFmtId="0" fontId="88" fillId="54" borderId="0" applyNumberFormat="0" applyBorder="0" applyAlignment="0" applyProtection="0"/>
    <xf numFmtId="0" fontId="88" fillId="54" borderId="0" applyNumberFormat="0" applyBorder="0" applyAlignment="0" applyProtection="0"/>
    <xf numFmtId="0" fontId="88" fillId="54" borderId="0" applyNumberFormat="0" applyBorder="0" applyAlignment="0" applyProtection="0"/>
    <xf numFmtId="0" fontId="88" fillId="54" borderId="0" applyNumberFormat="0" applyBorder="0" applyAlignment="0" applyProtection="0"/>
    <xf numFmtId="0" fontId="88" fillId="54" borderId="0" applyNumberFormat="0" applyBorder="0" applyAlignment="0" applyProtection="0"/>
    <xf numFmtId="0" fontId="88" fillId="54" borderId="0" applyNumberFormat="0" applyBorder="0" applyAlignment="0" applyProtection="0"/>
    <xf numFmtId="0" fontId="88" fillId="54" borderId="0" applyNumberFormat="0" applyBorder="0" applyAlignment="0" applyProtection="0"/>
    <xf numFmtId="0" fontId="88" fillId="54" borderId="0" applyNumberFormat="0" applyBorder="0" applyAlignment="0" applyProtection="0"/>
    <xf numFmtId="0" fontId="88" fillId="54" borderId="0" applyNumberFormat="0" applyBorder="0" applyAlignment="0" applyProtection="0"/>
    <xf numFmtId="0" fontId="88" fillId="54" borderId="0" applyNumberFormat="0" applyBorder="0" applyAlignment="0" applyProtection="0"/>
    <xf numFmtId="0" fontId="87" fillId="54" borderId="0" applyNumberFormat="0" applyBorder="0" applyAlignment="0" applyProtection="0"/>
    <xf numFmtId="0" fontId="43" fillId="54" borderId="0" applyNumberFormat="0" applyBorder="0" applyAlignment="0" applyProtection="0"/>
    <xf numFmtId="0" fontId="88" fillId="55" borderId="0" applyNumberFormat="0" applyBorder="0" applyAlignment="0" applyProtection="0"/>
    <xf numFmtId="0" fontId="88" fillId="54" borderId="0" applyNumberFormat="0" applyBorder="0" applyAlignment="0" applyProtection="0"/>
    <xf numFmtId="0" fontId="88" fillId="54" borderId="0" applyNumberFormat="0" applyBorder="0" applyAlignment="0" applyProtection="0"/>
    <xf numFmtId="0" fontId="88" fillId="54" borderId="0" applyNumberFormat="0" applyBorder="0" applyAlignment="0" applyProtection="0"/>
    <xf numFmtId="0" fontId="88" fillId="54" borderId="0" applyNumberFormat="0" applyBorder="0" applyAlignment="0" applyProtection="0"/>
    <xf numFmtId="0" fontId="88" fillId="54" borderId="0" applyNumberFormat="0" applyBorder="0" applyAlignment="0" applyProtection="0"/>
    <xf numFmtId="0" fontId="88" fillId="54" borderId="0" applyNumberFormat="0" applyBorder="0" applyAlignment="0" applyProtection="0"/>
    <xf numFmtId="0" fontId="43" fillId="54" borderId="0" applyNumberFormat="0" applyBorder="0" applyAlignment="0" applyProtection="0"/>
    <xf numFmtId="0" fontId="88" fillId="54" borderId="0" applyNumberFormat="0" applyBorder="0" applyAlignment="0" applyProtection="0"/>
    <xf numFmtId="0" fontId="88" fillId="54" borderId="0" applyNumberFormat="0" applyBorder="0" applyAlignment="0" applyProtection="0"/>
    <xf numFmtId="0" fontId="88" fillId="54" borderId="0" applyNumberFormat="0" applyBorder="0" applyAlignment="0" applyProtection="0"/>
    <xf numFmtId="0" fontId="87" fillId="54" borderId="0" applyNumberFormat="0" applyBorder="0" applyAlignment="0" applyProtection="0"/>
    <xf numFmtId="0" fontId="88" fillId="54" borderId="0" applyNumberFormat="0" applyBorder="0" applyAlignment="0" applyProtection="0"/>
    <xf numFmtId="0" fontId="88" fillId="54" borderId="0" applyNumberFormat="0" applyBorder="0" applyAlignment="0" applyProtection="0"/>
    <xf numFmtId="0" fontId="87" fillId="54" borderId="0" applyNumberFormat="0" applyBorder="0" applyAlignment="0" applyProtection="0"/>
    <xf numFmtId="0" fontId="87" fillId="54" borderId="0" applyNumberFormat="0" applyBorder="0" applyAlignment="0" applyProtection="0"/>
    <xf numFmtId="0" fontId="87" fillId="54" borderId="0" applyNumberFormat="0" applyBorder="0" applyAlignment="0" applyProtection="0"/>
    <xf numFmtId="0" fontId="87" fillId="54" borderId="0" applyNumberFormat="0" applyBorder="0" applyAlignment="0" applyProtection="0"/>
    <xf numFmtId="0" fontId="88" fillId="54" borderId="0" applyNumberFormat="0" applyBorder="0" applyAlignment="0" applyProtection="0"/>
    <xf numFmtId="0" fontId="88" fillId="54" borderId="0" applyNumberFormat="0" applyBorder="0" applyAlignment="0" applyProtection="0"/>
    <xf numFmtId="0" fontId="26" fillId="56" borderId="0" applyNumberFormat="0" applyBorder="0" applyAlignment="0" applyProtection="0"/>
    <xf numFmtId="0" fontId="26" fillId="57" borderId="0" applyNumberFormat="0" applyBorder="0" applyAlignment="0" applyProtection="0"/>
    <xf numFmtId="0" fontId="26" fillId="58" borderId="0" applyNumberFormat="0" applyBorder="0" applyAlignment="0" applyProtection="0"/>
    <xf numFmtId="0" fontId="26" fillId="59" borderId="0" applyNumberFormat="0" applyBorder="0" applyAlignment="0" applyProtection="0"/>
    <xf numFmtId="0" fontId="88" fillId="60" borderId="0" applyNumberFormat="0" applyBorder="0" applyAlignment="0" applyProtection="0"/>
    <xf numFmtId="0" fontId="88" fillId="58" borderId="0" applyNumberFormat="0" applyBorder="0" applyAlignment="0" applyProtection="0"/>
    <xf numFmtId="0" fontId="88" fillId="61" borderId="0" applyNumberFormat="0" applyBorder="0" applyAlignment="0" applyProtection="0"/>
    <xf numFmtId="0" fontId="88" fillId="61" borderId="0" applyNumberFormat="0" applyBorder="0" applyAlignment="0" applyProtection="0"/>
    <xf numFmtId="0" fontId="88" fillId="61" borderId="0" applyNumberFormat="0" applyBorder="0" applyAlignment="0" applyProtection="0"/>
    <xf numFmtId="0" fontId="88" fillId="61" borderId="0" applyNumberFormat="0" applyBorder="0" applyAlignment="0" applyProtection="0"/>
    <xf numFmtId="0" fontId="88" fillId="61" borderId="0" applyNumberFormat="0" applyBorder="0" applyAlignment="0" applyProtection="0"/>
    <xf numFmtId="0" fontId="88" fillId="61" borderId="0" applyNumberFormat="0" applyBorder="0" applyAlignment="0" applyProtection="0"/>
    <xf numFmtId="0" fontId="88" fillId="61" borderId="0" applyNumberFormat="0" applyBorder="0" applyAlignment="0" applyProtection="0"/>
    <xf numFmtId="0" fontId="88" fillId="61" borderId="0" applyNumberFormat="0" applyBorder="0" applyAlignment="0" applyProtection="0"/>
    <xf numFmtId="0" fontId="88" fillId="61" borderId="0" applyNumberFormat="0" applyBorder="0" applyAlignment="0" applyProtection="0"/>
    <xf numFmtId="0" fontId="88" fillId="61" borderId="0" applyNumberFormat="0" applyBorder="0" applyAlignment="0" applyProtection="0"/>
    <xf numFmtId="0" fontId="87" fillId="61" borderId="0" applyNumberFormat="0" applyBorder="0" applyAlignment="0" applyProtection="0"/>
    <xf numFmtId="0" fontId="43" fillId="61" borderId="0" applyNumberFormat="0" applyBorder="0" applyAlignment="0" applyProtection="0"/>
    <xf numFmtId="0" fontId="88" fillId="62" borderId="0" applyNumberFormat="0" applyBorder="0" applyAlignment="0" applyProtection="0"/>
    <xf numFmtId="0" fontId="88" fillId="61" borderId="0" applyNumberFormat="0" applyBorder="0" applyAlignment="0" applyProtection="0"/>
    <xf numFmtId="0" fontId="88" fillId="61" borderId="0" applyNumberFormat="0" applyBorder="0" applyAlignment="0" applyProtection="0"/>
    <xf numFmtId="0" fontId="88" fillId="61" borderId="0" applyNumberFormat="0" applyBorder="0" applyAlignment="0" applyProtection="0"/>
    <xf numFmtId="0" fontId="88" fillId="61" borderId="0" applyNumberFormat="0" applyBorder="0" applyAlignment="0" applyProtection="0"/>
    <xf numFmtId="0" fontId="88" fillId="61" borderId="0" applyNumberFormat="0" applyBorder="0" applyAlignment="0" applyProtection="0"/>
    <xf numFmtId="0" fontId="88" fillId="61" borderId="0" applyNumberFormat="0" applyBorder="0" applyAlignment="0" applyProtection="0"/>
    <xf numFmtId="0" fontId="43" fillId="61" borderId="0" applyNumberFormat="0" applyBorder="0" applyAlignment="0" applyProtection="0"/>
    <xf numFmtId="0" fontId="88" fillId="61" borderId="0" applyNumberFormat="0" applyBorder="0" applyAlignment="0" applyProtection="0"/>
    <xf numFmtId="0" fontId="88" fillId="61" borderId="0" applyNumberFormat="0" applyBorder="0" applyAlignment="0" applyProtection="0"/>
    <xf numFmtId="0" fontId="88" fillId="61" borderId="0" applyNumberFormat="0" applyBorder="0" applyAlignment="0" applyProtection="0"/>
    <xf numFmtId="0" fontId="87" fillId="61" borderId="0" applyNumberFormat="0" applyBorder="0" applyAlignment="0" applyProtection="0"/>
    <xf numFmtId="0" fontId="88" fillId="61" borderId="0" applyNumberFormat="0" applyBorder="0" applyAlignment="0" applyProtection="0"/>
    <xf numFmtId="0" fontId="88" fillId="61" borderId="0" applyNumberFormat="0" applyBorder="0" applyAlignment="0" applyProtection="0"/>
    <xf numFmtId="0" fontId="87" fillId="61" borderId="0" applyNumberFormat="0" applyBorder="0" applyAlignment="0" applyProtection="0"/>
    <xf numFmtId="0" fontId="87" fillId="61" borderId="0" applyNumberFormat="0" applyBorder="0" applyAlignment="0" applyProtection="0"/>
    <xf numFmtId="0" fontId="87" fillId="61" borderId="0" applyNumberFormat="0" applyBorder="0" applyAlignment="0" applyProtection="0"/>
    <xf numFmtId="0" fontId="87" fillId="61" borderId="0" applyNumberFormat="0" applyBorder="0" applyAlignment="0" applyProtection="0"/>
    <xf numFmtId="0" fontId="88" fillId="61" borderId="0" applyNumberFormat="0" applyBorder="0" applyAlignment="0" applyProtection="0"/>
    <xf numFmtId="0" fontId="88" fillId="61" borderId="0" applyNumberFormat="0" applyBorder="0" applyAlignment="0" applyProtection="0"/>
    <xf numFmtId="0" fontId="26" fillId="63" borderId="0" applyNumberFormat="0" applyBorder="0" applyAlignment="0" applyProtection="0"/>
    <xf numFmtId="0" fontId="26" fillId="64" borderId="0" applyNumberFormat="0" applyBorder="0" applyAlignment="0" applyProtection="0"/>
    <xf numFmtId="0" fontId="26" fillId="59" borderId="0" applyNumberFormat="0" applyBorder="0" applyAlignment="0" applyProtection="0"/>
    <xf numFmtId="0" fontId="26" fillId="65" borderId="0" applyNumberFormat="0" applyBorder="0" applyAlignment="0" applyProtection="0"/>
    <xf numFmtId="0" fontId="88" fillId="51" borderId="0" applyNumberFormat="0" applyBorder="0" applyAlignment="0" applyProtection="0"/>
    <xf numFmtId="0" fontId="88" fillId="66" borderId="0" applyNumberFormat="0" applyBorder="0" applyAlignment="0" applyProtection="0"/>
    <xf numFmtId="0" fontId="88" fillId="67" borderId="0" applyNumberFormat="0" applyBorder="0" applyAlignment="0" applyProtection="0"/>
    <xf numFmtId="0" fontId="88" fillId="67" borderId="0" applyNumberFormat="0" applyBorder="0" applyAlignment="0" applyProtection="0"/>
    <xf numFmtId="0" fontId="88" fillId="67" borderId="0" applyNumberFormat="0" applyBorder="0" applyAlignment="0" applyProtection="0"/>
    <xf numFmtId="0" fontId="88" fillId="67" borderId="0" applyNumberFormat="0" applyBorder="0" applyAlignment="0" applyProtection="0"/>
    <xf numFmtId="0" fontId="88" fillId="67" borderId="0" applyNumberFormat="0" applyBorder="0" applyAlignment="0" applyProtection="0"/>
    <xf numFmtId="0" fontId="88" fillId="67" borderId="0" applyNumberFormat="0" applyBorder="0" applyAlignment="0" applyProtection="0"/>
    <xf numFmtId="0" fontId="88" fillId="67" borderId="0" applyNumberFormat="0" applyBorder="0" applyAlignment="0" applyProtection="0"/>
    <xf numFmtId="0" fontId="88" fillId="67" borderId="0" applyNumberFormat="0" applyBorder="0" applyAlignment="0" applyProtection="0"/>
    <xf numFmtId="0" fontId="88" fillId="67" borderId="0" applyNumberFormat="0" applyBorder="0" applyAlignment="0" applyProtection="0"/>
    <xf numFmtId="0" fontId="88" fillId="67" borderId="0" applyNumberFormat="0" applyBorder="0" applyAlignment="0" applyProtection="0"/>
    <xf numFmtId="0" fontId="87" fillId="67" borderId="0" applyNumberFormat="0" applyBorder="0" applyAlignment="0" applyProtection="0"/>
    <xf numFmtId="0" fontId="43" fillId="67" borderId="0" applyNumberFormat="0" applyBorder="0" applyAlignment="0" applyProtection="0"/>
    <xf numFmtId="0" fontId="88" fillId="68" borderId="0" applyNumberFormat="0" applyBorder="0" applyAlignment="0" applyProtection="0"/>
    <xf numFmtId="0" fontId="88" fillId="67" borderId="0" applyNumberFormat="0" applyBorder="0" applyAlignment="0" applyProtection="0"/>
    <xf numFmtId="0" fontId="88" fillId="67" borderId="0" applyNumberFormat="0" applyBorder="0" applyAlignment="0" applyProtection="0"/>
    <xf numFmtId="0" fontId="88" fillId="67" borderId="0" applyNumberFormat="0" applyBorder="0" applyAlignment="0" applyProtection="0"/>
    <xf numFmtId="0" fontId="88" fillId="67" borderId="0" applyNumberFormat="0" applyBorder="0" applyAlignment="0" applyProtection="0"/>
    <xf numFmtId="0" fontId="88" fillId="67" borderId="0" applyNumberFormat="0" applyBorder="0" applyAlignment="0" applyProtection="0"/>
    <xf numFmtId="0" fontId="88" fillId="67" borderId="0" applyNumberFormat="0" applyBorder="0" applyAlignment="0" applyProtection="0"/>
    <xf numFmtId="0" fontId="43" fillId="67" borderId="0" applyNumberFormat="0" applyBorder="0" applyAlignment="0" applyProtection="0"/>
    <xf numFmtId="0" fontId="88" fillId="67" borderId="0" applyNumberFormat="0" applyBorder="0" applyAlignment="0" applyProtection="0"/>
    <xf numFmtId="0" fontId="88" fillId="67" borderId="0" applyNumberFormat="0" applyBorder="0" applyAlignment="0" applyProtection="0"/>
    <xf numFmtId="0" fontId="88" fillId="67" borderId="0" applyNumberFormat="0" applyBorder="0" applyAlignment="0" applyProtection="0"/>
    <xf numFmtId="0" fontId="87" fillId="67" borderId="0" applyNumberFormat="0" applyBorder="0" applyAlignment="0" applyProtection="0"/>
    <xf numFmtId="0" fontId="88" fillId="67" borderId="0" applyNumberFormat="0" applyBorder="0" applyAlignment="0" applyProtection="0"/>
    <xf numFmtId="0" fontId="88" fillId="67" borderId="0" applyNumberFormat="0" applyBorder="0" applyAlignment="0" applyProtection="0"/>
    <xf numFmtId="0" fontId="87" fillId="67" borderId="0" applyNumberFormat="0" applyBorder="0" applyAlignment="0" applyProtection="0"/>
    <xf numFmtId="0" fontId="87" fillId="67" borderId="0" applyNumberFormat="0" applyBorder="0" applyAlignment="0" applyProtection="0"/>
    <xf numFmtId="0" fontId="87" fillId="67" borderId="0" applyNumberFormat="0" applyBorder="0" applyAlignment="0" applyProtection="0"/>
    <xf numFmtId="0" fontId="87" fillId="67" borderId="0" applyNumberFormat="0" applyBorder="0" applyAlignment="0" applyProtection="0"/>
    <xf numFmtId="0" fontId="88" fillId="67" borderId="0" applyNumberFormat="0" applyBorder="0" applyAlignment="0" applyProtection="0"/>
    <xf numFmtId="0" fontId="88" fillId="67" borderId="0" applyNumberFormat="0" applyBorder="0" applyAlignment="0" applyProtection="0"/>
    <xf numFmtId="0" fontId="26" fillId="59" borderId="0" applyNumberFormat="0" applyBorder="0" applyAlignment="0" applyProtection="0"/>
    <xf numFmtId="0" fontId="26" fillId="57" borderId="0" applyNumberFormat="0" applyBorder="0" applyAlignment="0" applyProtection="0"/>
    <xf numFmtId="0" fontId="26" fillId="51" borderId="0" applyNumberFormat="0" applyBorder="0" applyAlignment="0" applyProtection="0"/>
    <xf numFmtId="0" fontId="26" fillId="60" borderId="0" applyNumberFormat="0" applyBorder="0" applyAlignment="0" applyProtection="0"/>
    <xf numFmtId="0" fontId="88" fillId="51" borderId="0" applyNumberFormat="0" applyBorder="0" applyAlignment="0" applyProtection="0"/>
    <xf numFmtId="0" fontId="88" fillId="59" borderId="0" applyNumberFormat="0" applyBorder="0" applyAlignment="0" applyProtection="0"/>
    <xf numFmtId="0" fontId="88" fillId="45" borderId="0" applyNumberFormat="0" applyBorder="0" applyAlignment="0" applyProtection="0"/>
    <xf numFmtId="0" fontId="88" fillId="45" borderId="0" applyNumberFormat="0" applyBorder="0" applyAlignment="0" applyProtection="0"/>
    <xf numFmtId="0" fontId="88" fillId="45" borderId="0" applyNumberFormat="0" applyBorder="0" applyAlignment="0" applyProtection="0"/>
    <xf numFmtId="0" fontId="88" fillId="45" borderId="0" applyNumberFormat="0" applyBorder="0" applyAlignment="0" applyProtection="0"/>
    <xf numFmtId="0" fontId="88" fillId="45" borderId="0" applyNumberFormat="0" applyBorder="0" applyAlignment="0" applyProtection="0"/>
    <xf numFmtId="0" fontId="88" fillId="45" borderId="0" applyNumberFormat="0" applyBorder="0" applyAlignment="0" applyProtection="0"/>
    <xf numFmtId="0" fontId="88" fillId="45" borderId="0" applyNumberFormat="0" applyBorder="0" applyAlignment="0" applyProtection="0"/>
    <xf numFmtId="0" fontId="88" fillId="45" borderId="0" applyNumberFormat="0" applyBorder="0" applyAlignment="0" applyProtection="0"/>
    <xf numFmtId="0" fontId="88" fillId="45" borderId="0" applyNumberFormat="0" applyBorder="0" applyAlignment="0" applyProtection="0"/>
    <xf numFmtId="0" fontId="88" fillId="45" borderId="0" applyNumberFormat="0" applyBorder="0" applyAlignment="0" applyProtection="0"/>
    <xf numFmtId="0" fontId="87" fillId="45" borderId="0" applyNumberFormat="0" applyBorder="0" applyAlignment="0" applyProtection="0"/>
    <xf numFmtId="0" fontId="43" fillId="45" borderId="0" applyNumberFormat="0" applyBorder="0" applyAlignment="0" applyProtection="0"/>
    <xf numFmtId="0" fontId="88" fillId="69" borderId="0" applyNumberFormat="0" applyBorder="0" applyAlignment="0" applyProtection="0"/>
    <xf numFmtId="0" fontId="88" fillId="45" borderId="0" applyNumberFormat="0" applyBorder="0" applyAlignment="0" applyProtection="0"/>
    <xf numFmtId="0" fontId="88" fillId="45" borderId="0" applyNumberFormat="0" applyBorder="0" applyAlignment="0" applyProtection="0"/>
    <xf numFmtId="0" fontId="88" fillId="45" borderId="0" applyNumberFormat="0" applyBorder="0" applyAlignment="0" applyProtection="0"/>
    <xf numFmtId="0" fontId="88" fillId="45" borderId="0" applyNumberFormat="0" applyBorder="0" applyAlignment="0" applyProtection="0"/>
    <xf numFmtId="0" fontId="88" fillId="45" borderId="0" applyNumberFormat="0" applyBorder="0" applyAlignment="0" applyProtection="0"/>
    <xf numFmtId="0" fontId="88" fillId="45" borderId="0" applyNumberFormat="0" applyBorder="0" applyAlignment="0" applyProtection="0"/>
    <xf numFmtId="0" fontId="43" fillId="45" borderId="0" applyNumberFormat="0" applyBorder="0" applyAlignment="0" applyProtection="0"/>
    <xf numFmtId="0" fontId="88" fillId="45" borderId="0" applyNumberFormat="0" applyBorder="0" applyAlignment="0" applyProtection="0"/>
    <xf numFmtId="0" fontId="88" fillId="45" borderId="0" applyNumberFormat="0" applyBorder="0" applyAlignment="0" applyProtection="0"/>
    <xf numFmtId="0" fontId="88" fillId="45" borderId="0" applyNumberFormat="0" applyBorder="0" applyAlignment="0" applyProtection="0"/>
    <xf numFmtId="0" fontId="87" fillId="45" borderId="0" applyNumberFormat="0" applyBorder="0" applyAlignment="0" applyProtection="0"/>
    <xf numFmtId="0" fontId="88" fillId="45" borderId="0" applyNumberFormat="0" applyBorder="0" applyAlignment="0" applyProtection="0"/>
    <xf numFmtId="0" fontId="88" fillId="45" borderId="0" applyNumberFormat="0" applyBorder="0" applyAlignment="0" applyProtection="0"/>
    <xf numFmtId="0" fontId="87" fillId="45" borderId="0" applyNumberFormat="0" applyBorder="0" applyAlignment="0" applyProtection="0"/>
    <xf numFmtId="0" fontId="87" fillId="45" borderId="0" applyNumberFormat="0" applyBorder="0" applyAlignment="0" applyProtection="0"/>
    <xf numFmtId="0" fontId="87" fillId="45" borderId="0" applyNumberFormat="0" applyBorder="0" applyAlignment="0" applyProtection="0"/>
    <xf numFmtId="0" fontId="87" fillId="45" borderId="0" applyNumberFormat="0" applyBorder="0" applyAlignment="0" applyProtection="0"/>
    <xf numFmtId="0" fontId="88" fillId="45" borderId="0" applyNumberFormat="0" applyBorder="0" applyAlignment="0" applyProtection="0"/>
    <xf numFmtId="0" fontId="88" fillId="45" borderId="0" applyNumberFormat="0" applyBorder="0" applyAlignment="0" applyProtection="0"/>
    <xf numFmtId="0" fontId="26" fillId="48" borderId="0" applyNumberFormat="0" applyBorder="0" applyAlignment="0" applyProtection="0"/>
    <xf numFmtId="0" fontId="26" fillId="63" borderId="0" applyNumberFormat="0" applyBorder="0" applyAlignment="0" applyProtection="0"/>
    <xf numFmtId="0" fontId="26" fillId="50" borderId="0" applyNumberFormat="0" applyBorder="0" applyAlignment="0" applyProtection="0"/>
    <xf numFmtId="0" fontId="88" fillId="50" borderId="0" applyNumberFormat="0" applyBorder="0" applyAlignment="0" applyProtection="0"/>
    <xf numFmtId="0" fontId="88" fillId="53" borderId="0" applyNumberFormat="0" applyBorder="0" applyAlignment="0" applyProtection="0"/>
    <xf numFmtId="0" fontId="88" fillId="46" borderId="0" applyNumberFormat="0" applyBorder="0" applyAlignment="0" applyProtection="0"/>
    <xf numFmtId="0" fontId="88" fillId="46" borderId="0" applyNumberFormat="0" applyBorder="0" applyAlignment="0" applyProtection="0"/>
    <xf numFmtId="0" fontId="88" fillId="46" borderId="0" applyNumberFormat="0" applyBorder="0" applyAlignment="0" applyProtection="0"/>
    <xf numFmtId="0" fontId="88" fillId="46" borderId="0" applyNumberFormat="0" applyBorder="0" applyAlignment="0" applyProtection="0"/>
    <xf numFmtId="0" fontId="88" fillId="46" borderId="0" applyNumberFormat="0" applyBorder="0" applyAlignment="0" applyProtection="0"/>
    <xf numFmtId="0" fontId="88" fillId="46" borderId="0" applyNumberFormat="0" applyBorder="0" applyAlignment="0" applyProtection="0"/>
    <xf numFmtId="0" fontId="88" fillId="46" borderId="0" applyNumberFormat="0" applyBorder="0" applyAlignment="0" applyProtection="0"/>
    <xf numFmtId="0" fontId="88" fillId="46" borderId="0" applyNumberFormat="0" applyBorder="0" applyAlignment="0" applyProtection="0"/>
    <xf numFmtId="0" fontId="88" fillId="46" borderId="0" applyNumberFormat="0" applyBorder="0" applyAlignment="0" applyProtection="0"/>
    <xf numFmtId="0" fontId="88" fillId="46" borderId="0" applyNumberFormat="0" applyBorder="0" applyAlignment="0" applyProtection="0"/>
    <xf numFmtId="0" fontId="87" fillId="46" borderId="0" applyNumberFormat="0" applyBorder="0" applyAlignment="0" applyProtection="0"/>
    <xf numFmtId="0" fontId="43" fillId="46" borderId="0" applyNumberFormat="0" applyBorder="0" applyAlignment="0" applyProtection="0"/>
    <xf numFmtId="0" fontId="88" fillId="53" borderId="0" applyNumberFormat="0" applyBorder="0" applyAlignment="0" applyProtection="0"/>
    <xf numFmtId="0" fontId="88" fillId="46" borderId="0" applyNumberFormat="0" applyBorder="0" applyAlignment="0" applyProtection="0"/>
    <xf numFmtId="0" fontId="88" fillId="46" borderId="0" applyNumberFormat="0" applyBorder="0" applyAlignment="0" applyProtection="0"/>
    <xf numFmtId="0" fontId="88" fillId="46" borderId="0" applyNumberFormat="0" applyBorder="0" applyAlignment="0" applyProtection="0"/>
    <xf numFmtId="0" fontId="88" fillId="46" borderId="0" applyNumberFormat="0" applyBorder="0" applyAlignment="0" applyProtection="0"/>
    <xf numFmtId="0" fontId="88" fillId="46" borderId="0" applyNumberFormat="0" applyBorder="0" applyAlignment="0" applyProtection="0"/>
    <xf numFmtId="0" fontId="88" fillId="46" borderId="0" applyNumberFormat="0" applyBorder="0" applyAlignment="0" applyProtection="0"/>
    <xf numFmtId="0" fontId="43" fillId="46" borderId="0" applyNumberFormat="0" applyBorder="0" applyAlignment="0" applyProtection="0"/>
    <xf numFmtId="0" fontId="88" fillId="46" borderId="0" applyNumberFormat="0" applyBorder="0" applyAlignment="0" applyProtection="0"/>
    <xf numFmtId="0" fontId="88" fillId="46" borderId="0" applyNumberFormat="0" applyBorder="0" applyAlignment="0" applyProtection="0"/>
    <xf numFmtId="0" fontId="88" fillId="46" borderId="0" applyNumberFormat="0" applyBorder="0" applyAlignment="0" applyProtection="0"/>
    <xf numFmtId="0" fontId="87" fillId="46" borderId="0" applyNumberFormat="0" applyBorder="0" applyAlignment="0" applyProtection="0"/>
    <xf numFmtId="0" fontId="88" fillId="46" borderId="0" applyNumberFormat="0" applyBorder="0" applyAlignment="0" applyProtection="0"/>
    <xf numFmtId="0" fontId="88" fillId="46" borderId="0" applyNumberFormat="0" applyBorder="0" applyAlignment="0" applyProtection="0"/>
    <xf numFmtId="0" fontId="87" fillId="46" borderId="0" applyNumberFormat="0" applyBorder="0" applyAlignment="0" applyProtection="0"/>
    <xf numFmtId="0" fontId="87" fillId="46" borderId="0" applyNumberFormat="0" applyBorder="0" applyAlignment="0" applyProtection="0"/>
    <xf numFmtId="0" fontId="87" fillId="46" borderId="0" applyNumberFormat="0" applyBorder="0" applyAlignment="0" applyProtection="0"/>
    <xf numFmtId="0" fontId="87" fillId="46" borderId="0" applyNumberFormat="0" applyBorder="0" applyAlignment="0" applyProtection="0"/>
    <xf numFmtId="0" fontId="88" fillId="46" borderId="0" applyNumberFormat="0" applyBorder="0" applyAlignment="0" applyProtection="0"/>
    <xf numFmtId="0" fontId="88" fillId="46" borderId="0" applyNumberFormat="0" applyBorder="0" applyAlignment="0" applyProtection="0"/>
    <xf numFmtId="0" fontId="26" fillId="70" borderId="0" applyNumberFormat="0" applyBorder="0" applyAlignment="0" applyProtection="0"/>
    <xf numFmtId="0" fontId="26" fillId="58" borderId="0" applyNumberFormat="0" applyBorder="0" applyAlignment="0" applyProtection="0"/>
    <xf numFmtId="0" fontId="26" fillId="71" borderId="0" applyNumberFormat="0" applyBorder="0" applyAlignment="0" applyProtection="0"/>
    <xf numFmtId="0" fontId="88" fillId="71" borderId="0" applyNumberFormat="0" applyBorder="0" applyAlignment="0" applyProtection="0"/>
    <xf numFmtId="0" fontId="88" fillId="72" borderId="0" applyNumberFormat="0" applyBorder="0" applyAlignment="0" applyProtection="0"/>
    <xf numFmtId="0" fontId="88" fillId="73" borderId="0" applyNumberFormat="0" applyBorder="0" applyAlignment="0" applyProtection="0"/>
    <xf numFmtId="0" fontId="88" fillId="73" borderId="0" applyNumberFormat="0" applyBorder="0" applyAlignment="0" applyProtection="0"/>
    <xf numFmtId="0" fontId="88" fillId="73" borderId="0" applyNumberFormat="0" applyBorder="0" applyAlignment="0" applyProtection="0"/>
    <xf numFmtId="0" fontId="88" fillId="73" borderId="0" applyNumberFormat="0" applyBorder="0" applyAlignment="0" applyProtection="0"/>
    <xf numFmtId="0" fontId="88" fillId="73" borderId="0" applyNumberFormat="0" applyBorder="0" applyAlignment="0" applyProtection="0"/>
    <xf numFmtId="0" fontId="88" fillId="73" borderId="0" applyNumberFormat="0" applyBorder="0" applyAlignment="0" applyProtection="0"/>
    <xf numFmtId="0" fontId="88" fillId="73" borderId="0" applyNumberFormat="0" applyBorder="0" applyAlignment="0" applyProtection="0"/>
    <xf numFmtId="0" fontId="88" fillId="73" borderId="0" applyNumberFormat="0" applyBorder="0" applyAlignment="0" applyProtection="0"/>
    <xf numFmtId="0" fontId="88" fillId="73" borderId="0" applyNumberFormat="0" applyBorder="0" applyAlignment="0" applyProtection="0"/>
    <xf numFmtId="0" fontId="88" fillId="73" borderId="0" applyNumberFormat="0" applyBorder="0" applyAlignment="0" applyProtection="0"/>
    <xf numFmtId="0" fontId="87" fillId="73" borderId="0" applyNumberFormat="0" applyBorder="0" applyAlignment="0" applyProtection="0"/>
    <xf numFmtId="0" fontId="43" fillId="73" borderId="0" applyNumberFormat="0" applyBorder="0" applyAlignment="0" applyProtection="0"/>
    <xf numFmtId="0" fontId="88" fillId="74" borderId="0" applyNumberFormat="0" applyBorder="0" applyAlignment="0" applyProtection="0"/>
    <xf numFmtId="0" fontId="88" fillId="73" borderId="0" applyNumberFormat="0" applyBorder="0" applyAlignment="0" applyProtection="0"/>
    <xf numFmtId="0" fontId="88" fillId="73" borderId="0" applyNumberFormat="0" applyBorder="0" applyAlignment="0" applyProtection="0"/>
    <xf numFmtId="0" fontId="88" fillId="73" borderId="0" applyNumberFormat="0" applyBorder="0" applyAlignment="0" applyProtection="0"/>
    <xf numFmtId="0" fontId="88" fillId="73" borderId="0" applyNumberFormat="0" applyBorder="0" applyAlignment="0" applyProtection="0"/>
    <xf numFmtId="0" fontId="88" fillId="73" borderId="0" applyNumberFormat="0" applyBorder="0" applyAlignment="0" applyProtection="0"/>
    <xf numFmtId="0" fontId="88" fillId="73" borderId="0" applyNumberFormat="0" applyBorder="0" applyAlignment="0" applyProtection="0"/>
    <xf numFmtId="0" fontId="43" fillId="73" borderId="0" applyNumberFormat="0" applyBorder="0" applyAlignment="0" applyProtection="0"/>
    <xf numFmtId="0" fontId="88" fillId="73" borderId="0" applyNumberFormat="0" applyBorder="0" applyAlignment="0" applyProtection="0"/>
    <xf numFmtId="0" fontId="88" fillId="73" borderId="0" applyNumberFormat="0" applyBorder="0" applyAlignment="0" applyProtection="0"/>
    <xf numFmtId="0" fontId="88" fillId="73" borderId="0" applyNumberFormat="0" applyBorder="0" applyAlignment="0" applyProtection="0"/>
    <xf numFmtId="0" fontId="87" fillId="73" borderId="0" applyNumberFormat="0" applyBorder="0" applyAlignment="0" applyProtection="0"/>
    <xf numFmtId="0" fontId="88" fillId="73" borderId="0" applyNumberFormat="0" applyBorder="0" applyAlignment="0" applyProtection="0"/>
    <xf numFmtId="0" fontId="88" fillId="73" borderId="0" applyNumberFormat="0" applyBorder="0" applyAlignment="0" applyProtection="0"/>
    <xf numFmtId="0" fontId="87" fillId="73" borderId="0" applyNumberFormat="0" applyBorder="0" applyAlignment="0" applyProtection="0"/>
    <xf numFmtId="0" fontId="87" fillId="73" borderId="0" applyNumberFormat="0" applyBorder="0" applyAlignment="0" applyProtection="0"/>
    <xf numFmtId="0" fontId="87" fillId="73" borderId="0" applyNumberFormat="0" applyBorder="0" applyAlignment="0" applyProtection="0"/>
    <xf numFmtId="0" fontId="87" fillId="73" borderId="0" applyNumberFormat="0" applyBorder="0" applyAlignment="0" applyProtection="0"/>
    <xf numFmtId="0" fontId="88" fillId="73" borderId="0" applyNumberFormat="0" applyBorder="0" applyAlignment="0" applyProtection="0"/>
    <xf numFmtId="0" fontId="88" fillId="73" borderId="0" applyNumberFormat="0" applyBorder="0" applyAlignment="0" applyProtection="0"/>
    <xf numFmtId="0" fontId="65" fillId="75" borderId="21" applyNumberFormat="0" applyAlignment="0">
      <alignment horizontal="right"/>
    </xf>
    <xf numFmtId="198" fontId="65" fillId="76" borderId="46">
      <alignment horizontal="center" vertical="center"/>
    </xf>
    <xf numFmtId="198" fontId="65" fillId="76" borderId="46">
      <alignment horizontal="center" vertical="center"/>
    </xf>
    <xf numFmtId="0" fontId="29" fillId="0" borderId="0" applyNumberFormat="0" applyFill="0" applyBorder="0" applyAlignment="0">
      <protection locked="0"/>
    </xf>
    <xf numFmtId="199" fontId="89" fillId="0" borderId="0"/>
    <xf numFmtId="37" fontId="90" fillId="0" borderId="0" applyFont="0" applyAlignment="0">
      <alignment horizontal="centerContinuous" vertical="top"/>
    </xf>
    <xf numFmtId="0" fontId="12" fillId="0" borderId="0" applyNumberFormat="0" applyFill="0" applyBorder="0" applyAlignment="0" applyProtection="0"/>
    <xf numFmtId="0" fontId="91" fillId="0" borderId="0" applyNumberFormat="0" applyFill="0" applyBorder="0" applyAlignment="0" applyProtection="0"/>
    <xf numFmtId="200" fontId="92" fillId="0" borderId="0"/>
    <xf numFmtId="200" fontId="92" fillId="0" borderId="0"/>
    <xf numFmtId="200" fontId="92" fillId="0" borderId="0"/>
    <xf numFmtId="0" fontId="74" fillId="0" borderId="0"/>
    <xf numFmtId="3" fontId="93" fillId="14" borderId="0">
      <alignment horizontal="center"/>
      <protection locked="0"/>
    </xf>
    <xf numFmtId="0" fontId="75" fillId="0" borderId="0" applyNumberFormat="0" applyFill="0" applyBorder="0" applyAlignment="0" applyProtection="0"/>
    <xf numFmtId="201" fontId="13" fillId="0" borderId="0" applyFont="0" applyFill="0" applyBorder="0" applyAlignment="0" applyProtection="0"/>
    <xf numFmtId="0" fontId="94" fillId="0" borderId="0" applyNumberFormat="0" applyFill="0" applyBorder="0" applyAlignment="0" applyProtection="0">
      <alignment horizontal="centerContinuous"/>
    </xf>
    <xf numFmtId="0" fontId="95" fillId="35" borderId="0" applyNumberFormat="0" applyBorder="0" applyAlignment="0" applyProtection="0"/>
    <xf numFmtId="0" fontId="96" fillId="35" borderId="0" applyNumberFormat="0" applyBorder="0" applyAlignment="0" applyProtection="0"/>
    <xf numFmtId="0" fontId="97" fillId="70" borderId="0" applyNumberFormat="0" applyBorder="0" applyAlignment="0" applyProtection="0"/>
    <xf numFmtId="0" fontId="98" fillId="35" borderId="0" applyNumberFormat="0" applyBorder="0" applyAlignment="0" applyProtection="0"/>
    <xf numFmtId="0" fontId="96" fillId="35" borderId="0" applyNumberFormat="0" applyBorder="0" applyAlignment="0" applyProtection="0"/>
    <xf numFmtId="0" fontId="98" fillId="35" borderId="0" applyNumberFormat="0" applyBorder="0" applyAlignment="0" applyProtection="0"/>
    <xf numFmtId="0" fontId="99" fillId="18" borderId="47"/>
    <xf numFmtId="0" fontId="100" fillId="0" borderId="0" applyNumberFormat="0" applyBorder="0" applyAlignment="0"/>
    <xf numFmtId="182" fontId="12" fillId="0" borderId="0" applyNumberFormat="0" applyFont="0" applyAlignment="0" applyProtection="0"/>
    <xf numFmtId="182" fontId="12" fillId="0" borderId="0" applyNumberFormat="0" applyFont="0" applyAlignment="0" applyProtection="0"/>
    <xf numFmtId="182" fontId="12" fillId="0" borderId="0" applyNumberFormat="0" applyFont="0" applyAlignment="0" applyProtection="0"/>
    <xf numFmtId="0" fontId="101" fillId="0" borderId="0" applyNumberFormat="0" applyFill="0" applyBorder="0" applyAlignment="0" applyProtection="0"/>
    <xf numFmtId="0" fontId="32" fillId="54" borderId="0" applyNumberFormat="0" applyBorder="0" applyAlignment="0" applyProtection="0"/>
    <xf numFmtId="0" fontId="32" fillId="54" borderId="0" applyNumberFormat="0" applyBorder="0" applyAlignment="0" applyProtection="0"/>
    <xf numFmtId="0" fontId="32" fillId="54" borderId="0" applyNumberFormat="0" applyBorder="0" applyAlignment="0" applyProtection="0"/>
    <xf numFmtId="0" fontId="12" fillId="77" borderId="48" applyNumberFormat="0" applyFont="0" applyAlignment="0" applyProtection="0"/>
    <xf numFmtId="0" fontId="12" fillId="77" borderId="48" applyNumberFormat="0" applyFont="0" applyAlignment="0" applyProtection="0"/>
    <xf numFmtId="0" fontId="12" fillId="77" borderId="48" applyNumberFormat="0" applyFont="0" applyAlignment="0" applyProtection="0"/>
    <xf numFmtId="0" fontId="12" fillId="77" borderId="48" applyNumberFormat="0" applyFont="0" applyAlignment="0" applyProtection="0"/>
    <xf numFmtId="0" fontId="102" fillId="0" borderId="0" applyNumberFormat="0" applyFill="0" applyBorder="0" applyAlignment="0" applyProtection="0"/>
    <xf numFmtId="0" fontId="102" fillId="0" borderId="0" applyNumberFormat="0" applyFill="0" applyBorder="0" applyAlignment="0" applyProtection="0"/>
    <xf numFmtId="0" fontId="102" fillId="0" borderId="0" applyNumberFormat="0" applyFill="0" applyBorder="0" applyAlignment="0" applyProtection="0"/>
    <xf numFmtId="202" fontId="103" fillId="0" borderId="0"/>
    <xf numFmtId="0" fontId="12" fillId="77" borderId="48" applyNumberFormat="0" applyFont="0" applyAlignment="0" applyProtection="0"/>
    <xf numFmtId="0" fontId="104" fillId="0" borderId="0" applyNumberFormat="0" applyFill="0" applyBorder="0" applyAlignment="0" applyProtection="0"/>
    <xf numFmtId="0" fontId="65" fillId="9" borderId="49" applyNumberFormat="0" applyFont="0" applyFill="0" applyAlignment="0" applyProtection="0">
      <alignment horizontal="left" vertical="top"/>
    </xf>
    <xf numFmtId="0" fontId="15" fillId="0" borderId="0" applyNumberFormat="0" applyFont="0" applyBorder="0" applyAlignment="0" applyProtection="0">
      <alignment vertical="top"/>
    </xf>
    <xf numFmtId="0" fontId="15" fillId="0" borderId="50" applyNumberFormat="0" applyFont="0" applyFill="0" applyAlignment="0" applyProtection="0"/>
    <xf numFmtId="0" fontId="12" fillId="0" borderId="51" applyNumberFormat="0" applyFont="0" applyFill="0" applyAlignment="0" applyProtection="0">
      <alignment horizontal="left" vertical="top"/>
    </xf>
    <xf numFmtId="0" fontId="89" fillId="0" borderId="52" applyNumberFormat="0" applyFont="0" applyFill="0" applyAlignment="0" applyProtection="0"/>
    <xf numFmtId="0" fontId="15" fillId="0" borderId="53" applyNumberFormat="0" applyFont="0" applyFill="0" applyAlignment="0" applyProtection="0"/>
    <xf numFmtId="203" fontId="105" fillId="0" borderId="0" applyFont="0" applyFill="0" applyBorder="0" applyAlignment="0" applyProtection="0"/>
    <xf numFmtId="0" fontId="106" fillId="0" borderId="0" applyNumberFormat="0" applyFont="0" applyFill="0" applyBorder="0" applyProtection="0">
      <alignment horizontal="centerContinuous"/>
    </xf>
    <xf numFmtId="0" fontId="77" fillId="0" borderId="0"/>
    <xf numFmtId="0" fontId="107" fillId="0" borderId="0" applyFill="0" applyBorder="0" applyAlignment="0"/>
    <xf numFmtId="204" fontId="108" fillId="0" borderId="0" applyFill="0" applyBorder="0" applyAlignment="0"/>
    <xf numFmtId="204" fontId="108" fillId="0" borderId="0" applyFill="0" applyBorder="0" applyAlignment="0"/>
    <xf numFmtId="204" fontId="108" fillId="0" borderId="0" applyFill="0" applyBorder="0" applyAlignment="0"/>
    <xf numFmtId="205" fontId="108" fillId="0" borderId="0" applyFill="0" applyBorder="0" applyAlignment="0"/>
    <xf numFmtId="205" fontId="108" fillId="0" borderId="0" applyFill="0" applyBorder="0" applyAlignment="0"/>
    <xf numFmtId="205" fontId="108" fillId="0" borderId="0" applyFill="0" applyBorder="0" applyAlignment="0"/>
    <xf numFmtId="0" fontId="108" fillId="0" borderId="0" applyFill="0" applyBorder="0" applyAlignment="0"/>
    <xf numFmtId="0" fontId="108" fillId="0" borderId="0" applyFill="0" applyBorder="0" applyAlignment="0"/>
    <xf numFmtId="0" fontId="108" fillId="0" borderId="0" applyFill="0" applyBorder="0" applyAlignment="0"/>
    <xf numFmtId="0" fontId="108" fillId="0" borderId="0" applyFill="0" applyBorder="0" applyAlignment="0"/>
    <xf numFmtId="0" fontId="108" fillId="0" borderId="0" applyFill="0" applyBorder="0" applyAlignment="0"/>
    <xf numFmtId="0" fontId="108" fillId="0" borderId="0" applyFill="0" applyBorder="0" applyAlignment="0"/>
    <xf numFmtId="206" fontId="107" fillId="0" borderId="0" applyFill="0" applyBorder="0" applyAlignment="0"/>
    <xf numFmtId="0" fontId="12" fillId="0" borderId="0" applyFill="0" applyBorder="0" applyAlignment="0"/>
    <xf numFmtId="0" fontId="12" fillId="0" borderId="0" applyFill="0" applyBorder="0" applyAlignment="0"/>
    <xf numFmtId="0" fontId="12" fillId="0" borderId="0" applyFill="0" applyBorder="0" applyAlignment="0"/>
    <xf numFmtId="0" fontId="12" fillId="0" borderId="0" applyFill="0" applyBorder="0" applyAlignment="0"/>
    <xf numFmtId="204" fontId="108" fillId="0" borderId="0" applyFill="0" applyBorder="0" applyAlignment="0"/>
    <xf numFmtId="204" fontId="108" fillId="0" borderId="0" applyFill="0" applyBorder="0" applyAlignment="0"/>
    <xf numFmtId="204" fontId="108" fillId="0" borderId="0" applyFill="0" applyBorder="0" applyAlignment="0"/>
    <xf numFmtId="207" fontId="12" fillId="0" borderId="21">
      <alignment horizontal="center"/>
    </xf>
    <xf numFmtId="0" fontId="109" fillId="78" borderId="41" applyNumberFormat="0" applyAlignment="0" applyProtection="0"/>
    <xf numFmtId="0" fontId="110" fillId="79" borderId="54" applyNumberFormat="0" applyAlignment="0" applyProtection="0"/>
    <xf numFmtId="0" fontId="111" fillId="78" borderId="41" applyNumberFormat="0" applyAlignment="0" applyProtection="0"/>
    <xf numFmtId="0" fontId="109" fillId="78" borderId="41" applyNumberFormat="0" applyAlignment="0" applyProtection="0"/>
    <xf numFmtId="0" fontId="111" fillId="78" borderId="41" applyNumberFormat="0" applyAlignment="0" applyProtection="0"/>
    <xf numFmtId="208" fontId="89" fillId="80" borderId="0" applyNumberFormat="0" applyFont="0" applyBorder="0" applyAlignment="0"/>
    <xf numFmtId="0" fontId="12" fillId="11" borderId="21">
      <alignment horizontal="center" vertical="center" wrapText="1"/>
      <protection locked="0"/>
    </xf>
    <xf numFmtId="0" fontId="12" fillId="11" borderId="21">
      <alignment horizontal="center" vertical="center" wrapText="1"/>
      <protection locked="0"/>
    </xf>
    <xf numFmtId="0" fontId="12" fillId="11" borderId="21">
      <alignment horizontal="center" vertical="center" wrapText="1"/>
      <protection locked="0"/>
    </xf>
    <xf numFmtId="0" fontId="12" fillId="11" borderId="21">
      <alignment horizontal="center" vertical="center" wrapText="1"/>
      <protection locked="0"/>
    </xf>
    <xf numFmtId="165" fontId="23" fillId="9" borderId="15"/>
    <xf numFmtId="0" fontId="112" fillId="81" borderId="55" applyNumberFormat="0" applyAlignment="0" applyProtection="0"/>
    <xf numFmtId="0" fontId="21" fillId="81" borderId="55" applyNumberFormat="0" applyAlignment="0" applyProtection="0"/>
    <xf numFmtId="0" fontId="113" fillId="69" borderId="55" applyNumberFormat="0" applyAlignment="0" applyProtection="0"/>
    <xf numFmtId="0" fontId="113" fillId="81" borderId="55" applyNumberFormat="0" applyAlignment="0" applyProtection="0"/>
    <xf numFmtId="0" fontId="21" fillId="81" borderId="55" applyNumberFormat="0" applyAlignment="0" applyProtection="0"/>
    <xf numFmtId="0" fontId="113" fillId="81" borderId="55" applyNumberFormat="0" applyAlignment="0" applyProtection="0"/>
    <xf numFmtId="0" fontId="85" fillId="0" borderId="0" applyNumberFormat="0" applyFill="0" applyBorder="0" applyAlignment="0" applyProtection="0"/>
    <xf numFmtId="0" fontId="114" fillId="0" borderId="0" applyNumberFormat="0" applyFill="0" applyBorder="0" applyAlignment="0" applyProtection="0"/>
    <xf numFmtId="0" fontId="115" fillId="0" borderId="0" applyNumberFormat="0" applyFill="0" applyBorder="0" applyAlignment="0" applyProtection="0"/>
    <xf numFmtId="0" fontId="116" fillId="0" borderId="0"/>
    <xf numFmtId="209" fontId="117" fillId="0" borderId="0"/>
    <xf numFmtId="209" fontId="117" fillId="0" borderId="0"/>
    <xf numFmtId="209" fontId="117" fillId="0" borderId="0"/>
    <xf numFmtId="209" fontId="117" fillId="0" borderId="0"/>
    <xf numFmtId="209" fontId="117" fillId="0" borderId="0"/>
    <xf numFmtId="209" fontId="117" fillId="0" borderId="0"/>
    <xf numFmtId="209" fontId="117" fillId="0" borderId="0"/>
    <xf numFmtId="209" fontId="117" fillId="0" borderId="0"/>
    <xf numFmtId="210" fontId="15" fillId="0" borderId="0" applyFont="0" applyFill="0" applyBorder="0" applyAlignment="0" applyProtection="0"/>
    <xf numFmtId="206" fontId="107" fillId="0" borderId="0" applyFont="0" applyFill="0" applyBorder="0" applyAlignment="0" applyProtection="0"/>
    <xf numFmtId="211" fontId="118" fillId="0" borderId="0" applyFont="0" applyFill="0" applyBorder="0" applyAlignment="0" applyProtection="0"/>
    <xf numFmtId="40" fontId="12" fillId="0" borderId="0" applyBorder="0" applyProtection="0"/>
    <xf numFmtId="0" fontId="76" fillId="0" borderId="0" applyFont="0" applyFill="0" applyBorder="0" applyAlignment="0" applyProtection="0">
      <alignment horizontal="right"/>
    </xf>
    <xf numFmtId="37" fontId="15" fillId="0" borderId="0"/>
    <xf numFmtId="0" fontId="76" fillId="0" borderId="0" applyFont="0" applyFill="0" applyBorder="0" applyAlignment="0" applyProtection="0"/>
    <xf numFmtId="0" fontId="76" fillId="0" borderId="0" applyFont="0" applyFill="0" applyBorder="0" applyAlignment="0" applyProtection="0">
      <alignment horizontal="right"/>
    </xf>
    <xf numFmtId="43" fontId="12" fillId="0" borderId="0" applyFont="0" applyFill="0" applyBorder="0" applyAlignment="0" applyProtection="0"/>
    <xf numFmtId="43" fontId="12" fillId="0" borderId="0" applyFont="0" applyFill="0" applyBorder="0" applyAlignment="0" applyProtection="0"/>
    <xf numFmtId="0" fontId="76" fillId="0" borderId="0" applyFont="0" applyFill="0" applyBorder="0" applyAlignment="0" applyProtection="0"/>
    <xf numFmtId="212" fontId="12" fillId="0" borderId="0" applyFont="0" applyFill="0" applyBorder="0" applyAlignment="0" applyProtection="0">
      <alignment horizontal="right"/>
    </xf>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0" fontId="76"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0" fontId="76" fillId="0" borderId="0" applyFont="0" applyFill="0" applyBorder="0" applyAlignment="0" applyProtection="0"/>
    <xf numFmtId="0" fontId="119" fillId="0" borderId="0" applyNumberFormat="0" applyFill="0" applyBorder="0" applyAlignment="0" applyProtection="0"/>
    <xf numFmtId="213" fontId="120" fillId="0" borderId="0" applyFont="0" applyFill="0" applyBorder="0" applyAlignment="0" applyProtection="0"/>
    <xf numFmtId="214" fontId="120" fillId="0" borderId="0" applyFont="0" applyFill="0" applyBorder="0" applyAlignment="0" applyProtection="0"/>
    <xf numFmtId="215" fontId="12" fillId="0" borderId="0" applyFont="0" applyFill="0" applyBorder="0" applyAlignment="0" applyProtection="0"/>
    <xf numFmtId="165" fontId="12" fillId="11" borderId="56"/>
    <xf numFmtId="165" fontId="12" fillId="11" borderId="56"/>
    <xf numFmtId="165" fontId="12" fillId="11" borderId="56"/>
    <xf numFmtId="165" fontId="12" fillId="11" borderId="56"/>
    <xf numFmtId="0" fontId="121" fillId="0" borderId="0">
      <alignment horizontal="left"/>
    </xf>
    <xf numFmtId="0" fontId="122" fillId="0" borderId="0"/>
    <xf numFmtId="0" fontId="123" fillId="0" borderId="0">
      <alignment horizontal="left"/>
    </xf>
    <xf numFmtId="0" fontId="36" fillId="33" borderId="57"/>
    <xf numFmtId="216" fontId="12" fillId="17" borderId="0">
      <alignment horizontal="right"/>
    </xf>
    <xf numFmtId="0" fontId="12" fillId="9" borderId="0"/>
    <xf numFmtId="216" fontId="12" fillId="17" borderId="0">
      <alignment horizontal="right"/>
    </xf>
    <xf numFmtId="0" fontId="12" fillId="9" borderId="0"/>
    <xf numFmtId="216" fontId="12" fillId="17" borderId="0">
      <alignment horizontal="right"/>
    </xf>
    <xf numFmtId="216" fontId="12" fillId="17" borderId="0">
      <alignment horizontal="right"/>
    </xf>
    <xf numFmtId="217" fontId="27" fillId="0" borderId="0">
      <alignment horizontal="center"/>
    </xf>
    <xf numFmtId="0" fontId="27" fillId="0" borderId="0">
      <alignment horizontal="center"/>
    </xf>
    <xf numFmtId="0" fontId="27" fillId="0" borderId="0">
      <alignment horizontal="center"/>
    </xf>
    <xf numFmtId="0" fontId="27" fillId="0" borderId="0">
      <alignment horizontal="center"/>
    </xf>
    <xf numFmtId="218" fontId="64" fillId="0" borderId="0" applyFill="0" applyBorder="0"/>
    <xf numFmtId="218" fontId="64" fillId="0" borderId="0" applyFill="0" applyBorder="0"/>
    <xf numFmtId="218" fontId="64" fillId="0" borderId="0" applyFill="0" applyBorder="0"/>
    <xf numFmtId="218" fontId="64" fillId="0" borderId="0" applyFill="0" applyBorder="0"/>
    <xf numFmtId="15" fontId="12" fillId="0" borderId="0"/>
    <xf numFmtId="15" fontId="12" fillId="0" borderId="0"/>
    <xf numFmtId="15" fontId="12" fillId="0" borderId="0"/>
    <xf numFmtId="15" fontId="12" fillId="0" borderId="0"/>
    <xf numFmtId="217" fontId="12" fillId="82" borderId="0">
      <protection locked="0"/>
    </xf>
    <xf numFmtId="219" fontId="79" fillId="0" borderId="0">
      <alignment horizontal="center"/>
    </xf>
    <xf numFmtId="1" fontId="71" fillId="0" borderId="0">
      <alignment horizontal="center"/>
    </xf>
    <xf numFmtId="219" fontId="79" fillId="0" borderId="0">
      <alignment horizontal="center"/>
    </xf>
    <xf numFmtId="219" fontId="79" fillId="0" borderId="0">
      <alignment horizontal="center"/>
    </xf>
    <xf numFmtId="1" fontId="71" fillId="0" borderId="0">
      <alignment horizontal="center"/>
    </xf>
    <xf numFmtId="0" fontId="65" fillId="9" borderId="0">
      <alignment horizontal="left"/>
    </xf>
    <xf numFmtId="0" fontId="65" fillId="9" borderId="0"/>
    <xf numFmtId="0" fontId="65" fillId="9" borderId="0">
      <alignment horizontal="left"/>
    </xf>
    <xf numFmtId="0" fontId="65" fillId="9" borderId="0">
      <alignment horizontal="left"/>
    </xf>
    <xf numFmtId="0" fontId="65" fillId="9" borderId="0">
      <alignment horizontal="left"/>
    </xf>
    <xf numFmtId="220" fontId="65" fillId="0" borderId="0">
      <alignment horizontal="left"/>
    </xf>
    <xf numFmtId="220" fontId="65" fillId="0" borderId="0"/>
    <xf numFmtId="220" fontId="65" fillId="0" borderId="0">
      <alignment horizontal="left"/>
    </xf>
    <xf numFmtId="220" fontId="65" fillId="0" borderId="0">
      <alignment horizontal="left"/>
    </xf>
    <xf numFmtId="220" fontId="65" fillId="0" borderId="0"/>
    <xf numFmtId="2" fontId="12" fillId="0" borderId="0">
      <alignment horizontal="left"/>
    </xf>
    <xf numFmtId="2" fontId="12" fillId="0" borderId="0">
      <alignment horizontal="center"/>
    </xf>
    <xf numFmtId="2" fontId="12" fillId="0" borderId="0">
      <alignment horizontal="left"/>
    </xf>
    <xf numFmtId="2" fontId="12" fillId="0" borderId="0">
      <alignment horizontal="center"/>
    </xf>
    <xf numFmtId="2" fontId="12" fillId="0" borderId="0">
      <alignment horizontal="left"/>
    </xf>
    <xf numFmtId="2" fontId="12" fillId="0" borderId="0">
      <alignment horizontal="left"/>
    </xf>
    <xf numFmtId="15" fontId="29" fillId="14" borderId="58">
      <alignment horizontal="center"/>
    </xf>
    <xf numFmtId="15" fontId="29" fillId="14" borderId="58">
      <alignment horizontal="center"/>
      <protection locked="0"/>
    </xf>
    <xf numFmtId="15" fontId="29" fillId="14" borderId="58">
      <alignment horizontal="center"/>
    </xf>
    <xf numFmtId="15" fontId="29" fillId="14" borderId="58">
      <alignment horizontal="center"/>
    </xf>
    <xf numFmtId="15" fontId="29" fillId="14" borderId="58">
      <alignment horizontal="center"/>
    </xf>
    <xf numFmtId="172" fontId="29" fillId="14" borderId="58">
      <alignment horizontal="center"/>
    </xf>
    <xf numFmtId="172" fontId="29" fillId="14" borderId="58">
      <alignment horizontal="center"/>
      <protection locked="0"/>
    </xf>
    <xf numFmtId="172" fontId="29" fillId="14" borderId="58">
      <alignment horizontal="center"/>
    </xf>
    <xf numFmtId="172" fontId="29" fillId="14" borderId="58">
      <alignment horizontal="center"/>
    </xf>
    <xf numFmtId="172" fontId="29" fillId="14" borderId="58">
      <alignment horizontal="center"/>
    </xf>
    <xf numFmtId="221" fontId="29" fillId="14" borderId="58">
      <alignment horizontal="center"/>
    </xf>
    <xf numFmtId="221" fontId="29" fillId="14" borderId="58">
      <alignment horizontal="center"/>
      <protection locked="0"/>
    </xf>
    <xf numFmtId="221" fontId="29" fillId="14" borderId="58">
      <alignment horizontal="center"/>
    </xf>
    <xf numFmtId="221" fontId="29" fillId="14" borderId="58">
      <alignment horizontal="center"/>
    </xf>
    <xf numFmtId="221" fontId="29" fillId="14" borderId="58">
      <alignment horizontal="center"/>
    </xf>
    <xf numFmtId="216" fontId="12" fillId="0" borderId="0">
      <alignment horizontal="right"/>
    </xf>
    <xf numFmtId="216" fontId="12" fillId="0" borderId="0">
      <alignment horizontal="right"/>
    </xf>
    <xf numFmtId="216" fontId="12" fillId="0" borderId="0">
      <alignment horizontal="right"/>
    </xf>
    <xf numFmtId="219" fontId="124" fillId="0" borderId="0" applyBorder="0">
      <alignment horizontal="right"/>
    </xf>
    <xf numFmtId="172" fontId="12" fillId="0" borderId="0"/>
    <xf numFmtId="0" fontId="12" fillId="0" borderId="0"/>
    <xf numFmtId="172" fontId="12" fillId="0" borderId="0"/>
    <xf numFmtId="0" fontId="12" fillId="0" borderId="0"/>
    <xf numFmtId="172" fontId="12" fillId="0" borderId="0"/>
    <xf numFmtId="222" fontId="124" fillId="0" borderId="0"/>
    <xf numFmtId="216" fontId="65" fillId="0" borderId="59">
      <alignment horizontal="right"/>
    </xf>
    <xf numFmtId="0" fontId="12" fillId="0" borderId="0"/>
    <xf numFmtId="0" fontId="12" fillId="0" borderId="0"/>
    <xf numFmtId="216" fontId="65" fillId="0" borderId="59">
      <alignment horizontal="right"/>
    </xf>
    <xf numFmtId="223" fontId="12" fillId="0" borderId="0">
      <alignment horizontal="left"/>
    </xf>
    <xf numFmtId="0" fontId="12" fillId="0" borderId="0">
      <alignment horizontal="left"/>
    </xf>
    <xf numFmtId="0" fontId="12" fillId="0" borderId="0">
      <alignment horizontal="left"/>
    </xf>
    <xf numFmtId="223" fontId="12" fillId="0" borderId="0">
      <alignment horizontal="left"/>
    </xf>
    <xf numFmtId="216" fontId="65" fillId="0" borderId="60">
      <alignment horizontal="right"/>
    </xf>
    <xf numFmtId="0" fontId="12" fillId="0" borderId="0"/>
    <xf numFmtId="0" fontId="12" fillId="0" borderId="0"/>
    <xf numFmtId="216" fontId="65" fillId="0" borderId="60">
      <alignment horizontal="right"/>
    </xf>
    <xf numFmtId="0" fontId="12" fillId="82" borderId="0"/>
    <xf numFmtId="0" fontId="12" fillId="0" borderId="0"/>
    <xf numFmtId="0" fontId="12" fillId="82" borderId="0"/>
    <xf numFmtId="0" fontId="12" fillId="0" borderId="0"/>
    <xf numFmtId="0" fontId="12" fillId="82" borderId="0"/>
    <xf numFmtId="0" fontId="12" fillId="82" borderId="0"/>
    <xf numFmtId="0" fontId="74" fillId="0" borderId="43" applyNumberFormat="0" applyFont="0" applyFill="0" applyProtection="0">
      <alignment horizontal="centerContinuous"/>
    </xf>
    <xf numFmtId="224" fontId="89" fillId="0" borderId="0" applyFont="0" applyFill="0" applyBorder="0" applyAlignment="0" applyProtection="0">
      <protection locked="0"/>
    </xf>
    <xf numFmtId="225" fontId="89" fillId="0" borderId="0" applyFont="0" applyFill="0" applyBorder="0" applyAlignment="0" applyProtection="0">
      <protection locked="0"/>
    </xf>
    <xf numFmtId="173" fontId="125" fillId="0" borderId="0" applyFill="0" applyBorder="0">
      <protection locked="0"/>
    </xf>
    <xf numFmtId="204" fontId="108" fillId="0" borderId="0" applyFont="0" applyFill="0" applyBorder="0" applyAlignment="0" applyProtection="0"/>
    <xf numFmtId="204" fontId="108" fillId="0" borderId="0" applyFont="0" applyFill="0" applyBorder="0" applyAlignment="0" applyProtection="0"/>
    <xf numFmtId="226" fontId="126" fillId="0" borderId="0" applyFont="0" applyFill="0" applyBorder="0" applyAlignment="0" applyProtection="0"/>
    <xf numFmtId="227" fontId="127" fillId="0" borderId="61">
      <protection locked="0"/>
    </xf>
    <xf numFmtId="228" fontId="12" fillId="0" borderId="0" applyFill="0" applyBorder="0">
      <protection locked="0"/>
    </xf>
    <xf numFmtId="228" fontId="12" fillId="0" borderId="0" applyFill="0" applyBorder="0"/>
    <xf numFmtId="0" fontId="76" fillId="0" borderId="0" applyFont="0" applyFill="0" applyBorder="0" applyAlignment="0" applyProtection="0">
      <alignment horizontal="right"/>
    </xf>
    <xf numFmtId="0" fontId="76" fillId="0" borderId="0" applyFont="0" applyFill="0" applyBorder="0" applyAlignment="0" applyProtection="0">
      <alignment horizontal="right"/>
    </xf>
    <xf numFmtId="229" fontId="76" fillId="0" borderId="0" applyFont="0" applyFill="0" applyBorder="0" applyAlignment="0" applyProtection="0"/>
    <xf numFmtId="0" fontId="76" fillId="0" borderId="0" applyFont="0" applyFill="0" applyBorder="0" applyAlignment="0" applyProtection="0">
      <alignment horizontal="right"/>
    </xf>
    <xf numFmtId="0" fontId="76" fillId="0" borderId="0" applyFont="0" applyFill="0" applyBorder="0" applyAlignment="0" applyProtection="0"/>
    <xf numFmtId="0" fontId="119" fillId="0" borderId="0" applyNumberFormat="0" applyFill="0" applyBorder="0" applyAlignment="0" applyProtection="0"/>
    <xf numFmtId="230" fontId="85" fillId="0" borderId="0" applyFill="0" applyBorder="0" applyProtection="0">
      <alignment vertical="center"/>
    </xf>
    <xf numFmtId="231" fontId="91" fillId="0" borderId="37"/>
    <xf numFmtId="0" fontId="128" fillId="0" borderId="0"/>
    <xf numFmtId="0" fontId="129" fillId="33" borderId="0" applyNumberFormat="0">
      <alignment horizontal="center" vertical="top" wrapText="1"/>
    </xf>
    <xf numFmtId="232" fontId="12" fillId="83" borderId="0" applyNumberFormat="0"/>
    <xf numFmtId="233" fontId="21" fillId="9" borderId="62">
      <alignment horizontal="center"/>
    </xf>
    <xf numFmtId="208" fontId="89" fillId="0" borderId="0" applyFont="0" applyFill="0" applyBorder="0" applyProtection="0">
      <alignment horizontal="right"/>
    </xf>
    <xf numFmtId="0" fontId="76" fillId="0" borderId="0" applyFont="0" applyFill="0" applyBorder="0" applyAlignment="0" applyProtection="0"/>
    <xf numFmtId="0" fontId="76" fillId="0" borderId="0" applyFont="0" applyFill="0" applyBorder="0" applyAlignment="0" applyProtection="0"/>
    <xf numFmtId="234" fontId="12" fillId="0" borderId="0" applyFont="0" applyFill="0" applyBorder="0" applyAlignment="0" applyProtection="0"/>
    <xf numFmtId="14" fontId="15" fillId="0" borderId="0" applyFill="0" applyBorder="0" applyAlignment="0"/>
    <xf numFmtId="15" fontId="125" fillId="0" borderId="0" applyFill="0" applyBorder="0">
      <protection locked="0"/>
    </xf>
    <xf numFmtId="0" fontId="85" fillId="84" borderId="0" applyNumberFormat="0" applyFont="0" applyFill="0" applyBorder="0"/>
    <xf numFmtId="4" fontId="65" fillId="1" borderId="63">
      <alignment horizontal="right"/>
    </xf>
    <xf numFmtId="0" fontId="130" fillId="0" borderId="0">
      <alignment horizontal="right"/>
    </xf>
    <xf numFmtId="235" fontId="29" fillId="0" borderId="0" applyFont="0" applyFill="0" applyBorder="0" applyAlignment="0" applyProtection="0">
      <alignment vertical="top"/>
    </xf>
    <xf numFmtId="236" fontId="131" fillId="0" borderId="0" applyFont="0" applyFill="0" applyBorder="0" applyAlignment="0" applyProtection="0"/>
    <xf numFmtId="237" fontId="12" fillId="0" borderId="0" applyFont="0" applyFill="0" applyBorder="0" applyAlignment="0" applyProtection="0">
      <alignment horizontal="right"/>
    </xf>
    <xf numFmtId="1" fontId="75" fillId="0" borderId="0" applyFont="0" applyFill="0" applyBorder="0" applyAlignment="0" applyProtection="0">
      <alignment horizontal="right"/>
    </xf>
    <xf numFmtId="1" fontId="92" fillId="0" borderId="0" applyFill="0" applyBorder="0">
      <alignment horizontal="right"/>
    </xf>
    <xf numFmtId="2" fontId="92" fillId="0" borderId="0" applyFill="0" applyBorder="0">
      <alignment horizontal="right"/>
    </xf>
    <xf numFmtId="2" fontId="125" fillId="0" borderId="0" applyFill="0" applyBorder="0">
      <protection locked="0"/>
    </xf>
    <xf numFmtId="238" fontId="92" fillId="0" borderId="0" applyFill="0" applyBorder="0">
      <alignment horizontal="right"/>
    </xf>
    <xf numFmtId="238" fontId="125" fillId="0" borderId="0" applyFill="0" applyBorder="0">
      <protection locked="0"/>
    </xf>
    <xf numFmtId="37" fontId="12" fillId="0" borderId="0"/>
    <xf numFmtId="165" fontId="12" fillId="11" borderId="64"/>
    <xf numFmtId="165" fontId="12" fillId="11" borderId="64"/>
    <xf numFmtId="165" fontId="12" fillId="11" borderId="64"/>
    <xf numFmtId="0" fontId="24" fillId="0" borderId="0"/>
    <xf numFmtId="0" fontId="24" fillId="0" borderId="0"/>
    <xf numFmtId="0" fontId="132" fillId="0" borderId="0"/>
    <xf numFmtId="0" fontId="74" fillId="85" borderId="0" applyNumberFormat="0" applyBorder="0" applyAlignment="0"/>
    <xf numFmtId="0" fontId="133" fillId="11" borderId="21">
      <alignment vertical="top" wrapText="1"/>
      <protection locked="0"/>
    </xf>
    <xf numFmtId="174" fontId="12" fillId="0" borderId="0" applyFont="0" applyFill="0" applyBorder="0" applyAlignment="0" applyProtection="0"/>
    <xf numFmtId="43" fontId="134" fillId="0" borderId="0" applyFont="0" applyFill="0" applyBorder="0" applyAlignment="0" applyProtection="0"/>
    <xf numFmtId="49" fontId="70" fillId="0" borderId="0"/>
    <xf numFmtId="0" fontId="12" fillId="0" borderId="0"/>
    <xf numFmtId="0" fontId="12" fillId="0" borderId="0"/>
    <xf numFmtId="0" fontId="12" fillId="0" borderId="0"/>
    <xf numFmtId="208" fontId="135" fillId="0" borderId="0" applyFont="0" applyFill="0" applyBorder="0" applyAlignment="0" applyProtection="0"/>
    <xf numFmtId="0" fontId="76" fillId="0" borderId="65" applyNumberFormat="0" applyFont="0" applyFill="0" applyAlignment="0" applyProtection="0"/>
    <xf numFmtId="239" fontId="136" fillId="0" borderId="0" applyFill="0" applyBorder="0" applyAlignment="0" applyProtection="0"/>
    <xf numFmtId="240" fontId="137" fillId="0" borderId="59" applyNumberFormat="0" applyBorder="0"/>
    <xf numFmtId="0" fontId="25" fillId="86" borderId="16" applyNumberFormat="0">
      <alignment horizontal="center"/>
    </xf>
    <xf numFmtId="0" fontId="25" fillId="11" borderId="16" applyNumberFormat="0">
      <alignment horizontal="center"/>
      <protection locked="0"/>
    </xf>
    <xf numFmtId="0" fontId="25" fillId="11" borderId="16">
      <alignment horizontal="center"/>
      <protection locked="0"/>
    </xf>
    <xf numFmtId="0" fontId="138" fillId="87" borderId="0" applyNumberFormat="0" applyBorder="0" applyAlignment="0" applyProtection="0"/>
    <xf numFmtId="0" fontId="138" fillId="88" borderId="0" applyNumberFormat="0" applyBorder="0" applyAlignment="0" applyProtection="0"/>
    <xf numFmtId="0" fontId="138" fillId="89" borderId="0" applyNumberFormat="0" applyBorder="0" applyAlignment="0" applyProtection="0"/>
    <xf numFmtId="0" fontId="138" fillId="90" borderId="0" applyNumberFormat="0" applyBorder="0" applyAlignment="0" applyProtection="0"/>
    <xf numFmtId="0" fontId="138" fillId="91" borderId="0" applyNumberFormat="0" applyBorder="0" applyAlignment="0" applyProtection="0"/>
    <xf numFmtId="206" fontId="107" fillId="0" borderId="0" applyFill="0" applyBorder="0" applyAlignment="0"/>
    <xf numFmtId="204" fontId="108" fillId="0" borderId="0" applyFill="0" applyBorder="0" applyAlignment="0"/>
    <xf numFmtId="204" fontId="108" fillId="0" borderId="0" applyFill="0" applyBorder="0" applyAlignment="0"/>
    <xf numFmtId="204" fontId="108" fillId="0" borderId="0" applyFill="0" applyBorder="0" applyAlignment="0"/>
    <xf numFmtId="206" fontId="107" fillId="0" borderId="0" applyFill="0" applyBorder="0" applyAlignment="0"/>
    <xf numFmtId="0" fontId="12" fillId="0" borderId="0" applyFill="0" applyBorder="0" applyAlignment="0"/>
    <xf numFmtId="0" fontId="12" fillId="0" borderId="0" applyFill="0" applyBorder="0" applyAlignment="0"/>
    <xf numFmtId="0" fontId="12" fillId="0" borderId="0" applyFill="0" applyBorder="0" applyAlignment="0"/>
    <xf numFmtId="0" fontId="12" fillId="0" borderId="0" applyFill="0" applyBorder="0" applyAlignment="0"/>
    <xf numFmtId="204" fontId="108" fillId="0" borderId="0" applyFill="0" applyBorder="0" applyAlignment="0"/>
    <xf numFmtId="204" fontId="108" fillId="0" borderId="0" applyFill="0" applyBorder="0" applyAlignment="0"/>
    <xf numFmtId="204" fontId="108" fillId="0" borderId="0" applyFill="0" applyBorder="0" applyAlignment="0"/>
    <xf numFmtId="0" fontId="89" fillId="92" borderId="17" applyNumberFormat="0" applyFont="0" applyAlignment="0">
      <protection locked="0"/>
    </xf>
    <xf numFmtId="0" fontId="131" fillId="9" borderId="34">
      <alignment vertical="top"/>
      <protection locked="0"/>
    </xf>
    <xf numFmtId="241" fontId="12" fillId="0" borderId="0" applyFont="0" applyFill="0" applyBorder="0" applyAlignment="0" applyProtection="0"/>
    <xf numFmtId="241" fontId="12" fillId="0" borderId="0" applyFont="0" applyFill="0" applyBorder="0" applyAlignment="0" applyProtection="0"/>
    <xf numFmtId="241" fontId="12" fillId="0" borderId="0" applyFont="0" applyFill="0" applyBorder="0" applyAlignment="0" applyProtection="0"/>
    <xf numFmtId="241" fontId="12" fillId="0" borderId="0" applyFont="0" applyFill="0" applyBorder="0" applyAlignment="0" applyProtection="0"/>
    <xf numFmtId="242" fontId="75" fillId="0" borderId="0" applyFont="0" applyFill="0" applyBorder="0" applyAlignment="0" applyProtection="0"/>
    <xf numFmtId="0" fontId="139" fillId="0" borderId="0" applyNumberFormat="0" applyFill="0" applyBorder="0" applyAlignment="0" applyProtection="0"/>
    <xf numFmtId="0" fontId="140" fillId="0" borderId="0" applyNumberFormat="0" applyFill="0" applyBorder="0" applyAlignment="0" applyProtection="0"/>
    <xf numFmtId="0" fontId="141" fillId="0" borderId="0" applyNumberFormat="0" applyFill="0" applyBorder="0" applyAlignment="0" applyProtection="0"/>
    <xf numFmtId="0" fontId="140" fillId="0" borderId="0" applyNumberFormat="0" applyFill="0" applyBorder="0" applyAlignment="0" applyProtection="0"/>
    <xf numFmtId="0" fontId="141" fillId="0" borderId="0" applyNumberFormat="0" applyFill="0" applyBorder="0" applyAlignment="0" applyProtection="0"/>
    <xf numFmtId="165" fontId="12" fillId="12" borderId="15"/>
    <xf numFmtId="165" fontId="12" fillId="12" borderId="15"/>
    <xf numFmtId="165" fontId="12" fillId="12" borderId="15"/>
    <xf numFmtId="243" fontId="12" fillId="0" borderId="0" applyFont="0" applyFill="0" applyBorder="0">
      <alignment horizontal="left"/>
    </xf>
    <xf numFmtId="38" fontId="108" fillId="0" borderId="0"/>
    <xf numFmtId="182" fontId="75" fillId="0" borderId="0" applyFont="0" applyFill="0" applyBorder="0" applyAlignment="0" applyProtection="0">
      <alignment horizontal="right"/>
    </xf>
    <xf numFmtId="244" fontId="124" fillId="0" borderId="0">
      <alignment horizontal="center"/>
    </xf>
    <xf numFmtId="245" fontId="75" fillId="0" borderId="0">
      <protection locked="0"/>
    </xf>
    <xf numFmtId="0" fontId="142" fillId="0" borderId="0">
      <alignment horizontal="left"/>
    </xf>
    <xf numFmtId="0" fontId="143" fillId="0" borderId="0">
      <alignment horizontal="left"/>
    </xf>
    <xf numFmtId="0" fontId="144" fillId="0" borderId="0" applyFill="0" applyBorder="0" applyProtection="0">
      <alignment horizontal="left"/>
    </xf>
    <xf numFmtId="0" fontId="144" fillId="0" borderId="0" applyNumberFormat="0" applyFill="0" applyBorder="0" applyProtection="0">
      <alignment horizontal="left"/>
    </xf>
    <xf numFmtId="0" fontId="89" fillId="0" borderId="0" applyFill="0" applyBorder="0" applyProtection="0">
      <alignment horizontal="left"/>
    </xf>
    <xf numFmtId="0" fontId="145" fillId="0" borderId="0" applyNumberFormat="0" applyFill="0" applyBorder="0" applyAlignment="0" applyProtection="0"/>
    <xf numFmtId="0" fontId="146" fillId="9" borderId="0"/>
    <xf numFmtId="37" fontId="93" fillId="9" borderId="0" applyNumberFormat="0" applyBorder="0" applyAlignment="0" applyProtection="0"/>
    <xf numFmtId="38" fontId="12" fillId="11" borderId="0">
      <alignment vertical="top"/>
    </xf>
    <xf numFmtId="38" fontId="12" fillId="11" borderId="0">
      <alignment vertical="top"/>
    </xf>
    <xf numFmtId="38" fontId="12" fillId="11" borderId="0">
      <alignment vertical="top"/>
    </xf>
    <xf numFmtId="38" fontId="12" fillId="11" borderId="0">
      <alignment vertical="top"/>
    </xf>
    <xf numFmtId="165" fontId="12" fillId="9" borderId="15"/>
    <xf numFmtId="165" fontId="12" fillId="9" borderId="15"/>
    <xf numFmtId="165" fontId="12" fillId="9" borderId="15"/>
    <xf numFmtId="246" fontId="12" fillId="0" borderId="0"/>
    <xf numFmtId="246" fontId="29" fillId="0" borderId="21"/>
    <xf numFmtId="0" fontId="74" fillId="0" borderId="0" applyFont="0" applyFill="0" applyBorder="0" applyAlignment="0" applyProtection="0"/>
    <xf numFmtId="0" fontId="74" fillId="0" borderId="0" applyFont="0" applyFill="0" applyBorder="0" applyAlignment="0" applyProtection="0"/>
    <xf numFmtId="232" fontId="12" fillId="0" borderId="62" applyNumberFormat="0">
      <alignment horizontal="right"/>
    </xf>
    <xf numFmtId="0" fontId="147" fillId="36" borderId="0" applyNumberFormat="0" applyBorder="0" applyAlignment="0" applyProtection="0"/>
    <xf numFmtId="0" fontId="25" fillId="36" borderId="0" applyNumberFormat="0" applyBorder="0" applyAlignment="0" applyProtection="0"/>
    <xf numFmtId="0" fontId="26" fillId="65" borderId="0" applyNumberFormat="0" applyBorder="0" applyAlignment="0" applyProtection="0"/>
    <xf numFmtId="0" fontId="148" fillId="36" borderId="0" applyNumberFormat="0" applyBorder="0" applyAlignment="0" applyProtection="0"/>
    <xf numFmtId="0" fontId="25" fillId="36" borderId="0" applyNumberFormat="0" applyBorder="0" applyAlignment="0" applyProtection="0"/>
    <xf numFmtId="0" fontId="148" fillId="36" borderId="0" applyNumberFormat="0" applyBorder="0" applyAlignment="0" applyProtection="0"/>
    <xf numFmtId="37" fontId="149" fillId="0" borderId="0" applyNumberFormat="0" applyFill="0" applyBorder="0" applyAlignment="0" applyProtection="0"/>
    <xf numFmtId="38" fontId="85" fillId="9" borderId="0" applyNumberFormat="0" applyBorder="0" applyAlignment="0" applyProtection="0"/>
    <xf numFmtId="229" fontId="79" fillId="84" borderId="0" applyNumberFormat="0" applyFill="0" applyBorder="0"/>
    <xf numFmtId="0" fontId="24" fillId="0" borderId="0" applyNumberFormat="0" applyFill="0" applyBorder="0">
      <alignment horizontal="right"/>
    </xf>
    <xf numFmtId="9" fontId="29" fillId="14" borderId="0">
      <alignment horizontal="right"/>
      <protection locked="0"/>
    </xf>
    <xf numFmtId="247" fontId="150" fillId="11" borderId="21" applyNumberFormat="0" applyFont="0" applyAlignment="0"/>
    <xf numFmtId="0" fontId="76" fillId="0" borderId="0" applyFont="0" applyFill="0" applyBorder="0" applyAlignment="0" applyProtection="0">
      <alignment horizontal="right"/>
    </xf>
    <xf numFmtId="0" fontId="12" fillId="93" borderId="0"/>
    <xf numFmtId="0" fontId="151" fillId="0" borderId="0" applyProtection="0">
      <alignment horizontal="right"/>
    </xf>
    <xf numFmtId="0" fontId="65" fillId="18" borderId="27">
      <alignment vertical="center"/>
    </xf>
    <xf numFmtId="0" fontId="152" fillId="0" borderId="0">
      <alignment horizontal="left"/>
    </xf>
    <xf numFmtId="0" fontId="153" fillId="21" borderId="0" applyNumberFormat="0" applyProtection="0"/>
    <xf numFmtId="0" fontId="151" fillId="0" borderId="0" applyProtection="0">
      <alignment horizontal="right"/>
    </xf>
    <xf numFmtId="0" fontId="33" fillId="0" borderId="66" applyNumberFormat="0" applyAlignment="0" applyProtection="0">
      <alignment horizontal="left" vertical="center"/>
    </xf>
    <xf numFmtId="0" fontId="33" fillId="0" borderId="27">
      <alignment horizontal="left" vertical="center"/>
    </xf>
    <xf numFmtId="0" fontId="154" fillId="0" borderId="43">
      <alignment horizontal="center"/>
    </xf>
    <xf numFmtId="0" fontId="155" fillId="0" borderId="67" applyNumberFormat="0" applyFill="0" applyAlignment="0" applyProtection="0"/>
    <xf numFmtId="0" fontId="156" fillId="0" borderId="68" applyNumberFormat="0" applyFill="0" applyAlignment="0" applyProtection="0"/>
    <xf numFmtId="0" fontId="157" fillId="0" borderId="67" applyNumberFormat="0" applyFill="0" applyAlignment="0" applyProtection="0"/>
    <xf numFmtId="0" fontId="157" fillId="0" borderId="67" applyNumberFormat="0" applyFill="0" applyAlignment="0" applyProtection="0"/>
    <xf numFmtId="0" fontId="158" fillId="0" borderId="0">
      <alignment horizontal="left"/>
    </xf>
    <xf numFmtId="0" fontId="159" fillId="0" borderId="37">
      <alignment horizontal="left" vertical="top"/>
    </xf>
    <xf numFmtId="0" fontId="160" fillId="0" borderId="69" applyNumberFormat="0" applyFill="0" applyAlignment="0" applyProtection="0"/>
    <xf numFmtId="0" fontId="161" fillId="0" borderId="70" applyNumberFormat="0" applyFill="0" applyAlignment="0" applyProtection="0"/>
    <xf numFmtId="0" fontId="162" fillId="0" borderId="69" applyNumberFormat="0" applyFill="0" applyAlignment="0" applyProtection="0"/>
    <xf numFmtId="0" fontId="162" fillId="0" borderId="69" applyNumberFormat="0" applyFill="0" applyAlignment="0" applyProtection="0"/>
    <xf numFmtId="0" fontId="163" fillId="0" borderId="37">
      <alignment horizontal="left" vertical="top"/>
    </xf>
    <xf numFmtId="0" fontId="164" fillId="0" borderId="71" applyNumberFormat="0" applyFill="0" applyAlignment="0" applyProtection="0"/>
    <xf numFmtId="0" fontId="165" fillId="0" borderId="72" applyNumberFormat="0" applyFill="0" applyAlignment="0" applyProtection="0"/>
    <xf numFmtId="0" fontId="166" fillId="0" borderId="71" applyNumberFormat="0" applyFill="0" applyAlignment="0" applyProtection="0"/>
    <xf numFmtId="0" fontId="166" fillId="0" borderId="71" applyNumberFormat="0" applyFill="0" applyAlignment="0" applyProtection="0"/>
    <xf numFmtId="0" fontId="164" fillId="0" borderId="0" applyNumberFormat="0" applyFill="0" applyBorder="0" applyAlignment="0" applyProtection="0"/>
    <xf numFmtId="0" fontId="165" fillId="0" borderId="0" applyNumberFormat="0" applyFill="0" applyBorder="0" applyAlignment="0" applyProtection="0"/>
    <xf numFmtId="0" fontId="166" fillId="0" borderId="0" applyNumberFormat="0" applyFill="0" applyBorder="0" applyAlignment="0" applyProtection="0"/>
    <xf numFmtId="0" fontId="166" fillId="0" borderId="0" applyNumberFormat="0" applyFill="0" applyBorder="0" applyAlignment="0" applyProtection="0"/>
    <xf numFmtId="0" fontId="167" fillId="0" borderId="0"/>
    <xf numFmtId="0" fontId="168" fillId="0" borderId="0" applyNumberFormat="0" applyFill="0" applyBorder="0" applyAlignment="0" applyProtection="0">
      <alignment horizontal="center"/>
    </xf>
    <xf numFmtId="0" fontId="169" fillId="0" borderId="0" applyNumberFormat="0" applyFill="0" applyBorder="0" applyAlignment="0" applyProtection="0"/>
    <xf numFmtId="0" fontId="170" fillId="0" borderId="0">
      <alignment vertical="center" wrapText="1"/>
      <protection hidden="1"/>
    </xf>
    <xf numFmtId="0" fontId="171" fillId="0" borderId="0"/>
    <xf numFmtId="0" fontId="12" fillId="0" borderId="0">
      <alignment horizontal="center"/>
    </xf>
    <xf numFmtId="10" fontId="85" fillId="11" borderId="21" applyNumberFormat="0" applyBorder="0" applyAlignment="0" applyProtection="0"/>
    <xf numFmtId="0" fontId="172" fillId="39" borderId="41" applyNumberFormat="0" applyAlignment="0" applyProtection="0"/>
    <xf numFmtId="0" fontId="172" fillId="39" borderId="41" applyNumberFormat="0" applyAlignment="0" applyProtection="0"/>
    <xf numFmtId="0" fontId="172" fillId="39" borderId="41" applyNumberFormat="0" applyAlignment="0" applyProtection="0"/>
    <xf numFmtId="0" fontId="172" fillId="39" borderId="41" applyNumberFormat="0" applyAlignment="0" applyProtection="0"/>
    <xf numFmtId="0" fontId="172" fillId="39" borderId="41" applyNumberFormat="0" applyAlignment="0" applyProtection="0"/>
    <xf numFmtId="0" fontId="172" fillId="39" borderId="41" applyNumberFormat="0" applyAlignment="0" applyProtection="0"/>
    <xf numFmtId="0" fontId="172" fillId="39" borderId="41" applyNumberFormat="0" applyAlignment="0" applyProtection="0"/>
    <xf numFmtId="0" fontId="172" fillId="39" borderId="41" applyNumberFormat="0" applyAlignment="0" applyProtection="0"/>
    <xf numFmtId="0" fontId="172" fillId="39" borderId="41" applyNumberFormat="0" applyAlignment="0" applyProtection="0"/>
    <xf numFmtId="0" fontId="172" fillId="39" borderId="41" applyNumberFormat="0" applyAlignment="0" applyProtection="0"/>
    <xf numFmtId="0" fontId="19" fillId="39" borderId="41" applyNumberFormat="0" applyAlignment="0" applyProtection="0"/>
    <xf numFmtId="0" fontId="103" fillId="39" borderId="41" applyNumberFormat="0" applyAlignment="0" applyProtection="0"/>
    <xf numFmtId="0" fontId="173" fillId="71" borderId="54" applyNumberFormat="0" applyAlignment="0" applyProtection="0"/>
    <xf numFmtId="0" fontId="103" fillId="39" borderId="41" applyNumberFormat="0" applyAlignment="0" applyProtection="0"/>
    <xf numFmtId="0" fontId="172" fillId="39" borderId="41" applyNumberFormat="0" applyAlignment="0" applyProtection="0"/>
    <xf numFmtId="0" fontId="172" fillId="39" borderId="41" applyNumberFormat="0" applyAlignment="0" applyProtection="0"/>
    <xf numFmtId="0" fontId="172" fillId="39" borderId="41" applyNumberFormat="0" applyAlignment="0" applyProtection="0"/>
    <xf numFmtId="0" fontId="172" fillId="39" borderId="41" applyNumberFormat="0" applyAlignment="0" applyProtection="0"/>
    <xf numFmtId="0" fontId="172" fillId="39" borderId="41" applyNumberFormat="0" applyAlignment="0" applyProtection="0"/>
    <xf numFmtId="0" fontId="172" fillId="39" borderId="41" applyNumberFormat="0" applyAlignment="0" applyProtection="0"/>
    <xf numFmtId="0" fontId="19" fillId="39" borderId="41" applyNumberFormat="0" applyAlignment="0" applyProtection="0"/>
    <xf numFmtId="0" fontId="172" fillId="39" borderId="41" applyNumberFormat="0" applyAlignment="0" applyProtection="0"/>
    <xf numFmtId="0" fontId="172" fillId="39" borderId="41" applyNumberFormat="0" applyAlignment="0" applyProtection="0"/>
    <xf numFmtId="0" fontId="172" fillId="39" borderId="41" applyNumberFormat="0" applyAlignment="0" applyProtection="0"/>
    <xf numFmtId="0" fontId="103" fillId="39" borderId="41" applyNumberFormat="0" applyAlignment="0" applyProtection="0"/>
    <xf numFmtId="0" fontId="103" fillId="39" borderId="41" applyNumberFormat="0" applyAlignment="0" applyProtection="0"/>
    <xf numFmtId="0" fontId="172" fillId="39" borderId="41" applyNumberFormat="0" applyAlignment="0" applyProtection="0"/>
    <xf numFmtId="0" fontId="172" fillId="39" borderId="41" applyNumberFormat="0" applyAlignment="0" applyProtection="0"/>
    <xf numFmtId="0" fontId="103" fillId="39" borderId="41" applyNumberFormat="0" applyAlignment="0" applyProtection="0"/>
    <xf numFmtId="0" fontId="103" fillId="39" borderId="41" applyNumberFormat="0" applyAlignment="0" applyProtection="0"/>
    <xf numFmtId="0" fontId="103" fillId="39" borderId="41" applyNumberFormat="0" applyAlignment="0" applyProtection="0"/>
    <xf numFmtId="0" fontId="103" fillId="39" borderId="41" applyNumberFormat="0" applyAlignment="0" applyProtection="0"/>
    <xf numFmtId="0" fontId="103" fillId="39" borderId="41" applyNumberFormat="0" applyAlignment="0" applyProtection="0"/>
    <xf numFmtId="0" fontId="103" fillId="39" borderId="41" applyNumberFormat="0" applyAlignment="0" applyProtection="0"/>
    <xf numFmtId="0" fontId="172" fillId="39" borderId="41" applyNumberFormat="0" applyAlignment="0" applyProtection="0"/>
    <xf numFmtId="0" fontId="172" fillId="39" borderId="41" applyNumberFormat="0" applyAlignment="0" applyProtection="0"/>
    <xf numFmtId="0" fontId="73" fillId="86" borderId="15" applyNumberFormat="0" applyAlignment="0"/>
    <xf numFmtId="0" fontId="73" fillId="86" borderId="15" applyNumberFormat="0" applyAlignment="0"/>
    <xf numFmtId="0" fontId="73" fillId="86" borderId="15" applyNumberFormat="0" applyAlignment="0"/>
    <xf numFmtId="165" fontId="12" fillId="11" borderId="15">
      <protection locked="0"/>
    </xf>
    <xf numFmtId="165" fontId="12" fillId="11" borderId="15">
      <protection locked="0"/>
    </xf>
    <xf numFmtId="165" fontId="12" fillId="11" borderId="15">
      <protection locked="0"/>
    </xf>
    <xf numFmtId="0" fontId="85" fillId="0" borderId="73" applyNumberFormat="0" applyBorder="0"/>
    <xf numFmtId="38" fontId="174" fillId="0" borderId="0"/>
    <xf numFmtId="38" fontId="175" fillId="0" borderId="0"/>
    <xf numFmtId="38" fontId="176" fillId="0" borderId="0"/>
    <xf numFmtId="38" fontId="177" fillId="0" borderId="0"/>
    <xf numFmtId="0" fontId="178" fillId="0" borderId="0"/>
    <xf numFmtId="0" fontId="178" fillId="0" borderId="0"/>
    <xf numFmtId="0" fontId="179" fillId="0" borderId="0" applyNumberFormat="0">
      <alignment horizontal="left"/>
    </xf>
    <xf numFmtId="0" fontId="180" fillId="94" borderId="74" applyNumberFormat="0" applyBorder="0" applyAlignment="0">
      <alignment wrapText="1"/>
    </xf>
    <xf numFmtId="0" fontId="181" fillId="9" borderId="0" applyNumberFormat="0">
      <alignment horizontal="center" vertical="top" wrapText="1"/>
    </xf>
    <xf numFmtId="206" fontId="107" fillId="0" borderId="0" applyFill="0" applyBorder="0" applyAlignment="0"/>
    <xf numFmtId="204" fontId="108" fillId="0" borderId="0" applyFill="0" applyBorder="0" applyAlignment="0"/>
    <xf numFmtId="204" fontId="108" fillId="0" borderId="0" applyFill="0" applyBorder="0" applyAlignment="0"/>
    <xf numFmtId="204" fontId="108" fillId="0" borderId="0" applyFill="0" applyBorder="0" applyAlignment="0"/>
    <xf numFmtId="206" fontId="107" fillId="0" borderId="0" applyFill="0" applyBorder="0" applyAlignment="0"/>
    <xf numFmtId="0" fontId="12" fillId="0" borderId="0" applyFill="0" applyBorder="0" applyAlignment="0"/>
    <xf numFmtId="0" fontId="12" fillId="0" borderId="0" applyFill="0" applyBorder="0" applyAlignment="0"/>
    <xf numFmtId="0" fontId="12" fillId="0" borderId="0" applyFill="0" applyBorder="0" applyAlignment="0"/>
    <xf numFmtId="0" fontId="12" fillId="0" borderId="0" applyFill="0" applyBorder="0" applyAlignment="0"/>
    <xf numFmtId="204" fontId="108" fillId="0" borderId="0" applyFill="0" applyBorder="0" applyAlignment="0"/>
    <xf numFmtId="204" fontId="108" fillId="0" borderId="0" applyFill="0" applyBorder="0" applyAlignment="0"/>
    <xf numFmtId="204" fontId="108" fillId="0" borderId="0" applyFill="0" applyBorder="0" applyAlignment="0"/>
    <xf numFmtId="0" fontId="182" fillId="0" borderId="75" applyNumberFormat="0" applyFill="0" applyAlignment="0" applyProtection="0"/>
    <xf numFmtId="0" fontId="183" fillId="0" borderId="75" applyNumberFormat="0" applyFill="0" applyAlignment="0" applyProtection="0"/>
    <xf numFmtId="0" fontId="148" fillId="0" borderId="76" applyNumberFormat="0" applyFill="0" applyAlignment="0" applyProtection="0"/>
    <xf numFmtId="0" fontId="184" fillId="0" borderId="75" applyNumberFormat="0" applyFill="0" applyAlignment="0" applyProtection="0"/>
    <xf numFmtId="0" fontId="183" fillId="0" borderId="75" applyNumberFormat="0" applyFill="0" applyAlignment="0" applyProtection="0"/>
    <xf numFmtId="0" fontId="184" fillId="0" borderId="75" applyNumberFormat="0" applyFill="0" applyAlignment="0" applyProtection="0"/>
    <xf numFmtId="3" fontId="185" fillId="0" borderId="77"/>
    <xf numFmtId="0" fontId="12" fillId="0" borderId="0">
      <alignment horizontal="center"/>
    </xf>
    <xf numFmtId="1" fontId="12" fillId="95" borderId="21">
      <alignment vertical="top"/>
    </xf>
    <xf numFmtId="1" fontId="12" fillId="95" borderId="21">
      <alignment vertical="top"/>
    </xf>
    <xf numFmtId="1" fontId="12" fillId="95" borderId="21">
      <alignment vertical="top"/>
    </xf>
    <xf numFmtId="1" fontId="12" fillId="95" borderId="21">
      <alignment vertical="top"/>
    </xf>
    <xf numFmtId="248" fontId="186" fillId="0" borderId="0" applyFont="0" applyFill="0" applyBorder="0" applyAlignment="0" applyProtection="0"/>
    <xf numFmtId="249" fontId="12" fillId="0" borderId="0" applyFont="0" applyFill="0" applyBorder="0" applyAlignment="0" applyProtection="0"/>
    <xf numFmtId="250" fontId="12" fillId="0" borderId="0" applyFont="0" applyFill="0" applyBorder="0" applyAlignment="0" applyProtection="0"/>
    <xf numFmtId="41" fontId="126" fillId="0" borderId="0" applyFont="0" applyFill="0" applyBorder="0" applyAlignment="0" applyProtection="0"/>
    <xf numFmtId="43" fontId="126" fillId="0" borderId="0" applyFont="0" applyFill="0" applyBorder="0" applyAlignment="0" applyProtection="0"/>
    <xf numFmtId="251" fontId="12" fillId="0" borderId="0" applyFont="0" applyFill="0" applyBorder="0" applyAlignment="0" applyProtection="0"/>
    <xf numFmtId="251" fontId="12" fillId="0" borderId="0" applyFont="0" applyFill="0" applyBorder="0" applyAlignment="0" applyProtection="0"/>
    <xf numFmtId="251" fontId="12" fillId="0" borderId="0" applyFont="0" applyFill="0" applyBorder="0" applyAlignment="0" applyProtection="0"/>
    <xf numFmtId="252" fontId="74" fillId="0" borderId="0"/>
    <xf numFmtId="253" fontId="12" fillId="0" borderId="0" applyFont="0" applyFill="0" applyBorder="0" applyAlignment="0" applyProtection="0">
      <alignment horizontal="left" wrapText="1"/>
    </xf>
    <xf numFmtId="0" fontId="12" fillId="0" borderId="0" applyFont="0" applyFill="0" applyBorder="0" applyAlignment="0" applyProtection="0"/>
    <xf numFmtId="0" fontId="12" fillId="0" borderId="0" applyFont="0" applyFill="0" applyBorder="0" applyAlignment="0" applyProtection="0"/>
    <xf numFmtId="239" fontId="12" fillId="0" borderId="0" applyFont="0" applyFill="0" applyBorder="0" applyAlignment="0" applyProtection="0"/>
    <xf numFmtId="206" fontId="12" fillId="0" borderId="0" applyFont="0" applyFill="0" applyBorder="0" applyAlignment="0" applyProtection="0"/>
    <xf numFmtId="0" fontId="187" fillId="13" borderId="0" applyNumberFormat="0" applyBorder="0" applyAlignment="0" applyProtection="0"/>
    <xf numFmtId="0" fontId="188" fillId="13" borderId="0" applyNumberFormat="0" applyBorder="0" applyAlignment="0" applyProtection="0"/>
    <xf numFmtId="0" fontId="148" fillId="71" borderId="0" applyNumberFormat="0" applyBorder="0" applyAlignment="0" applyProtection="0"/>
    <xf numFmtId="0" fontId="189" fillId="13" borderId="0" applyNumberFormat="0" applyBorder="0" applyAlignment="0" applyProtection="0"/>
    <xf numFmtId="0" fontId="188" fillId="13" borderId="0" applyNumberFormat="0" applyBorder="0" applyAlignment="0" applyProtection="0"/>
    <xf numFmtId="0" fontId="189" fillId="13" borderId="0" applyNumberFormat="0" applyBorder="0" applyAlignment="0" applyProtection="0"/>
    <xf numFmtId="0" fontId="190" fillId="9" borderId="0">
      <alignment horizontal="left"/>
    </xf>
    <xf numFmtId="0" fontId="78" fillId="0" borderId="0"/>
    <xf numFmtId="243" fontId="191" fillId="0" borderId="0"/>
    <xf numFmtId="254" fontId="12" fillId="0" borderId="0"/>
    <xf numFmtId="0" fontId="192" fillId="0" borderId="0"/>
    <xf numFmtId="0" fontId="75" fillId="0" borderId="0">
      <alignment horizontal="right"/>
    </xf>
    <xf numFmtId="0" fontId="1" fillId="0" borderId="0"/>
    <xf numFmtId="0" fontId="193" fillId="0" borderId="0"/>
    <xf numFmtId="0" fontId="12" fillId="0" borderId="0"/>
    <xf numFmtId="0" fontId="12" fillId="0" borderId="0"/>
    <xf numFmtId="0" fontId="12" fillId="0" borderId="0"/>
    <xf numFmtId="0" fontId="12" fillId="0" borderId="0"/>
    <xf numFmtId="0" fontId="12" fillId="0" borderId="0"/>
    <xf numFmtId="0" fontId="193" fillId="0" borderId="0"/>
    <xf numFmtId="0" fontId="193" fillId="0" borderId="0"/>
    <xf numFmtId="0" fontId="193" fillId="0" borderId="0"/>
    <xf numFmtId="0" fontId="12" fillId="0" borderId="0"/>
    <xf numFmtId="0" fontId="12" fillId="0" borderId="0"/>
    <xf numFmtId="0" fontId="193" fillId="0" borderId="0"/>
    <xf numFmtId="0" fontId="85" fillId="96" borderId="0"/>
    <xf numFmtId="0" fontId="193" fillId="0" borderId="0"/>
    <xf numFmtId="0" fontId="193" fillId="0" borderId="0"/>
    <xf numFmtId="0" fontId="193" fillId="0" borderId="0"/>
    <xf numFmtId="0" fontId="193" fillId="0" borderId="0"/>
    <xf numFmtId="0" fontId="193" fillId="0" borderId="0"/>
    <xf numFmtId="0" fontId="193" fillId="0" borderId="0"/>
    <xf numFmtId="0" fontId="193" fillId="0" borderId="0"/>
    <xf numFmtId="0" fontId="193" fillId="0" borderId="0"/>
    <xf numFmtId="0" fontId="193" fillId="0" borderId="0"/>
    <xf numFmtId="0" fontId="193" fillId="0" borderId="0"/>
    <xf numFmtId="0" fontId="12" fillId="0" borderId="0"/>
    <xf numFmtId="0" fontId="26" fillId="0" borderId="0"/>
    <xf numFmtId="0" fontId="26" fillId="0" borderId="0"/>
    <xf numFmtId="0" fontId="193" fillId="0" borderId="0"/>
    <xf numFmtId="0" fontId="193" fillId="0" borderId="0"/>
    <xf numFmtId="0" fontId="193" fillId="0" borderId="0"/>
    <xf numFmtId="0" fontId="193" fillId="0" borderId="0"/>
    <xf numFmtId="0" fontId="193" fillId="0" borderId="0"/>
    <xf numFmtId="0" fontId="193" fillId="0" borderId="0"/>
    <xf numFmtId="0" fontId="193" fillId="0" borderId="0"/>
    <xf numFmtId="0" fontId="193" fillId="0" borderId="0"/>
    <xf numFmtId="0" fontId="193" fillId="0" borderId="0"/>
    <xf numFmtId="0" fontId="193" fillId="0" borderId="0"/>
    <xf numFmtId="0" fontId="1" fillId="0" borderId="0"/>
    <xf numFmtId="0" fontId="193" fillId="0" borderId="0"/>
    <xf numFmtId="0" fontId="193" fillId="0" borderId="0"/>
    <xf numFmtId="0" fontId="193" fillId="0" borderId="0"/>
    <xf numFmtId="0" fontId="193" fillId="0" borderId="0"/>
    <xf numFmtId="0" fontId="193" fillId="0" borderId="0"/>
    <xf numFmtId="0" fontId="193" fillId="0" borderId="0"/>
    <xf numFmtId="0" fontId="193" fillId="0" borderId="0"/>
    <xf numFmtId="0" fontId="193" fillId="0" borderId="0"/>
    <xf numFmtId="0" fontId="193" fillId="0" borderId="0"/>
    <xf numFmtId="0" fontId="193" fillId="0" borderId="0"/>
    <xf numFmtId="0" fontId="193" fillId="0" borderId="0"/>
    <xf numFmtId="0" fontId="1" fillId="0" borderId="0"/>
    <xf numFmtId="0" fontId="193" fillId="0" borderId="0"/>
    <xf numFmtId="0" fontId="193" fillId="0" borderId="0"/>
    <xf numFmtId="0" fontId="193" fillId="0" borderId="0"/>
    <xf numFmtId="0" fontId="193" fillId="0" borderId="0"/>
    <xf numFmtId="0" fontId="193" fillId="0" borderId="0"/>
    <xf numFmtId="0" fontId="193" fillId="0" borderId="0"/>
    <xf numFmtId="0" fontId="193" fillId="0" borderId="0"/>
    <xf numFmtId="0" fontId="193" fillId="0" borderId="0"/>
    <xf numFmtId="0" fontId="193" fillId="0" borderId="0"/>
    <xf numFmtId="0" fontId="193" fillId="0" borderId="0"/>
    <xf numFmtId="0" fontId="12" fillId="0" borderId="0"/>
    <xf numFmtId="0" fontId="193" fillId="0" borderId="0"/>
    <xf numFmtId="0" fontId="193" fillId="0" borderId="0"/>
    <xf numFmtId="0" fontId="193" fillId="0" borderId="0"/>
    <xf numFmtId="0" fontId="193" fillId="0" borderId="0"/>
    <xf numFmtId="0" fontId="193" fillId="0" borderId="0"/>
    <xf numFmtId="0" fontId="12" fillId="0" borderId="0"/>
    <xf numFmtId="0" fontId="12" fillId="0" borderId="0"/>
    <xf numFmtId="0" fontId="12" fillId="0" borderId="0"/>
    <xf numFmtId="0" fontId="194" fillId="0" borderId="78"/>
    <xf numFmtId="0" fontId="195" fillId="0" borderId="0"/>
    <xf numFmtId="0" fontId="194" fillId="0" borderId="79"/>
    <xf numFmtId="0" fontId="125" fillId="0" borderId="0" applyFill="0" applyBorder="0">
      <protection locked="0"/>
    </xf>
    <xf numFmtId="0" fontId="194" fillId="0" borderId="80"/>
    <xf numFmtId="0" fontId="150" fillId="0" borderId="0">
      <alignment horizontal="center" vertical="top" wrapText="1" shrinkToFit="1"/>
    </xf>
    <xf numFmtId="190" fontId="85" fillId="0" borderId="0" applyFill="0" applyBorder="0" applyProtection="0">
      <alignment vertical="center"/>
    </xf>
    <xf numFmtId="2" fontId="65" fillId="0" borderId="0" applyFont="0" applyFill="0" applyBorder="0">
      <alignment horizontal="center" vertical="top" wrapText="1" shrinkToFit="1"/>
    </xf>
    <xf numFmtId="0" fontId="196" fillId="0" borderId="0"/>
    <xf numFmtId="0" fontId="71" fillId="86" borderId="47" applyNumberFormat="0" applyFont="0" applyAlignment="0" applyProtection="0"/>
    <xf numFmtId="0" fontId="15" fillId="86" borderId="47" applyNumberFormat="0" applyFont="0" applyAlignment="0" applyProtection="0"/>
    <xf numFmtId="0" fontId="26" fillId="2" borderId="1" applyNumberFormat="0" applyFont="0" applyAlignment="0" applyProtection="0"/>
    <xf numFmtId="0" fontId="85" fillId="70" borderId="54" applyNumberFormat="0" applyFont="0" applyAlignment="0" applyProtection="0"/>
    <xf numFmtId="0" fontId="12" fillId="86" borderId="47" applyNumberFormat="0" applyFont="0" applyAlignment="0" applyProtection="0"/>
    <xf numFmtId="0" fontId="12" fillId="86" borderId="47" applyNumberFormat="0" applyFont="0" applyAlignment="0" applyProtection="0"/>
    <xf numFmtId="0" fontId="12" fillId="86" borderId="47" applyNumberFormat="0" applyFont="0" applyAlignment="0" applyProtection="0"/>
    <xf numFmtId="0" fontId="15" fillId="86" borderId="47" applyNumberFormat="0" applyFont="0" applyAlignment="0" applyProtection="0"/>
    <xf numFmtId="0" fontId="12" fillId="86" borderId="47" applyNumberFormat="0" applyFont="0" applyAlignment="0" applyProtection="0"/>
    <xf numFmtId="255" fontId="197" fillId="0" borderId="0" applyFont="0" applyFill="0" applyBorder="0" applyAlignment="0" applyProtection="0"/>
    <xf numFmtId="0" fontId="198" fillId="0" borderId="12"/>
    <xf numFmtId="201" fontId="199" fillId="0" borderId="0"/>
    <xf numFmtId="256" fontId="200" fillId="0" borderId="0" applyFont="0" applyFill="0" applyBorder="0" applyProtection="0">
      <alignment horizontal="right"/>
    </xf>
    <xf numFmtId="257" fontId="76" fillId="0" borderId="0" applyNumberFormat="0" applyFill="0" applyBorder="0" applyAlignment="0" applyProtection="0"/>
    <xf numFmtId="0" fontId="12" fillId="0" borderId="0" applyNumberFormat="0" applyFill="0" applyBorder="0" applyAlignment="0" applyProtection="0"/>
    <xf numFmtId="257" fontId="76"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85" fillId="0" borderId="0" applyNumberFormat="0" applyFill="0" applyBorder="0" applyAlignment="0" applyProtection="0"/>
    <xf numFmtId="258" fontId="201" fillId="0" borderId="0"/>
    <xf numFmtId="0" fontId="202" fillId="0" borderId="0">
      <alignment horizontal="left"/>
    </xf>
    <xf numFmtId="220" fontId="203" fillId="0" borderId="0"/>
    <xf numFmtId="259" fontId="12" fillId="0" borderId="0" applyAlignment="0" applyProtection="0"/>
    <xf numFmtId="0" fontId="204" fillId="0" borderId="0"/>
    <xf numFmtId="0" fontId="20" fillId="0" borderId="0"/>
    <xf numFmtId="0" fontId="205" fillId="0" borderId="0"/>
    <xf numFmtId="0" fontId="206" fillId="78" borderId="81" applyNumberFormat="0" applyAlignment="0" applyProtection="0"/>
    <xf numFmtId="0" fontId="207" fillId="78" borderId="81" applyNumberFormat="0" applyAlignment="0" applyProtection="0"/>
    <xf numFmtId="0" fontId="208" fillId="79" borderId="81" applyNumberFormat="0" applyAlignment="0" applyProtection="0"/>
    <xf numFmtId="0" fontId="208" fillId="78" borderId="81" applyNumberFormat="0" applyAlignment="0" applyProtection="0"/>
    <xf numFmtId="0" fontId="207" fillId="78" borderId="81" applyNumberFormat="0" applyAlignment="0" applyProtection="0"/>
    <xf numFmtId="0" fontId="208" fillId="78" borderId="81" applyNumberFormat="0" applyAlignment="0" applyProtection="0"/>
    <xf numFmtId="40" fontId="209" fillId="29" borderId="0">
      <alignment horizontal="right"/>
    </xf>
    <xf numFmtId="0" fontId="210" fillId="29" borderId="0">
      <alignment horizontal="right"/>
    </xf>
    <xf numFmtId="0" fontId="211" fillId="29" borderId="31"/>
    <xf numFmtId="0" fontId="211" fillId="0" borderId="0" applyBorder="0">
      <alignment horizontal="centerContinuous"/>
    </xf>
    <xf numFmtId="0" fontId="212" fillId="0" borderId="0" applyBorder="0">
      <alignment horizontal="centerContinuous"/>
    </xf>
    <xf numFmtId="0" fontId="12" fillId="11" borderId="21">
      <alignment horizontal="center" vertical="top" wrapText="1"/>
      <protection locked="0"/>
    </xf>
    <xf numFmtId="0" fontId="12" fillId="11" borderId="21">
      <alignment horizontal="center" vertical="top" wrapText="1"/>
      <protection locked="0"/>
    </xf>
    <xf numFmtId="0" fontId="12" fillId="11" borderId="21">
      <alignment horizontal="center" vertical="top" wrapText="1"/>
      <protection locked="0"/>
    </xf>
    <xf numFmtId="0" fontId="12" fillId="11" borderId="21">
      <alignment horizontal="center" vertical="top" wrapText="1"/>
      <protection locked="0"/>
    </xf>
    <xf numFmtId="172" fontId="213" fillId="0" borderId="0" applyFont="0" applyFill="0" applyBorder="0" applyAlignment="0" applyProtection="0"/>
    <xf numFmtId="0" fontId="214" fillId="0" borderId="0" applyProtection="0">
      <alignment horizontal="left"/>
    </xf>
    <xf numFmtId="0" fontId="214" fillId="0" borderId="0" applyFill="0" applyBorder="0" applyProtection="0">
      <alignment horizontal="left"/>
    </xf>
    <xf numFmtId="0" fontId="215" fillId="0" borderId="0" applyFill="0" applyBorder="0" applyProtection="0">
      <alignment horizontal="left"/>
    </xf>
    <xf numFmtId="1" fontId="216" fillId="0" borderId="0" applyProtection="0">
      <alignment horizontal="right" vertical="center"/>
    </xf>
    <xf numFmtId="208" fontId="217" fillId="0" borderId="43">
      <alignment vertical="center"/>
    </xf>
    <xf numFmtId="244" fontId="218" fillId="0" borderId="0">
      <alignment horizontal="right"/>
    </xf>
    <xf numFmtId="244" fontId="218" fillId="0" borderId="0">
      <alignment horizontal="right"/>
    </xf>
    <xf numFmtId="0" fontId="108" fillId="0" borderId="0" applyFont="0" applyFill="0" applyBorder="0" applyAlignment="0" applyProtection="0"/>
    <xf numFmtId="0" fontId="108" fillId="0" borderId="0" applyFont="0" applyFill="0" applyBorder="0" applyAlignment="0" applyProtection="0"/>
    <xf numFmtId="9" fontId="74" fillId="0" borderId="0" applyFont="0" applyFill="0" applyBorder="0" applyAlignment="0" applyProtection="0"/>
    <xf numFmtId="0" fontId="108" fillId="0" borderId="0" applyFont="0" applyFill="0" applyBorder="0" applyAlignment="0" applyProtection="0"/>
    <xf numFmtId="0" fontId="108" fillId="0" borderId="0" applyFont="0" applyFill="0" applyBorder="0" applyAlignment="0" applyProtection="0"/>
    <xf numFmtId="172" fontId="74" fillId="0" borderId="0" applyFont="0" applyFill="0" applyBorder="0" applyAlignment="0" applyProtection="0"/>
    <xf numFmtId="10" fontId="12" fillId="0" borderId="0" applyFont="0" applyFill="0" applyBorder="0" applyAlignment="0" applyProtection="0"/>
    <xf numFmtId="10" fontId="12" fillId="0" borderId="0" applyFont="0" applyFill="0" applyBorder="0" applyAlignment="0" applyProtection="0"/>
    <xf numFmtId="10" fontId="12" fillId="0" borderId="0" applyFont="0" applyFill="0" applyBorder="0" applyAlignment="0" applyProtection="0"/>
    <xf numFmtId="247" fontId="125" fillId="0" borderId="0" applyFill="0" applyBorder="0">
      <protection locked="0"/>
    </xf>
    <xf numFmtId="247" fontId="92" fillId="0" borderId="0" applyFill="0" applyBorder="0"/>
    <xf numFmtId="172" fontId="219" fillId="0" borderId="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243" fontId="89" fillId="0" borderId="0" applyFont="0" applyFill="0" applyBorder="0" applyProtection="0">
      <alignment horizontal="right"/>
    </xf>
    <xf numFmtId="0" fontId="76" fillId="0" borderId="0" applyFont="0" applyFill="0" applyBorder="0" applyAlignment="0" applyProtection="0"/>
    <xf numFmtId="260" fontId="85" fillId="0" borderId="0" applyFill="0" applyBorder="0" applyProtection="0">
      <alignment vertical="center"/>
    </xf>
    <xf numFmtId="191" fontId="120" fillId="0" borderId="0" applyFont="0" applyFill="0" applyBorder="0" applyAlignment="0" applyProtection="0"/>
    <xf numFmtId="0" fontId="197" fillId="0" borderId="0"/>
    <xf numFmtId="261" fontId="12" fillId="0" borderId="0" applyFill="0" applyBorder="0" applyAlignment="0" applyProtection="0"/>
    <xf numFmtId="262" fontId="12" fillId="0" borderId="82" applyFill="0" applyBorder="0" applyAlignment="0" applyProtection="0"/>
    <xf numFmtId="263" fontId="220" fillId="0" borderId="0" applyFont="0" applyFill="0" applyBorder="0" applyAlignment="0" applyProtection="0"/>
    <xf numFmtId="0" fontId="221" fillId="97" borderId="0" applyNumberFormat="0" applyFont="0" applyBorder="0" applyAlignment="0"/>
    <xf numFmtId="9" fontId="12" fillId="11" borderId="0" applyNumberFormat="0" applyFont="0" applyAlignment="0" applyProtection="0"/>
    <xf numFmtId="264" fontId="222" fillId="0" borderId="0"/>
    <xf numFmtId="203" fontId="222" fillId="0" borderId="0"/>
    <xf numFmtId="191" fontId="223" fillId="0" borderId="0"/>
    <xf numFmtId="206" fontId="107" fillId="0" borderId="0" applyFill="0" applyBorder="0" applyAlignment="0"/>
    <xf numFmtId="204" fontId="108" fillId="0" borderId="0" applyFill="0" applyBorder="0" applyAlignment="0"/>
    <xf numFmtId="204" fontId="108" fillId="0" borderId="0" applyFill="0" applyBorder="0" applyAlignment="0"/>
    <xf numFmtId="204" fontId="108" fillId="0" borderId="0" applyFill="0" applyBorder="0" applyAlignment="0"/>
    <xf numFmtId="206" fontId="107" fillId="0" borderId="0" applyFill="0" applyBorder="0" applyAlignment="0"/>
    <xf numFmtId="0" fontId="12" fillId="0" borderId="0" applyFill="0" applyBorder="0" applyAlignment="0"/>
    <xf numFmtId="0" fontId="12" fillId="0" borderId="0" applyFill="0" applyBorder="0" applyAlignment="0"/>
    <xf numFmtId="0" fontId="12" fillId="0" borderId="0" applyFill="0" applyBorder="0" applyAlignment="0"/>
    <xf numFmtId="0" fontId="12" fillId="0" borderId="0" applyFill="0" applyBorder="0" applyAlignment="0"/>
    <xf numFmtId="204" fontId="108" fillId="0" borderId="0" applyFill="0" applyBorder="0" applyAlignment="0"/>
    <xf numFmtId="204" fontId="108" fillId="0" borderId="0" applyFill="0" applyBorder="0" applyAlignment="0"/>
    <xf numFmtId="204" fontId="108" fillId="0" borderId="0" applyFill="0" applyBorder="0" applyAlignment="0"/>
    <xf numFmtId="0" fontId="221" fillId="98" borderId="0" applyNumberFormat="0" applyFont="0" applyBorder="0" applyAlignment="0"/>
    <xf numFmtId="0" fontId="204" fillId="0" borderId="0"/>
    <xf numFmtId="165" fontId="12" fillId="18" borderId="15"/>
    <xf numFmtId="165" fontId="12" fillId="18" borderId="15"/>
    <xf numFmtId="165" fontId="12" fillId="18" borderId="15"/>
    <xf numFmtId="15" fontId="12" fillId="18" borderId="15"/>
    <xf numFmtId="15" fontId="12" fillId="18" borderId="15"/>
    <xf numFmtId="15" fontId="12" fillId="18" borderId="15"/>
    <xf numFmtId="0" fontId="224" fillId="23" borderId="0">
      <alignment horizontal="left"/>
    </xf>
    <xf numFmtId="0" fontId="12" fillId="0" borderId="0"/>
    <xf numFmtId="0" fontId="12" fillId="0" borderId="0"/>
    <xf numFmtId="0" fontId="12" fillId="0" borderId="0"/>
    <xf numFmtId="0" fontId="12" fillId="0" borderId="0"/>
    <xf numFmtId="0" fontId="85" fillId="0" borderId="0"/>
    <xf numFmtId="217" fontId="225" fillId="99" borderId="21">
      <alignment horizontal="right"/>
    </xf>
    <xf numFmtId="9" fontId="12" fillId="0" borderId="0" applyFont="0" applyFill="0" applyBorder="0" applyAlignment="0" applyProtection="0"/>
    <xf numFmtId="0" fontId="108" fillId="0" borderId="0" applyNumberFormat="0" applyFont="0" applyFill="0" applyBorder="0" applyAlignment="0" applyProtection="0">
      <alignment horizontal="left"/>
    </xf>
    <xf numFmtId="0" fontId="108" fillId="0" borderId="0" applyNumberFormat="0" applyFont="0" applyFill="0" applyBorder="0" applyAlignment="0" applyProtection="0">
      <alignment horizontal="left"/>
    </xf>
    <xf numFmtId="15" fontId="108" fillId="0" borderId="0" applyFont="0" applyFill="0" applyBorder="0" applyAlignment="0" applyProtection="0"/>
    <xf numFmtId="15" fontId="108" fillId="0" borderId="0" applyFont="0" applyFill="0" applyBorder="0" applyAlignment="0" applyProtection="0"/>
    <xf numFmtId="265" fontId="12" fillId="0" borderId="0" applyFont="0" applyFill="0" applyBorder="0" applyAlignment="0" applyProtection="0"/>
    <xf numFmtId="4" fontId="108" fillId="0" borderId="0" applyFont="0" applyFill="0" applyBorder="0" applyAlignment="0" applyProtection="0"/>
    <xf numFmtId="4" fontId="108" fillId="0" borderId="0" applyFont="0" applyFill="0" applyBorder="0" applyAlignment="0" applyProtection="0"/>
    <xf numFmtId="0" fontId="180" fillId="0" borderId="77">
      <alignment horizontal="center"/>
    </xf>
    <xf numFmtId="0" fontId="180" fillId="0" borderId="77">
      <alignment horizontal="center"/>
    </xf>
    <xf numFmtId="0" fontId="180" fillId="0" borderId="77">
      <alignment horizontal="center"/>
    </xf>
    <xf numFmtId="3" fontId="108" fillId="0" borderId="0" applyFont="0" applyFill="0" applyBorder="0" applyAlignment="0" applyProtection="0"/>
    <xf numFmtId="3" fontId="108" fillId="0" borderId="0" applyFont="0" applyFill="0" applyBorder="0" applyAlignment="0" applyProtection="0"/>
    <xf numFmtId="0" fontId="108" fillId="100" borderId="0" applyNumberFormat="0" applyFont="0" applyBorder="0" applyAlignment="0" applyProtection="0"/>
    <xf numFmtId="0" fontId="108" fillId="100" borderId="0" applyNumberFormat="0" applyFont="0" applyBorder="0" applyAlignment="0" applyProtection="0"/>
    <xf numFmtId="232" fontId="70" fillId="0" borderId="83" applyNumberFormat="0">
      <alignment horizontal="right"/>
    </xf>
    <xf numFmtId="0" fontId="75" fillId="0" borderId="0">
      <alignment vertical="top"/>
    </xf>
    <xf numFmtId="182" fontId="75" fillId="0" borderId="0">
      <alignment vertical="top"/>
    </xf>
    <xf numFmtId="182" fontId="75" fillId="0" borderId="0">
      <alignment vertical="top"/>
    </xf>
    <xf numFmtId="182" fontId="75" fillId="0" borderId="0">
      <alignment vertical="top"/>
    </xf>
    <xf numFmtId="182" fontId="75" fillId="0" borderId="0">
      <alignment vertical="top"/>
    </xf>
    <xf numFmtId="182" fontId="75" fillId="0" borderId="0">
      <alignment vertical="top"/>
    </xf>
    <xf numFmtId="182" fontId="75" fillId="0" borderId="0">
      <alignment vertical="top"/>
    </xf>
    <xf numFmtId="182" fontId="75" fillId="0" borderId="0">
      <alignment vertical="top"/>
    </xf>
    <xf numFmtId="182" fontId="75" fillId="0" borderId="0">
      <alignment vertical="top"/>
    </xf>
    <xf numFmtId="182" fontId="75" fillId="0" borderId="0">
      <alignment vertical="top"/>
    </xf>
    <xf numFmtId="182" fontId="75" fillId="0" borderId="0">
      <alignment vertical="top"/>
    </xf>
    <xf numFmtId="182" fontId="75" fillId="0" borderId="0">
      <alignment vertical="top"/>
    </xf>
    <xf numFmtId="182" fontId="75" fillId="0" borderId="0">
      <alignment vertical="top"/>
    </xf>
    <xf numFmtId="182" fontId="75" fillId="0" borderId="0">
      <alignment vertical="top"/>
    </xf>
    <xf numFmtId="182" fontId="75" fillId="0" borderId="0">
      <alignment vertical="top"/>
    </xf>
    <xf numFmtId="182" fontId="75" fillId="0" borderId="0">
      <alignment vertical="top"/>
    </xf>
    <xf numFmtId="182" fontId="75" fillId="0" borderId="0">
      <alignment vertical="top"/>
    </xf>
    <xf numFmtId="182" fontId="75" fillId="0" borderId="0">
      <alignment vertical="top"/>
    </xf>
    <xf numFmtId="182" fontId="75" fillId="0" borderId="0">
      <alignment vertical="top"/>
    </xf>
    <xf numFmtId="182" fontId="75" fillId="0" borderId="0">
      <alignment vertical="top"/>
    </xf>
    <xf numFmtId="182" fontId="75" fillId="0" borderId="0">
      <alignment vertical="top"/>
    </xf>
    <xf numFmtId="0" fontId="75" fillId="0" borderId="0">
      <alignment vertical="top"/>
    </xf>
    <xf numFmtId="0" fontId="75" fillId="0" borderId="0">
      <alignment vertical="top"/>
    </xf>
    <xf numFmtId="0" fontId="75" fillId="0" borderId="0">
      <alignment vertical="top"/>
    </xf>
    <xf numFmtId="182" fontId="75" fillId="0" borderId="0">
      <alignment vertical="top"/>
    </xf>
    <xf numFmtId="182" fontId="75" fillId="0" borderId="0">
      <alignment vertical="top"/>
    </xf>
    <xf numFmtId="182" fontId="75" fillId="0" borderId="0">
      <alignment vertical="top"/>
    </xf>
    <xf numFmtId="182" fontId="75" fillId="0" borderId="0">
      <alignment vertical="top"/>
    </xf>
    <xf numFmtId="182" fontId="75" fillId="0" borderId="0">
      <alignment vertical="top"/>
    </xf>
    <xf numFmtId="0" fontId="75" fillId="0" borderId="0">
      <alignment vertical="top"/>
    </xf>
    <xf numFmtId="0" fontId="75" fillId="0" borderId="0">
      <alignment vertical="top"/>
    </xf>
    <xf numFmtId="0" fontId="75" fillId="0" borderId="0">
      <alignment vertical="top"/>
    </xf>
    <xf numFmtId="0" fontId="75" fillId="0" borderId="0">
      <alignment vertical="top"/>
    </xf>
    <xf numFmtId="0" fontId="75" fillId="0" borderId="0">
      <alignment vertical="top"/>
    </xf>
    <xf numFmtId="0" fontId="75" fillId="0" borderId="0">
      <alignment vertical="top"/>
    </xf>
    <xf numFmtId="0" fontId="75" fillId="0" borderId="0">
      <alignment vertical="top"/>
    </xf>
    <xf numFmtId="0" fontId="75" fillId="0" borderId="0">
      <alignment vertical="top"/>
    </xf>
    <xf numFmtId="0" fontId="75" fillId="0" borderId="0">
      <alignment vertical="top"/>
    </xf>
    <xf numFmtId="0" fontId="75" fillId="0" borderId="0">
      <alignment vertical="top"/>
    </xf>
    <xf numFmtId="0" fontId="75" fillId="0" borderId="0">
      <alignment vertical="top"/>
    </xf>
    <xf numFmtId="0" fontId="75" fillId="0" borderId="0">
      <alignment vertical="top"/>
    </xf>
    <xf numFmtId="0" fontId="75" fillId="0" borderId="0">
      <alignment vertical="top"/>
    </xf>
    <xf numFmtId="0" fontId="75" fillId="0" borderId="0">
      <alignment vertical="top"/>
    </xf>
    <xf numFmtId="182" fontId="75" fillId="0" borderId="0">
      <alignment vertical="top"/>
    </xf>
    <xf numFmtId="182" fontId="75" fillId="0" borderId="0">
      <alignment vertical="top"/>
    </xf>
    <xf numFmtId="182" fontId="75" fillId="0" borderId="0">
      <alignment vertical="top"/>
    </xf>
    <xf numFmtId="0" fontId="75" fillId="0" borderId="0">
      <alignment vertical="top"/>
    </xf>
    <xf numFmtId="0" fontId="75" fillId="0" borderId="0">
      <alignment vertical="top"/>
    </xf>
    <xf numFmtId="0" fontId="75" fillId="0" borderId="0">
      <alignment vertical="top"/>
    </xf>
    <xf numFmtId="0" fontId="75" fillId="0" borderId="0">
      <alignment vertical="top"/>
    </xf>
    <xf numFmtId="182" fontId="75" fillId="0" borderId="0">
      <alignment vertical="top"/>
    </xf>
    <xf numFmtId="182" fontId="75" fillId="0" borderId="0">
      <alignment vertical="top"/>
    </xf>
    <xf numFmtId="182" fontId="75" fillId="0" borderId="0">
      <alignment vertical="top"/>
    </xf>
    <xf numFmtId="182" fontId="75" fillId="0" borderId="0">
      <alignment vertical="top"/>
    </xf>
    <xf numFmtId="266" fontId="12" fillId="0" borderId="0"/>
    <xf numFmtId="2" fontId="226" fillId="0" borderId="0" applyNumberFormat="0" applyFill="0" applyBorder="0" applyAlignment="0" applyProtection="0"/>
    <xf numFmtId="37" fontId="227" fillId="0" borderId="0" applyNumberFormat="0" applyFill="0" applyBorder="0" applyAlignment="0" applyProtection="0"/>
    <xf numFmtId="0" fontId="85" fillId="0" borderId="0"/>
    <xf numFmtId="267" fontId="12" fillId="0" borderId="0" applyFont="0" applyFill="0" applyBorder="0" applyAlignment="0" applyProtection="0"/>
    <xf numFmtId="0" fontId="12" fillId="0" borderId="84" applyNumberFormat="0" applyFont="0" applyFill="0" applyAlignment="0" applyProtection="0"/>
    <xf numFmtId="0" fontId="12" fillId="0" borderId="85" applyNumberFormat="0" applyFont="0" applyFill="0" applyAlignment="0" applyProtection="0"/>
    <xf numFmtId="0" fontId="12" fillId="0" borderId="86" applyNumberFormat="0" applyFont="0" applyFill="0" applyAlignment="0" applyProtection="0"/>
    <xf numFmtId="0" fontId="12" fillId="0" borderId="87" applyNumberFormat="0" applyFont="0" applyFill="0" applyAlignment="0" applyProtection="0"/>
    <xf numFmtId="0" fontId="12" fillId="0" borderId="48" applyNumberFormat="0" applyFont="0" applyFill="0" applyAlignment="0" applyProtection="0"/>
    <xf numFmtId="0" fontId="12" fillId="101" borderId="0" applyNumberFormat="0" applyFont="0" applyBorder="0" applyAlignment="0" applyProtection="0"/>
    <xf numFmtId="0" fontId="12" fillId="0" borderId="88" applyNumberFormat="0" applyFont="0" applyFill="0" applyAlignment="0" applyProtection="0"/>
    <xf numFmtId="0" fontId="12" fillId="0" borderId="89" applyNumberFormat="0" applyFont="0" applyFill="0" applyAlignment="0" applyProtection="0"/>
    <xf numFmtId="46" fontId="12" fillId="0" borderId="0" applyFont="0" applyFill="0" applyBorder="0" applyAlignment="0" applyProtection="0"/>
    <xf numFmtId="0" fontId="12" fillId="0" borderId="21" applyNumberFormat="0">
      <alignment horizontal="center" vertical="center" wrapText="1"/>
      <protection locked="0"/>
    </xf>
    <xf numFmtId="0" fontId="12" fillId="0" borderId="21" applyNumberFormat="0">
      <alignment horizontal="center" vertical="center" wrapText="1"/>
      <protection locked="0"/>
    </xf>
    <xf numFmtId="0" fontId="12" fillId="0" borderId="21" applyNumberFormat="0">
      <alignment horizontal="center" vertical="center" wrapText="1"/>
      <protection locked="0"/>
    </xf>
    <xf numFmtId="0" fontId="12" fillId="0" borderId="21" applyNumberFormat="0">
      <alignment horizontal="center" vertical="center" wrapText="1"/>
      <protection locked="0"/>
    </xf>
    <xf numFmtId="0" fontId="15" fillId="0" borderId="0" applyNumberFormat="0" applyFill="0" applyBorder="0" applyAlignment="0" applyProtection="0"/>
    <xf numFmtId="0" fontId="12" fillId="0" borderId="90" applyNumberFormat="0" applyFont="0" applyFill="0" applyAlignment="0" applyProtection="0"/>
    <xf numFmtId="0" fontId="12" fillId="0" borderId="91" applyNumberFormat="0" applyFont="0" applyFill="0" applyAlignment="0" applyProtection="0"/>
    <xf numFmtId="0" fontId="12" fillId="0" borderId="47" applyNumberFormat="0" applyFont="0" applyFill="0" applyAlignment="0" applyProtection="0"/>
    <xf numFmtId="0" fontId="12" fillId="0" borderId="92" applyNumberFormat="0" applyFont="0" applyFill="0" applyAlignment="0" applyProtection="0"/>
    <xf numFmtId="0" fontId="12" fillId="0" borderId="47" applyNumberFormat="0" applyFont="0" applyFill="0" applyAlignment="0" applyProtection="0"/>
    <xf numFmtId="0" fontId="12" fillId="0" borderId="0" applyNumberFormat="0" applyFont="0" applyFill="0" applyBorder="0" applyProtection="0">
      <alignment horizontal="center"/>
    </xf>
    <xf numFmtId="0" fontId="228" fillId="0" borderId="0" applyNumberFormat="0" applyFill="0" applyBorder="0" applyAlignment="0" applyProtection="0"/>
    <xf numFmtId="0" fontId="24" fillId="0" borderId="0" applyNumberFormat="0" applyFill="0" applyBorder="0" applyAlignment="0" applyProtection="0"/>
    <xf numFmtId="0" fontId="222" fillId="0" borderId="0" applyNumberFormat="0" applyFill="0" applyBorder="0" applyProtection="0">
      <alignment horizontal="left"/>
    </xf>
    <xf numFmtId="0" fontId="12" fillId="101" borderId="0" applyNumberFormat="0" applyFont="0" applyBorder="0" applyAlignment="0" applyProtection="0"/>
    <xf numFmtId="0" fontId="229" fillId="0" borderId="0" applyNumberFormat="0" applyFill="0" applyBorder="0" applyAlignment="0" applyProtection="0"/>
    <xf numFmtId="0" fontId="15" fillId="0" borderId="0" applyNumberFormat="0" applyFill="0" applyBorder="0" applyAlignment="0" applyProtection="0"/>
    <xf numFmtId="0" fontId="12" fillId="0" borderId="93" applyNumberFormat="0" applyFont="0" applyFill="0" applyAlignment="0" applyProtection="0"/>
    <xf numFmtId="0" fontId="12" fillId="0" borderId="94" applyNumberFormat="0" applyFont="0" applyFill="0" applyAlignment="0" applyProtection="0"/>
    <xf numFmtId="268" fontId="12" fillId="0" borderId="0" applyFont="0" applyFill="0" applyBorder="0" applyAlignment="0" applyProtection="0"/>
    <xf numFmtId="0" fontId="12" fillId="0" borderId="95" applyNumberFormat="0" applyFont="0" applyFill="0" applyAlignment="0" applyProtection="0"/>
    <xf numFmtId="0" fontId="12" fillId="0" borderId="96" applyNumberFormat="0" applyFont="0" applyFill="0" applyAlignment="0" applyProtection="0"/>
    <xf numFmtId="0" fontId="12" fillId="0" borderId="73" applyNumberFormat="0" applyFont="0" applyFill="0" applyAlignment="0" applyProtection="0"/>
    <xf numFmtId="0" fontId="12" fillId="0" borderId="97" applyNumberFormat="0" applyFont="0" applyFill="0" applyAlignment="0" applyProtection="0"/>
    <xf numFmtId="0" fontId="12" fillId="0" borderId="61" applyNumberFormat="0" applyFont="0" applyFill="0" applyAlignment="0" applyProtection="0"/>
    <xf numFmtId="0" fontId="143" fillId="0" borderId="98">
      <alignment vertical="center"/>
    </xf>
    <xf numFmtId="4" fontId="44" fillId="13" borderId="99" applyNumberFormat="0" applyProtection="0">
      <alignment vertical="center"/>
    </xf>
    <xf numFmtId="4" fontId="85" fillId="13" borderId="54" applyNumberFormat="0" applyProtection="0">
      <alignment vertical="center"/>
    </xf>
    <xf numFmtId="4" fontId="85" fillId="13" borderId="54" applyNumberFormat="0" applyProtection="0">
      <alignment vertical="center"/>
    </xf>
    <xf numFmtId="4" fontId="230" fillId="14" borderId="99" applyNumberFormat="0" applyProtection="0">
      <alignment vertical="center"/>
    </xf>
    <xf numFmtId="4" fontId="231" fillId="14" borderId="54" applyNumberFormat="0" applyProtection="0">
      <alignment vertical="center"/>
    </xf>
    <xf numFmtId="4" fontId="44" fillId="14" borderId="99" applyNumberFormat="0" applyProtection="0">
      <alignment horizontal="left" vertical="center" indent="1"/>
    </xf>
    <xf numFmtId="4" fontId="85" fillId="14" borderId="54" applyNumberFormat="0" applyProtection="0">
      <alignment horizontal="left" vertical="center" indent="1"/>
    </xf>
    <xf numFmtId="4" fontId="85" fillId="14" borderId="54" applyNumberFormat="0" applyProtection="0">
      <alignment horizontal="left" vertical="center" indent="1"/>
    </xf>
    <xf numFmtId="0" fontId="44" fillId="14" borderId="99" applyNumberFormat="0" applyProtection="0">
      <alignment horizontal="left" vertical="top" indent="1"/>
    </xf>
    <xf numFmtId="0" fontId="232" fillId="13" borderId="99" applyNumberFormat="0" applyProtection="0">
      <alignment horizontal="left" vertical="top" indent="1"/>
    </xf>
    <xf numFmtId="4" fontId="44" fillId="42" borderId="99" applyNumberFormat="0" applyProtection="0">
      <alignment horizontal="left" vertical="center" indent="1"/>
    </xf>
    <xf numFmtId="4" fontId="85" fillId="46" borderId="54" applyNumberFormat="0" applyProtection="0">
      <alignment horizontal="left" vertical="center" indent="1"/>
    </xf>
    <xf numFmtId="4" fontId="85" fillId="46" borderId="54" applyNumberFormat="0" applyProtection="0">
      <alignment horizontal="left" vertical="center" indent="1"/>
    </xf>
    <xf numFmtId="4" fontId="15" fillId="35" borderId="99" applyNumberFormat="0" applyProtection="0">
      <alignment horizontal="right" vertical="center"/>
    </xf>
    <xf numFmtId="4" fontId="85" fillId="35" borderId="54" applyNumberFormat="0" applyProtection="0">
      <alignment horizontal="right" vertical="center"/>
    </xf>
    <xf numFmtId="4" fontId="85" fillId="35" borderId="54" applyNumberFormat="0" applyProtection="0">
      <alignment horizontal="right" vertical="center"/>
    </xf>
    <xf numFmtId="4" fontId="15" fillId="41" borderId="99" applyNumberFormat="0" applyProtection="0">
      <alignment horizontal="right" vertical="center"/>
    </xf>
    <xf numFmtId="4" fontId="85" fillId="102" borderId="54" applyNumberFormat="0" applyProtection="0">
      <alignment horizontal="right" vertical="center"/>
    </xf>
    <xf numFmtId="4" fontId="15" fillId="61" borderId="99" applyNumberFormat="0" applyProtection="0">
      <alignment horizontal="right" vertical="center"/>
    </xf>
    <xf numFmtId="4" fontId="85" fillId="61" borderId="48" applyNumberFormat="0" applyProtection="0">
      <alignment horizontal="right" vertical="center"/>
    </xf>
    <xf numFmtId="4" fontId="15" fillId="43" borderId="99" applyNumberFormat="0" applyProtection="0">
      <alignment horizontal="right" vertical="center"/>
    </xf>
    <xf numFmtId="4" fontId="85" fillId="43" borderId="54" applyNumberFormat="0" applyProtection="0">
      <alignment horizontal="right" vertical="center"/>
    </xf>
    <xf numFmtId="4" fontId="15" fillId="47" borderId="99" applyNumberFormat="0" applyProtection="0">
      <alignment horizontal="right" vertical="center"/>
    </xf>
    <xf numFmtId="4" fontId="85" fillId="47" borderId="54" applyNumberFormat="0" applyProtection="0">
      <alignment horizontal="right" vertical="center"/>
    </xf>
    <xf numFmtId="4" fontId="15" fillId="73" borderId="99" applyNumberFormat="0" applyProtection="0">
      <alignment horizontal="right" vertical="center"/>
    </xf>
    <xf numFmtId="4" fontId="85" fillId="73" borderId="54" applyNumberFormat="0" applyProtection="0">
      <alignment horizontal="right" vertical="center"/>
    </xf>
    <xf numFmtId="4" fontId="15" fillId="67" borderId="99" applyNumberFormat="0" applyProtection="0">
      <alignment horizontal="right" vertical="center"/>
    </xf>
    <xf numFmtId="4" fontId="85" fillId="67" borderId="54" applyNumberFormat="0" applyProtection="0">
      <alignment horizontal="right" vertical="center"/>
    </xf>
    <xf numFmtId="4" fontId="15" fillId="103" borderId="99" applyNumberFormat="0" applyProtection="0">
      <alignment horizontal="right" vertical="center"/>
    </xf>
    <xf numFmtId="4" fontId="85" fillId="103" borderId="54" applyNumberFormat="0" applyProtection="0">
      <alignment horizontal="right" vertical="center"/>
    </xf>
    <xf numFmtId="4" fontId="15" fillId="42" borderId="99" applyNumberFormat="0" applyProtection="0">
      <alignment horizontal="right" vertical="center"/>
    </xf>
    <xf numFmtId="4" fontId="85" fillId="42" borderId="54" applyNumberFormat="0" applyProtection="0">
      <alignment horizontal="right" vertical="center"/>
    </xf>
    <xf numFmtId="4" fontId="15" fillId="104" borderId="99" applyNumberFormat="0" applyProtection="0">
      <alignment horizontal="left" vertical="center" indent="1"/>
    </xf>
    <xf numFmtId="4" fontId="85" fillId="105" borderId="48" applyNumberFormat="0" applyProtection="0">
      <alignment horizontal="left" vertical="center" indent="1"/>
    </xf>
    <xf numFmtId="4" fontId="15" fillId="13" borderId="99" applyNumberFormat="0" applyProtection="0">
      <alignment horizontal="left" vertical="center" indent="1"/>
    </xf>
    <xf numFmtId="4" fontId="12" fillId="106" borderId="48" applyNumberFormat="0" applyProtection="0">
      <alignment horizontal="left" vertical="center" indent="1"/>
    </xf>
    <xf numFmtId="4" fontId="167" fillId="107" borderId="0" applyNumberFormat="0" applyProtection="0">
      <alignment horizontal="left" vertical="center" indent="1"/>
    </xf>
    <xf numFmtId="4" fontId="167" fillId="107" borderId="0" applyNumberFormat="0" applyProtection="0">
      <alignment horizontal="left" vertical="center" indent="1"/>
    </xf>
    <xf numFmtId="4" fontId="12" fillId="106" borderId="48" applyNumberFormat="0" applyProtection="0">
      <alignment horizontal="left" vertical="center" indent="1"/>
    </xf>
    <xf numFmtId="4" fontId="167" fillId="106" borderId="0" applyNumberFormat="0" applyProtection="0">
      <alignment horizontal="left" vertical="center" indent="1"/>
    </xf>
    <xf numFmtId="4" fontId="15" fillId="108" borderId="99" applyNumberFormat="0" applyProtection="0">
      <alignment horizontal="right" vertical="center"/>
    </xf>
    <xf numFmtId="4" fontId="85" fillId="108" borderId="54" applyNumberFormat="0" applyProtection="0">
      <alignment horizontal="right" vertical="center"/>
    </xf>
    <xf numFmtId="4" fontId="85" fillId="108" borderId="54" applyNumberFormat="0" applyProtection="0">
      <alignment horizontal="right" vertical="center"/>
    </xf>
    <xf numFmtId="4" fontId="15" fillId="13" borderId="99" applyNumberFormat="0" applyProtection="0">
      <alignment horizontal="left" vertical="center" indent="1"/>
    </xf>
    <xf numFmtId="4" fontId="15" fillId="13" borderId="99" applyNumberFormat="0" applyProtection="0">
      <alignment horizontal="left" vertical="center" indent="1"/>
    </xf>
    <xf numFmtId="4" fontId="85" fillId="109" borderId="48" applyNumberFormat="0" applyProtection="0">
      <alignment horizontal="left" vertical="center" indent="1"/>
    </xf>
    <xf numFmtId="4" fontId="15" fillId="109" borderId="0" applyNumberFormat="0" applyProtection="0">
      <alignment horizontal="left" vertical="center" indent="1"/>
    </xf>
    <xf numFmtId="4" fontId="44" fillId="42" borderId="99" applyNumberFormat="0" applyProtection="0">
      <alignment horizontal="left" vertical="center" indent="1"/>
    </xf>
    <xf numFmtId="4" fontId="44" fillId="42" borderId="99" applyNumberFormat="0" applyProtection="0">
      <alignment horizontal="left" vertical="center" indent="1"/>
    </xf>
    <xf numFmtId="4" fontId="85" fillId="108" borderId="48" applyNumberFormat="0" applyProtection="0">
      <alignment horizontal="left" vertical="center" indent="1"/>
    </xf>
    <xf numFmtId="4" fontId="15" fillId="108" borderId="0" applyNumberFormat="0" applyProtection="0">
      <alignment horizontal="left" vertical="center" indent="1"/>
    </xf>
    <xf numFmtId="0" fontId="12" fillId="36" borderId="99" applyNumberFormat="0" applyProtection="0">
      <alignment horizontal="left" vertical="center" indent="1"/>
    </xf>
    <xf numFmtId="0" fontId="12" fillId="36" borderId="99" applyNumberFormat="0" applyProtection="0">
      <alignment horizontal="left" vertical="center" indent="1"/>
    </xf>
    <xf numFmtId="0" fontId="12" fillId="36" borderId="99" applyNumberFormat="0" applyProtection="0">
      <alignment horizontal="left" vertical="center" indent="1"/>
    </xf>
    <xf numFmtId="0" fontId="85" fillId="78" borderId="54" applyNumberFormat="0" applyProtection="0">
      <alignment horizontal="left" vertical="center" indent="1"/>
    </xf>
    <xf numFmtId="0" fontId="12" fillId="106" borderId="99" applyNumberFormat="0" applyProtection="0">
      <alignment horizontal="left" vertical="center" indent="1"/>
    </xf>
    <xf numFmtId="0" fontId="12" fillId="107" borderId="99" applyNumberFormat="0" applyProtection="0">
      <alignment horizontal="left" vertical="top" indent="1"/>
    </xf>
    <xf numFmtId="0" fontId="12" fillId="107" borderId="99" applyNumberFormat="0" applyProtection="0">
      <alignment horizontal="left" vertical="top" indent="1"/>
    </xf>
    <xf numFmtId="0" fontId="12" fillId="107" borderId="99" applyNumberFormat="0" applyProtection="0">
      <alignment horizontal="left" vertical="top" indent="1"/>
    </xf>
    <xf numFmtId="0" fontId="85" fillId="106" borderId="99" applyNumberFormat="0" applyProtection="0">
      <alignment horizontal="left" vertical="top" indent="1"/>
    </xf>
    <xf numFmtId="0" fontId="12" fillId="106" borderId="99" applyNumberFormat="0" applyProtection="0">
      <alignment horizontal="left" vertical="top" indent="1"/>
    </xf>
    <xf numFmtId="0" fontId="12" fillId="36" borderId="99" applyNumberFormat="0" applyProtection="0">
      <alignment horizontal="left" vertical="center" indent="1"/>
    </xf>
    <xf numFmtId="0" fontId="12" fillId="36" borderId="99" applyNumberFormat="0" applyProtection="0">
      <alignment horizontal="left" vertical="center" indent="1"/>
    </xf>
    <xf numFmtId="0" fontId="12" fillId="36" borderId="99" applyNumberFormat="0" applyProtection="0">
      <alignment horizontal="left" vertical="center" indent="1"/>
    </xf>
    <xf numFmtId="0" fontId="85" fillId="110" borderId="54" applyNumberFormat="0" applyProtection="0">
      <alignment horizontal="left" vertical="center" indent="1"/>
    </xf>
    <xf numFmtId="0" fontId="12" fillId="108" borderId="99" applyNumberFormat="0" applyProtection="0">
      <alignment horizontal="left" vertical="center" indent="1"/>
    </xf>
    <xf numFmtId="0" fontId="12" fillId="111" borderId="99" applyNumberFormat="0" applyProtection="0">
      <alignment horizontal="left" vertical="top" indent="1"/>
    </xf>
    <xf numFmtId="0" fontId="12" fillId="111" borderId="99" applyNumberFormat="0" applyProtection="0">
      <alignment horizontal="left" vertical="top" indent="1"/>
    </xf>
    <xf numFmtId="0" fontId="12" fillId="111" borderId="99" applyNumberFormat="0" applyProtection="0">
      <alignment horizontal="left" vertical="top" indent="1"/>
    </xf>
    <xf numFmtId="0" fontId="85" fillId="108" borderId="99" applyNumberFormat="0" applyProtection="0">
      <alignment horizontal="left" vertical="top" indent="1"/>
    </xf>
    <xf numFmtId="0" fontId="12" fillId="108" borderId="99" applyNumberFormat="0" applyProtection="0">
      <alignment horizontal="left" vertical="top" indent="1"/>
    </xf>
    <xf numFmtId="0" fontId="12" fillId="36" borderId="99" applyNumberFormat="0" applyProtection="0">
      <alignment horizontal="left" vertical="center" indent="1"/>
    </xf>
    <xf numFmtId="0" fontId="12" fillId="36" borderId="99" applyNumberFormat="0" applyProtection="0">
      <alignment horizontal="left" vertical="center" indent="1"/>
    </xf>
    <xf numFmtId="0" fontId="12" fillId="36" borderId="99" applyNumberFormat="0" applyProtection="0">
      <alignment horizontal="left" vertical="center" indent="1"/>
    </xf>
    <xf numFmtId="0" fontId="85" fillId="40" borderId="54" applyNumberFormat="0" applyProtection="0">
      <alignment horizontal="left" vertical="center" indent="1"/>
    </xf>
    <xf numFmtId="0" fontId="12" fillId="40" borderId="99" applyNumberFormat="0" applyProtection="0">
      <alignment horizontal="left" vertical="center" indent="1"/>
    </xf>
    <xf numFmtId="0" fontId="12" fillId="76" borderId="99" applyNumberFormat="0" applyProtection="0">
      <alignment horizontal="left" vertical="top" indent="1"/>
    </xf>
    <xf numFmtId="0" fontId="12" fillId="76" borderId="99" applyNumberFormat="0" applyProtection="0">
      <alignment horizontal="left" vertical="top" indent="1"/>
    </xf>
    <xf numFmtId="0" fontId="12" fillId="76" borderId="99" applyNumberFormat="0" applyProtection="0">
      <alignment horizontal="left" vertical="top" indent="1"/>
    </xf>
    <xf numFmtId="0" fontId="85" fillId="40" borderId="99" applyNumberFormat="0" applyProtection="0">
      <alignment horizontal="left" vertical="top" indent="1"/>
    </xf>
    <xf numFmtId="0" fontId="12" fillId="40" borderId="99" applyNumberFormat="0" applyProtection="0">
      <alignment horizontal="left" vertical="top" indent="1"/>
    </xf>
    <xf numFmtId="0" fontId="12" fillId="12" borderId="99" applyNumberFormat="0" applyProtection="0">
      <alignment horizontal="left" vertical="center" indent="1"/>
    </xf>
    <xf numFmtId="0" fontId="12" fillId="12" borderId="99" applyNumberFormat="0" applyProtection="0">
      <alignment horizontal="left" vertical="center" indent="1"/>
    </xf>
    <xf numFmtId="0" fontId="12" fillId="12" borderId="99" applyNumberFormat="0" applyProtection="0">
      <alignment horizontal="left" vertical="center" indent="1"/>
    </xf>
    <xf numFmtId="0" fontId="85" fillId="109" borderId="54" applyNumberFormat="0" applyProtection="0">
      <alignment horizontal="left" vertical="center" indent="1"/>
    </xf>
    <xf numFmtId="0" fontId="12" fillId="109" borderId="99" applyNumberFormat="0" applyProtection="0">
      <alignment horizontal="left" vertical="center" indent="1"/>
    </xf>
    <xf numFmtId="0" fontId="12" fillId="12" borderId="99" applyNumberFormat="0" applyProtection="0">
      <alignment horizontal="left" vertical="top" indent="1"/>
    </xf>
    <xf numFmtId="0" fontId="12" fillId="12" borderId="99" applyNumberFormat="0" applyProtection="0">
      <alignment horizontal="left" vertical="top" indent="1"/>
    </xf>
    <xf numFmtId="0" fontId="12" fillId="12" borderId="99" applyNumberFormat="0" applyProtection="0">
      <alignment horizontal="left" vertical="top" indent="1"/>
    </xf>
    <xf numFmtId="0" fontId="85" fillId="109" borderId="99" applyNumberFormat="0" applyProtection="0">
      <alignment horizontal="left" vertical="top" indent="1"/>
    </xf>
    <xf numFmtId="0" fontId="12" fillId="109" borderId="99" applyNumberFormat="0" applyProtection="0">
      <alignment horizontal="left" vertical="top" indent="1"/>
    </xf>
    <xf numFmtId="0" fontId="12" fillId="101" borderId="21" applyNumberFormat="0">
      <protection locked="0"/>
    </xf>
    <xf numFmtId="0" fontId="12" fillId="101" borderId="21" applyNumberFormat="0">
      <protection locked="0"/>
    </xf>
    <xf numFmtId="0" fontId="12" fillId="101" borderId="21" applyNumberFormat="0">
      <protection locked="0"/>
    </xf>
    <xf numFmtId="0" fontId="85" fillId="101" borderId="100" applyNumberFormat="0">
      <protection locked="0"/>
    </xf>
    <xf numFmtId="0" fontId="85" fillId="101" borderId="100" applyNumberFormat="0">
      <protection locked="0"/>
    </xf>
    <xf numFmtId="0" fontId="150" fillId="106" borderId="101" applyBorder="0"/>
    <xf numFmtId="4" fontId="15" fillId="11" borderId="99" applyNumberFormat="0" applyProtection="0">
      <alignment vertical="center"/>
    </xf>
    <xf numFmtId="4" fontId="133" fillId="86" borderId="99" applyNumberFormat="0" applyProtection="0">
      <alignment vertical="center"/>
    </xf>
    <xf numFmtId="4" fontId="233" fillId="11" borderId="99" applyNumberFormat="0" applyProtection="0">
      <alignment vertical="center"/>
    </xf>
    <xf numFmtId="4" fontId="231" fillId="11" borderId="21" applyNumberFormat="0" applyProtection="0">
      <alignment vertical="center"/>
    </xf>
    <xf numFmtId="4" fontId="15" fillId="36" borderId="99" applyNumberFormat="0" applyProtection="0">
      <alignment horizontal="left" vertical="center" indent="1"/>
    </xf>
    <xf numFmtId="4" fontId="133" fillId="78" borderId="99" applyNumberFormat="0" applyProtection="0">
      <alignment horizontal="left" vertical="center" indent="1"/>
    </xf>
    <xf numFmtId="0" fontId="15" fillId="11" borderId="99" applyNumberFormat="0" applyProtection="0">
      <alignment horizontal="left" vertical="top" indent="1"/>
    </xf>
    <xf numFmtId="0" fontId="133" fillId="86" borderId="99" applyNumberFormat="0" applyProtection="0">
      <alignment horizontal="left" vertical="top" indent="1"/>
    </xf>
    <xf numFmtId="4" fontId="15" fillId="36" borderId="99" applyNumberFormat="0" applyProtection="0">
      <alignment horizontal="right" vertical="center"/>
    </xf>
    <xf numFmtId="4" fontId="85" fillId="0" borderId="54" applyNumberFormat="0" applyProtection="0">
      <alignment horizontal="right" vertical="center"/>
    </xf>
    <xf numFmtId="4" fontId="85" fillId="0" borderId="54" applyNumberFormat="0" applyProtection="0">
      <alignment horizontal="right" vertical="center"/>
    </xf>
    <xf numFmtId="4" fontId="233" fillId="109" borderId="99" applyNumberFormat="0" applyProtection="0">
      <alignment horizontal="right" vertical="center"/>
    </xf>
    <xf numFmtId="4" fontId="231" fillId="29" borderId="54" applyNumberFormat="0" applyProtection="0">
      <alignment horizontal="right" vertical="center"/>
    </xf>
    <xf numFmtId="4" fontId="15" fillId="108" borderId="99" applyNumberFormat="0" applyProtection="0">
      <alignment horizontal="left" vertical="center" indent="1"/>
    </xf>
    <xf numFmtId="4" fontId="85" fillId="46" borderId="54" applyNumberFormat="0" applyProtection="0">
      <alignment horizontal="left" vertical="center" indent="1"/>
    </xf>
    <xf numFmtId="4" fontId="85" fillId="112" borderId="102" applyNumberFormat="0" applyProtection="0">
      <alignment horizontal="left" vertical="center" indent="1"/>
    </xf>
    <xf numFmtId="4" fontId="85" fillId="46" borderId="54" applyNumberFormat="0" applyProtection="0">
      <alignment horizontal="left" vertical="center" indent="1"/>
    </xf>
    <xf numFmtId="0" fontId="44" fillId="42" borderId="99" applyNumberFormat="0" applyProtection="0">
      <alignment horizontal="left" vertical="top" indent="1"/>
    </xf>
    <xf numFmtId="0" fontId="133" fillId="108" borderId="99" applyNumberFormat="0" applyProtection="0">
      <alignment horizontal="left" vertical="top" indent="1"/>
    </xf>
    <xf numFmtId="4" fontId="234" fillId="101" borderId="0" applyNumberFormat="0" applyProtection="0">
      <alignment horizontal="left" vertical="center" indent="1"/>
    </xf>
    <xf numFmtId="4" fontId="234" fillId="101" borderId="0" applyNumberFormat="0" applyProtection="0">
      <alignment horizontal="left" vertical="center" indent="1"/>
    </xf>
    <xf numFmtId="4" fontId="235" fillId="113" borderId="48" applyNumberFormat="0" applyProtection="0">
      <alignment horizontal="left" vertical="center" indent="1"/>
    </xf>
    <xf numFmtId="4" fontId="236" fillId="113" borderId="0" applyNumberFormat="0" applyProtection="0">
      <alignment horizontal="left" vertical="center" indent="1"/>
    </xf>
    <xf numFmtId="0" fontId="85" fillId="114" borderId="21"/>
    <xf numFmtId="4" fontId="131" fillId="109" borderId="99" applyNumberFormat="0" applyProtection="0">
      <alignment horizontal="right" vertical="center"/>
    </xf>
    <xf numFmtId="4" fontId="237" fillId="101" borderId="54" applyNumberFormat="0" applyProtection="0">
      <alignment horizontal="right" vertical="center"/>
    </xf>
    <xf numFmtId="269" fontId="12" fillId="0" borderId="21">
      <alignment horizontal="right"/>
    </xf>
    <xf numFmtId="0" fontId="238" fillId="115" borderId="0"/>
    <xf numFmtId="270" fontId="239" fillId="0" borderId="0">
      <alignment horizontal="right" vertical="center"/>
      <protection locked="0"/>
    </xf>
    <xf numFmtId="271" fontId="240" fillId="1" borderId="0" applyNumberFormat="0" applyBorder="0" applyAlignment="0" applyProtection="0"/>
    <xf numFmtId="0" fontId="75" fillId="116" borderId="0" applyNumberFormat="0" applyFont="0" applyBorder="0" applyAlignment="0" applyProtection="0"/>
    <xf numFmtId="0" fontId="241" fillId="18" borderId="0" applyNumberFormat="0" applyFont="0" applyBorder="0" applyAlignment="0" applyProtection="0">
      <alignment horizontal="center"/>
    </xf>
    <xf numFmtId="217" fontId="75" fillId="0" borderId="43" applyFont="0" applyFill="0" applyBorder="0" applyAlignment="0" applyProtection="0">
      <alignment horizontal="right"/>
    </xf>
    <xf numFmtId="0" fontId="215" fillId="0" borderId="0" applyNumberFormat="0" applyFill="0" applyBorder="0" applyAlignment="0" applyProtection="0">
      <alignment horizontal="left"/>
    </xf>
    <xf numFmtId="0" fontId="242" fillId="0" borderId="0" applyNumberFormat="0" applyFill="0" applyBorder="0" applyAlignment="0" applyProtection="0"/>
    <xf numFmtId="239" fontId="105" fillId="0" borderId="0" applyFill="0" applyBorder="0" applyAlignment="0" applyProtection="0"/>
    <xf numFmtId="0" fontId="243" fillId="0" borderId="0"/>
    <xf numFmtId="0" fontId="244" fillId="0" borderId="0" applyNumberFormat="0">
      <alignment horizontal="left"/>
    </xf>
    <xf numFmtId="0" fontId="245" fillId="0" borderId="0" applyNumberFormat="0" applyFill="0" applyBorder="0" applyAlignment="0" applyProtection="0"/>
    <xf numFmtId="0" fontId="134" fillId="0" borderId="0"/>
    <xf numFmtId="0" fontId="103" fillId="0" borderId="0"/>
    <xf numFmtId="272" fontId="12" fillId="0" borderId="0" applyFill="0" applyBorder="0" applyProtection="0"/>
    <xf numFmtId="0" fontId="22" fillId="0" borderId="0"/>
    <xf numFmtId="0" fontId="22" fillId="0" borderId="0"/>
    <xf numFmtId="0" fontId="85" fillId="116" borderId="0" applyNumberFormat="0" applyBorder="0" applyProtection="0">
      <alignment vertical="top" wrapText="1"/>
    </xf>
    <xf numFmtId="0" fontId="85" fillId="116" borderId="0" applyNumberFormat="0" applyBorder="0" applyProtection="0">
      <alignment vertical="top" wrapText="1"/>
    </xf>
    <xf numFmtId="0" fontId="85" fillId="116" borderId="0" applyNumberFormat="0" applyBorder="0" applyProtection="0">
      <alignment vertical="top" wrapText="1"/>
    </xf>
    <xf numFmtId="0" fontId="85" fillId="0" borderId="0" applyNumberFormat="0" applyFill="0" applyBorder="0" applyProtection="0">
      <alignment vertical="top" wrapText="1"/>
    </xf>
    <xf numFmtId="0" fontId="85" fillId="0" borderId="0" applyNumberFormat="0" applyFill="0" applyBorder="0" applyProtection="0">
      <alignment vertical="top" wrapText="1"/>
    </xf>
    <xf numFmtId="0" fontId="85" fillId="0" borderId="0" applyNumberFormat="0" applyFill="0" applyBorder="0" applyProtection="0">
      <alignment vertical="top" wrapText="1"/>
    </xf>
    <xf numFmtId="0" fontId="12" fillId="0" borderId="0">
      <alignment vertical="top"/>
    </xf>
    <xf numFmtId="0" fontId="12" fillId="0" borderId="0">
      <alignment vertical="top"/>
    </xf>
    <xf numFmtId="0" fontId="12" fillId="0" borderId="0">
      <alignment vertical="top"/>
    </xf>
    <xf numFmtId="0" fontId="12" fillId="0" borderId="0">
      <alignment vertical="top"/>
    </xf>
    <xf numFmtId="0" fontId="12" fillId="0" borderId="0">
      <alignment vertical="top"/>
    </xf>
    <xf numFmtId="0" fontId="12" fillId="0" borderId="0">
      <alignment vertical="top"/>
    </xf>
    <xf numFmtId="0" fontId="12" fillId="0" borderId="0">
      <alignment vertical="top"/>
    </xf>
    <xf numFmtId="273" fontId="12" fillId="0" borderId="0"/>
    <xf numFmtId="0" fontId="246" fillId="0" borderId="0"/>
    <xf numFmtId="0" fontId="247" fillId="0" borderId="0"/>
    <xf numFmtId="0" fontId="248" fillId="0" borderId="0" applyNumberFormat="0" applyFill="0" applyBorder="0" applyAlignment="0" applyProtection="0">
      <alignment horizontal="left"/>
    </xf>
    <xf numFmtId="182" fontId="197" fillId="0" borderId="0">
      <alignment horizontal="centerContinuous"/>
    </xf>
    <xf numFmtId="231" fontId="93" fillId="14" borderId="0">
      <alignment horizontal="center"/>
      <protection locked="0"/>
    </xf>
    <xf numFmtId="0" fontId="65" fillId="117" borderId="103">
      <alignment vertical="top" wrapText="1"/>
    </xf>
    <xf numFmtId="0" fontId="65" fillId="117" borderId="103">
      <alignment vertical="top" wrapText="1"/>
    </xf>
    <xf numFmtId="0" fontId="249" fillId="0" borderId="43" applyBorder="0" applyProtection="0">
      <alignment horizontal="right" vertical="center"/>
    </xf>
    <xf numFmtId="0" fontId="250" fillId="118" borderId="0" applyBorder="0" applyProtection="0">
      <alignment horizontal="centerContinuous" vertical="center"/>
    </xf>
    <xf numFmtId="0" fontId="250" fillId="21" borderId="43" applyBorder="0" applyProtection="0">
      <alignment horizontal="centerContinuous" vertical="center"/>
    </xf>
    <xf numFmtId="0" fontId="12" fillId="0" borderId="0" applyBorder="0" applyProtection="0">
      <alignment vertical="center"/>
    </xf>
    <xf numFmtId="0" fontId="150" fillId="0" borderId="0" applyBorder="0" applyProtection="0">
      <alignment horizontal="left"/>
    </xf>
    <xf numFmtId="0" fontId="144" fillId="0" borderId="0" applyNumberFormat="0" applyFill="0" applyBorder="0" applyProtection="0">
      <alignment horizontal="left"/>
    </xf>
    <xf numFmtId="0" fontId="222" fillId="0" borderId="0" applyFill="0" applyBorder="0" applyProtection="0"/>
    <xf numFmtId="0" fontId="47" fillId="0" borderId="0" applyNumberFormat="0">
      <alignment horizontal="left"/>
    </xf>
    <xf numFmtId="0" fontId="196" fillId="0" borderId="0"/>
    <xf numFmtId="0" fontId="251" fillId="0" borderId="0" applyFill="0" applyBorder="0" applyProtection="0">
      <alignment horizontal="left"/>
    </xf>
    <xf numFmtId="0" fontId="144" fillId="0" borderId="37" applyFill="0" applyBorder="0" applyProtection="0">
      <alignment horizontal="left" vertical="top"/>
    </xf>
    <xf numFmtId="0" fontId="248" fillId="0" borderId="0">
      <alignment horizontal="centerContinuous"/>
    </xf>
    <xf numFmtId="49" fontId="252" fillId="0" borderId="43">
      <alignment vertical="center"/>
    </xf>
    <xf numFmtId="49" fontId="74" fillId="0" borderId="0" applyFont="0" applyFill="0" applyBorder="0" applyAlignment="0" applyProtection="0"/>
    <xf numFmtId="0" fontId="253" fillId="0" borderId="0"/>
    <xf numFmtId="0" fontId="254" fillId="0" borderId="0" applyNumberFormat="0" applyFill="0" applyBorder="0" applyProtection="0"/>
    <xf numFmtId="49" fontId="74" fillId="0" borderId="0" applyFont="0" applyFill="0" applyBorder="0" applyAlignment="0" applyProtection="0"/>
    <xf numFmtId="0" fontId="255" fillId="0" borderId="0" applyFill="0" applyBorder="0" applyProtection="0"/>
    <xf numFmtId="0" fontId="256" fillId="0" borderId="0"/>
    <xf numFmtId="0" fontId="255" fillId="0" borderId="0" applyNumberFormat="0" applyFill="0" applyBorder="0" applyProtection="0"/>
    <xf numFmtId="0" fontId="254" fillId="0" borderId="0" applyNumberFormat="0" applyFill="0" applyBorder="0" applyProtection="0"/>
    <xf numFmtId="0" fontId="254" fillId="0" borderId="0"/>
    <xf numFmtId="49" fontId="15" fillId="0" borderId="0" applyFill="0" applyBorder="0" applyAlignment="0"/>
    <xf numFmtId="0" fontId="108" fillId="0" borderId="0" applyFill="0" applyBorder="0" applyAlignment="0"/>
    <xf numFmtId="0" fontId="108" fillId="0" borderId="0" applyFill="0" applyBorder="0" applyAlignment="0"/>
    <xf numFmtId="0" fontId="108" fillId="0" borderId="0" applyFill="0" applyBorder="0" applyAlignment="0"/>
    <xf numFmtId="0" fontId="108" fillId="0" borderId="0" applyFill="0" applyBorder="0" applyAlignment="0"/>
    <xf numFmtId="0" fontId="108" fillId="0" borderId="0" applyFill="0" applyBorder="0" applyAlignment="0"/>
    <xf numFmtId="0" fontId="108" fillId="0" borderId="0" applyFill="0" applyBorder="0" applyAlignment="0"/>
    <xf numFmtId="0" fontId="253" fillId="0" borderId="37" applyFill="0" applyBorder="0" applyProtection="0"/>
    <xf numFmtId="274" fontId="12" fillId="0" borderId="0" applyFont="0" applyFill="0" applyBorder="0" applyProtection="0"/>
    <xf numFmtId="0" fontId="145" fillId="0" borderId="0">
      <alignment horizontal="center"/>
    </xf>
    <xf numFmtId="15" fontId="145" fillId="0" borderId="0">
      <alignment horizontal="center"/>
    </xf>
    <xf numFmtId="0" fontId="75" fillId="0" borderId="0" applyNumberFormat="0" applyFill="0" applyBorder="0" applyAlignment="0" applyProtection="0"/>
    <xf numFmtId="0" fontId="7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257" fillId="0" borderId="0" applyNumberFormat="0" applyFill="0" applyBorder="0" applyAlignment="0" applyProtection="0"/>
    <xf numFmtId="0" fontId="257" fillId="0" borderId="0" applyNumberFormat="0" applyFill="0" applyBorder="0" applyAlignment="0" applyProtection="0"/>
    <xf numFmtId="0" fontId="257" fillId="0" borderId="0" applyNumberFormat="0" applyFill="0" applyBorder="0" applyAlignment="0" applyProtection="0"/>
    <xf numFmtId="0" fontId="257" fillId="0" borderId="0" applyNumberFormat="0" applyFill="0" applyBorder="0" applyAlignment="0" applyProtection="0"/>
    <xf numFmtId="0" fontId="257" fillId="0" borderId="0" applyNumberFormat="0" applyFill="0" applyBorder="0" applyAlignment="0" applyProtection="0"/>
    <xf numFmtId="0" fontId="257" fillId="0" borderId="0" applyNumberFormat="0" applyFill="0" applyBorder="0" applyAlignment="0" applyProtection="0"/>
    <xf numFmtId="0" fontId="257" fillId="0" borderId="0" applyNumberFormat="0" applyFill="0" applyBorder="0" applyAlignment="0" applyProtection="0"/>
    <xf numFmtId="0" fontId="257" fillId="0" borderId="0" applyNumberFormat="0" applyFill="0" applyBorder="0" applyAlignment="0" applyProtection="0"/>
    <xf numFmtId="0" fontId="257" fillId="0" borderId="0" applyNumberFormat="0" applyFill="0" applyBorder="0" applyAlignment="0" applyProtection="0"/>
    <xf numFmtId="0" fontId="257" fillId="0" borderId="0" applyNumberFormat="0" applyFill="0" applyBorder="0" applyAlignment="0" applyProtection="0"/>
    <xf numFmtId="0" fontId="257" fillId="0" borderId="0" applyNumberFormat="0" applyFill="0" applyBorder="0" applyAlignment="0" applyProtection="0"/>
    <xf numFmtId="0" fontId="257" fillId="0" borderId="0" applyNumberFormat="0" applyFill="0" applyBorder="0" applyAlignment="0" applyProtection="0"/>
    <xf numFmtId="0" fontId="257" fillId="0" borderId="0" applyNumberFormat="0" applyFill="0" applyBorder="0" applyAlignment="0" applyProtection="0"/>
    <xf numFmtId="0" fontId="257" fillId="0" borderId="0" applyNumberFormat="0" applyFill="0" applyBorder="0" applyAlignment="0" applyProtection="0"/>
    <xf numFmtId="0" fontId="257" fillId="0" borderId="0" applyNumberFormat="0" applyFill="0" applyBorder="0" applyAlignment="0" applyProtection="0"/>
    <xf numFmtId="0" fontId="257" fillId="0" borderId="0" applyNumberFormat="0" applyFill="0" applyBorder="0" applyAlignment="0" applyProtection="0"/>
    <xf numFmtId="0" fontId="257" fillId="0" borderId="0" applyNumberFormat="0" applyFill="0" applyBorder="0" applyAlignment="0" applyProtection="0"/>
    <xf numFmtId="0" fontId="257" fillId="0" borderId="0" applyNumberFormat="0" applyFill="0" applyBorder="0" applyAlignment="0" applyProtection="0"/>
    <xf numFmtId="0" fontId="257" fillId="0" borderId="0" applyNumberFormat="0" applyFill="0" applyBorder="0" applyAlignment="0" applyProtection="0"/>
    <xf numFmtId="0" fontId="257" fillId="0" borderId="0" applyNumberFormat="0" applyFill="0" applyBorder="0" applyAlignment="0" applyProtection="0"/>
    <xf numFmtId="0" fontId="257" fillId="0" borderId="0" applyNumberFormat="0" applyFill="0" applyBorder="0" applyAlignment="0" applyProtection="0"/>
    <xf numFmtId="0" fontId="257" fillId="0" borderId="0" applyNumberFormat="0" applyFill="0" applyBorder="0" applyAlignment="0" applyProtection="0"/>
    <xf numFmtId="0" fontId="257" fillId="0" borderId="0" applyNumberFormat="0" applyFill="0" applyBorder="0" applyAlignment="0" applyProtection="0"/>
    <xf numFmtId="0" fontId="257" fillId="0" borderId="0" applyNumberFormat="0" applyFill="0" applyBorder="0" applyAlignment="0" applyProtection="0"/>
    <xf numFmtId="0" fontId="257" fillId="0" borderId="0" applyNumberFormat="0" applyFill="0" applyBorder="0" applyAlignment="0" applyProtection="0"/>
    <xf numFmtId="0" fontId="258" fillId="115" borderId="0"/>
    <xf numFmtId="0" fontId="12" fillId="0" borderId="0" applyNumberFormat="0" applyFill="0" applyBorder="0" applyAlignment="0" applyProtection="0"/>
    <xf numFmtId="0" fontId="222" fillId="0" borderId="0" applyNumberFormat="0" applyFill="0" applyBorder="0" applyAlignment="0" applyProtection="0"/>
    <xf numFmtId="0" fontId="255" fillId="0" borderId="0"/>
    <xf numFmtId="0" fontId="254" fillId="0" borderId="0"/>
    <xf numFmtId="182" fontId="12" fillId="0" borderId="59" applyNumberFormat="0" applyFont="0" applyFill="0" applyAlignment="0"/>
    <xf numFmtId="182" fontId="12" fillId="0" borderId="59" applyNumberFormat="0" applyFont="0" applyFill="0" applyAlignment="0"/>
    <xf numFmtId="182" fontId="12" fillId="0" borderId="59" applyNumberFormat="0" applyFont="0" applyFill="0" applyAlignment="0"/>
    <xf numFmtId="173" fontId="259" fillId="0" borderId="27" applyFill="0"/>
    <xf numFmtId="0" fontId="260" fillId="0" borderId="104" applyNumberFormat="0" applyFill="0" applyAlignment="0" applyProtection="0"/>
    <xf numFmtId="0" fontId="44" fillId="0" borderId="104" applyNumberFormat="0" applyFill="0" applyAlignment="0" applyProtection="0"/>
    <xf numFmtId="0" fontId="138" fillId="0" borderId="105" applyNumberFormat="0" applyFill="0" applyAlignment="0" applyProtection="0"/>
    <xf numFmtId="173" fontId="92" fillId="0" borderId="27" applyFill="0"/>
    <xf numFmtId="173" fontId="92" fillId="0" borderId="59" applyFill="0"/>
    <xf numFmtId="0" fontId="138" fillId="0" borderId="104" applyNumberFormat="0" applyFill="0" applyAlignment="0" applyProtection="0"/>
    <xf numFmtId="0" fontId="44" fillId="0" borderId="104" applyNumberFormat="0" applyFill="0" applyAlignment="0" applyProtection="0"/>
    <xf numFmtId="0" fontId="138" fillId="0" borderId="104" applyNumberFormat="0" applyFill="0" applyAlignment="0" applyProtection="0"/>
    <xf numFmtId="275" fontId="85" fillId="0" borderId="65" applyFill="0" applyBorder="0" applyProtection="0">
      <alignment vertical="center"/>
    </xf>
    <xf numFmtId="3" fontId="65" fillId="0" borderId="59"/>
    <xf numFmtId="3" fontId="65" fillId="0" borderId="59"/>
    <xf numFmtId="276" fontId="12" fillId="0" borderId="59"/>
    <xf numFmtId="0" fontId="261" fillId="0" borderId="0" applyNumberFormat="0"/>
    <xf numFmtId="41" fontId="12" fillId="0" borderId="0" applyFont="0" applyFill="0" applyBorder="0" applyAlignment="0" applyProtection="0"/>
    <xf numFmtId="43" fontId="12" fillId="0" borderId="0" applyFont="0" applyFill="0" applyBorder="0" applyAlignment="0" applyProtection="0"/>
    <xf numFmtId="172" fontId="74" fillId="0" borderId="43" applyNumberFormat="0" applyFont="0" applyFill="0" applyAlignment="0" applyProtection="0"/>
    <xf numFmtId="208" fontId="262" fillId="0" borderId="0">
      <alignment horizontal="left"/>
      <protection locked="0"/>
    </xf>
    <xf numFmtId="37" fontId="75" fillId="119" borderId="21" applyNumberFormat="0" applyAlignment="0" applyProtection="0"/>
    <xf numFmtId="0" fontId="263" fillId="0" borderId="0">
      <alignment horizontal="fill"/>
    </xf>
    <xf numFmtId="269" fontId="12" fillId="18" borderId="21">
      <alignment horizontal="right"/>
    </xf>
    <xf numFmtId="0" fontId="204" fillId="0" borderId="0"/>
    <xf numFmtId="0" fontId="264" fillId="0" borderId="0" applyNumberFormat="0" applyFont="0" applyFill="0"/>
    <xf numFmtId="37" fontId="85" fillId="14" borderId="0" applyNumberFormat="0" applyBorder="0" applyAlignment="0" applyProtection="0"/>
    <xf numFmtId="37" fontId="85" fillId="0" borderId="0"/>
    <xf numFmtId="37" fontId="85" fillId="9" borderId="0" applyNumberFormat="0" applyBorder="0" applyAlignment="0" applyProtection="0"/>
    <xf numFmtId="3" fontId="201" fillId="0" borderId="106" applyProtection="0"/>
    <xf numFmtId="14" fontId="241" fillId="0" borderId="0" applyNumberFormat="0" applyFont="0" applyBorder="0" applyAlignment="0" applyProtection="0">
      <alignment horizontal="center"/>
    </xf>
    <xf numFmtId="0" fontId="265" fillId="0" borderId="0">
      <alignment vertical="top"/>
    </xf>
    <xf numFmtId="240" fontId="266" fillId="0" borderId="0" applyNumberFormat="0"/>
    <xf numFmtId="269" fontId="12" fillId="0" borderId="21">
      <alignment horizontal="right"/>
    </xf>
    <xf numFmtId="0" fontId="24" fillId="120" borderId="107">
      <alignment horizontal="left"/>
    </xf>
    <xf numFmtId="277" fontId="267" fillId="0" borderId="0" applyFont="0" applyFill="0" applyBorder="0" applyAlignment="0" applyProtection="0"/>
    <xf numFmtId="180" fontId="267" fillId="0" borderId="0" applyFont="0" applyFill="0" applyBorder="0" applyAlignment="0" applyProtection="0"/>
    <xf numFmtId="0" fontId="12" fillId="0" borderId="0">
      <alignment horizontal="center" textRotation="180"/>
    </xf>
    <xf numFmtId="239" fontId="12" fillId="0" borderId="0" applyFont="0" applyFill="0" applyBorder="0" applyAlignment="0" applyProtection="0"/>
    <xf numFmtId="44" fontId="134" fillId="0" borderId="0" applyFont="0" applyFill="0" applyBorder="0" applyAlignment="0" applyProtection="0"/>
    <xf numFmtId="0" fontId="268" fillId="0" borderId="0" applyNumberFormat="0" applyFill="0" applyBorder="0"/>
    <xf numFmtId="0" fontId="269" fillId="0" borderId="0" applyNumberFormat="0" applyFill="0" applyBorder="0" applyAlignment="0" applyProtection="0"/>
    <xf numFmtId="0" fontId="131" fillId="0" borderId="0" applyNumberFormat="0" applyFill="0" applyBorder="0" applyAlignment="0" applyProtection="0"/>
    <xf numFmtId="0" fontId="270" fillId="0" borderId="0" applyNumberFormat="0" applyFill="0" applyBorder="0" applyAlignment="0" applyProtection="0"/>
    <xf numFmtId="0" fontId="271" fillId="0" borderId="0" applyNumberFormat="0" applyFill="0" applyBorder="0" applyAlignment="0" applyProtection="0"/>
    <xf numFmtId="0" fontId="131" fillId="0" borderId="0" applyNumberFormat="0" applyFill="0" applyBorder="0" applyAlignment="0" applyProtection="0"/>
    <xf numFmtId="0" fontId="271" fillId="0" borderId="0" applyNumberFormat="0" applyFill="0" applyBorder="0" applyAlignment="0" applyProtection="0"/>
    <xf numFmtId="0" fontId="154" fillId="0" borderId="43" applyBorder="0" applyProtection="0">
      <alignment horizontal="right"/>
    </xf>
    <xf numFmtId="0" fontId="272" fillId="0" borderId="0"/>
  </cellStyleXfs>
  <cellXfs count="237">
    <xf numFmtId="0" fontId="0" fillId="0" borderId="0" xfId="0"/>
    <xf numFmtId="0" fontId="2" fillId="3" borderId="0" xfId="0" applyFont="1" applyFill="1"/>
    <xf numFmtId="0" fontId="3" fillId="0" borderId="0" xfId="0" applyFont="1"/>
    <xf numFmtId="0" fontId="2" fillId="4" borderId="0" xfId="0" applyFont="1" applyFill="1"/>
    <xf numFmtId="0" fontId="6" fillId="3" borderId="2" xfId="0" applyFont="1" applyFill="1" applyBorder="1" applyAlignment="1">
      <alignment horizontal="center" wrapText="1"/>
    </xf>
    <xf numFmtId="0" fontId="7" fillId="5" borderId="2" xfId="0" applyFont="1" applyFill="1" applyBorder="1" applyAlignment="1">
      <alignment horizontal="center" wrapText="1"/>
    </xf>
    <xf numFmtId="0" fontId="6" fillId="6" borderId="2" xfId="0" applyFont="1" applyFill="1" applyBorder="1" applyAlignment="1">
      <alignment horizontal="center" wrapText="1"/>
    </xf>
    <xf numFmtId="0" fontId="0" fillId="2" borderId="1" xfId="1" applyFont="1"/>
    <xf numFmtId="0" fontId="4" fillId="7" borderId="0" xfId="0" applyFont="1" applyFill="1"/>
    <xf numFmtId="0" fontId="5" fillId="2" borderId="1" xfId="1" applyFont="1" applyAlignment="1">
      <alignment horizontal="left" vertical="center" wrapText="1"/>
    </xf>
    <xf numFmtId="14" fontId="0" fillId="2" borderId="1" xfId="1" applyNumberFormat="1" applyFont="1"/>
    <xf numFmtId="0" fontId="6" fillId="3" borderId="0" xfId="0" applyFont="1" applyFill="1"/>
    <xf numFmtId="0" fontId="5" fillId="0" borderId="0" xfId="0" applyFont="1"/>
    <xf numFmtId="0" fontId="8" fillId="0" borderId="0" xfId="0" applyFont="1"/>
    <xf numFmtId="17" fontId="3" fillId="0" borderId="2" xfId="0" applyNumberFormat="1" applyFont="1" applyBorder="1" applyAlignment="1">
      <alignment horizontal="center"/>
    </xf>
    <xf numFmtId="0" fontId="5" fillId="4" borderId="0" xfId="0" applyFont="1" applyFill="1"/>
    <xf numFmtId="0" fontId="6" fillId="4" borderId="0" xfId="0" applyFont="1" applyFill="1"/>
    <xf numFmtId="0" fontId="9" fillId="5" borderId="2" xfId="0" applyFont="1" applyFill="1" applyBorder="1"/>
    <xf numFmtId="17" fontId="7" fillId="0" borderId="0" xfId="0" applyNumberFormat="1" applyFont="1" applyBorder="1" applyAlignment="1">
      <alignment horizontal="center"/>
    </xf>
    <xf numFmtId="4" fontId="5" fillId="0" borderId="3" xfId="0" applyNumberFormat="1" applyFont="1" applyBorder="1" applyAlignment="1">
      <alignment horizontal="center"/>
    </xf>
    <xf numFmtId="3" fontId="5" fillId="0" borderId="3" xfId="0" applyNumberFormat="1" applyFont="1" applyBorder="1" applyAlignment="1">
      <alignment horizontal="center"/>
    </xf>
    <xf numFmtId="10" fontId="5" fillId="0" borderId="3" xfId="0" applyNumberFormat="1" applyFont="1" applyBorder="1" applyAlignment="1">
      <alignment horizontal="center"/>
    </xf>
    <xf numFmtId="17" fontId="3" fillId="0" borderId="0" xfId="0" applyNumberFormat="1" applyFont="1" applyBorder="1" applyAlignment="1">
      <alignment horizontal="center"/>
    </xf>
    <xf numFmtId="3" fontId="5" fillId="8" borderId="1" xfId="1" applyNumberFormat="1" applyFont="1" applyFill="1"/>
    <xf numFmtId="0" fontId="10" fillId="0" borderId="0" xfId="0" applyFont="1"/>
    <xf numFmtId="0" fontId="11" fillId="0" borderId="0" xfId="0" applyFont="1"/>
    <xf numFmtId="0" fontId="5" fillId="0" borderId="0" xfId="0" applyFont="1" applyAlignment="1">
      <alignment horizontal="left" indent="2"/>
    </xf>
    <xf numFmtId="0" fontId="7" fillId="0" borderId="0" xfId="0" applyFont="1" applyAlignment="1">
      <alignment horizontal="left" indent="2"/>
    </xf>
    <xf numFmtId="3" fontId="7" fillId="8" borderId="1" xfId="1" applyNumberFormat="1" applyFont="1" applyFill="1"/>
    <xf numFmtId="0" fontId="9" fillId="5" borderId="2" xfId="0" applyFont="1" applyFill="1" applyBorder="1" applyAlignment="1">
      <alignment horizontal="center"/>
    </xf>
    <xf numFmtId="0" fontId="13" fillId="0" borderId="0" xfId="3"/>
    <xf numFmtId="0" fontId="13" fillId="0" borderId="4" xfId="3" applyBorder="1"/>
    <xf numFmtId="0" fontId="14" fillId="0" borderId="5" xfId="3" applyFont="1" applyBorder="1"/>
    <xf numFmtId="0" fontId="13" fillId="0" borderId="6" xfId="3" applyBorder="1"/>
    <xf numFmtId="0" fontId="13" fillId="0" borderId="7" xfId="3" applyBorder="1"/>
    <xf numFmtId="0" fontId="13" fillId="0" borderId="8" xfId="3" applyBorder="1"/>
    <xf numFmtId="0" fontId="13" fillId="0" borderId="9" xfId="3" applyBorder="1"/>
    <xf numFmtId="0" fontId="13" fillId="0" borderId="10" xfId="3" applyBorder="1"/>
    <xf numFmtId="0" fontId="13" fillId="0" borderId="5" xfId="3" applyBorder="1"/>
    <xf numFmtId="0" fontId="13" fillId="0" borderId="0" xfId="3" applyBorder="1"/>
    <xf numFmtId="0" fontId="13" fillId="0" borderId="0" xfId="3" applyFont="1"/>
    <xf numFmtId="164" fontId="16" fillId="0" borderId="0" xfId="4" applyNumberFormat="1" applyFont="1" applyFill="1" applyBorder="1" applyAlignment="1" applyProtection="1">
      <alignment horizontal="center"/>
    </xf>
    <xf numFmtId="0" fontId="17" fillId="0" borderId="0" xfId="4" applyFont="1" applyFill="1" applyBorder="1" applyAlignment="1" applyProtection="1">
      <alignment horizontal="left" vertical="top"/>
    </xf>
    <xf numFmtId="0" fontId="19" fillId="0" borderId="0" xfId="4" applyFont="1" applyFill="1" applyBorder="1" applyAlignment="1" applyProtection="1">
      <alignment horizontal="left" vertical="top" indent="1"/>
    </xf>
    <xf numFmtId="164" fontId="20" fillId="0" borderId="7" xfId="4" applyNumberFormat="1" applyFont="1" applyFill="1" applyBorder="1" applyAlignment="1" applyProtection="1">
      <alignment horizontal="left" vertical="top"/>
    </xf>
    <xf numFmtId="0" fontId="12" fillId="0" borderId="0" xfId="4" applyFont="1" applyFill="1" applyBorder="1" applyAlignment="1" applyProtection="1">
      <alignment horizontal="left" vertical="top" indent="1"/>
    </xf>
    <xf numFmtId="0" fontId="15" fillId="0" borderId="0" xfId="4" applyBorder="1"/>
    <xf numFmtId="0" fontId="17" fillId="0" borderId="0" xfId="4" applyFont="1" applyFill="1" applyBorder="1" applyAlignment="1" applyProtection="1">
      <alignment vertical="top"/>
    </xf>
    <xf numFmtId="0" fontId="21" fillId="0" borderId="0" xfId="4" applyFont="1" applyFill="1" applyBorder="1" applyAlignment="1" applyProtection="1">
      <alignment vertical="top"/>
    </xf>
    <xf numFmtId="0" fontId="19" fillId="0" borderId="0" xfId="4" applyFont="1" applyFill="1" applyBorder="1" applyAlignment="1" applyProtection="1">
      <alignment horizontal="left" vertical="top"/>
    </xf>
    <xf numFmtId="0" fontId="0" fillId="0" borderId="0" xfId="5" applyFont="1" applyBorder="1"/>
    <xf numFmtId="0" fontId="13" fillId="0" borderId="14" xfId="3" applyBorder="1"/>
    <xf numFmtId="164" fontId="20" fillId="0" borderId="7" xfId="4" quotePrefix="1" applyNumberFormat="1" applyFont="1" applyFill="1" applyBorder="1" applyAlignment="1" applyProtection="1">
      <alignment horizontal="left" vertical="top"/>
    </xf>
    <xf numFmtId="0" fontId="37" fillId="0" borderId="0" xfId="3" applyFont="1"/>
    <xf numFmtId="0" fontId="38" fillId="0" borderId="0" xfId="4" applyFont="1" applyAlignment="1">
      <alignment horizontal="right"/>
    </xf>
    <xf numFmtId="165" fontId="12" fillId="8" borderId="15" xfId="31" applyFont="1" applyFill="1"/>
    <xf numFmtId="0" fontId="7" fillId="0" borderId="3" xfId="0" applyFont="1" applyBorder="1" applyAlignment="1">
      <alignment horizontal="center" vertical="center"/>
    </xf>
    <xf numFmtId="0" fontId="7" fillId="0" borderId="3" xfId="0" applyFont="1" applyBorder="1" applyAlignment="1">
      <alignment horizontal="left" vertical="center"/>
    </xf>
    <xf numFmtId="165" fontId="39" fillId="8" borderId="15" xfId="31" applyFont="1" applyFill="1"/>
    <xf numFmtId="165" fontId="39" fillId="8" borderId="15" xfId="31" applyFont="1" applyFill="1" applyAlignment="1">
      <alignment horizontal="right"/>
    </xf>
    <xf numFmtId="174" fontId="39" fillId="8" borderId="15" xfId="31" applyNumberFormat="1" applyFont="1" applyFill="1" applyAlignment="1">
      <alignment horizontal="right"/>
    </xf>
    <xf numFmtId="165" fontId="39" fillId="8" borderId="15" xfId="31" quotePrefix="1" applyFont="1" applyFill="1" applyAlignment="1">
      <alignment horizontal="right"/>
    </xf>
    <xf numFmtId="165" fontId="40" fillId="8" borderId="15" xfId="51" applyNumberFormat="1" applyFill="1" applyBorder="1" applyAlignment="1">
      <alignment horizontal="right"/>
    </xf>
    <xf numFmtId="0" fontId="42" fillId="20" borderId="0" xfId="4" applyFont="1" applyFill="1" applyProtection="1"/>
    <xf numFmtId="0" fontId="15" fillId="0" borderId="0" xfId="4" applyAlignment="1">
      <alignment vertical="center"/>
    </xf>
    <xf numFmtId="0" fontId="15" fillId="0" borderId="0" xfId="4" applyAlignment="1" applyProtection="1">
      <alignment vertical="center"/>
    </xf>
    <xf numFmtId="0" fontId="15" fillId="0" borderId="0" xfId="4" applyFont="1" applyAlignment="1" applyProtection="1">
      <alignment vertical="center"/>
    </xf>
    <xf numFmtId="0" fontId="15" fillId="0" borderId="0" xfId="4" applyAlignment="1" applyProtection="1">
      <alignment horizontal="left" vertical="center"/>
    </xf>
    <xf numFmtId="0" fontId="21" fillId="20" borderId="0" xfId="4" applyFont="1" applyFill="1" applyAlignment="1" applyProtection="1">
      <alignment vertical="center"/>
    </xf>
    <xf numFmtId="0" fontId="43" fillId="20" borderId="0" xfId="4" applyFont="1" applyFill="1" applyAlignment="1" applyProtection="1">
      <alignment vertical="center"/>
    </xf>
    <xf numFmtId="0" fontId="15" fillId="20" borderId="0" xfId="4" applyFill="1" applyAlignment="1" applyProtection="1">
      <alignment vertical="center"/>
    </xf>
    <xf numFmtId="0" fontId="44" fillId="0" borderId="0" xfId="4" applyFont="1" applyAlignment="1" applyProtection="1">
      <alignment vertical="center"/>
    </xf>
    <xf numFmtId="0" fontId="15" fillId="0" borderId="0" xfId="4" applyFont="1" applyAlignment="1" applyProtection="1">
      <alignment vertical="top" wrapText="1"/>
    </xf>
    <xf numFmtId="0" fontId="45" fillId="0" borderId="0" xfId="4" applyFont="1" applyAlignment="1" applyProtection="1">
      <alignment vertical="center"/>
    </xf>
    <xf numFmtId="0" fontId="15" fillId="0" borderId="0" xfId="4" applyFont="1" applyAlignment="1">
      <alignment vertical="center"/>
    </xf>
    <xf numFmtId="0" fontId="15" fillId="0" borderId="0" xfId="4" applyAlignment="1" applyProtection="1">
      <alignment vertical="top"/>
    </xf>
    <xf numFmtId="0" fontId="15" fillId="0" borderId="0" xfId="4" applyAlignment="1">
      <alignment vertical="top"/>
    </xf>
    <xf numFmtId="0" fontId="15" fillId="0" borderId="0" xfId="4" applyFont="1" applyAlignment="1" applyProtection="1">
      <alignment horizontal="right" vertical="center"/>
    </xf>
    <xf numFmtId="0" fontId="46" fillId="0" borderId="0" xfId="4" applyFont="1" applyAlignment="1">
      <alignment horizontal="right" vertical="center"/>
    </xf>
    <xf numFmtId="0" fontId="49" fillId="0" borderId="0" xfId="4" applyFont="1" applyAlignment="1" applyProtection="1">
      <alignment vertical="center"/>
    </xf>
    <xf numFmtId="0" fontId="15" fillId="0" borderId="0" xfId="4" applyFont="1" applyAlignment="1" applyProtection="1">
      <alignment vertical="top"/>
    </xf>
    <xf numFmtId="0" fontId="12" fillId="0" borderId="0" xfId="2" applyAlignment="1">
      <alignment vertical="top"/>
    </xf>
    <xf numFmtId="0" fontId="50" fillId="0" borderId="0" xfId="4" applyFont="1" applyAlignment="1" applyProtection="1">
      <alignment vertical="top"/>
    </xf>
    <xf numFmtId="0" fontId="43" fillId="21" borderId="0" xfId="4" applyFont="1" applyFill="1" applyAlignment="1" applyProtection="1">
      <alignment vertical="center"/>
    </xf>
    <xf numFmtId="0" fontId="12" fillId="21" borderId="0" xfId="4" applyFont="1" applyFill="1" applyAlignment="1" applyProtection="1">
      <alignment vertical="center"/>
    </xf>
    <xf numFmtId="0" fontId="15" fillId="21" borderId="0" xfId="4" applyFill="1" applyAlignment="1" applyProtection="1">
      <alignment vertical="center"/>
    </xf>
    <xf numFmtId="0" fontId="12" fillId="0" borderId="0" xfId="2"/>
    <xf numFmtId="0" fontId="53" fillId="0" borderId="0" xfId="4" applyFont="1"/>
    <xf numFmtId="0" fontId="53" fillId="0" borderId="0" xfId="4" applyFont="1" applyProtection="1"/>
    <xf numFmtId="0" fontId="39" fillId="0" borderId="0" xfId="2" applyFont="1"/>
    <xf numFmtId="0" fontId="54" fillId="20" borderId="0" xfId="4" applyFont="1" applyFill="1" applyProtection="1"/>
    <xf numFmtId="0" fontId="55" fillId="20" borderId="0" xfId="4" applyFont="1" applyFill="1" applyProtection="1"/>
    <xf numFmtId="0" fontId="53" fillId="20" borderId="0" xfId="4" applyFont="1" applyFill="1" applyProtection="1"/>
    <xf numFmtId="0" fontId="9" fillId="0" borderId="0" xfId="4" applyFont="1" applyAlignment="1" applyProtection="1">
      <alignment horizontal="center"/>
    </xf>
    <xf numFmtId="0" fontId="56" fillId="0" borderId="0" xfId="4" applyFont="1" applyProtection="1"/>
    <xf numFmtId="0" fontId="9" fillId="0" borderId="0" xfId="4" applyFont="1" applyProtection="1"/>
    <xf numFmtId="175" fontId="39" fillId="11" borderId="15" xfId="29" applyNumberFormat="1" applyFont="1" applyAlignment="1" applyProtection="1">
      <alignment horizontal="center"/>
    </xf>
    <xf numFmtId="0" fontId="39" fillId="11" borderId="15" xfId="33" applyNumberFormat="1" applyFont="1" applyFill="1" applyAlignment="1" applyProtection="1">
      <alignment horizontal="center"/>
    </xf>
    <xf numFmtId="0" fontId="57" fillId="11" borderId="20" xfId="33" applyNumberFormat="1" applyFont="1" applyFill="1" applyBorder="1" applyAlignment="1" applyProtection="1">
      <alignment horizontal="center"/>
    </xf>
    <xf numFmtId="0" fontId="59" fillId="11" borderId="16" xfId="19" applyFont="1" applyProtection="1">
      <alignment horizontal="center"/>
    </xf>
    <xf numFmtId="175" fontId="39" fillId="14" borderId="15" xfId="29" applyNumberFormat="1" applyFont="1" applyFill="1" applyAlignment="1" applyProtection="1">
      <alignment horizontal="center"/>
    </xf>
    <xf numFmtId="175" fontId="39" fillId="18" borderId="15" xfId="44" applyNumberFormat="1" applyFont="1" applyAlignment="1" applyProtection="1">
      <alignment horizontal="center"/>
    </xf>
    <xf numFmtId="174" fontId="39" fillId="9" borderId="15" xfId="28" applyNumberFormat="1" applyFont="1" applyAlignment="1" applyProtection="1">
      <alignment horizontal="center"/>
    </xf>
    <xf numFmtId="176" fontId="39" fillId="12" borderId="15" xfId="21" applyNumberFormat="1" applyFont="1" applyAlignment="1" applyProtection="1">
      <alignment horizontal="center"/>
    </xf>
    <xf numFmtId="177" fontId="54" fillId="22" borderId="21" xfId="4" applyNumberFormat="1" applyFont="1" applyFill="1" applyBorder="1" applyAlignment="1" applyProtection="1">
      <alignment horizontal="center" vertical="center" shrinkToFit="1"/>
      <protection hidden="1"/>
    </xf>
    <xf numFmtId="175" fontId="39" fillId="23" borderId="15" xfId="29" applyNumberFormat="1" applyFont="1" applyFill="1" applyAlignment="1" applyProtection="1">
      <alignment horizontal="center"/>
    </xf>
    <xf numFmtId="0" fontId="55" fillId="21" borderId="0" xfId="4" applyFont="1" applyFill="1" applyProtection="1"/>
    <xf numFmtId="0" fontId="39" fillId="21" borderId="0" xfId="4" applyFont="1" applyFill="1" applyProtection="1"/>
    <xf numFmtId="0" fontId="53" fillId="21" borderId="0" xfId="4" applyFont="1" applyFill="1" applyProtection="1"/>
    <xf numFmtId="0" fontId="7" fillId="0" borderId="0" xfId="0" applyFont="1"/>
    <xf numFmtId="0" fontId="53" fillId="0" borderId="0" xfId="4" applyFont="1" applyBorder="1"/>
    <xf numFmtId="0" fontId="39" fillId="0" borderId="0" xfId="4" applyFont="1" applyBorder="1" applyProtection="1"/>
    <xf numFmtId="0" fontId="39" fillId="0" borderId="0" xfId="4" applyFont="1" applyBorder="1" applyAlignment="1" applyProtection="1">
      <alignment horizontal="left"/>
    </xf>
    <xf numFmtId="0" fontId="54" fillId="20" borderId="0" xfId="4" applyFont="1" applyFill="1" applyBorder="1" applyProtection="1"/>
    <xf numFmtId="0" fontId="60" fillId="20" borderId="0" xfId="4" applyFont="1" applyFill="1" applyBorder="1" applyProtection="1"/>
    <xf numFmtId="0" fontId="39" fillId="14" borderId="0" xfId="4" applyFont="1" applyFill="1" applyBorder="1" applyAlignment="1" applyProtection="1">
      <alignment horizontal="center"/>
    </xf>
    <xf numFmtId="0" fontId="39" fillId="0" borderId="0" xfId="4" applyFont="1" applyFill="1" applyBorder="1" applyAlignment="1" applyProtection="1"/>
    <xf numFmtId="0" fontId="53" fillId="0" borderId="0" xfId="4" applyFont="1" applyBorder="1" applyProtection="1"/>
    <xf numFmtId="0" fontId="55" fillId="23" borderId="0" xfId="4" applyFont="1" applyFill="1" applyBorder="1" applyAlignment="1" applyProtection="1">
      <alignment horizontal="center"/>
    </xf>
    <xf numFmtId="0" fontId="61" fillId="0" borderId="0" xfId="4" applyFont="1" applyBorder="1" applyProtection="1"/>
    <xf numFmtId="0" fontId="55" fillId="24" borderId="0" xfId="4" applyFont="1" applyFill="1" applyBorder="1" applyAlignment="1" applyProtection="1">
      <alignment horizontal="center"/>
    </xf>
    <xf numFmtId="0" fontId="55" fillId="25" borderId="0" xfId="4" applyFont="1" applyFill="1" applyBorder="1" applyAlignment="1" applyProtection="1">
      <alignment horizontal="center"/>
    </xf>
    <xf numFmtId="0" fontId="39" fillId="0" borderId="0" xfId="4" applyFont="1" applyBorder="1" applyAlignment="1" applyProtection="1">
      <alignment horizontal="left" indent="1"/>
    </xf>
    <xf numFmtId="0" fontId="54" fillId="21" borderId="0" xfId="4" applyFont="1" applyFill="1" applyBorder="1" applyAlignment="1" applyProtection="1">
      <alignment horizontal="left"/>
    </xf>
    <xf numFmtId="0" fontId="55" fillId="21" borderId="0" xfId="4" applyFont="1" applyFill="1" applyBorder="1" applyProtection="1"/>
    <xf numFmtId="0" fontId="53" fillId="0" borderId="0" xfId="4" applyFont="1" applyBorder="1" applyAlignment="1">
      <alignment horizontal="left"/>
    </xf>
    <xf numFmtId="0" fontId="62" fillId="0" borderId="0" xfId="4" applyFont="1" applyBorder="1" applyProtection="1"/>
    <xf numFmtId="0" fontId="62" fillId="0" borderId="0" xfId="4" applyFont="1" applyBorder="1" applyAlignment="1" applyProtection="1">
      <alignment horizontal="right"/>
    </xf>
    <xf numFmtId="0" fontId="55" fillId="6" borderId="0" xfId="4" applyFont="1" applyFill="1" applyBorder="1" applyAlignment="1" applyProtection="1">
      <alignment horizontal="center"/>
    </xf>
    <xf numFmtId="0" fontId="55" fillId="26" borderId="0" xfId="4" applyFont="1" applyFill="1" applyBorder="1" applyAlignment="1" applyProtection="1">
      <alignment horizontal="center"/>
    </xf>
    <xf numFmtId="0" fontId="54" fillId="21" borderId="0" xfId="4" applyFont="1" applyFill="1" applyBorder="1" applyProtection="1"/>
    <xf numFmtId="177" fontId="21" fillId="22" borderId="21" xfId="4" applyNumberFormat="1" applyFont="1" applyFill="1" applyBorder="1" applyAlignment="1" applyProtection="1">
      <alignment horizontal="center" vertical="center" shrinkToFit="1"/>
      <protection hidden="1"/>
    </xf>
    <xf numFmtId="0" fontId="15" fillId="0" borderId="0" xfId="4" applyFill="1" applyAlignment="1">
      <alignment vertical="center"/>
    </xf>
    <xf numFmtId="0" fontId="15" fillId="0" borderId="0" xfId="4" applyAlignment="1" applyProtection="1">
      <alignment horizontal="center" vertical="center"/>
      <protection hidden="1"/>
    </xf>
    <xf numFmtId="0" fontId="15" fillId="0" borderId="13" xfId="4" applyFont="1" applyBorder="1" applyAlignment="1" applyProtection="1">
      <alignment horizontal="center" vertical="center" shrinkToFit="1"/>
      <protection hidden="1"/>
    </xf>
    <xf numFmtId="0" fontId="15" fillId="9" borderId="21" xfId="4" applyFont="1" applyFill="1" applyBorder="1" applyAlignment="1" applyProtection="1">
      <alignment horizontal="center" vertical="center" shrinkToFit="1"/>
      <protection hidden="1"/>
    </xf>
    <xf numFmtId="0" fontId="15" fillId="0" borderId="0" xfId="4" applyFont="1" applyAlignment="1">
      <alignment horizontal="center" vertical="center"/>
    </xf>
    <xf numFmtId="0" fontId="15" fillId="0" borderId="0" xfId="4" applyAlignment="1" applyProtection="1">
      <alignment vertical="center"/>
      <protection hidden="1"/>
    </xf>
    <xf numFmtId="0" fontId="12" fillId="0" borderId="0" xfId="4" applyFont="1" applyProtection="1">
      <protection hidden="1"/>
    </xf>
    <xf numFmtId="0" fontId="15" fillId="0" borderId="21" xfId="4" applyFont="1" applyBorder="1" applyAlignment="1" applyProtection="1">
      <alignment horizontal="center" vertical="center" shrinkToFit="1"/>
      <protection hidden="1"/>
    </xf>
    <xf numFmtId="175" fontId="12" fillId="9" borderId="21" xfId="53" applyNumberFormat="1" applyFont="1" applyFill="1" applyBorder="1" applyAlignment="1" applyProtection="1">
      <alignment horizontal="right" vertical="center" shrinkToFit="1"/>
      <protection hidden="1"/>
    </xf>
    <xf numFmtId="175" fontId="12" fillId="0" borderId="21" xfId="53" applyNumberFormat="1" applyFont="1" applyFill="1" applyBorder="1" applyAlignment="1" applyProtection="1">
      <alignment horizontal="right" vertical="center" shrinkToFit="1"/>
      <protection locked="0"/>
    </xf>
    <xf numFmtId="178" fontId="12" fillId="9" borderId="21" xfId="45" applyNumberFormat="1" applyFont="1" applyFill="1" applyBorder="1" applyAlignment="1" applyProtection="1">
      <alignment horizontal="center" vertical="center" shrinkToFit="1"/>
      <protection hidden="1"/>
    </xf>
    <xf numFmtId="0" fontId="64" fillId="0" borderId="0" xfId="4" applyFont="1" applyFill="1" applyBorder="1" applyAlignment="1" applyProtection="1">
      <alignment horizontal="center" vertical="center"/>
      <protection hidden="1"/>
    </xf>
    <xf numFmtId="0" fontId="64" fillId="0" borderId="0" xfId="4" applyFont="1" applyFill="1" applyBorder="1" applyAlignment="1" applyProtection="1">
      <alignment vertical="center"/>
      <protection hidden="1"/>
    </xf>
    <xf numFmtId="0" fontId="12" fillId="0" borderId="0" xfId="2" applyProtection="1">
      <protection hidden="1"/>
    </xf>
    <xf numFmtId="175" fontId="15" fillId="9" borderId="21" xfId="4" applyNumberFormat="1" applyFont="1" applyFill="1" applyBorder="1" applyAlignment="1" applyProtection="1">
      <alignment horizontal="right" vertical="center" shrinkToFit="1"/>
      <protection hidden="1"/>
    </xf>
    <xf numFmtId="175" fontId="15" fillId="0" borderId="21" xfId="4" applyNumberFormat="1" applyFont="1" applyFill="1" applyBorder="1" applyAlignment="1" applyProtection="1">
      <alignment horizontal="right" vertical="center" shrinkToFit="1"/>
      <protection locked="0"/>
    </xf>
    <xf numFmtId="172" fontId="15" fillId="9" borderId="21" xfId="43" applyNumberFormat="1" applyFont="1" applyFill="1" applyBorder="1" applyAlignment="1" applyProtection="1">
      <alignment horizontal="right" vertical="center" shrinkToFit="1"/>
      <protection hidden="1"/>
    </xf>
    <xf numFmtId="172" fontId="15" fillId="0" borderId="21" xfId="43" applyNumberFormat="1" applyFont="1" applyFill="1" applyBorder="1" applyAlignment="1" applyProtection="1">
      <alignment horizontal="right" vertical="center" shrinkToFit="1"/>
      <protection locked="0"/>
    </xf>
    <xf numFmtId="0" fontId="21" fillId="20" borderId="22" xfId="4" applyFont="1" applyFill="1" applyBorder="1" applyAlignment="1" applyProtection="1">
      <alignment vertical="center"/>
      <protection hidden="1"/>
    </xf>
    <xf numFmtId="0" fontId="21" fillId="20" borderId="23" xfId="4" applyFont="1" applyFill="1" applyBorder="1" applyAlignment="1" applyProtection="1">
      <alignment horizontal="center" vertical="center"/>
      <protection hidden="1"/>
    </xf>
    <xf numFmtId="0" fontId="15" fillId="20" borderId="23" xfId="4" applyFill="1" applyBorder="1" applyAlignment="1" applyProtection="1">
      <alignment horizontal="center" vertical="center"/>
      <protection hidden="1"/>
    </xf>
    <xf numFmtId="0" fontId="15" fillId="20" borderId="24" xfId="4" applyFill="1" applyBorder="1" applyAlignment="1" applyProtection="1">
      <alignment vertical="center"/>
      <protection hidden="1"/>
    </xf>
    <xf numFmtId="0" fontId="65" fillId="0" borderId="0" xfId="4" applyFont="1" applyAlignment="1" applyProtection="1">
      <alignment horizontal="left" vertical="center"/>
      <protection hidden="1"/>
    </xf>
    <xf numFmtId="0" fontId="65" fillId="0" borderId="0" xfId="4" applyFont="1" applyAlignment="1" applyProtection="1">
      <alignment horizontal="center" vertical="center"/>
      <protection hidden="1"/>
    </xf>
    <xf numFmtId="0" fontId="12" fillId="0" borderId="0" xfId="4" applyFont="1" applyAlignment="1" applyProtection="1">
      <alignment horizontal="left" vertical="center"/>
      <protection hidden="1"/>
    </xf>
    <xf numFmtId="0" fontId="25" fillId="11" borderId="16" xfId="4" applyFont="1" applyFill="1" applyBorder="1" applyAlignment="1" applyProtection="1">
      <alignment horizontal="center" vertical="center" shrinkToFit="1"/>
      <protection locked="0"/>
    </xf>
    <xf numFmtId="0" fontId="12" fillId="0" borderId="0" xfId="4" applyFont="1" applyAlignment="1" applyProtection="1">
      <alignment horizontal="center" vertical="center"/>
      <protection hidden="1"/>
    </xf>
    <xf numFmtId="179" fontId="25" fillId="11" borderId="25" xfId="29" applyNumberFormat="1" applyFont="1" applyBorder="1" applyAlignment="1" applyProtection="1">
      <alignment horizontal="center"/>
      <protection locked="0"/>
    </xf>
    <xf numFmtId="180" fontId="12" fillId="0" borderId="0" xfId="43" applyNumberFormat="1" applyFont="1" applyAlignment="1" applyProtection="1">
      <alignment horizontal="center" vertical="center"/>
      <protection hidden="1"/>
    </xf>
    <xf numFmtId="0" fontId="25" fillId="11" borderId="25" xfId="19" applyFont="1" applyBorder="1" applyAlignment="1" applyProtection="1">
      <alignment horizontal="center" vertical="center" shrinkToFit="1"/>
      <protection locked="0"/>
    </xf>
    <xf numFmtId="1" fontId="15" fillId="0" borderId="0" xfId="4" applyNumberFormat="1" applyFont="1" applyAlignment="1" applyProtection="1">
      <alignment vertical="center"/>
      <protection hidden="1"/>
    </xf>
    <xf numFmtId="0" fontId="15" fillId="0" borderId="0" xfId="4" applyFont="1" applyAlignment="1" applyProtection="1">
      <alignment horizontal="center" vertical="center"/>
      <protection hidden="1"/>
    </xf>
    <xf numFmtId="0" fontId="15" fillId="0" borderId="0" xfId="4" applyFont="1" applyAlignment="1" applyProtection="1">
      <alignment vertical="center"/>
      <protection hidden="1"/>
    </xf>
    <xf numFmtId="0" fontId="15" fillId="0" borderId="0" xfId="4" applyFont="1" applyAlignment="1" applyProtection="1">
      <alignment horizontal="left" vertical="center" shrinkToFit="1"/>
      <protection hidden="1"/>
    </xf>
    <xf numFmtId="0" fontId="15" fillId="0" borderId="0" xfId="4" applyFont="1" applyFill="1" applyBorder="1" applyAlignment="1" applyProtection="1">
      <alignment horizontal="center" vertical="center" shrinkToFit="1"/>
      <protection hidden="1"/>
    </xf>
    <xf numFmtId="0" fontId="15" fillId="0" borderId="0" xfId="4" applyFont="1" applyFill="1" applyBorder="1" applyAlignment="1" applyProtection="1">
      <alignment horizontal="center" vertical="center"/>
      <protection hidden="1"/>
    </xf>
    <xf numFmtId="0" fontId="15" fillId="0" borderId="0" xfId="4" applyFont="1" applyFill="1" applyBorder="1" applyAlignment="1" applyProtection="1">
      <alignment vertical="center"/>
      <protection hidden="1"/>
    </xf>
    <xf numFmtId="0" fontId="15" fillId="0" borderId="0" xfId="4" applyFill="1" applyBorder="1" applyAlignment="1" applyProtection="1">
      <alignment horizontal="center"/>
      <protection hidden="1"/>
    </xf>
    <xf numFmtId="0" fontId="15" fillId="0" borderId="0" xfId="4" applyFont="1" applyAlignment="1" applyProtection="1">
      <alignment vertical="center" shrinkToFit="1"/>
      <protection hidden="1"/>
    </xf>
    <xf numFmtId="1" fontId="15" fillId="0" borderId="0" xfId="4" applyNumberFormat="1" applyAlignment="1" applyProtection="1">
      <alignment vertical="center"/>
      <protection hidden="1"/>
    </xf>
    <xf numFmtId="0" fontId="15" fillId="0" borderId="0" xfId="4" applyAlignment="1" applyProtection="1">
      <alignment horizontal="left" vertical="center" shrinkToFit="1"/>
      <protection hidden="1"/>
    </xf>
    <xf numFmtId="0" fontId="15" fillId="0" borderId="0" xfId="4" applyAlignment="1" applyProtection="1">
      <alignment vertical="center" shrinkToFit="1"/>
      <protection hidden="1"/>
    </xf>
    <xf numFmtId="0" fontId="15" fillId="0" borderId="0" xfId="4" applyFont="1" applyAlignment="1" applyProtection="1">
      <alignment horizontal="center" vertical="center" shrinkToFit="1"/>
      <protection hidden="1"/>
    </xf>
    <xf numFmtId="181" fontId="15" fillId="0" borderId="0" xfId="4" applyNumberFormat="1" applyAlignment="1" applyProtection="1">
      <alignment vertical="center"/>
      <protection hidden="1"/>
    </xf>
    <xf numFmtId="0" fontId="15" fillId="0" borderId="0" xfId="4" applyAlignment="1" applyProtection="1">
      <alignment horizontal="left" vertical="center"/>
      <protection hidden="1"/>
    </xf>
    <xf numFmtId="0" fontId="12" fillId="0" borderId="0" xfId="2" applyFont="1" applyProtection="1">
      <protection hidden="1"/>
    </xf>
    <xf numFmtId="0" fontId="12" fillId="0" borderId="0" xfId="2" applyFont="1" applyAlignment="1" applyProtection="1">
      <alignment horizontal="center"/>
      <protection hidden="1"/>
    </xf>
    <xf numFmtId="0" fontId="12" fillId="27" borderId="26" xfId="4" applyFont="1" applyFill="1" applyBorder="1" applyProtection="1">
      <protection hidden="1"/>
    </xf>
    <xf numFmtId="0" fontId="12" fillId="27" borderId="27" xfId="4" applyFont="1" applyFill="1" applyBorder="1" applyProtection="1">
      <protection hidden="1"/>
    </xf>
    <xf numFmtId="0" fontId="12" fillId="0" borderId="0" xfId="4" applyFont="1" applyFill="1" applyAlignment="1">
      <alignment vertical="center"/>
    </xf>
    <xf numFmtId="0" fontId="12" fillId="27" borderId="26" xfId="2" applyFill="1" applyBorder="1" applyProtection="1">
      <protection hidden="1"/>
    </xf>
    <xf numFmtId="0" fontId="12" fillId="27" borderId="27" xfId="2" applyFill="1" applyBorder="1" applyProtection="1">
      <protection hidden="1"/>
    </xf>
    <xf numFmtId="0" fontId="12" fillId="27" borderId="27" xfId="2" applyFill="1" applyBorder="1" applyAlignment="1" applyProtection="1">
      <alignment horizontal="center"/>
      <protection hidden="1"/>
    </xf>
    <xf numFmtId="0" fontId="12" fillId="27" borderId="28" xfId="2" applyFill="1" applyBorder="1" applyProtection="1">
      <protection hidden="1"/>
    </xf>
    <xf numFmtId="165" fontId="12" fillId="11" borderId="29" xfId="29" applyFont="1" applyBorder="1" applyAlignment="1" applyProtection="1">
      <alignment vertical="center" shrinkToFit="1"/>
      <protection hidden="1"/>
    </xf>
    <xf numFmtId="175" fontId="12" fillId="9" borderId="15" xfId="29" applyNumberFormat="1" applyFont="1" applyFill="1" applyBorder="1" applyAlignment="1" applyProtection="1">
      <alignment horizontal="center" vertical="center" shrinkToFit="1"/>
      <protection hidden="1"/>
    </xf>
    <xf numFmtId="0" fontId="12" fillId="0" borderId="0" xfId="2" applyBorder="1" applyProtection="1">
      <protection hidden="1"/>
    </xf>
    <xf numFmtId="0" fontId="12" fillId="0" borderId="31" xfId="2" applyBorder="1" applyProtection="1">
      <protection hidden="1"/>
    </xf>
    <xf numFmtId="0" fontId="12" fillId="0" borderId="0" xfId="2" applyAlignment="1" applyProtection="1">
      <alignment horizontal="center"/>
      <protection hidden="1"/>
    </xf>
    <xf numFmtId="0" fontId="12" fillId="9" borderId="15" xfId="4" applyFont="1" applyFill="1" applyBorder="1" applyAlignment="1" applyProtection="1">
      <alignment horizontal="center" vertical="center" shrinkToFit="1"/>
      <protection hidden="1"/>
    </xf>
    <xf numFmtId="0" fontId="12" fillId="9" borderId="15" xfId="4" applyFont="1" applyFill="1" applyBorder="1" applyProtection="1">
      <protection hidden="1"/>
    </xf>
    <xf numFmtId="0" fontId="12" fillId="9" borderId="15" xfId="4" applyFont="1" applyFill="1" applyBorder="1" applyAlignment="1" applyProtection="1">
      <alignment horizontal="center"/>
      <protection hidden="1"/>
    </xf>
    <xf numFmtId="0" fontId="12" fillId="0" borderId="0" xfId="2" applyBorder="1"/>
    <xf numFmtId="0" fontId="12" fillId="0" borderId="0" xfId="2" applyBorder="1" applyAlignment="1" applyProtection="1">
      <alignment horizontal="right"/>
      <protection hidden="1"/>
    </xf>
    <xf numFmtId="175" fontId="12" fillId="11" borderId="30" xfId="29" applyNumberFormat="1" applyFont="1" applyBorder="1" applyAlignment="1" applyProtection="1">
      <alignment horizontal="center" vertical="center" shrinkToFit="1"/>
      <protection hidden="1"/>
    </xf>
    <xf numFmtId="0" fontId="12" fillId="27" borderId="12" xfId="2" applyFill="1" applyBorder="1" applyProtection="1">
      <protection hidden="1"/>
    </xf>
    <xf numFmtId="0" fontId="12" fillId="28" borderId="26" xfId="2" applyFill="1" applyBorder="1" applyProtection="1">
      <protection hidden="1"/>
    </xf>
    <xf numFmtId="0" fontId="12" fillId="28" borderId="28" xfId="2" applyFill="1" applyBorder="1" applyProtection="1">
      <protection hidden="1"/>
    </xf>
    <xf numFmtId="0" fontId="12" fillId="11" borderId="32" xfId="29" applyNumberFormat="1" applyBorder="1" applyAlignment="1" applyProtection="1">
      <alignment shrinkToFit="1"/>
      <protection hidden="1"/>
    </xf>
    <xf numFmtId="0" fontId="12" fillId="11" borderId="15" xfId="29" applyNumberFormat="1" applyFont="1" applyBorder="1" applyAlignment="1" applyProtection="1">
      <alignment shrinkToFit="1"/>
      <protection hidden="1"/>
    </xf>
    <xf numFmtId="0" fontId="12" fillId="11" borderId="33" xfId="29" applyNumberFormat="1" applyBorder="1" applyAlignment="1" applyProtection="1">
      <alignment shrinkToFit="1"/>
      <protection hidden="1"/>
    </xf>
    <xf numFmtId="0" fontId="12" fillId="27" borderId="21" xfId="2" applyFill="1" applyBorder="1" applyProtection="1">
      <protection hidden="1"/>
    </xf>
    <xf numFmtId="0" fontId="12" fillId="11" borderId="34" xfId="29" applyNumberFormat="1" applyFont="1" applyBorder="1" applyAlignment="1" applyProtection="1">
      <alignment shrinkToFit="1"/>
      <protection hidden="1"/>
    </xf>
    <xf numFmtId="175" fontId="15" fillId="9" borderId="35" xfId="16" applyNumberFormat="1" applyFont="1" applyFill="1" applyBorder="1" applyAlignment="1" applyProtection="1">
      <alignment horizontal="center" vertical="center" shrinkToFit="1"/>
    </xf>
    <xf numFmtId="0" fontId="12" fillId="11" borderId="36" xfId="29" applyNumberFormat="1" applyFont="1" applyBorder="1" applyAlignment="1" applyProtection="1">
      <alignment shrinkToFit="1"/>
      <protection hidden="1"/>
    </xf>
    <xf numFmtId="0" fontId="12" fillId="0" borderId="0" xfId="2" applyAlignment="1">
      <alignment horizontal="center"/>
    </xf>
    <xf numFmtId="0" fontId="12" fillId="27" borderId="13" xfId="2" applyFill="1" applyBorder="1" applyProtection="1">
      <protection hidden="1"/>
    </xf>
    <xf numFmtId="0" fontId="12" fillId="0" borderId="37" xfId="2" applyBorder="1" applyProtection="1">
      <protection hidden="1"/>
    </xf>
    <xf numFmtId="165" fontId="12" fillId="11" borderId="38" xfId="29" applyBorder="1" applyAlignment="1" applyProtection="1">
      <alignment shrinkToFit="1"/>
      <protection hidden="1"/>
    </xf>
    <xf numFmtId="175" fontId="15" fillId="9" borderId="15" xfId="4" applyNumberFormat="1" applyFont="1" applyFill="1" applyBorder="1" applyAlignment="1" applyProtection="1">
      <alignment horizontal="right" vertical="center" shrinkToFit="1"/>
      <protection hidden="1"/>
    </xf>
    <xf numFmtId="10" fontId="15" fillId="9" borderId="15" xfId="4" applyNumberFormat="1" applyFont="1" applyFill="1" applyBorder="1" applyAlignment="1" applyProtection="1">
      <alignment horizontal="right" vertical="center" shrinkToFit="1"/>
      <protection hidden="1"/>
    </xf>
    <xf numFmtId="0" fontId="12" fillId="27" borderId="11" xfId="2" applyFill="1" applyBorder="1" applyProtection="1">
      <protection hidden="1"/>
    </xf>
    <xf numFmtId="17" fontId="12" fillId="9" borderId="17" xfId="2" applyNumberFormat="1" applyFill="1" applyBorder="1" applyAlignment="1" applyProtection="1">
      <alignment horizontal="center" vertical="center" shrinkToFit="1"/>
      <protection hidden="1"/>
    </xf>
    <xf numFmtId="17" fontId="12" fillId="9" borderId="39" xfId="2" applyNumberFormat="1" applyFill="1" applyBorder="1" applyAlignment="1" applyProtection="1">
      <alignment horizontal="center" vertical="center" shrinkToFit="1"/>
      <protection hidden="1"/>
    </xf>
    <xf numFmtId="0" fontId="12" fillId="27" borderId="31" xfId="2" applyFill="1" applyBorder="1" applyProtection="1">
      <protection hidden="1"/>
    </xf>
    <xf numFmtId="175" fontId="15" fillId="11" borderId="40" xfId="16" applyNumberFormat="1" applyFont="1" applyFill="1" applyBorder="1" applyAlignment="1" applyProtection="1">
      <alignment horizontal="center" vertical="center" shrinkToFit="1"/>
      <protection locked="0"/>
    </xf>
    <xf numFmtId="175" fontId="15" fillId="9" borderId="40" xfId="16" applyNumberFormat="1" applyFont="1" applyFill="1" applyBorder="1" applyAlignment="1" applyProtection="1">
      <alignment horizontal="left" vertical="center" shrinkToFit="1"/>
    </xf>
    <xf numFmtId="175" fontId="12" fillId="9" borderId="17" xfId="2" applyNumberFormat="1" applyFill="1" applyBorder="1" applyAlignment="1" applyProtection="1">
      <alignment horizontal="center" vertical="center" shrinkToFit="1"/>
      <protection hidden="1"/>
    </xf>
    <xf numFmtId="175" fontId="15" fillId="11" borderId="41" xfId="16" applyNumberFormat="1" applyFont="1" applyFill="1" applyBorder="1" applyAlignment="1" applyProtection="1">
      <alignment horizontal="center" vertical="center" shrinkToFit="1"/>
      <protection locked="0"/>
    </xf>
    <xf numFmtId="0" fontId="43" fillId="21" borderId="0" xfId="4" applyFont="1" applyFill="1" applyAlignment="1" applyProtection="1">
      <alignment horizontal="center" vertical="center"/>
      <protection hidden="1"/>
    </xf>
    <xf numFmtId="0" fontId="15" fillId="0" borderId="11" xfId="4" applyFont="1" applyBorder="1" applyAlignment="1" applyProtection="1">
      <alignment horizontal="center" vertical="center"/>
      <protection hidden="1"/>
    </xf>
    <xf numFmtId="0" fontId="12" fillId="0" borderId="13" xfId="2" applyBorder="1" applyAlignment="1" applyProtection="1">
      <alignment horizontal="center" vertical="center"/>
      <protection hidden="1"/>
    </xf>
    <xf numFmtId="278" fontId="39" fillId="8" borderId="15" xfId="31" applyNumberFormat="1" applyFont="1" applyFill="1"/>
    <xf numFmtId="278" fontId="39" fillId="8" borderId="15" xfId="31" applyNumberFormat="1" applyFont="1" applyFill="1" applyAlignment="1">
      <alignment horizontal="right"/>
    </xf>
    <xf numFmtId="14" fontId="39" fillId="8" borderId="15" xfId="31" applyNumberFormat="1" applyFont="1" applyFill="1" applyAlignment="1">
      <alignment horizontal="right"/>
    </xf>
    <xf numFmtId="0" fontId="18" fillId="0" borderId="11" xfId="3" applyFont="1" applyBorder="1" applyAlignment="1">
      <alignment horizontal="left" vertical="center" wrapText="1"/>
    </xf>
    <xf numFmtId="0" fontId="18" fillId="0" borderId="12" xfId="5" applyFont="1" applyBorder="1" applyAlignment="1">
      <alignment horizontal="left" vertical="center" wrapText="1"/>
    </xf>
    <xf numFmtId="0" fontId="12" fillId="0" borderId="12" xfId="5" applyFont="1" applyBorder="1" applyAlignment="1">
      <alignment horizontal="left" wrapText="1"/>
    </xf>
    <xf numFmtId="0" fontId="12" fillId="0" borderId="13" xfId="5" applyFont="1" applyBorder="1" applyAlignment="1">
      <alignment horizontal="left" wrapText="1"/>
    </xf>
    <xf numFmtId="0" fontId="15" fillId="0" borderId="0" xfId="4" applyFont="1" applyAlignment="1" applyProtection="1">
      <alignment vertical="top" wrapText="1"/>
    </xf>
    <xf numFmtId="0" fontId="12" fillId="0" borderId="0" xfId="2" applyAlignment="1">
      <alignment vertical="top" wrapText="1"/>
    </xf>
    <xf numFmtId="0" fontId="47" fillId="0" borderId="0" xfId="4" applyFont="1" applyAlignment="1" applyProtection="1">
      <alignment vertical="top" wrapText="1"/>
    </xf>
    <xf numFmtId="0" fontId="15" fillId="0" borderId="0" xfId="4" applyAlignment="1" applyProtection="1">
      <alignment vertical="top" wrapText="1"/>
    </xf>
    <xf numFmtId="0" fontId="15" fillId="0" borderId="0" xfId="4" applyFont="1" applyAlignment="1" applyProtection="1">
      <alignment horizontal="center" vertical="center" wrapText="1"/>
    </xf>
    <xf numFmtId="0" fontId="12" fillId="0" borderId="0" xfId="2" applyAlignment="1">
      <alignment horizontal="center" vertical="center" wrapText="1"/>
    </xf>
  </cellXfs>
  <cellStyles count="2011">
    <cellStyle name="_x000d__x000a_JournalTemplate=C:\COMFO\CTALK\JOURSTD.TPL_x000d__x000a_LbStateAddress=3 3 0 251 1 89 2 311_x000d__x000a_LbStateJou" xfId="62"/>
    <cellStyle name="_x000d__x000a_JournalTemplate=C:\COMFO\CTALK\JOURSTD.TPL_x000d__x000a_LbStateAddress=3 3 0 251 1 89 2 311_x000d__x000a_LbStateJou 2" xfId="63"/>
    <cellStyle name="_x000d__x000a_JournalTemplate=C:\COMFO\CTALK\JOURSTD.TPL_x000d__x000a_LbStateAddress=3 3 0 251 1 89 2 311_x000d__x000a_LbStateJou_IT BUF v20" xfId="64"/>
    <cellStyle name="%" xfId="5"/>
    <cellStyle name="% 2" xfId="65"/>
    <cellStyle name="%_Application Directory v6.1.2 - Scaled down" xfId="6"/>
    <cellStyle name="%_CentralDetail" xfId="66"/>
    <cellStyle name="%_IS CTA Database v10.0.0g UK (Data)" xfId="7"/>
    <cellStyle name="%_IT BUF v20" xfId="67"/>
    <cellStyle name="%_Periodicsummaries" xfId="68"/>
    <cellStyle name="%_Ratios" xfId="69"/>
    <cellStyle name="%_RAW_Numbers" xfId="70"/>
    <cellStyle name="%_Service Catalogue" xfId="8"/>
    <cellStyle name="%_Summary Sheet" xfId="71"/>
    <cellStyle name="." xfId="72"/>
    <cellStyle name=".1" xfId="73"/>
    <cellStyle name=";;;" xfId="74"/>
    <cellStyle name="?_x001d_" xfId="75"/>
    <cellStyle name="?_x001d_ 2" xfId="76"/>
    <cellStyle name="?_x001d_ 3" xfId="77"/>
    <cellStyle name="?_x001d_?" xfId="78"/>
    <cellStyle name="?_x001d_? 2" xfId="79"/>
    <cellStyle name="?_x001d_? 3" xfId="80"/>
    <cellStyle name="?_x001d_?'&amp;" xfId="81"/>
    <cellStyle name="?_x001d_?'&amp;Oy—" xfId="82"/>
    <cellStyle name="?_x001d_?'&amp;Oy— 2" xfId="83"/>
    <cellStyle name="?_x001d_?'&amp;Oy— 3" xfId="84"/>
    <cellStyle name="?_x001d_?'&amp;Oy—&amp;" xfId="85"/>
    <cellStyle name="?_x001d_?'&amp;Oy—&amp;Hy" xfId="86"/>
    <cellStyle name="?_x001d_?'&amp;Oy—&amp;Hy_x000b__x0008_" xfId="87"/>
    <cellStyle name="?_x001d_?'&amp;Oy—&amp;Hy_x000b__x0008_?" xfId="88"/>
    <cellStyle name="?_x001d_?'&amp;Oy—&amp;Hy_x000b__x0008_?_x0005_v_x0006__x000f__x0001__x0001_" xfId="89"/>
    <cellStyle name="?_x001d_?'&amp;Oy—&amp;Hy_x000b__x0008_?_x0005_v_x0006__x000f__x0001__x0001_ 2" xfId="90"/>
    <cellStyle name="?_x001d_?'&amp;Oy—&amp;Hy_x000b__x0008_?_x0005_v_x0006__x000f__x0001__x0001_ 3" xfId="91"/>
    <cellStyle name="?_x001d_?'&amp;Oy—_IT BUF v20" xfId="92"/>
    <cellStyle name="?_x001d_?_IT BUF v20" xfId="93"/>
    <cellStyle name="?_x001d__IT BUF v20" xfId="94"/>
    <cellStyle name="_2007 Ops Plan and Forecast (v67 Sep)" xfId="95"/>
    <cellStyle name="_2007 Ops Plan and Forecast (v67 Sep) 2" xfId="96"/>
    <cellStyle name="_2007 Ops Plan and Forecast (v67 Sep) 2_Budget from Shez" xfId="97"/>
    <cellStyle name="_2007 Ops Plan and Forecast (v67 Sep) 2_IT budget v3 2R JB 160610 team discussion version 1 230610 Master" xfId="98"/>
    <cellStyle name="_2007 Ops Plan and Forecast (v67 Sep) 2_IT budget v3 2R JB 160610 team discussion version 1 230610 Master test" xfId="99"/>
    <cellStyle name="_2007 Ops Plan and Forecast (v67 Sep) 2_IT budget v3 2R JB 160610 team discussion version 1 240610 Master" xfId="100"/>
    <cellStyle name="_2007 Ops Plan and Forecast (v67 Sep) 2_IT budget v6 010710 Reforecast a" xfId="101"/>
    <cellStyle name="_2007 Ops Plan and Forecast (v67 Sep) 2_IT budget v6 280610 Reforecast" xfId="102"/>
    <cellStyle name="_2007 Ops Plan and Forecast (v67 Sep) 2_IT budget v6 290610 Reforecast" xfId="103"/>
    <cellStyle name="_2007 Ops Plan and Forecast (v67 Sep) 2_Master data- IT activities deta" xfId="104"/>
    <cellStyle name="_2007 Ops Plan and Forecast (v67 Sep) 2_Reconciliation of Budgets Updat" xfId="105"/>
    <cellStyle name="_2007 Ops Plan and Forecast (v67 Sep) 3" xfId="106"/>
    <cellStyle name="_2007 Ops Plan and Forecast (v67 Sep) 3_CentralDetail" xfId="107"/>
    <cellStyle name="_2007 Ops Plan and Forecast (v67 Sep)_IT BUF v20" xfId="108"/>
    <cellStyle name="_2007 Ops Plan and Forecast (v67 Sep)_RAW_Numbers" xfId="109"/>
    <cellStyle name="_A6. Top Twenty Sales Opps" xfId="110"/>
    <cellStyle name="_A6. Top Twenty Sales Opps_Budget from Shez" xfId="111"/>
    <cellStyle name="_A6. Top Twenty Sales Opps_IT budget v3 2R JB 160610 team discussion version 1 230610 Master" xfId="112"/>
    <cellStyle name="_A6. Top Twenty Sales Opps_IT budget v3 2R JB 160610 team discussion version 1 230610 Master test" xfId="113"/>
    <cellStyle name="_A6. Top Twenty Sales Opps_IT budget v3 2R JB 160610 team discussion version 1 240610 Master" xfId="114"/>
    <cellStyle name="_A6. Top Twenty Sales Opps_IT budget v6 010710 Reforecast a" xfId="115"/>
    <cellStyle name="_A6. Top Twenty Sales Opps_IT budget v6 280610 Reforecast" xfId="116"/>
    <cellStyle name="_A6. Top Twenty Sales Opps_IT budget v6 290610 Reforecast" xfId="117"/>
    <cellStyle name="_A6. Top Twenty Sales Opps_Master data- IT activities deta" xfId="118"/>
    <cellStyle name="_A6. Top Twenty Sales Opps_Reconciliation of Budgets Updat" xfId="119"/>
    <cellStyle name="_A7. Top Ten Projects" xfId="120"/>
    <cellStyle name="_A7. Top Ten Projects_1" xfId="121"/>
    <cellStyle name="_A7. Top Ten Projects_1_Budget from Shez" xfId="122"/>
    <cellStyle name="_A7. Top Ten Projects_1_IT budget v3 2R JB 160610 team discussion version 1 230610 Master" xfId="123"/>
    <cellStyle name="_A7. Top Ten Projects_1_IT budget v3 2R JB 160610 team discussion version 1 230610 Master test" xfId="124"/>
    <cellStyle name="_A7. Top Ten Projects_1_IT budget v3 2R JB 160610 team discussion version 1 240610 Master" xfId="125"/>
    <cellStyle name="_A7. Top Ten Projects_1_IT budget v6 010710 Reforecast a" xfId="126"/>
    <cellStyle name="_A7. Top Ten Projects_1_IT budget v6 280610 Reforecast" xfId="127"/>
    <cellStyle name="_A7. Top Ten Projects_1_IT budget v6 290610 Reforecast" xfId="128"/>
    <cellStyle name="_A7. Top Ten Projects_1_Master data- IT activities deta" xfId="129"/>
    <cellStyle name="_A7. Top Ten Projects_1_Reconciliation of Budgets Updat" xfId="130"/>
    <cellStyle name="_A7. Top Ten Projects_Budget from Shez" xfId="131"/>
    <cellStyle name="_A7. Top Ten Projects_IT budget v3 2R JB 160610 team discussion version 1 230610 Master" xfId="132"/>
    <cellStyle name="_A7. Top Ten Projects_IT budget v3 2R JB 160610 team discussion version 1 230610 Master test" xfId="133"/>
    <cellStyle name="_A7. Top Ten Projects_IT budget v3 2R JB 160610 team discussion version 1 240610 Master" xfId="134"/>
    <cellStyle name="_A7. Top Ten Projects_IT budget v6 010710 Reforecast a" xfId="135"/>
    <cellStyle name="_A7. Top Ten Projects_IT budget v6 280610 Reforecast" xfId="136"/>
    <cellStyle name="_A7. Top Ten Projects_IT budget v6 290610 Reforecast" xfId="137"/>
    <cellStyle name="_A7. Top Ten Projects_Master data- IT activities deta" xfId="138"/>
    <cellStyle name="_A7. Top Ten Projects_Reconciliation of Budgets Updat" xfId="139"/>
    <cellStyle name="_A7. Top Ten Projects_TLDG Jun Review Financials v2" xfId="140"/>
    <cellStyle name="_A7. Top Ten Projects_TLDG Jun Review Financials v2_Budget from Shez" xfId="141"/>
    <cellStyle name="_A7. Top Ten Projects_TLDG Jun Review Financials v2_IT budget v3 2R JB 160610 team discussion version 1 230610 Master" xfId="142"/>
    <cellStyle name="_A7. Top Ten Projects_TLDG Jun Review Financials v2_IT budget v3 2R JB 160610 team discussion version 1 230610 Master test" xfId="143"/>
    <cellStyle name="_A7. Top Ten Projects_TLDG Jun Review Financials v2_IT budget v3 2R JB 160610 team discussion version 1 240610 Master" xfId="144"/>
    <cellStyle name="_A7. Top Ten Projects_TLDG Jun Review Financials v2_IT budget v6 010710 Reforecast a" xfId="145"/>
    <cellStyle name="_A7. Top Ten Projects_TLDG Jun Review Financials v2_IT budget v6 280610 Reforecast" xfId="146"/>
    <cellStyle name="_A7. Top Ten Projects_TLDG Jun Review Financials v2_IT budget v6 290610 Reforecast" xfId="147"/>
    <cellStyle name="_A7. Top Ten Projects_TLDG Jun Review Financials v2_Master data- IT activities deta" xfId="148"/>
    <cellStyle name="_A7. Top Ten Projects_TLDG Jun Review Financials v2_Reconciliation of Budgets Updat" xfId="149"/>
    <cellStyle name="_A7. Top Ten Projects_TLDG May Review Financials v2" xfId="150"/>
    <cellStyle name="_A7. Top Ten Projects_TLDG May Review Financials v2_Budget from Shez" xfId="151"/>
    <cellStyle name="_A7. Top Ten Projects_TLDG May Review Financials v2_IT budget v3 2R JB 160610 team discussion version 1 230610 Master" xfId="152"/>
    <cellStyle name="_A7. Top Ten Projects_TLDG May Review Financials v2_IT budget v3 2R JB 160610 team discussion version 1 230610 Master test" xfId="153"/>
    <cellStyle name="_A7. Top Ten Projects_TLDG May Review Financials v2_IT budget v3 2R JB 160610 team discussion version 1 240610 Master" xfId="154"/>
    <cellStyle name="_A7. Top Ten Projects_TLDG May Review Financials v2_IT budget v6 010710 Reforecast a" xfId="155"/>
    <cellStyle name="_A7. Top Ten Projects_TLDG May Review Financials v2_IT budget v6 280610 Reforecast" xfId="156"/>
    <cellStyle name="_A7. Top Ten Projects_TLDG May Review Financials v2_IT budget v6 290610 Reforecast" xfId="157"/>
    <cellStyle name="_A7. Top Ten Projects_TLDG May Review Financials v2_Master data- IT activities deta" xfId="158"/>
    <cellStyle name="_A7. Top Ten Projects_TLDG May Review Financials v2_Reconciliation of Budgets Updat" xfId="159"/>
    <cellStyle name="_A8. Risks &amp; Opps" xfId="160"/>
    <cellStyle name="_A8. Risks &amp; Opps_Budget from Shez" xfId="161"/>
    <cellStyle name="_A8. Risks &amp; Opps_IT budget v3 2R JB 160610 team discussion version 1 230610 Master" xfId="162"/>
    <cellStyle name="_A8. Risks &amp; Opps_IT budget v3 2R JB 160610 team discussion version 1 230610 Master test" xfId="163"/>
    <cellStyle name="_A8. Risks &amp; Opps_IT budget v3 2R JB 160610 team discussion version 1 240610 Master" xfId="164"/>
    <cellStyle name="_A8. Risks &amp; Opps_IT budget v6 010710 Reforecast a" xfId="165"/>
    <cellStyle name="_A8. Risks &amp; Opps_IT budget v6 280610 Reforecast" xfId="166"/>
    <cellStyle name="_A8. Risks &amp; Opps_IT budget v6 290610 Reforecast" xfId="167"/>
    <cellStyle name="_A8. Risks &amp; Opps_Master data- IT activities deta" xfId="168"/>
    <cellStyle name="_A8. Risks &amp; Opps_Reconciliation of Budgets Updat" xfId="169"/>
    <cellStyle name="_Accrual-TEMPLATE" xfId="170"/>
    <cellStyle name="_AS Bonus template Feb-07" xfId="171"/>
    <cellStyle name="_AS Bonus template Feb-07 2" xfId="172"/>
    <cellStyle name="_AS Bonus template Feb-07 2_Budget from Shez" xfId="173"/>
    <cellStyle name="_AS Bonus template Feb-07 2_IT budget v3 2R JB 160610 team discussion version 1 230610 Master" xfId="174"/>
    <cellStyle name="_AS Bonus template Feb-07 2_IT budget v3 2R JB 160610 team discussion version 1 230610 Master test" xfId="175"/>
    <cellStyle name="_AS Bonus template Feb-07 2_IT budget v3 2R JB 160610 team discussion version 1 240610 Master" xfId="176"/>
    <cellStyle name="_AS Bonus template Feb-07 2_IT budget v6 010710 Reforecast a" xfId="177"/>
    <cellStyle name="_AS Bonus template Feb-07 2_IT budget v6 280610 Reforecast" xfId="178"/>
    <cellStyle name="_AS Bonus template Feb-07 2_IT budget v6 290610 Reforecast" xfId="179"/>
    <cellStyle name="_AS Bonus template Feb-07 2_Master data- IT activities deta" xfId="180"/>
    <cellStyle name="_AS Bonus template Feb-07 2_Reconciliation of Budgets Updat" xfId="181"/>
    <cellStyle name="_AS Bonus template Feb-07_IT BUF v20" xfId="182"/>
    <cellStyle name="_AS Bonus template Feb-07_RAW_Numbers" xfId="183"/>
    <cellStyle name="_AS_Applications_Support_Cost_Model_v1.01Nelius" xfId="184"/>
    <cellStyle name="_Attachment_9.2_-_IT_Forecast_OpEx_and_CapEx_Spend_V2(1)" xfId="185"/>
    <cellStyle name="_Attachment_9.2_-_IT_Forecast_OpEx_and_CapEx_Spend_V2(1) 2" xfId="186"/>
    <cellStyle name="_Attachment_9.2_-_IT_Forecast_OpEx_and_CapEx_Spend_V2(1) 2_Budget from Shez" xfId="187"/>
    <cellStyle name="_Attachment_9.2_-_IT_Forecast_OpEx_and_CapEx_Spend_V2(1) 2_IT budget v3 2R JB 160610 team discussion version 1 230610 Master" xfId="188"/>
    <cellStyle name="_Attachment_9.2_-_IT_Forecast_OpEx_and_CapEx_Spend_V2(1) 2_IT budget v3 2R JB 160610 team discussion version 1 230610 Master test" xfId="189"/>
    <cellStyle name="_Attachment_9.2_-_IT_Forecast_OpEx_and_CapEx_Spend_V2(1) 2_IT budget v3 2R JB 160610 team discussion version 1 240610 Master" xfId="190"/>
    <cellStyle name="_Attachment_9.2_-_IT_Forecast_OpEx_and_CapEx_Spend_V2(1) 2_IT budget v6 010710 Reforecast a" xfId="191"/>
    <cellStyle name="_Attachment_9.2_-_IT_Forecast_OpEx_and_CapEx_Spend_V2(1) 2_IT budget v6 280610 Reforecast" xfId="192"/>
    <cellStyle name="_Attachment_9.2_-_IT_Forecast_OpEx_and_CapEx_Spend_V2(1) 2_IT budget v6 290610 Reforecast" xfId="193"/>
    <cellStyle name="_Attachment_9.2_-_IT_Forecast_OpEx_and_CapEx_Spend_V2(1) 2_Master data- IT activities deta" xfId="194"/>
    <cellStyle name="_Attachment_9.2_-_IT_Forecast_OpEx_and_CapEx_Spend_V2(1) 2_Reconciliation of Budgets Updat" xfId="195"/>
    <cellStyle name="_Attachment_9.2_-_IT_Forecast_OpEx_and_CapEx_Spend_V2(1) 3" xfId="196"/>
    <cellStyle name="_Attachment_9.2_-_IT_Forecast_OpEx_and_CapEx_Spend_V2(1) 3_CentralDetail" xfId="197"/>
    <cellStyle name="_Attachment_9.2_-_IT_Forecast_OpEx_and_CapEx_Spend_V2(1)_IT BUF v20" xfId="198"/>
    <cellStyle name="_Attachment_9.2_-_IT_Forecast_OpEx_and_CapEx_Spend_V2(1)_RAW_Numbers" xfId="199"/>
    <cellStyle name="_B7. opex analysis" xfId="200"/>
    <cellStyle name="_B7. opex analysis_Budget from Shez" xfId="201"/>
    <cellStyle name="_B7. opex analysis_IT budget v3 2R JB 160610 team discussion version 1 230610 Master" xfId="202"/>
    <cellStyle name="_B7. opex analysis_IT budget v3 2R JB 160610 team discussion version 1 230610 Master test" xfId="203"/>
    <cellStyle name="_B7. opex analysis_IT budget v3 2R JB 160610 team discussion version 1 240610 Master" xfId="204"/>
    <cellStyle name="_B7. opex analysis_IT budget v6 010710 Reforecast a" xfId="205"/>
    <cellStyle name="_B7. opex analysis_IT budget v6 280610 Reforecast" xfId="206"/>
    <cellStyle name="_B7. opex analysis_IT budget v6 290610 Reforecast" xfId="207"/>
    <cellStyle name="_B7. opex analysis_Master data- IT activities deta" xfId="208"/>
    <cellStyle name="_B7. opex analysis_Reconciliation of Budgets Updat" xfId="209"/>
    <cellStyle name="_Balance Sheet Summary" xfId="210"/>
    <cellStyle name="_Bid Budget" xfId="211"/>
    <cellStyle name="_Bid Budget_Budget from Shez" xfId="212"/>
    <cellStyle name="_Bid Budget_IT budget v3 2R JB 160610 team discussion version 1 230610 Master" xfId="213"/>
    <cellStyle name="_Bid Budget_IT budget v3 2R JB 160610 team discussion version 1 230610 Master test" xfId="214"/>
    <cellStyle name="_Bid Budget_IT budget v3 2R JB 160610 team discussion version 1 240610 Master" xfId="215"/>
    <cellStyle name="_Bid Budget_IT budget v6 010710 Reforecast a" xfId="216"/>
    <cellStyle name="_Bid Budget_IT budget v6 280610 Reforecast" xfId="217"/>
    <cellStyle name="_Bid Budget_IT budget v6 290610 Reforecast" xfId="218"/>
    <cellStyle name="_Bid Budget_Master data- IT activities deta" xfId="219"/>
    <cellStyle name="_Bid Budget_Reconciliation of Budgets Updat" xfId="220"/>
    <cellStyle name="_Bonus workings" xfId="221"/>
    <cellStyle name="_Bonus workings 2" xfId="222"/>
    <cellStyle name="_Bonus workings 2_Budget from Shez" xfId="223"/>
    <cellStyle name="_Bonus workings 2_IT budget v3 2R JB 160610 team discussion version 1 230610 Master" xfId="224"/>
    <cellStyle name="_Bonus workings 2_IT budget v3 2R JB 160610 team discussion version 1 230610 Master test" xfId="225"/>
    <cellStyle name="_Bonus workings 2_IT budget v3 2R JB 160610 team discussion version 1 240610 Master" xfId="226"/>
    <cellStyle name="_Bonus workings 2_IT budget v6 010710 Reforecast a" xfId="227"/>
    <cellStyle name="_Bonus workings 2_IT budget v6 280610 Reforecast" xfId="228"/>
    <cellStyle name="_Bonus workings 2_IT budget v6 290610 Reforecast" xfId="229"/>
    <cellStyle name="_Bonus workings 2_Master data- IT activities deta" xfId="230"/>
    <cellStyle name="_Bonus workings 2_Reconciliation of Budgets Updat" xfId="231"/>
    <cellStyle name="_Bonus workings_IT BUF v20" xfId="232"/>
    <cellStyle name="_Bonus workings_RAW_Numbers" xfId="233"/>
    <cellStyle name="_Book1" xfId="234"/>
    <cellStyle name="_Book2" xfId="235"/>
    <cellStyle name="_Book2 2" xfId="236"/>
    <cellStyle name="_Book2 2_Budget from Shez" xfId="237"/>
    <cellStyle name="_Book2 2_IT budget v3 2R JB 160610 team discussion version 1 230610 Master" xfId="238"/>
    <cellStyle name="_Book2 2_IT budget v3 2R JB 160610 team discussion version 1 230610 Master test" xfId="239"/>
    <cellStyle name="_Book2 2_IT budget v3 2R JB 160610 team discussion version 1 240610 Master" xfId="240"/>
    <cellStyle name="_Book2 2_IT budget v6 010710 Reforecast a" xfId="241"/>
    <cellStyle name="_Book2 2_IT budget v6 280610 Reforecast" xfId="242"/>
    <cellStyle name="_Book2 2_IT budget v6 290610 Reforecast" xfId="243"/>
    <cellStyle name="_Book2 2_Master data- IT activities deta" xfId="244"/>
    <cellStyle name="_Book2 2_Reconciliation of Budgets Updat" xfId="245"/>
    <cellStyle name="_Book2 3" xfId="246"/>
    <cellStyle name="_Book2 3_CentralDetail" xfId="247"/>
    <cellStyle name="_Book2_DS PLAY" xfId="248"/>
    <cellStyle name="_Book2_DS PLAY_Budget from Shez" xfId="249"/>
    <cellStyle name="_Book2_DS PLAY_IT budget v3 2R JB 160610 team discussion version 1 230610 Master" xfId="250"/>
    <cellStyle name="_Book2_DS PLAY_IT budget v3 2R JB 160610 team discussion version 1 230610 Master test" xfId="251"/>
    <cellStyle name="_Book2_DS PLAY_IT budget v3 2R JB 160610 team discussion version 1 240610 Master" xfId="252"/>
    <cellStyle name="_Book2_DS PLAY_IT budget v6 010710 Reforecast a" xfId="253"/>
    <cellStyle name="_Book2_DS PLAY_IT budget v6 280610 Reforecast" xfId="254"/>
    <cellStyle name="_Book2_DS PLAY_IT budget v6 290610 Reforecast" xfId="255"/>
    <cellStyle name="_Book2_DS PLAY_Master data- IT activities deta" xfId="256"/>
    <cellStyle name="_Book2_DS PLAY_Reconciliation of Budgets Updat" xfId="257"/>
    <cellStyle name="_Book2_IT BUF v20" xfId="258"/>
    <cellStyle name="_Book2_RAW_Numbers" xfId="259"/>
    <cellStyle name="_Book2_Xr EAI Financials FINAL" xfId="260"/>
    <cellStyle name="_Book2_Xr EAI Financials FINAL_Budget from Shez" xfId="261"/>
    <cellStyle name="_Book2_Xr EAI Financials FINAL_IT budget v3 2R JB 160610 team discussion version 1 230610 Master" xfId="262"/>
    <cellStyle name="_Book2_Xr EAI Financials FINAL_IT budget v3 2R JB 160610 team discussion version 1 230610 Master test" xfId="263"/>
    <cellStyle name="_Book2_Xr EAI Financials FINAL_IT budget v3 2R JB 160610 team discussion version 1 240610 Master" xfId="264"/>
    <cellStyle name="_Book2_Xr EAI Financials FINAL_IT budget v6 010710 Reforecast a" xfId="265"/>
    <cellStyle name="_Book2_Xr EAI Financials FINAL_IT budget v6 280610 Reforecast" xfId="266"/>
    <cellStyle name="_Book2_Xr EAI Financials FINAL_IT budget v6 290610 Reforecast" xfId="267"/>
    <cellStyle name="_Book2_Xr EAI Financials FINAL_Master data- IT activities deta" xfId="268"/>
    <cellStyle name="_Book2_Xr EAI Financials FINAL_Reconciliation of Budgets Updat" xfId="269"/>
    <cellStyle name="_Bridge for Nov GFO inc Capex-Revex" xfId="270"/>
    <cellStyle name="_Bridge for Nov GFO inc Capex-Revex 2" xfId="271"/>
    <cellStyle name="_Bridge for Nov GFO inc Capex-Revex 2_Budget from Shez" xfId="272"/>
    <cellStyle name="_Bridge for Nov GFO inc Capex-Revex 2_IT budget v3 2R JB 160610 team discussion version 1 230610 Master" xfId="273"/>
    <cellStyle name="_Bridge for Nov GFO inc Capex-Revex 2_IT budget v3 2R JB 160610 team discussion version 1 230610 Master test" xfId="274"/>
    <cellStyle name="_Bridge for Nov GFO inc Capex-Revex 2_IT budget v3 2R JB 160610 team discussion version 1 240610 Master" xfId="275"/>
    <cellStyle name="_Bridge for Nov GFO inc Capex-Revex 2_IT budget v6 010710 Reforecast a" xfId="276"/>
    <cellStyle name="_Bridge for Nov GFO inc Capex-Revex 2_IT budget v6 280610 Reforecast" xfId="277"/>
    <cellStyle name="_Bridge for Nov GFO inc Capex-Revex 2_IT budget v6 290610 Reforecast" xfId="278"/>
    <cellStyle name="_Bridge for Nov GFO inc Capex-Revex 2_Master data- IT activities deta" xfId="279"/>
    <cellStyle name="_Bridge for Nov GFO inc Capex-Revex 2_Reconciliation of Budgets Updat" xfId="280"/>
    <cellStyle name="_Bridge for Nov GFO inc Capex-Revex 3" xfId="281"/>
    <cellStyle name="_Bridge for Nov GFO inc Capex-Revex 3_CentralDetail" xfId="282"/>
    <cellStyle name="_Bridge for Nov GFO inc Capex-Revex_IT BUF v20" xfId="283"/>
    <cellStyle name="_Bridge for Nov GFO inc Capex-Revex_RAW_Numbers" xfId="284"/>
    <cellStyle name="_Comma_Book1" xfId="285"/>
    <cellStyle name="_Comma_Liou CSC Deadlines 5-12-03" xfId="286"/>
    <cellStyle name="_Comma_List of companies in CSC's 2005 (v3)" xfId="287"/>
    <cellStyle name="_Comma_Vladimira Mircheva deadlines" xfId="288"/>
    <cellStyle name="_Copy of Attachment_9.1_-_IT_RFP_Charging_Matrices_V2" xfId="289"/>
    <cellStyle name="_Copy of Attachment_9.1_-_IT_RFP_Charging_Matrices_V2 2" xfId="290"/>
    <cellStyle name="_Copy of Attachment_9.1_-_IT_RFP_Charging_Matrices_V2 2_Budget from Shez" xfId="291"/>
    <cellStyle name="_Copy of Attachment_9.1_-_IT_RFP_Charging_Matrices_V2 2_IT budget v3 2R JB 160610 team discussion version 1 230610 Master" xfId="292"/>
    <cellStyle name="_Copy of Attachment_9.1_-_IT_RFP_Charging_Matrices_V2 2_IT budget v3 2R JB 160610 team discussion version 1 230610 Master test" xfId="293"/>
    <cellStyle name="_Copy of Attachment_9.1_-_IT_RFP_Charging_Matrices_V2 2_IT budget v3 2R JB 160610 team discussion version 1 240610 Master" xfId="294"/>
    <cellStyle name="_Copy of Attachment_9.1_-_IT_RFP_Charging_Matrices_V2 2_IT budget v6 010710 Reforecast a" xfId="295"/>
    <cellStyle name="_Copy of Attachment_9.1_-_IT_RFP_Charging_Matrices_V2 2_IT budget v6 280610 Reforecast" xfId="296"/>
    <cellStyle name="_Copy of Attachment_9.1_-_IT_RFP_Charging_Matrices_V2 2_IT budget v6 290610 Reforecast" xfId="297"/>
    <cellStyle name="_Copy of Attachment_9.1_-_IT_RFP_Charging_Matrices_V2 2_Master data- IT activities deta" xfId="298"/>
    <cellStyle name="_Copy of Attachment_9.1_-_IT_RFP_Charging_Matrices_V2 2_Reconciliation of Budgets Updat" xfId="299"/>
    <cellStyle name="_Copy of Attachment_9.1_-_IT_RFP_Charging_Matrices_V2 3" xfId="300"/>
    <cellStyle name="_Copy of Attachment_9.1_-_IT_RFP_Charging_Matrices_V2 3_CentralDetail" xfId="301"/>
    <cellStyle name="_Copy of Attachment_9.1_-_IT_RFP_Charging_Matrices_V2_IT BUF v20" xfId="302"/>
    <cellStyle name="_Copy of Attachment_9.1_-_IT_RFP_Charging_Matrices_V2_RAW_Numbers" xfId="303"/>
    <cellStyle name="_Copy of financial bid evaluation" xfId="304"/>
    <cellStyle name="_Copy of GOA SMC Monthly Report 041507" xfId="305"/>
    <cellStyle name="_Copy of IPM_Pricing_v1.2" xfId="9"/>
    <cellStyle name="_Copy of Panama Model - final audit" xfId="306"/>
    <cellStyle name="_Cost_Model_Standard_Template_v2.00" xfId="307"/>
    <cellStyle name="_Cost_Model_Standard_Template_v2.00b" xfId="308"/>
    <cellStyle name="_Costing Schedules (Schedule 10)" xfId="309"/>
    <cellStyle name="_Costing Schedules (Schedule 10a) - for Manadatory  Variant Bids" xfId="310"/>
    <cellStyle name="_CS SOAPs v2" xfId="311"/>
    <cellStyle name="_Currency" xfId="312"/>
    <cellStyle name="_Currency_ABP Fund Data" xfId="313"/>
    <cellStyle name="_Currency_Book1" xfId="314"/>
    <cellStyle name="_Currency_CSC summary 08_2005 (2) (2)" xfId="315"/>
    <cellStyle name="_Currency_European Utilities_UK_Power Generation_Gas_Water" xfId="316"/>
    <cellStyle name="_Currency_Industrial Filtration" xfId="317"/>
    <cellStyle name="_Currency_Liou CSC Deadlines 5-12-03" xfId="318"/>
    <cellStyle name="_Currency_List of companies in CSC's 2005 (v3)" xfId="319"/>
    <cellStyle name="_Currency_Vladimira Mircheva deadlines" xfId="320"/>
    <cellStyle name="_CurrencySpace" xfId="321"/>
    <cellStyle name="_CurrencySpace_Book1" xfId="322"/>
    <cellStyle name="_CurrencySpace_European Utilities_UK_Power Generation_Gas_Water" xfId="323"/>
    <cellStyle name="_CurrencySpace_Industrial Filtration" xfId="324"/>
    <cellStyle name="_CurrencySpace_Liou CSC Deadlines 5-12-03" xfId="325"/>
    <cellStyle name="_CurrencySpace_List of companies in CSC's 2005 (v3)" xfId="326"/>
    <cellStyle name="_CurrencySpace_Vladimira Mircheva deadlines" xfId="327"/>
    <cellStyle name="_Data" xfId="10"/>
    <cellStyle name="_Dec07 Actuals Financial Summary_UK Desktop FINAL" xfId="328"/>
    <cellStyle name="_Desktop GFO 0 Template_V1" xfId="329"/>
    <cellStyle name="_Dinky BAA v6 (feb 06 iv)" xfId="330"/>
    <cellStyle name="_Draft Template V2" xfId="331"/>
    <cellStyle name="_DS PLAY" xfId="332"/>
    <cellStyle name="_DS PLAY_Budget from Shez" xfId="333"/>
    <cellStyle name="_DS PLAY_IT budget v3 2R JB 160610 team discussion version 1 230610 Master" xfId="334"/>
    <cellStyle name="_DS PLAY_IT budget v3 2R JB 160610 team discussion version 1 230610 Master test" xfId="335"/>
    <cellStyle name="_DS PLAY_IT budget v3 2R JB 160610 team discussion version 1 240610 Master" xfId="336"/>
    <cellStyle name="_DS PLAY_IT budget v6 010710 Reforecast a" xfId="337"/>
    <cellStyle name="_DS PLAY_IT budget v6 280610 Reforecast" xfId="338"/>
    <cellStyle name="_DS PLAY_IT budget v6 290610 Reforecast" xfId="339"/>
    <cellStyle name="_DS PLAY_Master data- IT activities deta" xfId="340"/>
    <cellStyle name="_DS PLAY_Reconciliation of Budgets Updat" xfId="341"/>
    <cellStyle name="_ERIC B04 Price Model BAFO 28.1.08 A" xfId="342"/>
    <cellStyle name="_Euro" xfId="343"/>
    <cellStyle name="_Example Outputs (3)" xfId="344"/>
    <cellStyle name="_Example Outputs (4)" xfId="345"/>
    <cellStyle name="_Exec Sum DKIB BAR 14th Aug 2008#7 0 psv#5JC2" xfId="11"/>
    <cellStyle name="_exec summary v1 4" xfId="12"/>
    <cellStyle name="_Extract Cross Rail with TRIOLE (2)" xfId="346"/>
    <cellStyle name="_Extract Cross Rail with TRIOLE (2) 2" xfId="347"/>
    <cellStyle name="_Extract Cross Rail with TRIOLE (2) 2_Budget from Shez" xfId="348"/>
    <cellStyle name="_Extract Cross Rail with TRIOLE (2) 2_IT budget v3 2R JB 160610 team discussion version 1 230610 Master" xfId="349"/>
    <cellStyle name="_Extract Cross Rail with TRIOLE (2) 2_IT budget v3 2R JB 160610 team discussion version 1 230610 Master test" xfId="350"/>
    <cellStyle name="_Extract Cross Rail with TRIOLE (2) 2_IT budget v3 2R JB 160610 team discussion version 1 240610 Master" xfId="351"/>
    <cellStyle name="_Extract Cross Rail with TRIOLE (2) 2_IT budget v6 010710 Reforecast a" xfId="352"/>
    <cellStyle name="_Extract Cross Rail with TRIOLE (2) 2_IT budget v6 280610 Reforecast" xfId="353"/>
    <cellStyle name="_Extract Cross Rail with TRIOLE (2) 2_IT budget v6 290610 Reforecast" xfId="354"/>
    <cellStyle name="_Extract Cross Rail with TRIOLE (2) 2_Master data- IT activities deta" xfId="355"/>
    <cellStyle name="_Extract Cross Rail with TRIOLE (2) 2_Reconciliation of Budgets Updat" xfId="356"/>
    <cellStyle name="_Extract Cross Rail with TRIOLE (2)_IT BUF v20" xfId="357"/>
    <cellStyle name="_Extract Cross Rail with TRIOLE (2)_RAW_Numbers" xfId="358"/>
    <cellStyle name="_Feb-08 heads re 15% track v2.0" xfId="359"/>
    <cellStyle name="_Feb-08 heads re 15% track v2.0_Budget from Shez" xfId="360"/>
    <cellStyle name="_Feb-08 heads re 15% track v2.0_IT budget v3 2R JB 160610 team discussion version 1 230610 Master" xfId="361"/>
    <cellStyle name="_Feb-08 heads re 15% track v2.0_IT budget v3 2R JB 160610 team discussion version 1 230610 Master test" xfId="362"/>
    <cellStyle name="_Feb-08 heads re 15% track v2.0_IT budget v3 2R JB 160610 team discussion version 1 240610 Master" xfId="363"/>
    <cellStyle name="_Feb-08 heads re 15% track v2.0_IT budget v6 010710 Reforecast a" xfId="364"/>
    <cellStyle name="_Feb-08 heads re 15% track v2.0_IT budget v6 280610 Reforecast" xfId="365"/>
    <cellStyle name="_Feb-08 heads re 15% track v2.0_IT budget v6 290610 Reforecast" xfId="366"/>
    <cellStyle name="_Feb-08 heads re 15% track v2.0_Master data- IT activities deta" xfId="367"/>
    <cellStyle name="_Feb-08 heads re 15% track v2.0_Reconciliation of Budgets Updat" xfId="368"/>
    <cellStyle name="_financial evaluation" xfId="369"/>
    <cellStyle name="_Fujitsu - Bidder Proposal Summary v 1 1" xfId="370"/>
    <cellStyle name="_GSLB" xfId="371"/>
    <cellStyle name="_Heading_03 Admiral - Shares Outstanding_Model v23_PDAv1" xfId="372"/>
    <cellStyle name="_Heading_03 Admiral - Shares Outstanding_Model v24" xfId="373"/>
    <cellStyle name="_Heading_03 Admiral - Shares Outstanding_Model v28" xfId="374"/>
    <cellStyle name="_Heading_GS India Budget_5-23-05" xfId="375"/>
    <cellStyle name="_Heading_GS India Budget_5-23-05_Model v23_PDAv1" xfId="376"/>
    <cellStyle name="_Heading_GS India Budget_5-23-05_Model v24" xfId="377"/>
    <cellStyle name="_Heading_GS India Budget_5-23-05_Model v28" xfId="378"/>
    <cellStyle name="_Heading_Industrials_Model v23_PDAv1" xfId="379"/>
    <cellStyle name="_Heading_Industrials_Model v24" xfId="380"/>
    <cellStyle name="_Heading_Industrials_Model v28" xfId="381"/>
    <cellStyle name="_Heading_List of companies in CSC's 2005 (v3)" xfId="382"/>
    <cellStyle name="_Heading_prestemp" xfId="383"/>
    <cellStyle name="_Highlight" xfId="384"/>
    <cellStyle name="_Highly Indicative BEAR solution summary v2 2" xfId="385"/>
    <cellStyle name="_Highly Indicative BEAR solution summary v2 2 2" xfId="386"/>
    <cellStyle name="_Highly Indicative BEAR solution summary v2 2 2_Budget from Shez" xfId="387"/>
    <cellStyle name="_Highly Indicative BEAR solution summary v2 2 2_IT budget v3 2R JB 160610 team discussion version 1 230610 Master" xfId="388"/>
    <cellStyle name="_Highly Indicative BEAR solution summary v2 2 2_IT budget v3 2R JB 160610 team discussion version 1 230610 Master test" xfId="389"/>
    <cellStyle name="_Highly Indicative BEAR solution summary v2 2 2_IT budget v3 2R JB 160610 team discussion version 1 240610 Master" xfId="390"/>
    <cellStyle name="_Highly Indicative BEAR solution summary v2 2 2_IT budget v6 010710 Reforecast a" xfId="391"/>
    <cellStyle name="_Highly Indicative BEAR solution summary v2 2 2_IT budget v6 280610 Reforecast" xfId="392"/>
    <cellStyle name="_Highly Indicative BEAR solution summary v2 2 2_IT budget v6 290610 Reforecast" xfId="393"/>
    <cellStyle name="_Highly Indicative BEAR solution summary v2 2 2_Master data- IT activities deta" xfId="394"/>
    <cellStyle name="_Highly Indicative BEAR solution summary v2 2 2_Reconciliation of Budgets Updat" xfId="395"/>
    <cellStyle name="_Highly Indicative BEAR solution summary v2 2 3" xfId="396"/>
    <cellStyle name="_Highly Indicative BEAR solution summary v2 2 3_CentralDetail" xfId="397"/>
    <cellStyle name="_Highly Indicative BEAR solution summary v2 2_IT BUF v20" xfId="398"/>
    <cellStyle name="_Highly Indicative BEAR solution summary v2 2_Ratios" xfId="399"/>
    <cellStyle name="_Highly Indicative BEAR solution summary v2 2_RAW_Numbers" xfId="400"/>
    <cellStyle name="_Highly Indicative BEAR solution summary v2 2_Summary Sheet" xfId="401"/>
    <cellStyle name="_IAM_Accounting_v 1 1_Crossrail_v0 4_extract" xfId="402"/>
    <cellStyle name="_IAM_v2.10 NM 01092008" xfId="403"/>
    <cellStyle name="_INSS Tech Refresh v2.0  5 yr INSS CUSTOMER" xfId="404"/>
    <cellStyle name="_INSS Tech Refresh v2.0  5 yr INSS CUSTOMER 2" xfId="405"/>
    <cellStyle name="_INSS Tech Refresh v2.0  5 yr INSS CUSTOMER 2_Budget from Shez" xfId="406"/>
    <cellStyle name="_INSS Tech Refresh v2.0  5 yr INSS CUSTOMER 2_IT budget v3 2R JB 160610 team discussion version 1 230610 Master" xfId="407"/>
    <cellStyle name="_INSS Tech Refresh v2.0  5 yr INSS CUSTOMER 2_IT budget v3 2R JB 160610 team discussion version 1 230610 Master test" xfId="408"/>
    <cellStyle name="_INSS Tech Refresh v2.0  5 yr INSS CUSTOMER 2_IT budget v3 2R JB 160610 team discussion version 1 240610 Master" xfId="409"/>
    <cellStyle name="_INSS Tech Refresh v2.0  5 yr INSS CUSTOMER 2_IT budget v6 010710 Reforecast a" xfId="410"/>
    <cellStyle name="_INSS Tech Refresh v2.0  5 yr INSS CUSTOMER 2_IT budget v6 280610 Reforecast" xfId="411"/>
    <cellStyle name="_INSS Tech Refresh v2.0  5 yr INSS CUSTOMER 2_IT budget v6 290610 Reforecast" xfId="412"/>
    <cellStyle name="_INSS Tech Refresh v2.0  5 yr INSS CUSTOMER 2_Master data- IT activities deta" xfId="413"/>
    <cellStyle name="_INSS Tech Refresh v2.0  5 yr INSS CUSTOMER 2_Reconciliation of Budgets Updat" xfId="414"/>
    <cellStyle name="_INSS Tech Refresh v2.0  5 yr INSS CUSTOMER 3" xfId="415"/>
    <cellStyle name="_INSS Tech Refresh v2.0  5 yr INSS CUSTOMER 3_CentralDetail" xfId="416"/>
    <cellStyle name="_INSS Tech Refresh v2.0  5 yr INSS CUSTOMER_IT BUF v20" xfId="417"/>
    <cellStyle name="_INSS Tech Refresh v2.0  5 yr INSS CUSTOMER_RAW_Numbers" xfId="418"/>
    <cellStyle name="_InterGen UK Model 06 08 08_V2" xfId="419"/>
    <cellStyle name="_IPM_Pricing_v1.1_Crossrail_v2.5 (30TB VERSION)" xfId="420"/>
    <cellStyle name="_IPM_Pricing_v1.1_Crossrail_v3.3 30TB" xfId="421"/>
    <cellStyle name="_IS CTA Database v10.0.0g UK (Data)" xfId="13"/>
    <cellStyle name="_ISAAC CO Model 5.6.07" xfId="422"/>
    <cellStyle name="_ISAAC CO Model Basic" xfId="423"/>
    <cellStyle name="_Jan Prelim Actuals" xfId="424"/>
    <cellStyle name="_June Consol Pack" xfId="425"/>
    <cellStyle name="_June Consol Pack_Budget from Shez" xfId="426"/>
    <cellStyle name="_June Consol Pack_IT budget v3 2R JB 160610 team discussion version 1 230610 Master" xfId="427"/>
    <cellStyle name="_June Consol Pack_IT budget v3 2R JB 160610 team discussion version 1 230610 Master test" xfId="428"/>
    <cellStyle name="_June Consol Pack_IT budget v3 2R JB 160610 team discussion version 1 240610 Master" xfId="429"/>
    <cellStyle name="_June Consol Pack_IT budget v6 010710 Reforecast a" xfId="430"/>
    <cellStyle name="_June Consol Pack_IT budget v6 280610 Reforecast" xfId="431"/>
    <cellStyle name="_June Consol Pack_IT budget v6 290610 Reforecast" xfId="432"/>
    <cellStyle name="_June Consol Pack_Master data- IT activities deta" xfId="433"/>
    <cellStyle name="_June Consol Pack_Reconciliation of Budgets Updat" xfId="434"/>
    <cellStyle name="_Lisbon GDC Seat Costs 0809 v1 3" xfId="435"/>
    <cellStyle name="_Lisbon GDC Seat Costs 0809 v1 3 2" xfId="436"/>
    <cellStyle name="_Lisbon GDC Seat Costs 0809 v1 3 2_Budget from Shez" xfId="437"/>
    <cellStyle name="_Lisbon GDC Seat Costs 0809 v1 3 2_IT budget v3 2R JB 160610 team discussion version 1 230610 Master" xfId="438"/>
    <cellStyle name="_Lisbon GDC Seat Costs 0809 v1 3 2_IT budget v3 2R JB 160610 team discussion version 1 230610 Master test" xfId="439"/>
    <cellStyle name="_Lisbon GDC Seat Costs 0809 v1 3 2_IT budget v3 2R JB 160610 team discussion version 1 240610 Master" xfId="440"/>
    <cellStyle name="_Lisbon GDC Seat Costs 0809 v1 3 2_IT budget v6 010710 Reforecast a" xfId="441"/>
    <cellStyle name="_Lisbon GDC Seat Costs 0809 v1 3 2_IT budget v6 280610 Reforecast" xfId="442"/>
    <cellStyle name="_Lisbon GDC Seat Costs 0809 v1 3 2_IT budget v6 290610 Reforecast" xfId="443"/>
    <cellStyle name="_Lisbon GDC Seat Costs 0809 v1 3 2_Master data- IT activities deta" xfId="444"/>
    <cellStyle name="_Lisbon GDC Seat Costs 0809 v1 3 2_Reconciliation of Budgets Updat" xfId="445"/>
    <cellStyle name="_Lisbon GDC Seat Costs 0809 v1 3_IT BUF v20" xfId="446"/>
    <cellStyle name="_Lisbon GDC Seat Costs 0809 v1 3_Ratios" xfId="447"/>
    <cellStyle name="_Lisbon GDC Seat Costs 0809 v1 3_Ratios_Budget from Shez" xfId="448"/>
    <cellStyle name="_Lisbon GDC Seat Costs 0809 v1 3_Ratios_IT budget v3 2R JB 160610 team discussion version 1 230610 Master" xfId="449"/>
    <cellStyle name="_Lisbon GDC Seat Costs 0809 v1 3_Ratios_IT budget v3 2R JB 160610 team discussion version 1 230610 Master test" xfId="450"/>
    <cellStyle name="_Lisbon GDC Seat Costs 0809 v1 3_Ratios_IT budget v3 2R JB 160610 team discussion version 1 240610 Master" xfId="451"/>
    <cellStyle name="_Lisbon GDC Seat Costs 0809 v1 3_Ratios_IT budget v6 010710 Reforecast a" xfId="452"/>
    <cellStyle name="_Lisbon GDC Seat Costs 0809 v1 3_Ratios_IT budget v6 280610 Reforecast" xfId="453"/>
    <cellStyle name="_Lisbon GDC Seat Costs 0809 v1 3_Ratios_IT budget v6 290610 Reforecast" xfId="454"/>
    <cellStyle name="_Lisbon GDC Seat Costs 0809 v1 3_Ratios_Master data- IT activities deta" xfId="455"/>
    <cellStyle name="_Lisbon GDC Seat Costs 0809 v1 3_Ratios_Reconciliation of Budgets Updat" xfId="456"/>
    <cellStyle name="_Lisbon GDC Seat Costs 0809 v1 3_RAW_Numbers" xfId="457"/>
    <cellStyle name="_Lisbon GDC Seat Costs 0809 v1 3_Summary Sheet" xfId="458"/>
    <cellStyle name="_Lisbon GDC Seat Costs 0809 v1 3_Summary Sheet_Budget from Shez" xfId="459"/>
    <cellStyle name="_Lisbon GDC Seat Costs 0809 v1 3_Summary Sheet_IT budget v3 2R JB 160610 team discussion version 1 230610 Master" xfId="460"/>
    <cellStyle name="_Lisbon GDC Seat Costs 0809 v1 3_Summary Sheet_IT budget v3 2R JB 160610 team discussion version 1 230610 Master test" xfId="461"/>
    <cellStyle name="_Lisbon GDC Seat Costs 0809 v1 3_Summary Sheet_IT budget v3 2R JB 160610 team discussion version 1 240610 Master" xfId="462"/>
    <cellStyle name="_Lisbon GDC Seat Costs 0809 v1 3_Summary Sheet_IT budget v6 010710 Reforecast a" xfId="463"/>
    <cellStyle name="_Lisbon GDC Seat Costs 0809 v1 3_Summary Sheet_IT budget v6 280610 Reforecast" xfId="464"/>
    <cellStyle name="_Lisbon GDC Seat Costs 0809 v1 3_Summary Sheet_IT budget v6 290610 Reforecast" xfId="465"/>
    <cellStyle name="_Lisbon GDC Seat Costs 0809 v1 3_Summary Sheet_Master data- IT activities deta" xfId="466"/>
    <cellStyle name="_Lisbon GDC Seat Costs 0809 v1 3_Summary Sheet_Reconciliation of Budgets Updat" xfId="467"/>
    <cellStyle name="_LRG Monthly Report - Master June 2007" xfId="468"/>
    <cellStyle name="_LRG Monthly Report - Master June 2007_Budget from Shez" xfId="469"/>
    <cellStyle name="_LRG Monthly Report - Master June 2007_IT budget v3 2R JB 160610 team discussion version 1 230610 Master" xfId="470"/>
    <cellStyle name="_LRG Monthly Report - Master June 2007_IT budget v3 2R JB 160610 team discussion version 1 230610 Master test" xfId="471"/>
    <cellStyle name="_LRG Monthly Report - Master June 2007_IT budget v3 2R JB 160610 team discussion version 1 240610 Master" xfId="472"/>
    <cellStyle name="_LRG Monthly Report - Master June 2007_IT budget v6 010710 Reforecast a" xfId="473"/>
    <cellStyle name="_LRG Monthly Report - Master June 2007_IT budget v6 280610 Reforecast" xfId="474"/>
    <cellStyle name="_LRG Monthly Report - Master June 2007_IT budget v6 290610 Reforecast" xfId="475"/>
    <cellStyle name="_LRG Monthly Report - Master June 2007_Master data- IT activities deta" xfId="476"/>
    <cellStyle name="_LRG Monthly Report - Master June 2007_Reconciliation of Budgets Updat" xfId="477"/>
    <cellStyle name="_May08 Reporting pack - pro forma Scotland" xfId="478"/>
    <cellStyle name="_May08 Reporting pack - pro forma Scotland_Budget from Shez" xfId="479"/>
    <cellStyle name="_May08 Reporting pack - pro forma Scotland_IT budget v3 2R JB 160610 team discussion version 1 230610 Master" xfId="480"/>
    <cellStyle name="_May08 Reporting pack - pro forma Scotland_IT budget v3 2R JB 160610 team discussion version 1 230610 Master test" xfId="481"/>
    <cellStyle name="_May08 Reporting pack - pro forma Scotland_IT budget v3 2R JB 160610 team discussion version 1 240610 Master" xfId="482"/>
    <cellStyle name="_May08 Reporting pack - pro forma Scotland_IT budget v6 010710 Reforecast a" xfId="483"/>
    <cellStyle name="_May08 Reporting pack - pro forma Scotland_IT budget v6 280610 Reforecast" xfId="484"/>
    <cellStyle name="_May08 Reporting pack - pro forma Scotland_IT budget v6 290610 Reforecast" xfId="485"/>
    <cellStyle name="_May08 Reporting pack - pro forma Scotland_Master data- IT activities deta" xfId="486"/>
    <cellStyle name="_May08 Reporting pack - pro forma Scotland_Reconciliation of Budgets Updat" xfId="487"/>
    <cellStyle name="_Model 250108 1329" xfId="488"/>
    <cellStyle name="_Model JB 1" xfId="489"/>
    <cellStyle name="_Multiple" xfId="490"/>
    <cellStyle name="_Multiple_csc" xfId="491"/>
    <cellStyle name="_Multiple_Industrial Filtration" xfId="492"/>
    <cellStyle name="_MultipleSpace" xfId="493"/>
    <cellStyle name="_MultipleSpace_Book1" xfId="494"/>
    <cellStyle name="_MultipleSpace_csc" xfId="495"/>
    <cellStyle name="_MultipleSpace_Industrial Filtration" xfId="496"/>
    <cellStyle name="_MultipleSpace_Industry Project list" xfId="497"/>
    <cellStyle name="_New Review Pack Template 2007-8 v1" xfId="498"/>
    <cellStyle name="_New Review Pack Template 2007-8 v1_Budget from Shez" xfId="499"/>
    <cellStyle name="_New Review Pack Template 2007-8 v1_IT budget v3 2R JB 160610 team discussion version 1 230610 Master" xfId="500"/>
    <cellStyle name="_New Review Pack Template 2007-8 v1_IT budget v3 2R JB 160610 team discussion version 1 230610 Master test" xfId="501"/>
    <cellStyle name="_New Review Pack Template 2007-8 v1_IT budget v3 2R JB 160610 team discussion version 1 240610 Master" xfId="502"/>
    <cellStyle name="_New Review Pack Template 2007-8 v1_IT budget v6 010710 Reforecast a" xfId="503"/>
    <cellStyle name="_New Review Pack Template 2007-8 v1_IT budget v6 280610 Reforecast" xfId="504"/>
    <cellStyle name="_New Review Pack Template 2007-8 v1_IT budget v6 290610 Reforecast" xfId="505"/>
    <cellStyle name="_New Review Pack Template 2007-8 v1_Master data- IT activities deta" xfId="506"/>
    <cellStyle name="_New Review Pack Template 2007-8 v1_Reconciliation of Budgets Updat" xfId="507"/>
    <cellStyle name="_Offshore" xfId="508"/>
    <cellStyle name="_Percent" xfId="509"/>
    <cellStyle name="_PercentSpace" xfId="510"/>
    <cellStyle name="_Portfolio Dashboard Pack v1.4 Oct 07 - DVLA v2 values" xfId="511"/>
    <cellStyle name="_Portfolio Dashboard Pack v1.4 Oct 07 - DVLA v2 values_Budget from Shez" xfId="512"/>
    <cellStyle name="_Portfolio Dashboard Pack v1.4 Oct 07 - DVLA v2 values_IT budget v3 2R JB 160610 team discussion version 1 230610 Master" xfId="513"/>
    <cellStyle name="_Portfolio Dashboard Pack v1.4 Oct 07 - DVLA v2 values_IT budget v3 2R JB 160610 team discussion version 1 230610 Master test" xfId="514"/>
    <cellStyle name="_Portfolio Dashboard Pack v1.4 Oct 07 - DVLA v2 values_IT budget v3 2R JB 160610 team discussion version 1 240610 Master" xfId="515"/>
    <cellStyle name="_Portfolio Dashboard Pack v1.4 Oct 07 - DVLA v2 values_IT budget v6 010710 Reforecast a" xfId="516"/>
    <cellStyle name="_Portfolio Dashboard Pack v1.4 Oct 07 - DVLA v2 values_IT budget v6 280610 Reforecast" xfId="517"/>
    <cellStyle name="_Portfolio Dashboard Pack v1.4 Oct 07 - DVLA v2 values_IT budget v6 290610 Reforecast" xfId="518"/>
    <cellStyle name="_Portfolio Dashboard Pack v1.4 Oct 07 - DVLA v2 values_Master data- IT activities deta" xfId="519"/>
    <cellStyle name="_Portfolio Dashboard Pack v1.4 Oct 07 - DVLA v2 values_Reconciliation of Budgets Updat" xfId="520"/>
    <cellStyle name="_Project Zeus_Pricing_Baseline Comparison v0.01" xfId="521"/>
    <cellStyle name="_projects" xfId="522"/>
    <cellStyle name="_projects_Budget from Shez" xfId="523"/>
    <cellStyle name="_projects_IT budget v3 2R JB 160610 team discussion version 1 230610 Master" xfId="524"/>
    <cellStyle name="_projects_IT budget v3 2R JB 160610 team discussion version 1 230610 Master test" xfId="525"/>
    <cellStyle name="_projects_IT budget v3 2R JB 160610 team discussion version 1 240610 Master" xfId="526"/>
    <cellStyle name="_projects_IT budget v6 010710 Reforecast a" xfId="527"/>
    <cellStyle name="_projects_IT budget v6 280610 Reforecast" xfId="528"/>
    <cellStyle name="_projects_IT budget v6 290610 Reforecast" xfId="529"/>
    <cellStyle name="_projects_Master data- IT activities deta" xfId="530"/>
    <cellStyle name="_projects_Reconciliation of Budgets Updat" xfId="531"/>
    <cellStyle name="_RiskOpps" xfId="532"/>
    <cellStyle name="_RiskOpps (non std)" xfId="533"/>
    <cellStyle name="_RiskOpps (non std)_Budget from Shez" xfId="534"/>
    <cellStyle name="_RiskOpps (non std)_IT budget v3 2R JB 160610 team discussion version 1 230610 Master" xfId="535"/>
    <cellStyle name="_RiskOpps (non std)_IT budget v3 2R JB 160610 team discussion version 1 230610 Master test" xfId="536"/>
    <cellStyle name="_RiskOpps (non std)_IT budget v3 2R JB 160610 team discussion version 1 240610 Master" xfId="537"/>
    <cellStyle name="_RiskOpps (non std)_IT budget v6 010710 Reforecast a" xfId="538"/>
    <cellStyle name="_RiskOpps (non std)_IT budget v6 280610 Reforecast" xfId="539"/>
    <cellStyle name="_RiskOpps (non std)_IT budget v6 290610 Reforecast" xfId="540"/>
    <cellStyle name="_RiskOpps (non std)_Master data- IT activities deta" xfId="541"/>
    <cellStyle name="_RiskOpps (non std)_Reconciliation of Budgets Updat" xfId="542"/>
    <cellStyle name="_RiskOpps_Budget from Shez" xfId="543"/>
    <cellStyle name="_RiskOpps_IT budget v3 2R JB 160610 team discussion version 1 230610 Master" xfId="544"/>
    <cellStyle name="_RiskOpps_IT budget v3 2R JB 160610 team discussion version 1 230610 Master test" xfId="545"/>
    <cellStyle name="_RiskOpps_IT budget v3 2R JB 160610 team discussion version 1 240610 Master" xfId="546"/>
    <cellStyle name="_RiskOpps_IT budget v6 010710 Reforecast a" xfId="547"/>
    <cellStyle name="_RiskOpps_IT budget v6 280610 Reforecast" xfId="548"/>
    <cellStyle name="_RiskOpps_IT budget v6 290610 Reforecast" xfId="549"/>
    <cellStyle name="_RiskOpps_Master data- IT activities deta" xfId="550"/>
    <cellStyle name="_RiskOpps_Reconciliation of Budgets Updat" xfId="551"/>
    <cellStyle name="_SCC CDS3a ICT 7 Yr DRAFT4" xfId="552"/>
    <cellStyle name="_SCC CDS3a ICT 7 Yr DRAFTNorev" xfId="553"/>
    <cellStyle name="_SCC CDS3a ICT 7 Yr DRAFTNorev 2" xfId="554"/>
    <cellStyle name="_SCC CDS3a ICT 7 Yr DRAFTNorev 2_Budget from Shez" xfId="555"/>
    <cellStyle name="_SCC CDS3a ICT 7 Yr DRAFTNorev 2_IT budget v3 2R JB 160610 team discussion version 1 230610 Master" xfId="556"/>
    <cellStyle name="_SCC CDS3a ICT 7 Yr DRAFTNorev 2_IT budget v3 2R JB 160610 team discussion version 1 230610 Master test" xfId="557"/>
    <cellStyle name="_SCC CDS3a ICT 7 Yr DRAFTNorev 2_IT budget v3 2R JB 160610 team discussion version 1 240610 Master" xfId="558"/>
    <cellStyle name="_SCC CDS3a ICT 7 Yr DRAFTNorev 2_IT budget v6 010710 Reforecast a" xfId="559"/>
    <cellStyle name="_SCC CDS3a ICT 7 Yr DRAFTNorev 2_IT budget v6 280610 Reforecast" xfId="560"/>
    <cellStyle name="_SCC CDS3a ICT 7 Yr DRAFTNorev 2_IT budget v6 290610 Reforecast" xfId="561"/>
    <cellStyle name="_SCC CDS3a ICT 7 Yr DRAFTNorev 2_Master data- IT activities deta" xfId="562"/>
    <cellStyle name="_SCC CDS3a ICT 7 Yr DRAFTNorev 2_Reconciliation of Budgets Updat" xfId="563"/>
    <cellStyle name="_SCC CDS3a ICT 7 Yr DRAFTNorev 3" xfId="564"/>
    <cellStyle name="_SCC CDS3a ICT 7 Yr DRAFTNorev 3_CentralDetail" xfId="565"/>
    <cellStyle name="_SCC CDS3a ICT 7 Yr DRAFTNorev_IT BUF v20" xfId="566"/>
    <cellStyle name="_SCC CDS3a ICT 7 Yr DRAFTNorev_RAW_Numbers" xfId="567"/>
    <cellStyle name="_SCC_CORE_Cost_v1.28_Cost_1903_1700_AdjustedDRAFT" xfId="568"/>
    <cellStyle name="_SCC_CORE_FIN_7Yrs1.28_1903_1700_GRPBAR_Adjusted_for Steve_3" xfId="569"/>
    <cellStyle name="_SCC_CORE_FIN_7Yrs1.28_1903_1700_GRPBAR_Adjusted_for Steve_3 2" xfId="570"/>
    <cellStyle name="_SCC_CORE_FIN_7Yrs1.28_1903_1700_GRPBAR_Adjusted_for Steve_3 2_Budget from Shez" xfId="571"/>
    <cellStyle name="_SCC_CORE_FIN_7Yrs1.28_1903_1700_GRPBAR_Adjusted_for Steve_3 2_IT budget v3 2R JB 160610 team discussion version 1 230610 Master" xfId="572"/>
    <cellStyle name="_SCC_CORE_FIN_7Yrs1.28_1903_1700_GRPBAR_Adjusted_for Steve_3 2_IT budget v3 2R JB 160610 team discussion version 1 230610 Master test" xfId="573"/>
    <cellStyle name="_SCC_CORE_FIN_7Yrs1.28_1903_1700_GRPBAR_Adjusted_for Steve_3 2_IT budget v3 2R JB 160610 team discussion version 1 240610 Master" xfId="574"/>
    <cellStyle name="_SCC_CORE_FIN_7Yrs1.28_1903_1700_GRPBAR_Adjusted_for Steve_3 2_IT budget v6 010710 Reforecast a" xfId="575"/>
    <cellStyle name="_SCC_CORE_FIN_7Yrs1.28_1903_1700_GRPBAR_Adjusted_for Steve_3 2_IT budget v6 280610 Reforecast" xfId="576"/>
    <cellStyle name="_SCC_CORE_FIN_7Yrs1.28_1903_1700_GRPBAR_Adjusted_for Steve_3 2_IT budget v6 290610 Reforecast" xfId="577"/>
    <cellStyle name="_SCC_CORE_FIN_7Yrs1.28_1903_1700_GRPBAR_Adjusted_for Steve_3 2_Master data- IT activities deta" xfId="578"/>
    <cellStyle name="_SCC_CORE_FIN_7Yrs1.28_1903_1700_GRPBAR_Adjusted_for Steve_3 2_Reconciliation of Budgets Updat" xfId="579"/>
    <cellStyle name="_SCC_CORE_FIN_7Yrs1.28_1903_1700_GRPBAR_Adjusted_for Steve_3 3" xfId="580"/>
    <cellStyle name="_SCC_CORE_FIN_7Yrs1.28_1903_1700_GRPBAR_Adjusted_for Steve_3 3_CentralDetail" xfId="581"/>
    <cellStyle name="_SCC_CORE_FIN_7Yrs1.28_1903_1700_GRPBAR_Adjusted_for Steve_3_IT BUF v20" xfId="582"/>
    <cellStyle name="_SCC_CORE_FIN_7Yrs1.28_1903_1700_GRPBAR_Adjusted_for Steve_3_RAW_Numbers" xfId="583"/>
    <cellStyle name="_SCC_ICT_Cost_v1.28_Cost_1903_1700_DRAFT" xfId="584"/>
    <cellStyle name="_SFIA Rate Card offshore v1d" xfId="585"/>
    <cellStyle name="_Singer model 06 09 24_V4" xfId="586"/>
    <cellStyle name="_Stand Alone Depreciation Table" xfId="587"/>
    <cellStyle name="_SubHeading" xfId="588"/>
    <cellStyle name="_SubHeading_03 Admiral - Shares Outstanding" xfId="589"/>
    <cellStyle name="_SubHeading_03 Admiral - Shares Outstanding_Model v24" xfId="590"/>
    <cellStyle name="_SubHeading_03 Admiral - Shares Outstanding_Model v28" xfId="591"/>
    <cellStyle name="_SubHeading_GS India Budget_5-23-05" xfId="592"/>
    <cellStyle name="_SubHeading_GS India Budget_5-23-05_Model v23_PDAv1" xfId="593"/>
    <cellStyle name="_SubHeading_GS India Budget_5-23-05_Model v24" xfId="594"/>
    <cellStyle name="_SubHeading_GS India Budget_5-23-05_Model v28" xfId="595"/>
    <cellStyle name="_SubHeading_Industrials" xfId="596"/>
    <cellStyle name="_Table" xfId="597"/>
    <cellStyle name="_Table_03 Admiral - Shares Outstanding_Model v24" xfId="598"/>
    <cellStyle name="_Table_GS India Budget_5-23-05_Model v23_PDAv1" xfId="599"/>
    <cellStyle name="_Table_GS India Budget_5-23-05_Model v24" xfId="600"/>
    <cellStyle name="_Table_Industrials" xfId="601"/>
    <cellStyle name="_Table_List of companies in CSC's 2005 (v3)" xfId="602"/>
    <cellStyle name="_TableHead_03 Admiral - Shares Outstanding" xfId="603"/>
    <cellStyle name="_TableHead_03 Admiral - Shares Outstanding_Model v28" xfId="604"/>
    <cellStyle name="_TableHead_GS India Budget_5-23-05_Model v24" xfId="605"/>
    <cellStyle name="_TableHead_Industrials" xfId="606"/>
    <cellStyle name="_TableHead_Industrials_Model v28" xfId="607"/>
    <cellStyle name="_TableHead_List of companies in CSC's 2005 (v3)" xfId="608"/>
    <cellStyle name="_TableRowHead_03 Admiral - Shares Outstanding" xfId="609"/>
    <cellStyle name="_TableRowHead_03 Admiral - Shares Outstanding_Model v23_PDAv1" xfId="610"/>
    <cellStyle name="_TableRowHead_GS India Budget_5-23-05_Model v28" xfId="611"/>
    <cellStyle name="_TableRowHead_Industrials" xfId="612"/>
    <cellStyle name="_TableRowHead_Industrials_Model v24" xfId="613"/>
    <cellStyle name="_TableRowHead_Industrials_Model v28" xfId="614"/>
    <cellStyle name="_TableRowHead_List of companies in CSC's 2005 (v3)" xfId="615"/>
    <cellStyle name="_TableSuperHead" xfId="616"/>
    <cellStyle name="_TableSuperHead_03 Admiral - Shares Outstanding" xfId="617"/>
    <cellStyle name="_TableSuperHead_03 Admiral - Shares Outstanding_Model v23_PDAv1" xfId="618"/>
    <cellStyle name="_TableSuperHead_03 Admiral - Shares Outstanding_Model v28" xfId="619"/>
    <cellStyle name="_TableSuperHead_GS India Budget_5-23-05_Model v24" xfId="620"/>
    <cellStyle name="_TableSuperHead_GS India Budget_5-23-05_Model v28" xfId="621"/>
    <cellStyle name="_TableSuperHead_Industrials" xfId="622"/>
    <cellStyle name="_TNPM_Pricing_v1.5" xfId="623"/>
    <cellStyle name="_Xr EAI Financials FINAL" xfId="624"/>
    <cellStyle name="=C:\WINNT35\SYSTEM32\COMMAND.COM" xfId="625"/>
    <cellStyle name="ÊÝ [0.00]_åCF_" xfId="626"/>
    <cellStyle name="ÊÝ_åCF_" xfId="627"/>
    <cellStyle name="W_@íÊàó" xfId="628"/>
    <cellStyle name="0,0_x000d__x000a_NA_x000d__x000a_" xfId="629"/>
    <cellStyle name="1M" xfId="630"/>
    <cellStyle name="20% - Accent1 2" xfId="631"/>
    <cellStyle name="20% - Accent1 2 2" xfId="632"/>
    <cellStyle name="20% - Accent1 3" xfId="633"/>
    <cellStyle name="20% - Accent1 4" xfId="634"/>
    <cellStyle name="20% - Accent1 5" xfId="635"/>
    <cellStyle name="20% - Accent2 2" xfId="636"/>
    <cellStyle name="20% - Accent2 2 2" xfId="637"/>
    <cellStyle name="20% - Accent2 3" xfId="638"/>
    <cellStyle name="20% - Accent2 4" xfId="639"/>
    <cellStyle name="20% - Accent2 5" xfId="640"/>
    <cellStyle name="20% - Accent3 2" xfId="641"/>
    <cellStyle name="20% - Accent3 2 2" xfId="642"/>
    <cellStyle name="20% - Accent3 3" xfId="643"/>
    <cellStyle name="20% - Accent3 4" xfId="644"/>
    <cellStyle name="20% - Accent3 5" xfId="645"/>
    <cellStyle name="20% - Accent4 2" xfId="646"/>
    <cellStyle name="20% - Accent4 2 2" xfId="647"/>
    <cellStyle name="20% - Accent4 3" xfId="648"/>
    <cellStyle name="20% - Accent4 4" xfId="649"/>
    <cellStyle name="20% - Accent4 5" xfId="650"/>
    <cellStyle name="20% - Accent5 2" xfId="651"/>
    <cellStyle name="20% - Accent5 2 2" xfId="652"/>
    <cellStyle name="20% - Accent5 3" xfId="653"/>
    <cellStyle name="20% - Accent5 4" xfId="654"/>
    <cellStyle name="20% - Accent5 5" xfId="655"/>
    <cellStyle name="20% - Accent6 2" xfId="656"/>
    <cellStyle name="20% - Accent6 2 2" xfId="657"/>
    <cellStyle name="20% - Accent6 3" xfId="658"/>
    <cellStyle name="20% - Accent6 4" xfId="659"/>
    <cellStyle name="20% - Accent6 5" xfId="660"/>
    <cellStyle name="2M" xfId="661"/>
    <cellStyle name="2nd head" xfId="662"/>
    <cellStyle name="3M" xfId="663"/>
    <cellStyle name="40% - Accent1 2" xfId="664"/>
    <cellStyle name="40% - Accent1 2 2" xfId="665"/>
    <cellStyle name="40% - Accent1 3" xfId="666"/>
    <cellStyle name="40% - Accent1 4" xfId="667"/>
    <cellStyle name="40% - Accent1 5" xfId="668"/>
    <cellStyle name="40% - Accent2 2" xfId="669"/>
    <cellStyle name="40% - Accent2 2 2" xfId="670"/>
    <cellStyle name="40% - Accent2 3" xfId="671"/>
    <cellStyle name="40% - Accent2 4" xfId="672"/>
    <cellStyle name="40% - Accent2 5" xfId="673"/>
    <cellStyle name="40% - Accent3 2" xfId="674"/>
    <cellStyle name="40% - Accent3 2 2" xfId="675"/>
    <cellStyle name="40% - Accent3 3" xfId="676"/>
    <cellStyle name="40% - Accent3 4" xfId="677"/>
    <cellStyle name="40% - Accent3 5" xfId="678"/>
    <cellStyle name="40% - Accent4 2" xfId="679"/>
    <cellStyle name="40% - Accent4 2 2" xfId="680"/>
    <cellStyle name="40% - Accent4 3" xfId="681"/>
    <cellStyle name="40% - Accent4 4" xfId="682"/>
    <cellStyle name="40% - Accent4 5" xfId="683"/>
    <cellStyle name="40% - Accent5 2" xfId="684"/>
    <cellStyle name="40% - Accent5 2 2" xfId="685"/>
    <cellStyle name="40% - Accent5 3" xfId="686"/>
    <cellStyle name="40% - Accent5 4" xfId="687"/>
    <cellStyle name="40% - Accent5 5" xfId="688"/>
    <cellStyle name="40% - Accent6 2" xfId="689"/>
    <cellStyle name="40% - Accent6 2 2" xfId="690"/>
    <cellStyle name="40% - Accent6 3" xfId="691"/>
    <cellStyle name="40% - Accent6 4" xfId="692"/>
    <cellStyle name="40% - Accent6 5" xfId="693"/>
    <cellStyle name="4M" xfId="694"/>
    <cellStyle name="60% - Accent1 2" xfId="695"/>
    <cellStyle name="60% - Accent1 2 2" xfId="696"/>
    <cellStyle name="60% - Accent1 3" xfId="697"/>
    <cellStyle name="60% - Accent1 4" xfId="698"/>
    <cellStyle name="60% - Accent1 5" xfId="699"/>
    <cellStyle name="60% - Accent2 2" xfId="700"/>
    <cellStyle name="60% - Accent2 2 2" xfId="701"/>
    <cellStyle name="60% - Accent2 3" xfId="702"/>
    <cellStyle name="60% - Accent2 4" xfId="703"/>
    <cellStyle name="60% - Accent2 5" xfId="704"/>
    <cellStyle name="60% - Accent3 2" xfId="705"/>
    <cellStyle name="60% - Accent3 2 2" xfId="706"/>
    <cellStyle name="60% - Accent3 3" xfId="707"/>
    <cellStyle name="60% - Accent3 4" xfId="708"/>
    <cellStyle name="60% - Accent3 5" xfId="709"/>
    <cellStyle name="60% - Accent4 2" xfId="710"/>
    <cellStyle name="60% - Accent4 2 2" xfId="711"/>
    <cellStyle name="60% - Accent4 3" xfId="712"/>
    <cellStyle name="60% - Accent4 4" xfId="713"/>
    <cellStyle name="60% - Accent4 5" xfId="714"/>
    <cellStyle name="60% - Accent5 2" xfId="715"/>
    <cellStyle name="60% - Accent5 2 2" xfId="716"/>
    <cellStyle name="60% - Accent5 3" xfId="717"/>
    <cellStyle name="60% - Accent5 4" xfId="718"/>
    <cellStyle name="60% - Accent5 5" xfId="719"/>
    <cellStyle name="60% - Accent6 2" xfId="720"/>
    <cellStyle name="60% - Accent6 2 2" xfId="721"/>
    <cellStyle name="60% - Accent6 3" xfId="722"/>
    <cellStyle name="60% - Accent6 4" xfId="723"/>
    <cellStyle name="60% - Accent6 5" xfId="724"/>
    <cellStyle name="Accent1 - 20%" xfId="725"/>
    <cellStyle name="Accent1 - 20% 2" xfId="726"/>
    <cellStyle name="Accent1 - 40%" xfId="727"/>
    <cellStyle name="Accent1 - 40% 2" xfId="728"/>
    <cellStyle name="Accent1 - 60%" xfId="729"/>
    <cellStyle name="Accent1 - 60% 2" xfId="730"/>
    <cellStyle name="Accent1 10" xfId="731"/>
    <cellStyle name="Accent1 11" xfId="732"/>
    <cellStyle name="Accent1 12" xfId="733"/>
    <cellStyle name="Accent1 13" xfId="734"/>
    <cellStyle name="Accent1 14" xfId="735"/>
    <cellStyle name="Accent1 15" xfId="736"/>
    <cellStyle name="Accent1 16" xfId="737"/>
    <cellStyle name="Accent1 17" xfId="738"/>
    <cellStyle name="Accent1 18" xfId="739"/>
    <cellStyle name="Accent1 19" xfId="740"/>
    <cellStyle name="Accent1 2" xfId="741"/>
    <cellStyle name="Accent1 2 2" xfId="742"/>
    <cellStyle name="Accent1 2 3" xfId="743"/>
    <cellStyle name="Accent1 20" xfId="744"/>
    <cellStyle name="Accent1 21" xfId="745"/>
    <cellStyle name="Accent1 22" xfId="746"/>
    <cellStyle name="Accent1 23" xfId="747"/>
    <cellStyle name="Accent1 24" xfId="748"/>
    <cellStyle name="Accent1 25" xfId="749"/>
    <cellStyle name="Accent1 26" xfId="750"/>
    <cellStyle name="Accent1 27" xfId="751"/>
    <cellStyle name="Accent1 28" xfId="752"/>
    <cellStyle name="Accent1 29" xfId="753"/>
    <cellStyle name="Accent1 3" xfId="754"/>
    <cellStyle name="Accent1 30" xfId="755"/>
    <cellStyle name="Accent1 31" xfId="756"/>
    <cellStyle name="Accent1 4" xfId="757"/>
    <cellStyle name="Accent1 5" xfId="758"/>
    <cellStyle name="Accent1 6" xfId="759"/>
    <cellStyle name="Accent1 7" xfId="760"/>
    <cellStyle name="Accent1 8" xfId="761"/>
    <cellStyle name="Accent1 9" xfId="762"/>
    <cellStyle name="Accent2 - 20%" xfId="763"/>
    <cellStyle name="Accent2 - 20% 2" xfId="764"/>
    <cellStyle name="Accent2 - 40%" xfId="765"/>
    <cellStyle name="Accent2 - 40% 2" xfId="766"/>
    <cellStyle name="Accent2 - 60%" xfId="767"/>
    <cellStyle name="Accent2 - 60% 2" xfId="768"/>
    <cellStyle name="Accent2 10" xfId="769"/>
    <cellStyle name="Accent2 11" xfId="770"/>
    <cellStyle name="Accent2 12" xfId="771"/>
    <cellStyle name="Accent2 13" xfId="772"/>
    <cellStyle name="Accent2 14" xfId="773"/>
    <cellStyle name="Accent2 15" xfId="774"/>
    <cellStyle name="Accent2 16" xfId="775"/>
    <cellStyle name="Accent2 17" xfId="776"/>
    <cellStyle name="Accent2 18" xfId="777"/>
    <cellStyle name="Accent2 19" xfId="778"/>
    <cellStyle name="Accent2 2" xfId="779"/>
    <cellStyle name="Accent2 2 2" xfId="780"/>
    <cellStyle name="Accent2 2 3" xfId="781"/>
    <cellStyle name="Accent2 20" xfId="782"/>
    <cellStyle name="Accent2 21" xfId="783"/>
    <cellStyle name="Accent2 22" xfId="784"/>
    <cellStyle name="Accent2 23" xfId="785"/>
    <cellStyle name="Accent2 24" xfId="786"/>
    <cellStyle name="Accent2 25" xfId="787"/>
    <cellStyle name="Accent2 26" xfId="788"/>
    <cellStyle name="Accent2 27" xfId="789"/>
    <cellStyle name="Accent2 28" xfId="790"/>
    <cellStyle name="Accent2 29" xfId="791"/>
    <cellStyle name="Accent2 3" xfId="792"/>
    <cellStyle name="Accent2 30" xfId="793"/>
    <cellStyle name="Accent2 31" xfId="794"/>
    <cellStyle name="Accent2 4" xfId="795"/>
    <cellStyle name="Accent2 5" xfId="796"/>
    <cellStyle name="Accent2 6" xfId="797"/>
    <cellStyle name="Accent2 7" xfId="798"/>
    <cellStyle name="Accent2 8" xfId="799"/>
    <cellStyle name="Accent2 9" xfId="800"/>
    <cellStyle name="Accent3 - 20%" xfId="801"/>
    <cellStyle name="Accent3 - 20% 2" xfId="802"/>
    <cellStyle name="Accent3 - 40%" xfId="803"/>
    <cellStyle name="Accent3 - 40% 2" xfId="804"/>
    <cellStyle name="Accent3 - 60%" xfId="805"/>
    <cellStyle name="Accent3 - 60% 2" xfId="806"/>
    <cellStyle name="Accent3 10" xfId="807"/>
    <cellStyle name="Accent3 11" xfId="808"/>
    <cellStyle name="Accent3 12" xfId="809"/>
    <cellStyle name="Accent3 13" xfId="810"/>
    <cellStyle name="Accent3 14" xfId="811"/>
    <cellStyle name="Accent3 15" xfId="812"/>
    <cellStyle name="Accent3 16" xfId="813"/>
    <cellStyle name="Accent3 17" xfId="814"/>
    <cellStyle name="Accent3 18" xfId="815"/>
    <cellStyle name="Accent3 19" xfId="816"/>
    <cellStyle name="Accent3 2" xfId="817"/>
    <cellStyle name="Accent3 2 2" xfId="818"/>
    <cellStyle name="Accent3 2 3" xfId="819"/>
    <cellStyle name="Accent3 20" xfId="820"/>
    <cellStyle name="Accent3 21" xfId="821"/>
    <cellStyle name="Accent3 22" xfId="822"/>
    <cellStyle name="Accent3 23" xfId="823"/>
    <cellStyle name="Accent3 24" xfId="824"/>
    <cellStyle name="Accent3 25" xfId="825"/>
    <cellStyle name="Accent3 26" xfId="826"/>
    <cellStyle name="Accent3 27" xfId="827"/>
    <cellStyle name="Accent3 28" xfId="828"/>
    <cellStyle name="Accent3 29" xfId="829"/>
    <cellStyle name="Accent3 3" xfId="830"/>
    <cellStyle name="Accent3 30" xfId="831"/>
    <cellStyle name="Accent3 31" xfId="832"/>
    <cellStyle name="Accent3 4" xfId="833"/>
    <cellStyle name="Accent3 5" xfId="834"/>
    <cellStyle name="Accent3 6" xfId="835"/>
    <cellStyle name="Accent3 7" xfId="836"/>
    <cellStyle name="Accent3 8" xfId="837"/>
    <cellStyle name="Accent3 9" xfId="838"/>
    <cellStyle name="Accent4 - 20%" xfId="839"/>
    <cellStyle name="Accent4 - 20% 2" xfId="840"/>
    <cellStyle name="Accent4 - 40%" xfId="841"/>
    <cellStyle name="Accent4 - 40% 2" xfId="842"/>
    <cellStyle name="Accent4 - 60%" xfId="843"/>
    <cellStyle name="Accent4 - 60% 2" xfId="844"/>
    <cellStyle name="Accent4 10" xfId="845"/>
    <cellStyle name="Accent4 11" xfId="846"/>
    <cellStyle name="Accent4 12" xfId="847"/>
    <cellStyle name="Accent4 13" xfId="848"/>
    <cellStyle name="Accent4 14" xfId="849"/>
    <cellStyle name="Accent4 15" xfId="850"/>
    <cellStyle name="Accent4 16" xfId="851"/>
    <cellStyle name="Accent4 17" xfId="852"/>
    <cellStyle name="Accent4 18" xfId="853"/>
    <cellStyle name="Accent4 19" xfId="854"/>
    <cellStyle name="Accent4 2" xfId="855"/>
    <cellStyle name="Accent4 2 2" xfId="856"/>
    <cellStyle name="Accent4 2 3" xfId="857"/>
    <cellStyle name="Accent4 20" xfId="858"/>
    <cellStyle name="Accent4 21" xfId="859"/>
    <cellStyle name="Accent4 22" xfId="860"/>
    <cellStyle name="Accent4 23" xfId="861"/>
    <cellStyle name="Accent4 24" xfId="862"/>
    <cellStyle name="Accent4 25" xfId="863"/>
    <cellStyle name="Accent4 26" xfId="864"/>
    <cellStyle name="Accent4 27" xfId="865"/>
    <cellStyle name="Accent4 28" xfId="866"/>
    <cellStyle name="Accent4 29" xfId="867"/>
    <cellStyle name="Accent4 3" xfId="868"/>
    <cellStyle name="Accent4 30" xfId="869"/>
    <cellStyle name="Accent4 31" xfId="870"/>
    <cellStyle name="Accent4 4" xfId="871"/>
    <cellStyle name="Accent4 5" xfId="872"/>
    <cellStyle name="Accent4 6" xfId="873"/>
    <cellStyle name="Accent4 7" xfId="874"/>
    <cellStyle name="Accent4 8" xfId="875"/>
    <cellStyle name="Accent4 9" xfId="876"/>
    <cellStyle name="Accent5 - 20%" xfId="877"/>
    <cellStyle name="Accent5 - 20% 2" xfId="878"/>
    <cellStyle name="Accent5 - 40%" xfId="879"/>
    <cellStyle name="Accent5 - 60%" xfId="880"/>
    <cellStyle name="Accent5 - 60% 2" xfId="881"/>
    <cellStyle name="Accent5 10" xfId="882"/>
    <cellStyle name="Accent5 11" xfId="883"/>
    <cellStyle name="Accent5 12" xfId="884"/>
    <cellStyle name="Accent5 13" xfId="885"/>
    <cellStyle name="Accent5 14" xfId="886"/>
    <cellStyle name="Accent5 15" xfId="887"/>
    <cellStyle name="Accent5 16" xfId="888"/>
    <cellStyle name="Accent5 17" xfId="889"/>
    <cellStyle name="Accent5 18" xfId="890"/>
    <cellStyle name="Accent5 19" xfId="891"/>
    <cellStyle name="Accent5 2" xfId="892"/>
    <cellStyle name="Accent5 2 2" xfId="893"/>
    <cellStyle name="Accent5 2 3" xfId="894"/>
    <cellStyle name="Accent5 20" xfId="895"/>
    <cellStyle name="Accent5 21" xfId="896"/>
    <cellStyle name="Accent5 22" xfId="897"/>
    <cellStyle name="Accent5 23" xfId="898"/>
    <cellStyle name="Accent5 24" xfId="899"/>
    <cellStyle name="Accent5 25" xfId="900"/>
    <cellStyle name="Accent5 26" xfId="901"/>
    <cellStyle name="Accent5 27" xfId="902"/>
    <cellStyle name="Accent5 28" xfId="903"/>
    <cellStyle name="Accent5 29" xfId="904"/>
    <cellStyle name="Accent5 3" xfId="905"/>
    <cellStyle name="Accent5 30" xfId="906"/>
    <cellStyle name="Accent5 31" xfId="907"/>
    <cellStyle name="Accent5 4" xfId="908"/>
    <cellStyle name="Accent5 5" xfId="909"/>
    <cellStyle name="Accent5 6" xfId="910"/>
    <cellStyle name="Accent5 7" xfId="911"/>
    <cellStyle name="Accent5 8" xfId="912"/>
    <cellStyle name="Accent5 9" xfId="913"/>
    <cellStyle name="Accent6 - 20%" xfId="914"/>
    <cellStyle name="Accent6 - 40%" xfId="915"/>
    <cellStyle name="Accent6 - 40% 2" xfId="916"/>
    <cellStyle name="Accent6 - 60%" xfId="917"/>
    <cellStyle name="Accent6 - 60% 2" xfId="918"/>
    <cellStyle name="Accent6 10" xfId="919"/>
    <cellStyle name="Accent6 11" xfId="920"/>
    <cellStyle name="Accent6 12" xfId="921"/>
    <cellStyle name="Accent6 13" xfId="922"/>
    <cellStyle name="Accent6 14" xfId="923"/>
    <cellStyle name="Accent6 15" xfId="924"/>
    <cellStyle name="Accent6 16" xfId="925"/>
    <cellStyle name="Accent6 17" xfId="926"/>
    <cellStyle name="Accent6 18" xfId="927"/>
    <cellStyle name="Accent6 19" xfId="928"/>
    <cellStyle name="Accent6 2" xfId="929"/>
    <cellStyle name="Accent6 2 2" xfId="930"/>
    <cellStyle name="Accent6 2 3" xfId="931"/>
    <cellStyle name="Accent6 20" xfId="932"/>
    <cellStyle name="Accent6 21" xfId="933"/>
    <cellStyle name="Accent6 22" xfId="934"/>
    <cellStyle name="Accent6 23" xfId="935"/>
    <cellStyle name="Accent6 24" xfId="936"/>
    <cellStyle name="Accent6 25" xfId="937"/>
    <cellStyle name="Accent6 26" xfId="938"/>
    <cellStyle name="Accent6 27" xfId="939"/>
    <cellStyle name="Accent6 28" xfId="940"/>
    <cellStyle name="Accent6 29" xfId="941"/>
    <cellStyle name="Accent6 3" xfId="942"/>
    <cellStyle name="Accent6 30" xfId="943"/>
    <cellStyle name="Accent6 31" xfId="944"/>
    <cellStyle name="Accent6 4" xfId="945"/>
    <cellStyle name="Accent6 5" xfId="946"/>
    <cellStyle name="Accent6 6" xfId="947"/>
    <cellStyle name="Accent6 7" xfId="948"/>
    <cellStyle name="Accent6 8" xfId="949"/>
    <cellStyle name="Accent6 9" xfId="950"/>
    <cellStyle name="Actual" xfId="951"/>
    <cellStyle name="Actual Date" xfId="952"/>
    <cellStyle name="Actual Date 2" xfId="953"/>
    <cellStyle name="Adjustable" xfId="954"/>
    <cellStyle name="adjusted" xfId="955"/>
    <cellStyle name="ag" xfId="956"/>
    <cellStyle name="Arial 10" xfId="957"/>
    <cellStyle name="Arial 12" xfId="958"/>
    <cellStyle name="Arial Narrow" xfId="959"/>
    <cellStyle name="Arial Narrow 2" xfId="960"/>
    <cellStyle name="Arial Narrow_IT BUF v20" xfId="961"/>
    <cellStyle name="assumption 1" xfId="962"/>
    <cellStyle name="Assumption 3" xfId="963"/>
    <cellStyle name="Auto" xfId="964"/>
    <cellStyle name="AutoFormat Options" xfId="965"/>
    <cellStyle name="b" xfId="966"/>
    <cellStyle name="Bad 2" xfId="967"/>
    <cellStyle name="Bad 2 2" xfId="968"/>
    <cellStyle name="Bad 2 3" xfId="969"/>
    <cellStyle name="Bad 3" xfId="970"/>
    <cellStyle name="Bad 4" xfId="971"/>
    <cellStyle name="Bad 5" xfId="972"/>
    <cellStyle name="BeckhamGreen" xfId="973"/>
    <cellStyle name="bl" xfId="974"/>
    <cellStyle name="blank" xfId="975"/>
    <cellStyle name="blank 2" xfId="976"/>
    <cellStyle name="blank 3" xfId="977"/>
    <cellStyle name="Blue" xfId="978"/>
    <cellStyle name="BM Heading" xfId="979"/>
    <cellStyle name="BM Heading 2" xfId="980"/>
    <cellStyle name="BM Heading_IT BUF v20" xfId="981"/>
    <cellStyle name="BM Input" xfId="982"/>
    <cellStyle name="BM Input 2" xfId="983"/>
    <cellStyle name="BM Input 3" xfId="984"/>
    <cellStyle name="BM Input_IT BUF v20" xfId="985"/>
    <cellStyle name="BM Label" xfId="986"/>
    <cellStyle name="BM Label 2" xfId="987"/>
    <cellStyle name="BM Label_IT BUF v20" xfId="988"/>
    <cellStyle name="BM Standard" xfId="989"/>
    <cellStyle name="BMInput" xfId="990"/>
    <cellStyle name="BMRangeName" xfId="991"/>
    <cellStyle name="Border All White" xfId="992"/>
    <cellStyle name="Border Bottom Grey" xfId="993"/>
    <cellStyle name="Border Bottom White" xfId="994"/>
    <cellStyle name="Border Right Grey" xfId="995"/>
    <cellStyle name="Border Thin" xfId="996"/>
    <cellStyle name="Border Top&amp;Bottom Grey" xfId="997"/>
    <cellStyle name="British Pound" xfId="998"/>
    <cellStyle name="c" xfId="999"/>
    <cellStyle name="C:\Data\MS\Excel" xfId="1000"/>
    <cellStyle name="Calc Currency (0)" xfId="1001"/>
    <cellStyle name="Calc Currency (2)" xfId="1002"/>
    <cellStyle name="Calc Currency (2) 2" xfId="1003"/>
    <cellStyle name="Calc Currency (2)_IT BUF v20" xfId="1004"/>
    <cellStyle name="Calc Percent (0)" xfId="1005"/>
    <cellStyle name="Calc Percent (0) 2" xfId="1006"/>
    <cellStyle name="Calc Percent (0)_IT BUF v20" xfId="1007"/>
    <cellStyle name="Calc Percent (1)" xfId="1008"/>
    <cellStyle name="Calc Percent (1) 2" xfId="1009"/>
    <cellStyle name="Calc Percent (1)_IT BUF v20" xfId="1010"/>
    <cellStyle name="Calc Percent (2)" xfId="1011"/>
    <cellStyle name="Calc Percent (2) 2" xfId="1012"/>
    <cellStyle name="Calc Percent (2)_IT BUF v20" xfId="1013"/>
    <cellStyle name="Calc Units (0)" xfId="1014"/>
    <cellStyle name="Calc Units (1)" xfId="1015"/>
    <cellStyle name="Calc Units (1) 2" xfId="1016"/>
    <cellStyle name="Calc Units (1) 3" xfId="1017"/>
    <cellStyle name="Calc Units (1)_IT BUF v20" xfId="1018"/>
    <cellStyle name="Calc Units (2)" xfId="1019"/>
    <cellStyle name="Calc Units (2) 2" xfId="1020"/>
    <cellStyle name="Calc Units (2)_IT BUF v20" xfId="1021"/>
    <cellStyle name="Calc_AUD" xfId="1022"/>
    <cellStyle name="Calculation 2" xfId="56"/>
    <cellStyle name="Calculation 2 2" xfId="1023"/>
    <cellStyle name="Calculation 2 3" xfId="1024"/>
    <cellStyle name="Calculation 3" xfId="1025"/>
    <cellStyle name="Calculation 4" xfId="1026"/>
    <cellStyle name="Calculation 5" xfId="1027"/>
    <cellStyle name="Case" xfId="1028"/>
    <cellStyle name="Category" xfId="1029"/>
    <cellStyle name="Category 2" xfId="1030"/>
    <cellStyle name="Category 3" xfId="1031"/>
    <cellStyle name="Category_IT BUF v20" xfId="1032"/>
    <cellStyle name="Check" xfId="14"/>
    <cellStyle name="Check 2" xfId="1033"/>
    <cellStyle name="Check Cell 2" xfId="1034"/>
    <cellStyle name="Check Cell 2 2" xfId="1035"/>
    <cellStyle name="Check Cell 2 3" xfId="1036"/>
    <cellStyle name="Check Cell 3" xfId="1037"/>
    <cellStyle name="Check Cell 4" xfId="1038"/>
    <cellStyle name="Check Cell 5" xfId="1039"/>
    <cellStyle name="CheckSimple" xfId="15"/>
    <cellStyle name="Co. Names" xfId="1040"/>
    <cellStyle name="Co. Names - Bold" xfId="1041"/>
    <cellStyle name="Co. Names_add-on" xfId="1042"/>
    <cellStyle name="co_name" xfId="1043"/>
    <cellStyle name="Comma  - Style1" xfId="1044"/>
    <cellStyle name="Comma  - Style2" xfId="1045"/>
    <cellStyle name="Comma  - Style3" xfId="1046"/>
    <cellStyle name="Comma  - Style4" xfId="1047"/>
    <cellStyle name="Comma  - Style5" xfId="1048"/>
    <cellStyle name="Comma  - Style6" xfId="1049"/>
    <cellStyle name="Comma  - Style7" xfId="1050"/>
    <cellStyle name="Comma  - Style8" xfId="1051"/>
    <cellStyle name="Comma [0] 2" xfId="1052"/>
    <cellStyle name="Comma [00]" xfId="1053"/>
    <cellStyle name="Comma [1]" xfId="1054"/>
    <cellStyle name="Comma [2]" xfId="1055"/>
    <cellStyle name="Comma 0" xfId="1056"/>
    <cellStyle name="Comma 0 [0]" xfId="1057"/>
    <cellStyle name="Comma 0*" xfId="1058"/>
    <cellStyle name="Comma 0_Atel_TablesforSlides" xfId="1059"/>
    <cellStyle name="Comma 2" xfId="16"/>
    <cellStyle name="Comma 2 2" xfId="1060"/>
    <cellStyle name="Comma 2 3" xfId="1061"/>
    <cellStyle name="Comma 2*" xfId="1062"/>
    <cellStyle name="Comma 2_Citigroup Global valuation 17 Oct 05" xfId="1063"/>
    <cellStyle name="Comma 3" xfId="1064"/>
    <cellStyle name="Comma 3 2" xfId="1065"/>
    <cellStyle name="Comma 3 3" xfId="1066"/>
    <cellStyle name="Comma 3*" xfId="1067"/>
    <cellStyle name="Comma 4" xfId="1068"/>
    <cellStyle name="Comma 4 2" xfId="1069"/>
    <cellStyle name="Comma 5" xfId="1070"/>
    <cellStyle name="Comma*" xfId="1071"/>
    <cellStyle name="Comma0" xfId="1072"/>
    <cellStyle name="Comma1" xfId="1073"/>
    <cellStyle name="Comma2" xfId="1074"/>
    <cellStyle name="commadash" xfId="1075"/>
    <cellStyle name="Constant" xfId="1076"/>
    <cellStyle name="Constant 2" xfId="1077"/>
    <cellStyle name="Constant 3" xfId="1078"/>
    <cellStyle name="Constant_IT BUF v20" xfId="1079"/>
    <cellStyle name="Cover Date" xfId="1080"/>
    <cellStyle name="Cover Subtitle" xfId="1081"/>
    <cellStyle name="Cover Title" xfId="1082"/>
    <cellStyle name="CRL" xfId="1083"/>
    <cellStyle name="CRLBlocked" xfId="1084"/>
    <cellStyle name="CRLBlocked 2" xfId="1085"/>
    <cellStyle name="CRLBlocked 2 2" xfId="1086"/>
    <cellStyle name="CRLBlocked 3" xfId="1087"/>
    <cellStyle name="CRLBlocked 4" xfId="1088"/>
    <cellStyle name="CRLBlocked_CentralDetail" xfId="1089"/>
    <cellStyle name="CRLCallUp" xfId="1090"/>
    <cellStyle name="CRLCallUp 2" xfId="1091"/>
    <cellStyle name="CRLCallUp 3" xfId="1092"/>
    <cellStyle name="CRLCallUp_Sheet3" xfId="1093"/>
    <cellStyle name="CRLCheck" xfId="1094"/>
    <cellStyle name="CRLCheck 2" xfId="1095"/>
    <cellStyle name="CRLCheck 3" xfId="1096"/>
    <cellStyle name="CRLCheck_Sheet3" xfId="1097"/>
    <cellStyle name="CRLDate" xfId="1098"/>
    <cellStyle name="CRLDate 2" xfId="1099"/>
    <cellStyle name="CRLDate 3" xfId="1100"/>
    <cellStyle name="CRLDate_CentralDetail" xfId="1101"/>
    <cellStyle name="CRLDeviant" xfId="1102"/>
    <cellStyle name="CRLFlag" xfId="1103"/>
    <cellStyle name="CRLFlag 2" xfId="1104"/>
    <cellStyle name="CRLFlag 2 2" xfId="1105"/>
    <cellStyle name="CRLFlag 3" xfId="1106"/>
    <cellStyle name="CRLFlag_IT_Q1_v001" xfId="1107"/>
    <cellStyle name="CRLHeader1" xfId="1108"/>
    <cellStyle name="CRLHeader1 2" xfId="1109"/>
    <cellStyle name="CRLHeader1 2 2" xfId="1110"/>
    <cellStyle name="CRLHeader1 3" xfId="1111"/>
    <cellStyle name="CRLHeader1_Sheet3" xfId="1112"/>
    <cellStyle name="CRLHeader2" xfId="1113"/>
    <cellStyle name="CRLHeader2 2" xfId="1114"/>
    <cellStyle name="CRLHeader2 2 2" xfId="1115"/>
    <cellStyle name="CRLHeader2 3" xfId="1116"/>
    <cellStyle name="CRLHeader2_IT_Q1_v001" xfId="1117"/>
    <cellStyle name="CRLHeader3" xfId="1118"/>
    <cellStyle name="CRLHeader3 2" xfId="1119"/>
    <cellStyle name="CRLHeader3 2 2" xfId="1120"/>
    <cellStyle name="CRLHeader3 3" xfId="1121"/>
    <cellStyle name="CRLHeader3 4" xfId="1122"/>
    <cellStyle name="CRLHeader3_CentralDetail" xfId="1123"/>
    <cellStyle name="CRLInputDate" xfId="1124"/>
    <cellStyle name="CRLInputDate 2" xfId="1125"/>
    <cellStyle name="CRLInputDate 2 2" xfId="1126"/>
    <cellStyle name="CRLInputDate 3" xfId="1127"/>
    <cellStyle name="CRLInputDate_FTE Budget" xfId="1128"/>
    <cellStyle name="CRLInputPercent" xfId="1129"/>
    <cellStyle name="CRLInputPercent 2" xfId="1130"/>
    <cellStyle name="CRLInputPercent 2 2" xfId="1131"/>
    <cellStyle name="CRLInputPercent 3" xfId="1132"/>
    <cellStyle name="CRLInputPercent_FTE Budget" xfId="1133"/>
    <cellStyle name="CRLInputValue" xfId="1134"/>
    <cellStyle name="CRLInputValue 2" xfId="1135"/>
    <cellStyle name="CRLInputValue 2 2" xfId="1136"/>
    <cellStyle name="CRLInputValue 3" xfId="1137"/>
    <cellStyle name="CRLInputValue_Finance Budget" xfId="1138"/>
    <cellStyle name="CRLNormal" xfId="1139"/>
    <cellStyle name="CRLNormal 2" xfId="1140"/>
    <cellStyle name="CRLNormal 3" xfId="1141"/>
    <cellStyle name="CRLNormal_CC" xfId="1142"/>
    <cellStyle name="CRLPercent" xfId="1143"/>
    <cellStyle name="CRLPercent 2" xfId="1144"/>
    <cellStyle name="CRLPercent 2 2" xfId="1145"/>
    <cellStyle name="CRLPercent 3" xfId="1146"/>
    <cellStyle name="CRLPercent 4" xfId="1147"/>
    <cellStyle name="CRLPercent_CC" xfId="1148"/>
    <cellStyle name="CRLSubTotal" xfId="1149"/>
    <cellStyle name="CRLSubTotal 2" xfId="1150"/>
    <cellStyle name="CRLSubTotal 3" xfId="1151"/>
    <cellStyle name="CRLSubTotal_FTE Budget" xfId="1152"/>
    <cellStyle name="CRLText" xfId="1153"/>
    <cellStyle name="CRLText 2" xfId="1154"/>
    <cellStyle name="CRLText 3" xfId="1155"/>
    <cellStyle name="CRLText_CentralDetail" xfId="1156"/>
    <cellStyle name="CRLTotal" xfId="1157"/>
    <cellStyle name="CRLTotal 2" xfId="1158"/>
    <cellStyle name="CRLTotal 3" xfId="1159"/>
    <cellStyle name="CRLTotal_FTE Budget" xfId="1160"/>
    <cellStyle name="CRLWIP" xfId="1161"/>
    <cellStyle name="CRLWIP 2" xfId="1162"/>
    <cellStyle name="CRLWIP 2 2" xfId="1163"/>
    <cellStyle name="CRLWIP 3" xfId="1164"/>
    <cellStyle name="CRLWIP 4" xfId="1165"/>
    <cellStyle name="CRLWIP_CentralDetail" xfId="1166"/>
    <cellStyle name="cu" xfId="1167"/>
    <cellStyle name="Currency ($)" xfId="1168"/>
    <cellStyle name="Currency (£)" xfId="1169"/>
    <cellStyle name="Currency [0] U" xfId="1170"/>
    <cellStyle name="Currency [00]" xfId="1171"/>
    <cellStyle name="Currency [00] 2" xfId="1172"/>
    <cellStyle name="Currency [1]" xfId="1173"/>
    <cellStyle name="Currency [2]" xfId="1174"/>
    <cellStyle name="Currency [2] U" xfId="1175"/>
    <cellStyle name="Currency [2]_Inexus Valuation outputs" xfId="1176"/>
    <cellStyle name="Currency 0" xfId="1177"/>
    <cellStyle name="Currency 2" xfId="17"/>
    <cellStyle name="Currency 2 2" xfId="1178"/>
    <cellStyle name="Currency 2*" xfId="1179"/>
    <cellStyle name="Currency 2_CentralDetail" xfId="1180"/>
    <cellStyle name="Currency*" xfId="1181"/>
    <cellStyle name="Currency0" xfId="1182"/>
    <cellStyle name="Currency2" xfId="1183"/>
    <cellStyle name="Custom" xfId="1184"/>
    <cellStyle name="d" xfId="1185"/>
    <cellStyle name="Dark blue heading" xfId="1186"/>
    <cellStyle name="Database cell" xfId="1187"/>
    <cellStyle name="Database code 2" xfId="1188"/>
    <cellStyle name="Date" xfId="1189"/>
    <cellStyle name="Date Aligned" xfId="1190"/>
    <cellStyle name="Date Aligned*" xfId="1191"/>
    <cellStyle name="Date Aligned_Citigroup Global valuation 17 Oct 05" xfId="1192"/>
    <cellStyle name="Date Short" xfId="1193"/>
    <cellStyle name="Date U" xfId="1194"/>
    <cellStyle name="DateHeader" xfId="1195"/>
    <cellStyle name="DateInput" xfId="1196"/>
    <cellStyle name="dateline" xfId="1197"/>
    <cellStyle name="DateLong" xfId="1198"/>
    <cellStyle name="DateShort" xfId="1199"/>
    <cellStyle name="Day" xfId="1200"/>
    <cellStyle name="Dec_0" xfId="1201"/>
    <cellStyle name="Decimal [0]" xfId="1202"/>
    <cellStyle name="Decimal [2]" xfId="1203"/>
    <cellStyle name="Decimal [2] U" xfId="1204"/>
    <cellStyle name="Decimal [4]" xfId="1205"/>
    <cellStyle name="Decimal [4] U" xfId="1206"/>
    <cellStyle name="Decimal_Zero" xfId="1207"/>
    <cellStyle name="Decision" xfId="1208"/>
    <cellStyle name="Decision 2" xfId="1209"/>
    <cellStyle name="Decision_Budget from Shez" xfId="1210"/>
    <cellStyle name="DefinedName" xfId="18"/>
    <cellStyle name="DefinedName 2" xfId="1211"/>
    <cellStyle name="DefinedName_IT BUF v20" xfId="1212"/>
    <cellStyle name="deletion" xfId="1213"/>
    <cellStyle name="Delta" xfId="1214"/>
    <cellStyle name="Description1" xfId="1215"/>
    <cellStyle name="Dezimal [0]_laroux" xfId="1216"/>
    <cellStyle name="Dezimal_BLUE" xfId="1217"/>
    <cellStyle name="Disabled" xfId="1218"/>
    <cellStyle name="DistributionType" xfId="1219"/>
    <cellStyle name="DistributionType 2" xfId="1220"/>
    <cellStyle name="DistributionType_Budget from Shez" xfId="1221"/>
    <cellStyle name="Dollars" xfId="1222"/>
    <cellStyle name="Dotted Line" xfId="1223"/>
    <cellStyle name="Double Accounting" xfId="1224"/>
    <cellStyle name="Download" xfId="1225"/>
    <cellStyle name="DropDown" xfId="19"/>
    <cellStyle name="DropDown(p)" xfId="1226"/>
    <cellStyle name="DropDown_Extract Cross Rail with TRIOLE (2)" xfId="1227"/>
    <cellStyle name="DropDownOptional" xfId="1228"/>
    <cellStyle name="Emphasis 1" xfId="1229"/>
    <cellStyle name="Emphasis 1 2" xfId="1230"/>
    <cellStyle name="Emphasis 2" xfId="1231"/>
    <cellStyle name="Emphasis 2 2" xfId="1232"/>
    <cellStyle name="Emphasis 3" xfId="1233"/>
    <cellStyle name="Enter Currency (0)" xfId="1234"/>
    <cellStyle name="Enter Currency (2)" xfId="1235"/>
    <cellStyle name="Enter Currency (2) 2" xfId="1236"/>
    <cellStyle name="Enter Currency (2)_IT BUF v20" xfId="1237"/>
    <cellStyle name="Enter Units (0)" xfId="1238"/>
    <cellStyle name="Enter Units (1)" xfId="1239"/>
    <cellStyle name="Enter Units (1) 2" xfId="1240"/>
    <cellStyle name="Enter Units (1) 3" xfId="1241"/>
    <cellStyle name="Enter Units (1)_IT BUF v20" xfId="1242"/>
    <cellStyle name="Enter Units (2)" xfId="1243"/>
    <cellStyle name="Enter Units (2) 2" xfId="1244"/>
    <cellStyle name="Enter Units (2)_IT BUF v20" xfId="1245"/>
    <cellStyle name="Entry" xfId="1246"/>
    <cellStyle name="ErrorCheck" xfId="1247"/>
    <cellStyle name="Euro" xfId="20"/>
    <cellStyle name="Euro 2" xfId="1248"/>
    <cellStyle name="Euro 3" xfId="1249"/>
    <cellStyle name="Euro 4" xfId="1250"/>
    <cellStyle name="Euro_CentralDetail" xfId="1251"/>
    <cellStyle name="ExchRate" xfId="1252"/>
    <cellStyle name="Explanatory Text 2" xfId="1253"/>
    <cellStyle name="Explanatory Text 2 2" xfId="1254"/>
    <cellStyle name="Explanatory Text 3" xfId="1255"/>
    <cellStyle name="Explanatory Text 4" xfId="1256"/>
    <cellStyle name="Explanatory Text 5" xfId="1257"/>
    <cellStyle name="External" xfId="21"/>
    <cellStyle name="External 2" xfId="1258"/>
    <cellStyle name="External 3" xfId="1259"/>
    <cellStyle name="External_IT BUF v20" xfId="1260"/>
    <cellStyle name="EYCallUp" xfId="22"/>
    <cellStyle name="EYHeader2" xfId="23"/>
    <cellStyle name="EYInputDate" xfId="24"/>
    <cellStyle name="EYInputPercent" xfId="25"/>
    <cellStyle name="EYInputValue" xfId="26"/>
    <cellStyle name="EYNormal" xfId="27"/>
    <cellStyle name="Factor" xfId="1261"/>
    <cellStyle name="file" xfId="1262"/>
    <cellStyle name="Financial" xfId="1263"/>
    <cellStyle name="FinClose" xfId="1264"/>
    <cellStyle name="Fixed" xfId="1265"/>
    <cellStyle name="Footer SBILogo1" xfId="1266"/>
    <cellStyle name="Footer SBILogo2" xfId="1267"/>
    <cellStyle name="Footnote" xfId="1268"/>
    <cellStyle name="Footnote Reference" xfId="1269"/>
    <cellStyle name="Footnote_Callide" xfId="1270"/>
    <cellStyle name="Footnotes" xfId="1271"/>
    <cellStyle name="Forecast" xfId="1272"/>
    <cellStyle name="ForecastData" xfId="1273"/>
    <cellStyle name="form" xfId="1274"/>
    <cellStyle name="form 2" xfId="1275"/>
    <cellStyle name="form 3" xfId="1276"/>
    <cellStyle name="form_IT BUF v20" xfId="1277"/>
    <cellStyle name="Formula" xfId="28"/>
    <cellStyle name="Formula 2" xfId="1278"/>
    <cellStyle name="Formula 3" xfId="1279"/>
    <cellStyle name="Formula_IT BUF v20" xfId="1280"/>
    <cellStyle name="FS_Zero" xfId="1281"/>
    <cellStyle name="FS-Hist_Zero" xfId="1282"/>
    <cellStyle name="General" xfId="1283"/>
    <cellStyle name="General 2" xfId="1284"/>
    <cellStyle name="General Calc" xfId="1285"/>
    <cellStyle name="Good 2" xfId="1286"/>
    <cellStyle name="Good 2 2" xfId="1287"/>
    <cellStyle name="Good 2 3" xfId="1288"/>
    <cellStyle name="Good 3" xfId="1289"/>
    <cellStyle name="Good 4" xfId="1290"/>
    <cellStyle name="Good 5" xfId="1291"/>
    <cellStyle name="Green" xfId="1292"/>
    <cellStyle name="Grey" xfId="1293"/>
    <cellStyle name="GroupHeader" xfId="1294"/>
    <cellStyle name="Growth" xfId="1295"/>
    <cellStyle name="Growth Factor" xfId="1296"/>
    <cellStyle name="hard no." xfId="1297"/>
    <cellStyle name="Hard Percent" xfId="1298"/>
    <cellStyle name="Hash Out" xfId="1299"/>
    <cellStyle name="Header" xfId="1300"/>
    <cellStyle name="Header 2" xfId="1301"/>
    <cellStyle name="Header Draft Stamp" xfId="1302"/>
    <cellStyle name="Header Price 2" xfId="1303"/>
    <cellStyle name="Header_Atel_TablesforSlides" xfId="1304"/>
    <cellStyle name="Header1" xfId="1305"/>
    <cellStyle name="Header2" xfId="1306"/>
    <cellStyle name="heading" xfId="1307"/>
    <cellStyle name="Heading 1 2" xfId="1308"/>
    <cellStyle name="Heading 1 2 2" xfId="1309"/>
    <cellStyle name="Heading 1 3" xfId="1310"/>
    <cellStyle name="Heading 1 4" xfId="1311"/>
    <cellStyle name="Heading 1 Above" xfId="1312"/>
    <cellStyle name="Heading 1+" xfId="1313"/>
    <cellStyle name="Heading 2 2" xfId="1314"/>
    <cellStyle name="Heading 2 2 2" xfId="1315"/>
    <cellStyle name="Heading 2 3" xfId="1316"/>
    <cellStyle name="Heading 2 4" xfId="1317"/>
    <cellStyle name="Heading 2+" xfId="1318"/>
    <cellStyle name="Heading 3 2" xfId="1319"/>
    <cellStyle name="Heading 3 2 2" xfId="1320"/>
    <cellStyle name="Heading 3 3" xfId="1321"/>
    <cellStyle name="Heading 3 4" xfId="1322"/>
    <cellStyle name="Heading 4 2" xfId="1323"/>
    <cellStyle name="Heading 4 2 2" xfId="1324"/>
    <cellStyle name="Heading 4 3" xfId="1325"/>
    <cellStyle name="Heading 4 4" xfId="1326"/>
    <cellStyle name="Heading3" xfId="1327"/>
    <cellStyle name="HeadingBU" xfId="1328"/>
    <cellStyle name="Helv 8" xfId="1329"/>
    <cellStyle name="Hidden" xfId="1330"/>
    <cellStyle name="hlv14B" xfId="1331"/>
    <cellStyle name="Horizontal" xfId="1332"/>
    <cellStyle name="Hyperlink" xfId="51" builtinId="8"/>
    <cellStyle name="Hyperlink 2" xfId="53"/>
    <cellStyle name="Input [yellow]" xfId="1333"/>
    <cellStyle name="Input 10" xfId="1334"/>
    <cellStyle name="Input 11" xfId="1335"/>
    <cellStyle name="Input 12" xfId="1336"/>
    <cellStyle name="Input 13" xfId="1337"/>
    <cellStyle name="Input 14" xfId="1338"/>
    <cellStyle name="Input 15" xfId="1339"/>
    <cellStyle name="Input 16" xfId="1340"/>
    <cellStyle name="Input 17" xfId="1341"/>
    <cellStyle name="Input 18" xfId="1342"/>
    <cellStyle name="Input 19" xfId="1343"/>
    <cellStyle name="Input 2" xfId="29"/>
    <cellStyle name="Input 2 2" xfId="1344"/>
    <cellStyle name="Input 2 3" xfId="1345"/>
    <cellStyle name="Input 2 3 2" xfId="1346"/>
    <cellStyle name="Input 2_CentralDetail" xfId="1347"/>
    <cellStyle name="Input 20" xfId="1348"/>
    <cellStyle name="Input 21" xfId="1349"/>
    <cellStyle name="Input 22" xfId="1350"/>
    <cellStyle name="Input 23" xfId="1351"/>
    <cellStyle name="Input 24" xfId="1352"/>
    <cellStyle name="Input 25" xfId="1353"/>
    <cellStyle name="Input 26" xfId="1354"/>
    <cellStyle name="Input 27" xfId="1355"/>
    <cellStyle name="Input 28" xfId="1356"/>
    <cellStyle name="Input 29" xfId="1357"/>
    <cellStyle name="Input 3" xfId="30"/>
    <cellStyle name="Input 3 2" xfId="1358"/>
    <cellStyle name="Input 3_CentralDetail" xfId="1359"/>
    <cellStyle name="Input 30" xfId="1360"/>
    <cellStyle name="Input 31" xfId="1361"/>
    <cellStyle name="Input 4" xfId="31"/>
    <cellStyle name="Input 4 2" xfId="1362"/>
    <cellStyle name="Input 4_CentralDetail" xfId="1363"/>
    <cellStyle name="Input 5" xfId="32"/>
    <cellStyle name="Input 5 2" xfId="1364"/>
    <cellStyle name="Input 5_CentralDetail" xfId="1365"/>
    <cellStyle name="Input 6" xfId="1366"/>
    <cellStyle name="Input 7" xfId="1367"/>
    <cellStyle name="Input 8" xfId="1368"/>
    <cellStyle name="Input 9" xfId="1369"/>
    <cellStyle name="Input(p)" xfId="1370"/>
    <cellStyle name="Input(p) 2" xfId="1371"/>
    <cellStyle name="Input(p)_IT BUF v20" xfId="1372"/>
    <cellStyle name="InputOptional" xfId="33"/>
    <cellStyle name="InputOptional 2" xfId="1373"/>
    <cellStyle name="InputOptional 3" xfId="1374"/>
    <cellStyle name="InputOptional_IT BUF v20" xfId="1375"/>
    <cellStyle name="jy" xfId="1376"/>
    <cellStyle name="KPMG Heading 1" xfId="1377"/>
    <cellStyle name="KPMG Heading 2" xfId="1378"/>
    <cellStyle name="KPMG Heading 3" xfId="1379"/>
    <cellStyle name="KPMG Heading 4" xfId="1380"/>
    <cellStyle name="KPMG Normal" xfId="1381"/>
    <cellStyle name="KPMG Normal Text" xfId="1382"/>
    <cellStyle name="Large Page Heading" xfId="1383"/>
    <cellStyle name="lebz" xfId="1384"/>
    <cellStyle name="Light grey heading" xfId="1385"/>
    <cellStyle name="Link Currency (0)" xfId="1386"/>
    <cellStyle name="Link Currency (2)" xfId="1387"/>
    <cellStyle name="Link Currency (2) 2" xfId="1388"/>
    <cellStyle name="Link Currency (2)_IT BUF v20" xfId="1389"/>
    <cellStyle name="Link Units (0)" xfId="1390"/>
    <cellStyle name="Link Units (1)" xfId="1391"/>
    <cellStyle name="Link Units (1) 2" xfId="1392"/>
    <cellStyle name="Link Units (1) 3" xfId="1393"/>
    <cellStyle name="Link Units (1)_IT BUF v20" xfId="1394"/>
    <cellStyle name="Link Units (2)" xfId="1395"/>
    <cellStyle name="Link Units (2) 2" xfId="1396"/>
    <cellStyle name="Link Units (2)_IT BUF v20" xfId="1397"/>
    <cellStyle name="Linked Cell 2" xfId="1398"/>
    <cellStyle name="Linked Cell 2 2" xfId="1399"/>
    <cellStyle name="Linked Cell 2 3" xfId="1400"/>
    <cellStyle name="Linked Cell 3" xfId="1401"/>
    <cellStyle name="Linked Cell 4" xfId="1402"/>
    <cellStyle name="Linked Cell 5" xfId="1403"/>
    <cellStyle name="Mainline" xfId="1404"/>
    <cellStyle name="Matrix" xfId="1405"/>
    <cellStyle name="MaxTimeThis" xfId="1406"/>
    <cellStyle name="MaxTimeThis 2" xfId="1407"/>
    <cellStyle name="MaxTimeThis 3" xfId="1408"/>
    <cellStyle name="MaxTimeThis_IT BUF v20" xfId="1409"/>
    <cellStyle name="mBtu(Red)" xfId="1410"/>
    <cellStyle name="Millares [0]_2AV_M_M " xfId="1411"/>
    <cellStyle name="Millares_2AV_M_M " xfId="1412"/>
    <cellStyle name="Milliers [0]_Flo LBO" xfId="1413"/>
    <cellStyle name="Milliers_Flo LBO" xfId="1414"/>
    <cellStyle name="Millions 1 DP" xfId="1415"/>
    <cellStyle name="Millions 1 DP 2" xfId="1416"/>
    <cellStyle name="Millions 1 DP 3" xfId="1417"/>
    <cellStyle name="millions_format" xfId="1418"/>
    <cellStyle name="MLPercent0" xfId="1419"/>
    <cellStyle name="ModelHeading" xfId="58"/>
    <cellStyle name="ModelStages" xfId="59"/>
    <cellStyle name="ModelText1" xfId="54"/>
    <cellStyle name="Moneda [0]_2AV_M_M " xfId="1420"/>
    <cellStyle name="Moneda_2AV_M_M " xfId="1421"/>
    <cellStyle name="Monétaire [0]_PERSONAL" xfId="1422"/>
    <cellStyle name="Monétaire_PERSONAL" xfId="1423"/>
    <cellStyle name="Neutral 2" xfId="1424"/>
    <cellStyle name="Neutral 2 2" xfId="1425"/>
    <cellStyle name="Neutral 2 3" xfId="1426"/>
    <cellStyle name="Neutral 3" xfId="1427"/>
    <cellStyle name="Neutral 4" xfId="1428"/>
    <cellStyle name="Neutral 5" xfId="1429"/>
    <cellStyle name="NonPrint_Heading" xfId="1430"/>
    <cellStyle name="Nor}al" xfId="1431"/>
    <cellStyle name="Normal" xfId="0" builtinId="0"/>
    <cellStyle name="Normal - Style1" xfId="1432"/>
    <cellStyle name="Normal (%)" xfId="1433"/>
    <cellStyle name="Normal (£m)" xfId="1434"/>
    <cellStyle name="Normal (x)" xfId="1435"/>
    <cellStyle name="Normal 10" xfId="1436"/>
    <cellStyle name="Normal 11" xfId="1437"/>
    <cellStyle name="Normal 12" xfId="1438"/>
    <cellStyle name="Normal 13" xfId="1439"/>
    <cellStyle name="Normal 14" xfId="1440"/>
    <cellStyle name="Normal 15" xfId="1441"/>
    <cellStyle name="Normal 16" xfId="1442"/>
    <cellStyle name="Normal 17" xfId="1443"/>
    <cellStyle name="Normal 18" xfId="1444"/>
    <cellStyle name="Normal 19" xfId="1445"/>
    <cellStyle name="Normal 2" xfId="2"/>
    <cellStyle name="Normal 2 2" xfId="34"/>
    <cellStyle name="Normal 2 2 2" xfId="1446"/>
    <cellStyle name="Normal 2 3" xfId="1447"/>
    <cellStyle name="Normal 2 4" xfId="1448"/>
    <cellStyle name="Normal 2 4 2" xfId="1449"/>
    <cellStyle name="Normal 2_Book3" xfId="35"/>
    <cellStyle name="Normal 20" xfId="1450"/>
    <cellStyle name="Normal 21" xfId="1451"/>
    <cellStyle name="Normal 22" xfId="1452"/>
    <cellStyle name="Normal 23" xfId="1453"/>
    <cellStyle name="Normal 24" xfId="1454"/>
    <cellStyle name="Normal 25" xfId="1455"/>
    <cellStyle name="Normal 26" xfId="1456"/>
    <cellStyle name="Normal 27" xfId="1457"/>
    <cellStyle name="Normal 28" xfId="1458"/>
    <cellStyle name="Normal 29" xfId="1459"/>
    <cellStyle name="Normal 3" xfId="36"/>
    <cellStyle name="Normal 3 2" xfId="1460"/>
    <cellStyle name="Normal 3 3" xfId="1461"/>
    <cellStyle name="Normal 3_CentralDetail" xfId="1462"/>
    <cellStyle name="Normal 30" xfId="1463"/>
    <cellStyle name="Normal 31" xfId="1464"/>
    <cellStyle name="Normal 32" xfId="1465"/>
    <cellStyle name="Normal 33" xfId="1466"/>
    <cellStyle name="Normal 34" xfId="1467"/>
    <cellStyle name="Normal 35" xfId="1468"/>
    <cellStyle name="Normal 36" xfId="1469"/>
    <cellStyle name="Normal 37" xfId="1470"/>
    <cellStyle name="Normal 38" xfId="1471"/>
    <cellStyle name="Normal 39" xfId="1472"/>
    <cellStyle name="Normal 4" xfId="52"/>
    <cellStyle name="Normal 4 2" xfId="1473"/>
    <cellStyle name="Normal 4 3" xfId="1474"/>
    <cellStyle name="Normal 40" xfId="1475"/>
    <cellStyle name="Normal 41" xfId="1476"/>
    <cellStyle name="Normal 42" xfId="1477"/>
    <cellStyle name="Normal 43" xfId="1478"/>
    <cellStyle name="Normal 44" xfId="1479"/>
    <cellStyle name="Normal 45" xfId="1480"/>
    <cellStyle name="Normal 46" xfId="1481"/>
    <cellStyle name="Normal 47" xfId="1482"/>
    <cellStyle name="Normal 48" xfId="1483"/>
    <cellStyle name="Normal 49" xfId="1484"/>
    <cellStyle name="Normal 5" xfId="61"/>
    <cellStyle name="Normal 5 2" xfId="1485"/>
    <cellStyle name="Normal 50" xfId="1486"/>
    <cellStyle name="Normal 51" xfId="1487"/>
    <cellStyle name="Normal 52" xfId="1488"/>
    <cellStyle name="Normal 53" xfId="1489"/>
    <cellStyle name="Normal 54" xfId="1490"/>
    <cellStyle name="Normal 55" xfId="1491"/>
    <cellStyle name="Normal 56" xfId="1492"/>
    <cellStyle name="Normal 57" xfId="1493"/>
    <cellStyle name="Normal 58" xfId="1494"/>
    <cellStyle name="Normal 59" xfId="1495"/>
    <cellStyle name="Normal 6" xfId="1496"/>
    <cellStyle name="Normal 60" xfId="1497"/>
    <cellStyle name="Normal 61" xfId="1498"/>
    <cellStyle name="Normal 62" xfId="1499"/>
    <cellStyle name="Normal 63" xfId="1500"/>
    <cellStyle name="Normal 64" xfId="1501"/>
    <cellStyle name="Normal 7" xfId="1502"/>
    <cellStyle name="Normal 8" xfId="1503"/>
    <cellStyle name="Normal 9" xfId="1504"/>
    <cellStyle name="Normal a&amp;b underline" xfId="1505"/>
    <cellStyle name="Normal bold" xfId="1506"/>
    <cellStyle name="Normal db underline" xfId="1507"/>
    <cellStyle name="Normal U" xfId="1508"/>
    <cellStyle name="Normal underline" xfId="1509"/>
    <cellStyle name="Normal_BedfordPathologyRevised1.5.1" xfId="3"/>
    <cellStyle name="Normal_TNPM DRAFT Standard Template v0.1c" xfId="4"/>
    <cellStyle name="Normal1" xfId="1510"/>
    <cellStyle name="Normal2" xfId="1511"/>
    <cellStyle name="normal5" xfId="1512"/>
    <cellStyle name="NormalGB" xfId="1513"/>
    <cellStyle name="Note" xfId="1" builtinId="10"/>
    <cellStyle name="Note 2" xfId="1514"/>
    <cellStyle name="Note 2 2" xfId="1515"/>
    <cellStyle name="Note 2 3" xfId="1516"/>
    <cellStyle name="Note 2 3 2" xfId="1517"/>
    <cellStyle name="Note 3" xfId="1518"/>
    <cellStyle name="Note 4" xfId="1519"/>
    <cellStyle name="Note 5" xfId="1520"/>
    <cellStyle name="Note 6" xfId="1521"/>
    <cellStyle name="Note 7" xfId="1522"/>
    <cellStyle name="Note Number" xfId="1523"/>
    <cellStyle name="Notes" xfId="1524"/>
    <cellStyle name="nPlosion" xfId="1525"/>
    <cellStyle name="Number" xfId="1526"/>
    <cellStyle name="Numbers" xfId="1527"/>
    <cellStyle name="Numbers - Bold" xfId="1528"/>
    <cellStyle name="Numbers - Bold - Italic" xfId="1529"/>
    <cellStyle name="Numbers - Bold_LBO from TP" xfId="1530"/>
    <cellStyle name="Numbers - Large" xfId="1531"/>
    <cellStyle name="Numbers_DCF_RPS" xfId="1532"/>
    <cellStyle name="nvision" xfId="1533"/>
    <cellStyle name="nXt - Input 1" xfId="37"/>
    <cellStyle name="nXt - Input 2" xfId="38"/>
    <cellStyle name="nXt - Title 1" xfId="39"/>
    <cellStyle name="nXt - Title 2" xfId="40"/>
    <cellStyle name="nXt - Title 3" xfId="41"/>
    <cellStyle name="nXt - Title 4" xfId="42"/>
    <cellStyle name="OLELink" xfId="1534"/>
    <cellStyle name="Onedec" xfId="1535"/>
    <cellStyle name="Operis date" xfId="1536"/>
    <cellStyle name="Option" xfId="1537"/>
    <cellStyle name="OptionHeading" xfId="1538"/>
    <cellStyle name="OptionHeading2" xfId="1539"/>
    <cellStyle name="Output 2" xfId="1540"/>
    <cellStyle name="Output 2 2" xfId="1541"/>
    <cellStyle name="Output 2 3" xfId="1542"/>
    <cellStyle name="Output 3" xfId="1543"/>
    <cellStyle name="Output 4" xfId="1544"/>
    <cellStyle name="Output 5" xfId="1545"/>
    <cellStyle name="Output Amounts" xfId="1546"/>
    <cellStyle name="Output Column Headings" xfId="1547"/>
    <cellStyle name="Output Line Items" xfId="1548"/>
    <cellStyle name="Output Report Heading" xfId="1549"/>
    <cellStyle name="Output Report Title" xfId="1550"/>
    <cellStyle name="Owner" xfId="1551"/>
    <cellStyle name="Owner 2" xfId="1552"/>
    <cellStyle name="Owner 3" xfId="1553"/>
    <cellStyle name="Owner_IT BUF v20" xfId="1554"/>
    <cellStyle name="p1" xfId="1555"/>
    <cellStyle name="Page Heading" xfId="1556"/>
    <cellStyle name="Page Heading Large" xfId="1557"/>
    <cellStyle name="Page Heading Small" xfId="1558"/>
    <cellStyle name="Page Number" xfId="1559"/>
    <cellStyle name="PageEnd" xfId="60"/>
    <cellStyle name="pb_page_heading_LS" xfId="1560"/>
    <cellStyle name="per m3" xfId="1561"/>
    <cellStyle name="per Ton" xfId="1562"/>
    <cellStyle name="Percent [0]" xfId="1563"/>
    <cellStyle name="Percent [0] 2" xfId="1564"/>
    <cellStyle name="Percent [0]_IT Forecast for Discussion 160610" xfId="1565"/>
    <cellStyle name="Percent [00]" xfId="1566"/>
    <cellStyle name="Percent [00] 2" xfId="1567"/>
    <cellStyle name="Percent [1]" xfId="1568"/>
    <cellStyle name="Percent [2]" xfId="1569"/>
    <cellStyle name="Percent [2] 2" xfId="1570"/>
    <cellStyle name="Percent [2] 3" xfId="1571"/>
    <cellStyle name="Percent [2] U" xfId="1572"/>
    <cellStyle name="Percent [2]_Copy of Panama Model - final audit" xfId="1573"/>
    <cellStyle name="Percent 1" xfId="1574"/>
    <cellStyle name="Percent 2" xfId="43"/>
    <cellStyle name="Percent 2 2" xfId="1575"/>
    <cellStyle name="Percent 3" xfId="1576"/>
    <cellStyle name="Percent 4" xfId="1577"/>
    <cellStyle name="Percent 4 2" xfId="1578"/>
    <cellStyle name="Percent 5" xfId="1579"/>
    <cellStyle name="Percent 6" xfId="1580"/>
    <cellStyle name="Percent 7" xfId="1581"/>
    <cellStyle name="Percent 7 2" xfId="1582"/>
    <cellStyle name="Percent Hard" xfId="1583"/>
    <cellStyle name="Percent*" xfId="1584"/>
    <cellStyle name="Percent1" xfId="1585"/>
    <cellStyle name="Percent2" xfId="1586"/>
    <cellStyle name="Percentage" xfId="1587"/>
    <cellStyle name="Percentdash" xfId="1588"/>
    <cellStyle name="PercentRed10" xfId="1589"/>
    <cellStyle name="Pershare" xfId="1590"/>
    <cellStyle name="Plan" xfId="1591"/>
    <cellStyle name="Post ration" xfId="1592"/>
    <cellStyle name="Pounds" xfId="1593"/>
    <cellStyle name="Pounds (0)" xfId="1594"/>
    <cellStyle name="pounds_million" xfId="1595"/>
    <cellStyle name="PrePop Currency (0)" xfId="1596"/>
    <cellStyle name="PrePop Currency (2)" xfId="1597"/>
    <cellStyle name="PrePop Currency (2) 2" xfId="1598"/>
    <cellStyle name="PrePop Currency (2)_IT BUF v20" xfId="1599"/>
    <cellStyle name="PrePop Units (0)" xfId="1600"/>
    <cellStyle name="PrePop Units (1)" xfId="1601"/>
    <cellStyle name="PrePop Units (1) 2" xfId="1602"/>
    <cellStyle name="PrePop Units (1) 3" xfId="1603"/>
    <cellStyle name="PrePop Units (1)_IT BUF v20" xfId="1604"/>
    <cellStyle name="PrePop Units (2)" xfId="1605"/>
    <cellStyle name="PrePop Units (2) 2" xfId="1606"/>
    <cellStyle name="PrePop Units (2)_IT BUF v20" xfId="1607"/>
    <cellStyle name="Previous" xfId="1608"/>
    <cellStyle name="Price" xfId="1609"/>
    <cellStyle name="PrimaryCalc" xfId="55"/>
    <cellStyle name="Prime" xfId="44"/>
    <cellStyle name="Prime 2" xfId="1610"/>
    <cellStyle name="Prime 3" xfId="1611"/>
    <cellStyle name="Prime_IT BUF v20" xfId="1612"/>
    <cellStyle name="Primedate" xfId="45"/>
    <cellStyle name="Primedate 2" xfId="1613"/>
    <cellStyle name="Primedate 3" xfId="1614"/>
    <cellStyle name="Primedate_IT BUF v20" xfId="1615"/>
    <cellStyle name="Product Title" xfId="1616"/>
    <cellStyle name="ProductClass" xfId="1617"/>
    <cellStyle name="ProductClass 2" xfId="1618"/>
    <cellStyle name="ProductClass 3" xfId="1619"/>
    <cellStyle name="ProductClass_IT BUF v20" xfId="1620"/>
    <cellStyle name="ProductType" xfId="1621"/>
    <cellStyle name="ProjectionInput" xfId="1622"/>
    <cellStyle name="Prozent_E2" xfId="1623"/>
    <cellStyle name="PSChar" xfId="1624"/>
    <cellStyle name="PSChar 2" xfId="1625"/>
    <cellStyle name="PSDate" xfId="1626"/>
    <cellStyle name="PSDate 2" xfId="1627"/>
    <cellStyle name="PSDATE_IT Forecast for Discussion 160610" xfId="1628"/>
    <cellStyle name="PSDec" xfId="1629"/>
    <cellStyle name="PSDec 2" xfId="1630"/>
    <cellStyle name="PSHeading" xfId="1631"/>
    <cellStyle name="PSHeading 2" xfId="1632"/>
    <cellStyle name="PSHeading_IT BUF v20" xfId="1633"/>
    <cellStyle name="PSInt" xfId="1634"/>
    <cellStyle name="PSInt 2" xfId="1635"/>
    <cellStyle name="PSSpacer" xfId="1636"/>
    <cellStyle name="PSSpacer 2" xfId="1637"/>
    <cellStyle name="Pullthrough" xfId="1638"/>
    <cellStyle name="r" xfId="1639"/>
    <cellStyle name="r_DCF_EBITDA" xfId="1640"/>
    <cellStyle name="r_DCF_EBITDA_Model v23_PDAv1" xfId="1641"/>
    <cellStyle name="r_DCF_EBITDA_Model v24" xfId="1642"/>
    <cellStyle name="r_DCF_EBITDA_Model v28" xfId="1643"/>
    <cellStyle name="r_DCF_PERPETUITY" xfId="1644"/>
    <cellStyle name="r_DCF_PERPETUITY_Model v23_PDAv1" xfId="1645"/>
    <cellStyle name="r_DCF_PERPETUITY_Model v24" xfId="1646"/>
    <cellStyle name="r_DCF_PERPETUITY_Model v28" xfId="1647"/>
    <cellStyle name="r_Division" xfId="1648"/>
    <cellStyle name="r_Division_EBIT" xfId="1649"/>
    <cellStyle name="r_Division_EBIT_Model v23_PDAv1" xfId="1650"/>
    <cellStyle name="r_Division_EBIT_Model v24" xfId="1651"/>
    <cellStyle name="r_Division_EBIT_Model v28" xfId="1652"/>
    <cellStyle name="r_Division_Model v23_PDAv1" xfId="1653"/>
    <cellStyle name="r_Division_Model v24" xfId="1654"/>
    <cellStyle name="r_Division_Model v28" xfId="1655"/>
    <cellStyle name="r_Division_Sales" xfId="1656"/>
    <cellStyle name="r_Division_Sales_Model v23_PDAv1" xfId="1657"/>
    <cellStyle name="r_Division_Sales_Model v24" xfId="1658"/>
    <cellStyle name="r_Division_Sales_Model v28" xfId="1659"/>
    <cellStyle name="r_Model v23_PDAv1" xfId="1660"/>
    <cellStyle name="r_Model v24" xfId="1661"/>
    <cellStyle name="r_Model v28" xfId="1662"/>
    <cellStyle name="r_PUBMKT" xfId="1663"/>
    <cellStyle name="r_PUBMKT_Model v23_PDAv1" xfId="1664"/>
    <cellStyle name="r_PUBMKT_Model v24" xfId="1665"/>
    <cellStyle name="r_PUBMKT_Model v28" xfId="1666"/>
    <cellStyle name="r_Synergy" xfId="1667"/>
    <cellStyle name="r_Synergy_DCF_EBITDA" xfId="1668"/>
    <cellStyle name="r_Synergy_DCF_EBITDA_Model v24" xfId="1669"/>
    <cellStyle name="r_Synergy_DCF_EBITDA_Model v28" xfId="1670"/>
    <cellStyle name="r_Synergy_DCF_PERPETUITY" xfId="1671"/>
    <cellStyle name="r_Synergy_DCF_PERPETUITY_Model v23_PDAv1" xfId="1672"/>
    <cellStyle name="r_Synergy_DCF_PERPETUITY_Model v24" xfId="1673"/>
    <cellStyle name="r_Synergy_DCF_PERPETUITY_Model v28" xfId="1674"/>
    <cellStyle name="r_Synergy_Division_EBIT" xfId="1675"/>
    <cellStyle name="r_Synergy_Division_EBIT_Model v23_PDAv1" xfId="1676"/>
    <cellStyle name="r_Synergy_Division_EBIT_Model v24" xfId="1677"/>
    <cellStyle name="r_Synergy_Division_EBIT_Model v28" xfId="1678"/>
    <cellStyle name="r_Synergy_Division_Sales" xfId="1679"/>
    <cellStyle name="r_Synergy_Division_Sales_Model v24" xfId="1680"/>
    <cellStyle name="r_Synergy_Division_Sales_Model v28" xfId="1681"/>
    <cellStyle name="r_Synergy_Model v23_PDAv1" xfId="1682"/>
    <cellStyle name="r_Synergy_Model v24" xfId="1683"/>
    <cellStyle name="r_Synergy_Model v28" xfId="1684"/>
    <cellStyle name="r_Synergy_Tecnol_Matrix" xfId="1685"/>
    <cellStyle name="r_Synergy_Tecnol_Matrix_Model v23_PDAv1" xfId="1686"/>
    <cellStyle name="r_Synergy_Tecnol_Matrix_Model v24" xfId="1687"/>
    <cellStyle name="r_Synergy_Tecnol_Matrix_Model v28" xfId="1688"/>
    <cellStyle name="r_Tecnol_Matrix" xfId="1689"/>
    <cellStyle name="r_Tecnol_Matrix_Model v23_PDAv1" xfId="1690"/>
    <cellStyle name="r_Tecnol_Matrix_Model v24" xfId="1691"/>
    <cellStyle name="r_Tecnol_Matrix_Model v28" xfId="1692"/>
    <cellStyle name="Ratio" xfId="1693"/>
    <cellStyle name="Red" xfId="1694"/>
    <cellStyle name="Reference" xfId="1695"/>
    <cellStyle name="ResellerType" xfId="1696"/>
    <cellStyle name="RISKbigPercent" xfId="1697"/>
    <cellStyle name="RISKblandrEdge" xfId="1698"/>
    <cellStyle name="RISKblCorner" xfId="1699"/>
    <cellStyle name="RISKbottomEdge" xfId="1700"/>
    <cellStyle name="RISKbrCorner" xfId="1701"/>
    <cellStyle name="RISKdarkBoxed" xfId="1702"/>
    <cellStyle name="RISKdarkShade" xfId="1703"/>
    <cellStyle name="RISKdbottomEdge" xfId="1704"/>
    <cellStyle name="RISKdrightEdge" xfId="1705"/>
    <cellStyle name="RISKdurationTime" xfId="1706"/>
    <cellStyle name="RiskHasNoActions" xfId="1707"/>
    <cellStyle name="RiskHasNoActions 2" xfId="1708"/>
    <cellStyle name="RiskHasNoActions 3" xfId="1709"/>
    <cellStyle name="RiskHasNoActions_IT BUF v20" xfId="1710"/>
    <cellStyle name="RISKinNumber" xfId="1711"/>
    <cellStyle name="RISKlandrEdge" xfId="1712"/>
    <cellStyle name="RISKleftEdge" xfId="1713"/>
    <cellStyle name="RISKlightBoxed" xfId="1714"/>
    <cellStyle name="RISKltandbEdge" xfId="1715"/>
    <cellStyle name="RISKnormBoxed" xfId="1716"/>
    <cellStyle name="RISKnormCenter" xfId="1717"/>
    <cellStyle name="RISKnormHeading" xfId="1718"/>
    <cellStyle name="RISKnormItal" xfId="1719"/>
    <cellStyle name="RISKnormLabel" xfId="1720"/>
    <cellStyle name="RISKnormShade" xfId="1721"/>
    <cellStyle name="RISKnormTitle" xfId="1722"/>
    <cellStyle name="RISKoutNumber" xfId="1723"/>
    <cellStyle name="RISKrightEdge" xfId="1724"/>
    <cellStyle name="RISKrtandbEdge" xfId="1725"/>
    <cellStyle name="RISKssTime" xfId="1726"/>
    <cellStyle name="RISKtandbEdge" xfId="1727"/>
    <cellStyle name="RISKtlandrEdge" xfId="1728"/>
    <cellStyle name="RISKtlCorner" xfId="1729"/>
    <cellStyle name="RISKtopEdge" xfId="1730"/>
    <cellStyle name="RISKtrCorner" xfId="1731"/>
    <cellStyle name="Salomon Logo" xfId="1732"/>
    <cellStyle name="SAPBEXaggData" xfId="1733"/>
    <cellStyle name="SAPBEXaggData 2" xfId="1734"/>
    <cellStyle name="SAPBEXaggData_Sheet1" xfId="1735"/>
    <cellStyle name="SAPBEXaggDataEmph" xfId="1736"/>
    <cellStyle name="SAPBEXaggDataEmph 2" xfId="1737"/>
    <cellStyle name="SAPBEXaggItem" xfId="1738"/>
    <cellStyle name="SAPBEXaggItem 2" xfId="1739"/>
    <cellStyle name="SAPBEXaggItem_Sheet1" xfId="1740"/>
    <cellStyle name="SAPBEXaggItemX" xfId="1741"/>
    <cellStyle name="SAPBEXaggItemX 2" xfId="1742"/>
    <cellStyle name="SAPBEXchaText" xfId="1743"/>
    <cellStyle name="SAPBEXchaText 2" xfId="1744"/>
    <cellStyle name="SAPBEXchaText_DropFile" xfId="1745"/>
    <cellStyle name="SAPBEXexcBad7" xfId="1746"/>
    <cellStyle name="SAPBEXexcBad7 2" xfId="1747"/>
    <cellStyle name="SAPBEXexcBad7_Sheet1" xfId="1748"/>
    <cellStyle name="SAPBEXexcBad8" xfId="1749"/>
    <cellStyle name="SAPBEXexcBad8 2" xfId="1750"/>
    <cellStyle name="SAPBEXexcBad9" xfId="1751"/>
    <cellStyle name="SAPBEXexcBad9 2" xfId="1752"/>
    <cellStyle name="SAPBEXexcCritical4" xfId="1753"/>
    <cellStyle name="SAPBEXexcCritical4 2" xfId="1754"/>
    <cellStyle name="SAPBEXexcCritical5" xfId="1755"/>
    <cellStyle name="SAPBEXexcCritical5 2" xfId="1756"/>
    <cellStyle name="SAPBEXexcCritical6" xfId="1757"/>
    <cellStyle name="SAPBEXexcCritical6 2" xfId="1758"/>
    <cellStyle name="SAPBEXexcGood1" xfId="1759"/>
    <cellStyle name="SAPBEXexcGood1 2" xfId="1760"/>
    <cellStyle name="SAPBEXexcGood2" xfId="1761"/>
    <cellStyle name="SAPBEXexcGood2 2" xfId="1762"/>
    <cellStyle name="SAPBEXexcGood3" xfId="1763"/>
    <cellStyle name="SAPBEXexcGood3 2" xfId="1764"/>
    <cellStyle name="SAPBEXfilterDrill" xfId="1765"/>
    <cellStyle name="SAPBEXfilterDrill 2" xfId="1766"/>
    <cellStyle name="SAPBEXfilterItem" xfId="1767"/>
    <cellStyle name="SAPBEXfilterItem 2" xfId="1768"/>
    <cellStyle name="SAPBEXfilterText" xfId="1769"/>
    <cellStyle name="SAPBEXfilterText 2" xfId="1770"/>
    <cellStyle name="SAPBEXfilterText 3" xfId="1771"/>
    <cellStyle name="SAPBEXfilterText_Actual Account Forecast P5" xfId="1772"/>
    <cellStyle name="SAPBEXformats" xfId="1773"/>
    <cellStyle name="SAPBEXformats 2" xfId="1774"/>
    <cellStyle name="SAPBEXformats_Sheet1" xfId="1775"/>
    <cellStyle name="SAPBEXheaderItem" xfId="1776"/>
    <cellStyle name="SAPBEXheaderItem 2" xfId="1777"/>
    <cellStyle name="SAPBEXheaderItem 3" xfId="1778"/>
    <cellStyle name="SAPBEXheaderItem_Actual Account Forecast P5" xfId="1779"/>
    <cellStyle name="SAPBEXheaderText" xfId="1780"/>
    <cellStyle name="SAPBEXheaderText 2" xfId="1781"/>
    <cellStyle name="SAPBEXheaderText 3" xfId="1782"/>
    <cellStyle name="SAPBEXheaderText_Actual Account Forecast P5" xfId="1783"/>
    <cellStyle name="SAPBEXHLevel0" xfId="1784"/>
    <cellStyle name="SAPBEXHLevel0 2" xfId="1785"/>
    <cellStyle name="SAPBEXHLevel0 3" xfId="1786"/>
    <cellStyle name="SAPBEXHLevel0 4" xfId="1787"/>
    <cellStyle name="SAPBEXHLevel0_Actual Account Forecast P5" xfId="1788"/>
    <cellStyle name="SAPBEXHLevel0X" xfId="1789"/>
    <cellStyle name="SAPBEXHLevel0X 2" xfId="1790"/>
    <cellStyle name="SAPBEXHLevel0X 3" xfId="1791"/>
    <cellStyle name="SAPBEXHLevel0X 4" xfId="1792"/>
    <cellStyle name="SAPBEXHLevel0X_Actual Account Forecast P5" xfId="1793"/>
    <cellStyle name="SAPBEXHLevel1" xfId="1794"/>
    <cellStyle name="SAPBEXHLevel1 2" xfId="1795"/>
    <cellStyle name="SAPBEXHLevel1 3" xfId="1796"/>
    <cellStyle name="SAPBEXHLevel1 4" xfId="1797"/>
    <cellStyle name="SAPBEXHLevel1_Actual Account Forecast P5" xfId="1798"/>
    <cellStyle name="SAPBEXHLevel1X" xfId="1799"/>
    <cellStyle name="SAPBEXHLevel1X 2" xfId="1800"/>
    <cellStyle name="SAPBEXHLevel1X 3" xfId="1801"/>
    <cellStyle name="SAPBEXHLevel1X 4" xfId="1802"/>
    <cellStyle name="SAPBEXHLevel1X_Actual Account Forecast P5" xfId="1803"/>
    <cellStyle name="SAPBEXHLevel2" xfId="1804"/>
    <cellStyle name="SAPBEXHLevel2 2" xfId="1805"/>
    <cellStyle name="SAPBEXHLevel2 3" xfId="1806"/>
    <cellStyle name="SAPBEXHLevel2 4" xfId="1807"/>
    <cellStyle name="SAPBEXHLevel2_Actual Account Forecast P5" xfId="1808"/>
    <cellStyle name="SAPBEXHLevel2X" xfId="1809"/>
    <cellStyle name="SAPBEXHLevel2X 2" xfId="1810"/>
    <cellStyle name="SAPBEXHLevel2X 3" xfId="1811"/>
    <cellStyle name="SAPBEXHLevel2X 4" xfId="1812"/>
    <cellStyle name="SAPBEXHLevel2X_Actual Account Forecast P5" xfId="1813"/>
    <cellStyle name="SAPBEXHLevel3" xfId="1814"/>
    <cellStyle name="SAPBEXHLevel3 2" xfId="1815"/>
    <cellStyle name="SAPBEXHLevel3 3" xfId="1816"/>
    <cellStyle name="SAPBEXHLevel3 4" xfId="1817"/>
    <cellStyle name="SAPBEXHLevel3_Actual Account Forecast P5" xfId="1818"/>
    <cellStyle name="SAPBEXHLevel3X" xfId="1819"/>
    <cellStyle name="SAPBEXHLevel3X 2" xfId="1820"/>
    <cellStyle name="SAPBEXHLevel3X 3" xfId="1821"/>
    <cellStyle name="SAPBEXHLevel3X 4" xfId="1822"/>
    <cellStyle name="SAPBEXHLevel3X_Actual Account Forecast P5" xfId="1823"/>
    <cellStyle name="SAPBEXinputData" xfId="1824"/>
    <cellStyle name="SAPBEXinputData 2" xfId="1825"/>
    <cellStyle name="SAPBEXinputData 3" xfId="1826"/>
    <cellStyle name="SAPBEXinputData 4" xfId="1827"/>
    <cellStyle name="SAPBEXinputData_Conversion" xfId="1828"/>
    <cellStyle name="SAPBEXItemHeader" xfId="1829"/>
    <cellStyle name="SAPBEXresData" xfId="1830"/>
    <cellStyle name="SAPBEXresData 2" xfId="1831"/>
    <cellStyle name="SAPBEXresDataEmph" xfId="1832"/>
    <cellStyle name="SAPBEXresDataEmph 2" xfId="1833"/>
    <cellStyle name="SAPBEXresItem" xfId="1834"/>
    <cellStyle name="SAPBEXresItem 2" xfId="1835"/>
    <cellStyle name="SAPBEXresItemX" xfId="1836"/>
    <cellStyle name="SAPBEXresItemX 2" xfId="1837"/>
    <cellStyle name="SAPBEXstdData" xfId="1838"/>
    <cellStyle name="SAPBEXstdData 2" xfId="1839"/>
    <cellStyle name="SAPBEXstdData_Sheet1" xfId="1840"/>
    <cellStyle name="SAPBEXstdDataEmph" xfId="1841"/>
    <cellStyle name="SAPBEXstdDataEmph 2" xfId="1842"/>
    <cellStyle name="SAPBEXstdItem" xfId="1843"/>
    <cellStyle name="SAPBEXstdItem 2" xfId="1844"/>
    <cellStyle name="SAPBEXstdItem 3" xfId="1845"/>
    <cellStyle name="SAPBEXstdItem_DropFile" xfId="1846"/>
    <cellStyle name="SAPBEXstdItemX" xfId="1847"/>
    <cellStyle name="SAPBEXstdItemX 2" xfId="1848"/>
    <cellStyle name="SAPBEXtitle" xfId="1849"/>
    <cellStyle name="SAPBEXtitle 2" xfId="1850"/>
    <cellStyle name="SAPBEXtitle 3" xfId="1851"/>
    <cellStyle name="SAPBEXtitle_Actual Account Forecast P5" xfId="1852"/>
    <cellStyle name="SAPBEXunassignedItem" xfId="1853"/>
    <cellStyle name="SAPBEXundefined" xfId="1854"/>
    <cellStyle name="SAPBEXundefined 2" xfId="1855"/>
    <cellStyle name="secondary" xfId="1856"/>
    <cellStyle name="SectionHeading" xfId="1857"/>
    <cellStyle name="Sector relative" xfId="1858"/>
    <cellStyle name="SercoMoney" xfId="46"/>
    <cellStyle name="SercoMonthDate" xfId="47"/>
    <cellStyle name="SercoPercent" xfId="48"/>
    <cellStyle name="Shade" xfId="1859"/>
    <cellStyle name="Shaded" xfId="1860"/>
    <cellStyle name="Shading" xfId="1861"/>
    <cellStyle name="Share" xfId="1862"/>
    <cellStyle name="Sheet Name" xfId="1863"/>
    <cellStyle name="Sheet Title" xfId="1864"/>
    <cellStyle name="Single Accounting" xfId="1865"/>
    <cellStyle name="SMALL HEADINGS" xfId="1866"/>
    <cellStyle name="Small Page Heading" xfId="1867"/>
    <cellStyle name="Source" xfId="1868"/>
    <cellStyle name="Standard_BLUE" xfId="1869"/>
    <cellStyle name="StandardTxt" xfId="1870"/>
    <cellStyle name="Std_%1" xfId="1871"/>
    <cellStyle name="Style 1" xfId="49"/>
    <cellStyle name="Style 1 2" xfId="1872"/>
    <cellStyle name="Style 1_CentralDetail" xfId="1873"/>
    <cellStyle name="Style 101" xfId="1874"/>
    <cellStyle name="Style 101 2" xfId="1875"/>
    <cellStyle name="Style 101_IT BUF v20" xfId="1876"/>
    <cellStyle name="Style 117" xfId="1877"/>
    <cellStyle name="Style 117 2" xfId="1878"/>
    <cellStyle name="Style 117_IT BUF v20" xfId="1879"/>
    <cellStyle name="Style 2" xfId="1880"/>
    <cellStyle name="Style 3" xfId="1881"/>
    <cellStyle name="Style 4" xfId="1882"/>
    <cellStyle name="Style 5" xfId="1883"/>
    <cellStyle name="Style 6" xfId="1884"/>
    <cellStyle name="Style 7" xfId="1885"/>
    <cellStyle name="Style 8" xfId="1886"/>
    <cellStyle name="style1" xfId="1887"/>
    <cellStyle name="SUB HEADING" xfId="1888"/>
    <cellStyle name="subhead" xfId="1889"/>
    <cellStyle name="SubHeading1" xfId="1890"/>
    <cellStyle name="SubTitle 2" xfId="1891"/>
    <cellStyle name="Switch" xfId="1892"/>
    <cellStyle name="Table Head" xfId="1893"/>
    <cellStyle name="Table Head 2" xfId="1894"/>
    <cellStyle name="Table Head Aligned" xfId="1895"/>
    <cellStyle name="Table Head Blue" xfId="1896"/>
    <cellStyle name="Table Head Green" xfId="1897"/>
    <cellStyle name="Table Head_Citigroup Global valuation 17 Oct 05" xfId="1898"/>
    <cellStyle name="Table Heading" xfId="1899"/>
    <cellStyle name="Table Source" xfId="1900"/>
    <cellStyle name="Table Sub Head" xfId="1901"/>
    <cellStyle name="Table Sub Heading" xfId="1902"/>
    <cellStyle name="Table Text" xfId="1903"/>
    <cellStyle name="Table Title" xfId="1904"/>
    <cellStyle name="Table Units" xfId="1905"/>
    <cellStyle name="Table_Header" xfId="1906"/>
    <cellStyle name="test a style" xfId="1907"/>
    <cellStyle name="Text" xfId="1908"/>
    <cellStyle name="Text 1" xfId="1909"/>
    <cellStyle name="Text 2" xfId="1910"/>
    <cellStyle name="Text 3" xfId="1911"/>
    <cellStyle name="Text Head" xfId="1912"/>
    <cellStyle name="Text Head 1" xfId="1913"/>
    <cellStyle name="Text Head 2" xfId="1914"/>
    <cellStyle name="Text Indent 1" xfId="1915"/>
    <cellStyle name="Text Indent 2" xfId="1916"/>
    <cellStyle name="Text Indent A" xfId="1917"/>
    <cellStyle name="Text Indent B" xfId="1918"/>
    <cellStyle name="Text Indent B 2" xfId="1919"/>
    <cellStyle name="Text Indent B_IT BUF v20" xfId="1920"/>
    <cellStyle name="Text Indent C" xfId="1921"/>
    <cellStyle name="Text Indent C 2" xfId="1922"/>
    <cellStyle name="Text Indent C_IT BUF v20" xfId="1923"/>
    <cellStyle name="Text_CRL IM v45f 20091104 for SL v006" xfId="1924"/>
    <cellStyle name="Thous" xfId="1925"/>
    <cellStyle name="TIME Detail" xfId="1926"/>
    <cellStyle name="TIME Period Start" xfId="1927"/>
    <cellStyle name="Times 10" xfId="1928"/>
    <cellStyle name="Times 12" xfId="1929"/>
    <cellStyle name="Title - PROJECT" xfId="1930"/>
    <cellStyle name="Title - Underline" xfId="1931"/>
    <cellStyle name="Title 1" xfId="50"/>
    <cellStyle name="Title 10" xfId="1932"/>
    <cellStyle name="Title 11" xfId="1933"/>
    <cellStyle name="Title 12" xfId="1934"/>
    <cellStyle name="Title 13" xfId="1935"/>
    <cellStyle name="Title 14" xfId="1936"/>
    <cellStyle name="Title 15" xfId="1937"/>
    <cellStyle name="Title 16" xfId="1938"/>
    <cellStyle name="Title 17" xfId="1939"/>
    <cellStyle name="Title 18" xfId="1940"/>
    <cellStyle name="Title 19" xfId="1941"/>
    <cellStyle name="Title 2" xfId="1942"/>
    <cellStyle name="Title 2 2" xfId="1943"/>
    <cellStyle name="Title 20" xfId="1944"/>
    <cellStyle name="Title 21" xfId="1945"/>
    <cellStyle name="Title 22" xfId="1946"/>
    <cellStyle name="Title 23" xfId="1947"/>
    <cellStyle name="Title 24" xfId="1948"/>
    <cellStyle name="Title 25" xfId="1949"/>
    <cellStyle name="Title 3" xfId="1950"/>
    <cellStyle name="Title 4" xfId="1951"/>
    <cellStyle name="Title 5" xfId="1952"/>
    <cellStyle name="Title 6" xfId="1953"/>
    <cellStyle name="Title 7" xfId="1954"/>
    <cellStyle name="Title 8" xfId="1955"/>
    <cellStyle name="Title 9" xfId="1956"/>
    <cellStyle name="TitleBars" xfId="1957"/>
    <cellStyle name="Titles - Col. Headings" xfId="1958"/>
    <cellStyle name="Titles - Other" xfId="1959"/>
    <cellStyle name="TOC 1" xfId="1960"/>
    <cellStyle name="TOC 2" xfId="1961"/>
    <cellStyle name="Topline" xfId="1962"/>
    <cellStyle name="Topline 2" xfId="1963"/>
    <cellStyle name="Topline_IT BUF v20" xfId="1964"/>
    <cellStyle name="Total 1" xfId="1965"/>
    <cellStyle name="Total 2" xfId="1966"/>
    <cellStyle name="Total 2 2" xfId="1967"/>
    <cellStyle name="Total 2 3" xfId="1968"/>
    <cellStyle name="Total 3" xfId="1969"/>
    <cellStyle name="Total 4" xfId="1970"/>
    <cellStyle name="Total 5" xfId="1971"/>
    <cellStyle name="Total 6" xfId="1972"/>
    <cellStyle name="Total 7" xfId="1973"/>
    <cellStyle name="TotalCurrency" xfId="1974"/>
    <cellStyle name="Totals" xfId="1975"/>
    <cellStyle name="Totals 2" xfId="1976"/>
    <cellStyle name="Totalsdash" xfId="1977"/>
    <cellStyle name="TS_Hdg1" xfId="1978"/>
    <cellStyle name="Tusental (0)_pldt" xfId="1979"/>
    <cellStyle name="Tusental_pldt" xfId="1980"/>
    <cellStyle name="u" xfId="1981"/>
    <cellStyle name="ubordinated Debt" xfId="1982"/>
    <cellStyle name="Ugly" xfId="1983"/>
    <cellStyle name="Underline_Single" xfId="1984"/>
    <cellStyle name="unique" xfId="1985"/>
    <cellStyle name="Unit" xfId="1986"/>
    <cellStyle name="UNITS" xfId="1987"/>
    <cellStyle name="Unprot" xfId="1988"/>
    <cellStyle name="Unprot$" xfId="1989"/>
    <cellStyle name="Unprot_CurrencySKorea" xfId="1990"/>
    <cellStyle name="Unprotect" xfId="1991"/>
    <cellStyle name="UNSHADED" xfId="1992"/>
    <cellStyle name="Update" xfId="1993"/>
    <cellStyle name="Upload Only" xfId="1994"/>
    <cellStyle name="UserInputs_General" xfId="57"/>
    <cellStyle name="Usual" xfId="1995"/>
    <cellStyle name="Validation" xfId="1996"/>
    <cellStyle name="Valuta (0)_pldt" xfId="1997"/>
    <cellStyle name="Valuta_pldt" xfId="1998"/>
    <cellStyle name="Vertical" xfId="1999"/>
    <cellStyle name="Währung [0]_laroux" xfId="2000"/>
    <cellStyle name="Währung_BLUE" xfId="2001"/>
    <cellStyle name="Warning" xfId="2002"/>
    <cellStyle name="Warning Text 2" xfId="2003"/>
    <cellStyle name="Warning Text 2 2" xfId="2004"/>
    <cellStyle name="Warning Text 2 3" xfId="2005"/>
    <cellStyle name="Warning Text 3" xfId="2006"/>
    <cellStyle name="Warning Text 4" xfId="2007"/>
    <cellStyle name="Warning Text 5" xfId="2008"/>
    <cellStyle name="year" xfId="2009"/>
    <cellStyle name="標準_financial bid evaluation" xfId="2010"/>
  </cellStyles>
  <dxfs count="28">
    <dxf>
      <fill>
        <patternFill>
          <bgColor indexed="52"/>
        </patternFill>
      </fill>
      <border>
        <top style="thin">
          <color indexed="52"/>
        </top>
        <bottom style="thin">
          <color indexed="52"/>
        </bottom>
      </border>
    </dxf>
    <dxf>
      <font>
        <condense val="0"/>
        <extend val="0"/>
        <color indexed="9"/>
      </font>
      <fill>
        <patternFill>
          <bgColor indexed="10"/>
        </patternFill>
      </fill>
      <border>
        <top style="thin">
          <color indexed="10"/>
        </top>
        <bottom style="thin">
          <color indexed="10"/>
        </bottom>
      </border>
    </dxf>
    <dxf>
      <fill>
        <patternFill>
          <bgColor indexed="52"/>
        </patternFill>
      </fill>
      <border>
        <top style="thin">
          <color indexed="52"/>
        </top>
        <bottom style="thin">
          <color indexed="52"/>
        </bottom>
      </border>
    </dxf>
    <dxf>
      <font>
        <condense val="0"/>
        <extend val="0"/>
        <color indexed="9"/>
      </font>
      <fill>
        <patternFill>
          <bgColor indexed="10"/>
        </patternFill>
      </fill>
      <border>
        <top style="thin">
          <color indexed="10"/>
        </top>
        <bottom style="thin">
          <color indexed="10"/>
        </bottom>
      </border>
    </dxf>
    <dxf>
      <font>
        <condense val="0"/>
        <extend val="0"/>
        <color indexed="9"/>
      </font>
      <fill>
        <patternFill>
          <bgColor indexed="52"/>
        </patternFill>
      </fill>
    </dxf>
    <dxf>
      <font>
        <b/>
        <i val="0"/>
        <condense val="0"/>
        <extend val="0"/>
        <color indexed="9"/>
      </font>
      <fill>
        <patternFill>
          <bgColor indexed="10"/>
        </patternFill>
      </fill>
    </dxf>
    <dxf>
      <font>
        <b/>
        <i val="0"/>
        <condense val="0"/>
        <extend val="0"/>
        <color indexed="10"/>
      </font>
    </dxf>
    <dxf>
      <fill>
        <patternFill>
          <bgColor indexed="52"/>
        </patternFill>
      </fill>
      <border>
        <top style="thin">
          <color indexed="52"/>
        </top>
        <bottom style="thin">
          <color indexed="52"/>
        </bottom>
      </border>
    </dxf>
    <dxf>
      <font>
        <condense val="0"/>
        <extend val="0"/>
        <color indexed="9"/>
      </font>
      <fill>
        <patternFill>
          <bgColor indexed="10"/>
        </patternFill>
      </fill>
      <border>
        <top style="thin">
          <color indexed="10"/>
        </top>
        <bottom style="thin">
          <color indexed="10"/>
        </bottom>
      </border>
    </dxf>
    <dxf>
      <fill>
        <patternFill>
          <bgColor indexed="45"/>
        </patternFill>
      </fill>
    </dxf>
    <dxf>
      <font>
        <b/>
        <i val="0"/>
        <condense val="0"/>
        <extend val="0"/>
        <color auto="1"/>
      </font>
      <fill>
        <patternFill>
          <bgColor indexed="11"/>
        </patternFill>
      </fill>
    </dxf>
    <dxf>
      <font>
        <b/>
        <i val="0"/>
        <condense val="0"/>
        <extend val="0"/>
        <color indexed="9"/>
      </font>
      <fill>
        <patternFill>
          <bgColor indexed="10"/>
        </patternFill>
      </fill>
    </dxf>
    <dxf>
      <font>
        <b/>
        <i val="0"/>
        <condense val="0"/>
        <extend val="0"/>
        <color indexed="9"/>
      </font>
      <fill>
        <patternFill>
          <bgColor indexed="17"/>
        </patternFill>
      </fill>
    </dxf>
    <dxf>
      <fill>
        <patternFill>
          <bgColor indexed="52"/>
        </patternFill>
      </fill>
      <border>
        <top style="thin">
          <color indexed="52"/>
        </top>
        <bottom style="thin">
          <color indexed="52"/>
        </bottom>
      </border>
    </dxf>
    <dxf>
      <font>
        <condense val="0"/>
        <extend val="0"/>
        <color indexed="9"/>
      </font>
      <fill>
        <patternFill>
          <bgColor indexed="10"/>
        </patternFill>
      </fill>
      <border>
        <top style="thin">
          <color indexed="10"/>
        </top>
        <bottom style="thin">
          <color indexed="10"/>
        </bottom>
      </border>
    </dxf>
    <dxf>
      <fill>
        <patternFill>
          <bgColor indexed="52"/>
        </patternFill>
      </fill>
      <border>
        <top style="thin">
          <color indexed="52"/>
        </top>
        <bottom style="thin">
          <color indexed="52"/>
        </bottom>
      </border>
    </dxf>
    <dxf>
      <font>
        <condense val="0"/>
        <extend val="0"/>
        <color indexed="9"/>
      </font>
      <fill>
        <patternFill>
          <bgColor indexed="10"/>
        </patternFill>
      </fill>
      <border>
        <top style="thin">
          <color indexed="10"/>
        </top>
        <bottom style="thin">
          <color indexed="10"/>
        </bottom>
      </border>
    </dxf>
    <dxf>
      <fill>
        <patternFill>
          <bgColor indexed="52"/>
        </patternFill>
      </fill>
      <border>
        <top style="thin">
          <color indexed="52"/>
        </top>
        <bottom style="thin">
          <color indexed="52"/>
        </bottom>
      </border>
    </dxf>
    <dxf>
      <font>
        <condense val="0"/>
        <extend val="0"/>
        <color indexed="9"/>
      </font>
      <fill>
        <patternFill>
          <bgColor indexed="10"/>
        </patternFill>
      </fill>
      <border>
        <top style="thin">
          <color indexed="10"/>
        </top>
        <bottom style="thin">
          <color indexed="10"/>
        </bottom>
      </border>
    </dxf>
    <dxf>
      <fill>
        <patternFill>
          <bgColor indexed="52"/>
        </patternFill>
      </fill>
      <border>
        <top style="thin">
          <color indexed="52"/>
        </top>
        <bottom style="thin">
          <color indexed="52"/>
        </bottom>
      </border>
    </dxf>
    <dxf>
      <font>
        <condense val="0"/>
        <extend val="0"/>
        <color indexed="9"/>
      </font>
      <fill>
        <patternFill>
          <bgColor indexed="10"/>
        </patternFill>
      </fill>
      <border>
        <top style="thin">
          <color indexed="10"/>
        </top>
        <bottom style="thin">
          <color indexed="10"/>
        </bottom>
      </border>
    </dxf>
    <dxf>
      <fill>
        <patternFill>
          <bgColor indexed="47"/>
        </patternFill>
      </fill>
    </dxf>
    <dxf>
      <font>
        <condense val="0"/>
        <extend val="0"/>
        <color indexed="9"/>
      </font>
      <fill>
        <patternFill>
          <bgColor indexed="52"/>
        </patternFill>
      </fill>
    </dxf>
    <dxf>
      <font>
        <b/>
        <i val="0"/>
        <condense val="0"/>
        <extend val="0"/>
        <color indexed="9"/>
      </font>
      <fill>
        <patternFill>
          <bgColor indexed="10"/>
        </patternFill>
      </fill>
    </dxf>
    <dxf>
      <fill>
        <patternFill>
          <bgColor indexed="52"/>
        </patternFill>
      </fill>
      <border>
        <top style="thin">
          <color indexed="52"/>
        </top>
        <bottom style="thin">
          <color indexed="52"/>
        </bottom>
      </border>
    </dxf>
    <dxf>
      <font>
        <condense val="0"/>
        <extend val="0"/>
        <color indexed="9"/>
      </font>
      <fill>
        <patternFill>
          <bgColor indexed="10"/>
        </patternFill>
      </fill>
      <border>
        <top style="thin">
          <color indexed="10"/>
        </top>
        <bottom style="thin">
          <color indexed="10"/>
        </bottom>
      </border>
    </dxf>
    <dxf>
      <fill>
        <patternFill>
          <bgColor indexed="52"/>
        </patternFill>
      </fill>
      <border>
        <top style="thin">
          <color indexed="52"/>
        </top>
        <bottom style="thin">
          <color indexed="52"/>
        </bottom>
      </border>
    </dxf>
    <dxf>
      <font>
        <condense val="0"/>
        <extend val="0"/>
        <color indexed="9"/>
      </font>
      <fill>
        <patternFill>
          <bgColor indexed="10"/>
        </patternFill>
      </fill>
      <border>
        <top style="thin">
          <color indexed="10"/>
        </top>
        <bottom style="thin">
          <color indexed="10"/>
        </bottom>
      </border>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'Figure 13-13'!$A$3</c:f>
          <c:strCache>
            <c:ptCount val="1"/>
          </c:strCache>
        </c:strRef>
      </c:tx>
      <c:layout>
        <c:manualLayout>
          <c:xMode val="edge"/>
          <c:yMode val="edge"/>
          <c:x val="0.30609022262216834"/>
          <c:y val="3.1413652719103707E-2"/>
        </c:manualLayout>
      </c:layout>
      <c:overlay val="0"/>
      <c:spPr>
        <a:noFill/>
        <a:ln w="25400">
          <a:noFill/>
        </a:ln>
      </c:spPr>
      <c:txPr>
        <a:bodyPr/>
        <a:lstStyle/>
        <a:p>
          <a:pPr>
            <a:defRPr sz="1200" b="1"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0.1682694941116632"/>
          <c:y val="0.18062850313484632"/>
          <c:w val="0.80929613834657066"/>
          <c:h val="0.51308966107869391"/>
        </c:manualLayout>
      </c:layout>
      <c:lineChart>
        <c:grouping val="standard"/>
        <c:varyColors val="0"/>
        <c:ser>
          <c:idx val="0"/>
          <c:order val="0"/>
          <c:tx>
            <c:strRef>
              <c:f>'Figure 13-13'!$B$103</c:f>
              <c:strCache>
                <c:ptCount val="1"/>
                <c:pt idx="0">
                  <c:v>Raw Costs</c:v>
                </c:pt>
              </c:strCache>
            </c:strRef>
          </c:tx>
          <c:spPr>
            <a:ln w="25400">
              <a:solidFill>
                <a:srgbClr val="008000"/>
              </a:solidFill>
              <a:prstDash val="solid"/>
            </a:ln>
          </c:spPr>
          <c:marker>
            <c:symbol val="none"/>
          </c:marker>
          <c:cat>
            <c:numRef>
              <c:f>'Figure 13-13'!$AF$101:$CV$101</c:f>
              <c:numCache>
                <c:formatCode>mmm\-yy</c:formatCode>
                <c:ptCount val="69"/>
                <c:pt idx="0">
                  <c:v>39722</c:v>
                </c:pt>
                <c:pt idx="1">
                  <c:v>39753</c:v>
                </c:pt>
                <c:pt idx="2">
                  <c:v>39783</c:v>
                </c:pt>
                <c:pt idx="3">
                  <c:v>39814</c:v>
                </c:pt>
                <c:pt idx="4">
                  <c:v>39845</c:v>
                </c:pt>
                <c:pt idx="5">
                  <c:v>39873</c:v>
                </c:pt>
                <c:pt idx="6">
                  <c:v>39904</c:v>
                </c:pt>
                <c:pt idx="7">
                  <c:v>39934</c:v>
                </c:pt>
                <c:pt idx="8">
                  <c:v>39965</c:v>
                </c:pt>
                <c:pt idx="9">
                  <c:v>39995</c:v>
                </c:pt>
                <c:pt idx="10">
                  <c:v>40026</c:v>
                </c:pt>
                <c:pt idx="11">
                  <c:v>40057</c:v>
                </c:pt>
                <c:pt idx="12">
                  <c:v>40087</c:v>
                </c:pt>
                <c:pt idx="13">
                  <c:v>40118</c:v>
                </c:pt>
                <c:pt idx="14">
                  <c:v>40148</c:v>
                </c:pt>
                <c:pt idx="15">
                  <c:v>40179</c:v>
                </c:pt>
                <c:pt idx="16">
                  <c:v>40210</c:v>
                </c:pt>
                <c:pt idx="17">
                  <c:v>40238</c:v>
                </c:pt>
                <c:pt idx="18">
                  <c:v>40269</c:v>
                </c:pt>
                <c:pt idx="19">
                  <c:v>40299</c:v>
                </c:pt>
                <c:pt idx="20">
                  <c:v>40330</c:v>
                </c:pt>
                <c:pt idx="21">
                  <c:v>40360</c:v>
                </c:pt>
                <c:pt idx="22">
                  <c:v>40391</c:v>
                </c:pt>
                <c:pt idx="23">
                  <c:v>40422</c:v>
                </c:pt>
                <c:pt idx="24">
                  <c:v>40452</c:v>
                </c:pt>
                <c:pt idx="25">
                  <c:v>40483</c:v>
                </c:pt>
                <c:pt idx="26">
                  <c:v>40513</c:v>
                </c:pt>
                <c:pt idx="27">
                  <c:v>40544</c:v>
                </c:pt>
                <c:pt idx="28">
                  <c:v>40575</c:v>
                </c:pt>
                <c:pt idx="29">
                  <c:v>40603</c:v>
                </c:pt>
                <c:pt idx="30">
                  <c:v>40634</c:v>
                </c:pt>
                <c:pt idx="31">
                  <c:v>40664</c:v>
                </c:pt>
                <c:pt idx="32">
                  <c:v>40695</c:v>
                </c:pt>
                <c:pt idx="33">
                  <c:v>40725</c:v>
                </c:pt>
                <c:pt idx="34">
                  <c:v>40756</c:v>
                </c:pt>
                <c:pt idx="35">
                  <c:v>40787</c:v>
                </c:pt>
                <c:pt idx="36">
                  <c:v>40817</c:v>
                </c:pt>
                <c:pt idx="37">
                  <c:v>40848</c:v>
                </c:pt>
                <c:pt idx="38">
                  <c:v>40878</c:v>
                </c:pt>
                <c:pt idx="39">
                  <c:v>40909</c:v>
                </c:pt>
                <c:pt idx="40">
                  <c:v>40940</c:v>
                </c:pt>
                <c:pt idx="41">
                  <c:v>40969</c:v>
                </c:pt>
                <c:pt idx="42">
                  <c:v>41000</c:v>
                </c:pt>
                <c:pt idx="43">
                  <c:v>41030</c:v>
                </c:pt>
                <c:pt idx="44">
                  <c:v>41061</c:v>
                </c:pt>
                <c:pt idx="45">
                  <c:v>41091</c:v>
                </c:pt>
                <c:pt idx="46">
                  <c:v>41122</c:v>
                </c:pt>
                <c:pt idx="47">
                  <c:v>41153</c:v>
                </c:pt>
                <c:pt idx="48">
                  <c:v>41183</c:v>
                </c:pt>
                <c:pt idx="49">
                  <c:v>41214</c:v>
                </c:pt>
                <c:pt idx="50">
                  <c:v>41244</c:v>
                </c:pt>
                <c:pt idx="51">
                  <c:v>41275</c:v>
                </c:pt>
                <c:pt idx="52">
                  <c:v>41306</c:v>
                </c:pt>
                <c:pt idx="53">
                  <c:v>41334</c:v>
                </c:pt>
                <c:pt idx="54">
                  <c:v>41365</c:v>
                </c:pt>
                <c:pt idx="55">
                  <c:v>41395</c:v>
                </c:pt>
                <c:pt idx="56">
                  <c:v>41426</c:v>
                </c:pt>
                <c:pt idx="57">
                  <c:v>41456</c:v>
                </c:pt>
                <c:pt idx="58">
                  <c:v>41487</c:v>
                </c:pt>
                <c:pt idx="59">
                  <c:v>41518</c:v>
                </c:pt>
                <c:pt idx="60">
                  <c:v>41548</c:v>
                </c:pt>
                <c:pt idx="61">
                  <c:v>41579</c:v>
                </c:pt>
                <c:pt idx="62">
                  <c:v>41609</c:v>
                </c:pt>
                <c:pt idx="63">
                  <c:v>41640</c:v>
                </c:pt>
                <c:pt idx="64">
                  <c:v>41671</c:v>
                </c:pt>
                <c:pt idx="65">
                  <c:v>41699</c:v>
                </c:pt>
                <c:pt idx="66">
                  <c:v>41730</c:v>
                </c:pt>
                <c:pt idx="67">
                  <c:v>41760</c:v>
                </c:pt>
                <c:pt idx="68">
                  <c:v>41791</c:v>
                </c:pt>
              </c:numCache>
            </c:numRef>
          </c:cat>
          <c:val>
            <c:numRef>
              <c:f>'Figure 13-13'!$AF$103:$CV$103</c:f>
              <c:numCache>
                <c:formatCode>#,##0_ ;[Red]\-#,##0\ </c:formatCode>
                <c:ptCount val="69"/>
                <c:pt idx="0">
                  <c:v>1212561.7945000001</c:v>
                </c:pt>
                <c:pt idx="1">
                  <c:v>269124.91619919933</c:v>
                </c:pt>
                <c:pt idx="2">
                  <c:v>1839712.6109375001</c:v>
                </c:pt>
                <c:pt idx="3">
                  <c:v>2730224.6109374999</c:v>
                </c:pt>
                <c:pt idx="4">
                  <c:v>423110.61093750002</c:v>
                </c:pt>
                <c:pt idx="5">
                  <c:v>494709.61093750002</c:v>
                </c:pt>
                <c:pt idx="6">
                  <c:v>560462.04843750002</c:v>
                </c:pt>
                <c:pt idx="7">
                  <c:v>560462.04843750002</c:v>
                </c:pt>
                <c:pt idx="8">
                  <c:v>288934.54843750002</c:v>
                </c:pt>
                <c:pt idx="9">
                  <c:v>288934.54843750002</c:v>
                </c:pt>
                <c:pt idx="10">
                  <c:v>288934.54843750002</c:v>
                </c:pt>
                <c:pt idx="11">
                  <c:v>288140.54843750002</c:v>
                </c:pt>
                <c:pt idx="12">
                  <c:v>288140.54843750002</c:v>
                </c:pt>
                <c:pt idx="13">
                  <c:v>493549.6521366993</c:v>
                </c:pt>
                <c:pt idx="14">
                  <c:v>507454.54843749997</c:v>
                </c:pt>
                <c:pt idx="15">
                  <c:v>313718.54843750002</c:v>
                </c:pt>
                <c:pt idx="16">
                  <c:v>323646.55940625007</c:v>
                </c:pt>
                <c:pt idx="17">
                  <c:v>323646.55940625007</c:v>
                </c:pt>
                <c:pt idx="18">
                  <c:v>293903.35940625001</c:v>
                </c:pt>
                <c:pt idx="19">
                  <c:v>293903.35940625001</c:v>
                </c:pt>
                <c:pt idx="20">
                  <c:v>293903.35940625001</c:v>
                </c:pt>
                <c:pt idx="21">
                  <c:v>293903.35940625001</c:v>
                </c:pt>
                <c:pt idx="22">
                  <c:v>293903.35940625001</c:v>
                </c:pt>
                <c:pt idx="23">
                  <c:v>293903.35940625001</c:v>
                </c:pt>
                <c:pt idx="24">
                  <c:v>293903.35940625001</c:v>
                </c:pt>
                <c:pt idx="25">
                  <c:v>503420.64517943334</c:v>
                </c:pt>
                <c:pt idx="26">
                  <c:v>498821.35940625001</c:v>
                </c:pt>
                <c:pt idx="27">
                  <c:v>293903.35940625001</c:v>
                </c:pt>
                <c:pt idx="28">
                  <c:v>299781.42659437499</c:v>
                </c:pt>
                <c:pt idx="29">
                  <c:v>299781.42659437499</c:v>
                </c:pt>
                <c:pt idx="30">
                  <c:v>299781.42659437499</c:v>
                </c:pt>
                <c:pt idx="31">
                  <c:v>299781.42659437499</c:v>
                </c:pt>
                <c:pt idx="32">
                  <c:v>299781.42659437499</c:v>
                </c:pt>
                <c:pt idx="33">
                  <c:v>299781.42659437499</c:v>
                </c:pt>
                <c:pt idx="34">
                  <c:v>299781.42659437499</c:v>
                </c:pt>
                <c:pt idx="35">
                  <c:v>299781.42659437499</c:v>
                </c:pt>
                <c:pt idx="36">
                  <c:v>299781.42659437499</c:v>
                </c:pt>
                <c:pt idx="37">
                  <c:v>513489.05808302201</c:v>
                </c:pt>
                <c:pt idx="38">
                  <c:v>1344863.226594375</c:v>
                </c:pt>
                <c:pt idx="39">
                  <c:v>299781.42659437499</c:v>
                </c:pt>
                <c:pt idx="40">
                  <c:v>305777.05512626248</c:v>
                </c:pt>
                <c:pt idx="41">
                  <c:v>305777.05512626248</c:v>
                </c:pt>
                <c:pt idx="42">
                  <c:v>305777.05512626248</c:v>
                </c:pt>
                <c:pt idx="43">
                  <c:v>305777.05512626248</c:v>
                </c:pt>
                <c:pt idx="44">
                  <c:v>305777.05512626248</c:v>
                </c:pt>
                <c:pt idx="45">
                  <c:v>305777.05512626248</c:v>
                </c:pt>
                <c:pt idx="46">
                  <c:v>305777.05512626248</c:v>
                </c:pt>
                <c:pt idx="47">
                  <c:v>305777.05512626248</c:v>
                </c:pt>
                <c:pt idx="48">
                  <c:v>305777.05512626248</c:v>
                </c:pt>
                <c:pt idx="49">
                  <c:v>523758.8392446824</c:v>
                </c:pt>
                <c:pt idx="50">
                  <c:v>518973.74232626247</c:v>
                </c:pt>
                <c:pt idx="51">
                  <c:v>305777.05512626248</c:v>
                </c:pt>
                <c:pt idx="52">
                  <c:v>311892.59622878773</c:v>
                </c:pt>
                <c:pt idx="53">
                  <c:v>311892.59622878773</c:v>
                </c:pt>
                <c:pt idx="54">
                  <c:v>311892.59622878773</c:v>
                </c:pt>
                <c:pt idx="55">
                  <c:v>311892.59622878773</c:v>
                </c:pt>
                <c:pt idx="56">
                  <c:v>311892.59622878773</c:v>
                </c:pt>
                <c:pt idx="57">
                  <c:v>311892.59622878773</c:v>
                </c:pt>
                <c:pt idx="58">
                  <c:v>311892.59622878773</c:v>
                </c:pt>
                <c:pt idx="59">
                  <c:v>311892.59622878773</c:v>
                </c:pt>
                <c:pt idx="60">
                  <c:v>311892.59622878773</c:v>
                </c:pt>
                <c:pt idx="61">
                  <c:v>534234.01602957596</c:v>
                </c:pt>
                <c:pt idx="62">
                  <c:v>529353.21717278776</c:v>
                </c:pt>
                <c:pt idx="63">
                  <c:v>311892.59622878773</c:v>
                </c:pt>
                <c:pt idx="64">
                  <c:v>318130.44815336354</c:v>
                </c:pt>
                <c:pt idx="65">
                  <c:v>318130.44815336354</c:v>
                </c:pt>
                <c:pt idx="66">
                  <c:v>0</c:v>
                </c:pt>
                <c:pt idx="67">
                  <c:v>0</c:v>
                </c:pt>
                <c:pt idx="68">
                  <c:v>0</c:v>
                </c:pt>
              </c:numCache>
            </c:numRef>
          </c:val>
          <c:smooth val="0"/>
        </c:ser>
        <c:ser>
          <c:idx val="1"/>
          <c:order val="1"/>
          <c:tx>
            <c:strRef>
              <c:f>'Figure 13-13'!$B$104</c:f>
              <c:strCache>
                <c:ptCount val="1"/>
                <c:pt idx="0">
                  <c:v>Profiled</c:v>
                </c:pt>
              </c:strCache>
            </c:strRef>
          </c:tx>
          <c:spPr>
            <a:ln w="25400">
              <a:solidFill>
                <a:srgbClr val="3366FF"/>
              </a:solidFill>
              <a:prstDash val="solid"/>
            </a:ln>
          </c:spPr>
          <c:marker>
            <c:symbol val="none"/>
          </c:marker>
          <c:val>
            <c:numRef>
              <c:f>'Figure 13-13'!$AF$104:$CV$104</c:f>
              <c:numCache>
                <c:formatCode>#,##0_ ;[Red]\-#,##0\ </c:formatCode>
                <c:ptCount val="69"/>
                <c:pt idx="0">
                  <c:v>0</c:v>
                </c:pt>
                <c:pt idx="1">
                  <c:v>49553.36538461539</c:v>
                </c:pt>
                <c:pt idx="2">
                  <c:v>499166.96031168418</c:v>
                </c:pt>
                <c:pt idx="3">
                  <c:v>3384989.3341097618</c:v>
                </c:pt>
                <c:pt idx="4">
                  <c:v>437356.00077642762</c:v>
                </c:pt>
                <c:pt idx="5">
                  <c:v>1774901.6998950155</c:v>
                </c:pt>
                <c:pt idx="6">
                  <c:v>429074.18987899151</c:v>
                </c:pt>
                <c:pt idx="7">
                  <c:v>786420.34372514533</c:v>
                </c:pt>
                <c:pt idx="8">
                  <c:v>1148916.0428437339</c:v>
                </c:pt>
                <c:pt idx="9">
                  <c:v>395228.03603283758</c:v>
                </c:pt>
                <c:pt idx="10">
                  <c:v>395228.03603283758</c:v>
                </c:pt>
                <c:pt idx="11">
                  <c:v>634750.65822835092</c:v>
                </c:pt>
                <c:pt idx="12">
                  <c:v>394210.08731488895</c:v>
                </c:pt>
                <c:pt idx="13">
                  <c:v>394210.08731488988</c:v>
                </c:pt>
                <c:pt idx="14">
                  <c:v>667916.81207450433</c:v>
                </c:pt>
                <c:pt idx="15">
                  <c:v>427376.24116104282</c:v>
                </c:pt>
                <c:pt idx="16">
                  <c:v>428145.47193027381</c:v>
                </c:pt>
                <c:pt idx="17">
                  <c:v>671893.25045591441</c:v>
                </c:pt>
                <c:pt idx="18">
                  <c:v>394979.31808411947</c:v>
                </c:pt>
                <c:pt idx="19">
                  <c:v>394979.31808411999</c:v>
                </c:pt>
                <c:pt idx="20">
                  <c:v>640330.70041584922</c:v>
                </c:pt>
                <c:pt idx="21">
                  <c:v>394979.31808411999</c:v>
                </c:pt>
                <c:pt idx="22">
                  <c:v>394979.31808411999</c:v>
                </c:pt>
                <c:pt idx="23">
                  <c:v>640330.70041584945</c:v>
                </c:pt>
                <c:pt idx="24">
                  <c:v>394979.31808412075</c:v>
                </c:pt>
                <c:pt idx="25">
                  <c:v>394979.31808411947</c:v>
                </c:pt>
                <c:pt idx="26">
                  <c:v>640330.70041585003</c:v>
                </c:pt>
                <c:pt idx="27">
                  <c:v>391421.83259558596</c:v>
                </c:pt>
                <c:pt idx="28">
                  <c:v>392206.44798020227</c:v>
                </c:pt>
                <c:pt idx="29">
                  <c:v>640829.18207635591</c:v>
                </c:pt>
                <c:pt idx="30">
                  <c:v>392206.44798020227</c:v>
                </c:pt>
                <c:pt idx="31">
                  <c:v>392206.44798020227</c:v>
                </c:pt>
                <c:pt idx="32">
                  <c:v>642464.85795856791</c:v>
                </c:pt>
                <c:pt idx="33">
                  <c:v>392206.44798020151</c:v>
                </c:pt>
                <c:pt idx="34">
                  <c:v>392206.44798020227</c:v>
                </c:pt>
                <c:pt idx="35">
                  <c:v>642464.85795856756</c:v>
                </c:pt>
                <c:pt idx="36">
                  <c:v>392206.44798020227</c:v>
                </c:pt>
                <c:pt idx="37">
                  <c:v>392206.44798020227</c:v>
                </c:pt>
                <c:pt idx="38">
                  <c:v>642464.85795856814</c:v>
                </c:pt>
                <c:pt idx="39">
                  <c:v>388648.96249166876</c:v>
                </c:pt>
                <c:pt idx="40">
                  <c:v>389449.27018397563</c:v>
                </c:pt>
                <c:pt idx="41">
                  <c:v>643044.45896205236</c:v>
                </c:pt>
                <c:pt idx="42">
                  <c:v>389449.27018397563</c:v>
                </c:pt>
                <c:pt idx="43">
                  <c:v>389449.27018397563</c:v>
                </c:pt>
                <c:pt idx="44">
                  <c:v>644712.84836190823</c:v>
                </c:pt>
                <c:pt idx="45">
                  <c:v>389449.27018397563</c:v>
                </c:pt>
                <c:pt idx="46">
                  <c:v>389449.27018397622</c:v>
                </c:pt>
                <c:pt idx="47">
                  <c:v>644712.84836190881</c:v>
                </c:pt>
                <c:pt idx="48">
                  <c:v>389449.27018397563</c:v>
                </c:pt>
                <c:pt idx="49">
                  <c:v>389449.27018397563</c:v>
                </c:pt>
                <c:pt idx="50">
                  <c:v>644712.84836190823</c:v>
                </c:pt>
                <c:pt idx="51">
                  <c:v>385891.78469544213</c:v>
                </c:pt>
                <c:pt idx="52">
                  <c:v>386708.09854159679</c:v>
                </c:pt>
                <c:pt idx="53">
                  <c:v>645375.19109523471</c:v>
                </c:pt>
                <c:pt idx="54">
                  <c:v>386708.09854159679</c:v>
                </c:pt>
                <c:pt idx="55">
                  <c:v>386708.09854159597</c:v>
                </c:pt>
                <c:pt idx="56">
                  <c:v>647076.94828308921</c:v>
                </c:pt>
                <c:pt idx="57">
                  <c:v>386708.09854159679</c:v>
                </c:pt>
                <c:pt idx="58">
                  <c:v>386708.09854159597</c:v>
                </c:pt>
                <c:pt idx="59">
                  <c:v>647076.94828308863</c:v>
                </c:pt>
                <c:pt idx="60">
                  <c:v>386708.09854159597</c:v>
                </c:pt>
                <c:pt idx="61">
                  <c:v>386708.09854159679</c:v>
                </c:pt>
                <c:pt idx="62">
                  <c:v>647076.94828308793</c:v>
                </c:pt>
                <c:pt idx="63">
                  <c:v>383150.61305306328</c:v>
                </c:pt>
                <c:pt idx="64">
                  <c:v>383983.25317613955</c:v>
                </c:pt>
                <c:pt idx="65">
                  <c:v>647823.68758085172</c:v>
                </c:pt>
                <c:pt idx="66">
                  <c:v>0</c:v>
                </c:pt>
                <c:pt idx="67">
                  <c:v>0</c:v>
                </c:pt>
                <c:pt idx="68">
                  <c:v>0</c:v>
                </c:pt>
              </c:numCache>
            </c:numRef>
          </c:val>
          <c:smooth val="0"/>
        </c:ser>
        <c:dLbls>
          <c:showLegendKey val="0"/>
          <c:showVal val="0"/>
          <c:showCatName val="0"/>
          <c:showSerName val="0"/>
          <c:showPercent val="0"/>
          <c:showBubbleSize val="0"/>
        </c:dLbls>
        <c:marker val="1"/>
        <c:smooth val="0"/>
        <c:axId val="213670144"/>
        <c:axId val="213676416"/>
      </c:lineChart>
      <c:dateAx>
        <c:axId val="213670144"/>
        <c:scaling>
          <c:orientation val="minMax"/>
        </c:scaling>
        <c:delete val="0"/>
        <c:axPos val="b"/>
        <c:title>
          <c:tx>
            <c:rich>
              <a:bodyPr/>
              <a:lstStyle/>
              <a:p>
                <a:pPr>
                  <a:defRPr sz="1100" b="1" i="0" u="none" strike="noStrike" baseline="0">
                    <a:solidFill>
                      <a:srgbClr val="000000"/>
                    </a:solidFill>
                    <a:latin typeface="Arial"/>
                    <a:ea typeface="Arial"/>
                    <a:cs typeface="Arial"/>
                  </a:defRPr>
                </a:pPr>
                <a:r>
                  <a:rPr lang="en-GB"/>
                  <a:t>Time</a:t>
                </a:r>
              </a:p>
            </c:rich>
          </c:tx>
          <c:layout>
            <c:manualLayout>
              <c:xMode val="edge"/>
              <c:yMode val="edge"/>
              <c:x val="0.54166751437849681"/>
              <c:y val="0.8193727750899551"/>
            </c:manualLayout>
          </c:layout>
          <c:overlay val="0"/>
          <c:spPr>
            <a:noFill/>
            <a:ln w="25400">
              <a:noFill/>
            </a:ln>
          </c:spPr>
        </c:title>
        <c:numFmt formatCode="mmm\-yy" sourceLinked="0"/>
        <c:majorTickMark val="out"/>
        <c:minorTickMark val="none"/>
        <c:tickLblPos val="nextTo"/>
        <c:spPr>
          <a:ln w="3175">
            <a:solidFill>
              <a:srgbClr val="000000"/>
            </a:solidFill>
            <a:prstDash val="solid"/>
          </a:ln>
        </c:spPr>
        <c:txPr>
          <a:bodyPr rot="-2700000" vert="horz"/>
          <a:lstStyle/>
          <a:p>
            <a:pPr>
              <a:defRPr sz="800" b="0" i="0" u="none" strike="noStrike" baseline="0">
                <a:solidFill>
                  <a:srgbClr val="000000"/>
                </a:solidFill>
                <a:latin typeface="Arial"/>
                <a:ea typeface="Arial"/>
                <a:cs typeface="Arial"/>
              </a:defRPr>
            </a:pPr>
            <a:endParaRPr lang="en-US"/>
          </a:p>
        </c:txPr>
        <c:crossAx val="213676416"/>
        <c:crosses val="autoZero"/>
        <c:auto val="1"/>
        <c:lblOffset val="100"/>
        <c:baseTimeUnit val="months"/>
        <c:majorUnit val="4"/>
        <c:majorTimeUnit val="months"/>
        <c:minorUnit val="2"/>
        <c:minorTimeUnit val="months"/>
      </c:dateAx>
      <c:valAx>
        <c:axId val="213676416"/>
        <c:scaling>
          <c:orientation val="minMax"/>
        </c:scaling>
        <c:delete val="0"/>
        <c:axPos val="l"/>
        <c:majorGridlines>
          <c:spPr>
            <a:ln w="3175">
              <a:solidFill>
                <a:srgbClr val="808080"/>
              </a:solidFill>
              <a:prstDash val="sysDash"/>
            </a:ln>
          </c:spPr>
        </c:majorGridlines>
        <c:title>
          <c:tx>
            <c:rich>
              <a:bodyPr/>
              <a:lstStyle/>
              <a:p>
                <a:pPr>
                  <a:defRPr sz="1100" b="1" i="0" u="none" strike="noStrike" baseline="0">
                    <a:solidFill>
                      <a:srgbClr val="000000"/>
                    </a:solidFill>
                    <a:latin typeface="Arial"/>
                    <a:ea typeface="Arial"/>
                    <a:cs typeface="Arial"/>
                  </a:defRPr>
                </a:pPr>
                <a:r>
                  <a:rPr lang="en-GB"/>
                  <a:t>Value</a:t>
                </a:r>
              </a:p>
            </c:rich>
          </c:tx>
          <c:layout>
            <c:manualLayout>
              <c:xMode val="edge"/>
              <c:yMode val="edge"/>
              <c:x val="2.5641065769396298E-2"/>
              <c:y val="0.38219944141576179"/>
            </c:manualLayout>
          </c:layout>
          <c:overlay val="0"/>
          <c:spPr>
            <a:noFill/>
            <a:ln w="25400">
              <a:noFill/>
            </a:ln>
          </c:spPr>
        </c:title>
        <c:numFmt formatCode="#,##0_ ;[Red]\-#,##0\ "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13670144"/>
        <c:crosses val="autoZero"/>
        <c:crossBetween val="between"/>
      </c:valAx>
      <c:spPr>
        <a:solidFill>
          <a:srgbClr val="FFFFFF"/>
        </a:solidFill>
        <a:ln w="12700">
          <a:solidFill>
            <a:srgbClr val="808080"/>
          </a:solidFill>
          <a:prstDash val="solid"/>
        </a:ln>
      </c:spPr>
    </c:plotArea>
    <c:legend>
      <c:legendPos val="b"/>
      <c:layout>
        <c:manualLayout>
          <c:xMode val="edge"/>
          <c:yMode val="edge"/>
          <c:x val="0.4455135177432607"/>
          <c:y val="0.92408495082030073"/>
          <c:w val="0.25480809108337571"/>
          <c:h val="5.759169665169013E-2"/>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1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Style="combo" dx="16" fmlaLink="$A$103" fmlaRange="f_CostDropMU" val="0"/>
</file>

<file path=xl/ctrlProps/ctrlProp3.xml><?xml version="1.0" encoding="utf-8"?>
<formControlPr xmlns="http://schemas.microsoft.com/office/spreadsheetml/2009/9/main" objectType="Drop" dropStyle="combo" dx="16" fmlaLink="$A$104" fmlaRange="f_PriceDropMU" sel="2" val="0"/>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hyperlink" Target="#Navigation!A1"/></Relationships>
</file>

<file path=xl/drawings/_rels/drawing3.xml.rels><?xml version="1.0" encoding="UTF-8" standalone="yes"?>
<Relationships xmlns="http://schemas.openxmlformats.org/package/2006/relationships"><Relationship Id="rId13" Type="http://schemas.openxmlformats.org/officeDocument/2006/relationships/hyperlink" Target="#CONBR1"/><Relationship Id="rId18" Type="http://schemas.openxmlformats.org/officeDocument/2006/relationships/hyperlink" Target="#PLA16A"/><Relationship Id="rId26" Type="http://schemas.openxmlformats.org/officeDocument/2006/relationships/hyperlink" Target="#CONMA1"/><Relationship Id="rId39" Type="http://schemas.openxmlformats.org/officeDocument/2006/relationships/hyperlink" Target="#CONSI1"/><Relationship Id="rId21" Type="http://schemas.openxmlformats.org/officeDocument/2006/relationships/hyperlink" Target="#Cover!A1"/><Relationship Id="rId34" Type="http://schemas.openxmlformats.org/officeDocument/2006/relationships/hyperlink" Target="#CONCS1"/><Relationship Id="rId42" Type="http://schemas.openxmlformats.org/officeDocument/2006/relationships/hyperlink" Target="#PLA9A"/><Relationship Id="rId47" Type="http://schemas.openxmlformats.org/officeDocument/2006/relationships/hyperlink" Target="#CONUN1"/><Relationship Id="rId50" Type="http://schemas.openxmlformats.org/officeDocument/2006/relationships/hyperlink" Target="#SPRST1"/><Relationship Id="rId55" Type="http://schemas.openxmlformats.org/officeDocument/2006/relationships/hyperlink" Target="#INTBP1"/><Relationship Id="rId63" Type="http://schemas.openxmlformats.org/officeDocument/2006/relationships/hyperlink" Target="#CONUC3"/><Relationship Id="rId7" Type="http://schemas.openxmlformats.org/officeDocument/2006/relationships/hyperlink" Target="#PLA19A"/><Relationship Id="rId2" Type="http://schemas.openxmlformats.org/officeDocument/2006/relationships/hyperlink" Target="#'Model Logic'!A1"/><Relationship Id="rId16" Type="http://schemas.openxmlformats.org/officeDocument/2006/relationships/hyperlink" Target="#TIMMO1"/><Relationship Id="rId20" Type="http://schemas.openxmlformats.org/officeDocument/2006/relationships/hyperlink" Target="#CONLF1"/><Relationship Id="rId29" Type="http://schemas.openxmlformats.org/officeDocument/2006/relationships/hyperlink" Target="#CONCO1"/><Relationship Id="rId41" Type="http://schemas.openxmlformats.org/officeDocument/2006/relationships/hyperlink" Target="#PLA13A"/><Relationship Id="rId54" Type="http://schemas.openxmlformats.org/officeDocument/2006/relationships/hyperlink" Target="#INTCP1"/><Relationship Id="rId62" Type="http://schemas.openxmlformats.org/officeDocument/2006/relationships/hyperlink" Target="#CONUC2"/><Relationship Id="rId1" Type="http://schemas.openxmlformats.org/officeDocument/2006/relationships/hyperlink" Target="#PLA6A"/><Relationship Id="rId6" Type="http://schemas.openxmlformats.org/officeDocument/2006/relationships/hyperlink" Target="#PLA7A"/><Relationship Id="rId11" Type="http://schemas.openxmlformats.org/officeDocument/2006/relationships/hyperlink" Target="#CONAT1"/><Relationship Id="rId24" Type="http://schemas.openxmlformats.org/officeDocument/2006/relationships/hyperlink" Target="#PLA2A"/><Relationship Id="rId32" Type="http://schemas.openxmlformats.org/officeDocument/2006/relationships/hyperlink" Target="#CONCP1"/><Relationship Id="rId37" Type="http://schemas.openxmlformats.org/officeDocument/2006/relationships/hyperlink" Target="#CONSU1"/><Relationship Id="rId40" Type="http://schemas.openxmlformats.org/officeDocument/2006/relationships/hyperlink" Target="#PLA15A"/><Relationship Id="rId45" Type="http://schemas.openxmlformats.org/officeDocument/2006/relationships/hyperlink" Target="#TIMQU1"/><Relationship Id="rId53" Type="http://schemas.openxmlformats.org/officeDocument/2006/relationships/hyperlink" Target="#INTCO1"/><Relationship Id="rId58" Type="http://schemas.openxmlformats.org/officeDocument/2006/relationships/hyperlink" Target="#FINSR1"/><Relationship Id="rId5" Type="http://schemas.openxmlformats.org/officeDocument/2006/relationships/hyperlink" Target="#PLA5A"/><Relationship Id="rId15" Type="http://schemas.openxmlformats.org/officeDocument/2006/relationships/hyperlink" Target="#TIMGE1"/><Relationship Id="rId23" Type="http://schemas.openxmlformats.org/officeDocument/2006/relationships/hyperlink" Target="#Bookname"/><Relationship Id="rId28" Type="http://schemas.openxmlformats.org/officeDocument/2006/relationships/hyperlink" Target="#CONCU1"/><Relationship Id="rId36" Type="http://schemas.openxmlformats.org/officeDocument/2006/relationships/hyperlink" Target="#CONRE1"/><Relationship Id="rId49" Type="http://schemas.openxmlformats.org/officeDocument/2006/relationships/hyperlink" Target="#PLA17A"/><Relationship Id="rId57" Type="http://schemas.openxmlformats.org/officeDocument/2006/relationships/hyperlink" Target="#FINFD1"/><Relationship Id="rId61" Type="http://schemas.openxmlformats.org/officeDocument/2006/relationships/hyperlink" Target="#FINCB1"/><Relationship Id="rId10" Type="http://schemas.openxmlformats.org/officeDocument/2006/relationships/hyperlink" Target="#PLA14A"/><Relationship Id="rId19" Type="http://schemas.openxmlformats.org/officeDocument/2006/relationships/hyperlink" Target="#TIMIR1"/><Relationship Id="rId31" Type="http://schemas.openxmlformats.org/officeDocument/2006/relationships/hyperlink" Target="#CONCM1"/><Relationship Id="rId44" Type="http://schemas.openxmlformats.org/officeDocument/2006/relationships/hyperlink" Target="#PLA11A"/><Relationship Id="rId52" Type="http://schemas.openxmlformats.org/officeDocument/2006/relationships/hyperlink" Target="#PLA18A"/><Relationship Id="rId60" Type="http://schemas.openxmlformats.org/officeDocument/2006/relationships/hyperlink" Target="#FINGD1"/><Relationship Id="rId4" Type="http://schemas.openxmlformats.org/officeDocument/2006/relationships/hyperlink" Target="#CONOG1"/><Relationship Id="rId9" Type="http://schemas.openxmlformats.org/officeDocument/2006/relationships/hyperlink" Target="#PLA20A"/><Relationship Id="rId14" Type="http://schemas.openxmlformats.org/officeDocument/2006/relationships/hyperlink" Target="#TIMCR1"/><Relationship Id="rId22" Type="http://schemas.openxmlformats.org/officeDocument/2006/relationships/hyperlink" Target="#PLA21A"/><Relationship Id="rId27" Type="http://schemas.openxmlformats.org/officeDocument/2006/relationships/hyperlink" Target="#TIMAN1"/><Relationship Id="rId30" Type="http://schemas.openxmlformats.org/officeDocument/2006/relationships/hyperlink" Target="#CONCC1"/><Relationship Id="rId35" Type="http://schemas.openxmlformats.org/officeDocument/2006/relationships/hyperlink" Target="#CONPA1"/><Relationship Id="rId43" Type="http://schemas.openxmlformats.org/officeDocument/2006/relationships/hyperlink" Target="#PLA8A"/><Relationship Id="rId48" Type="http://schemas.openxmlformats.org/officeDocument/2006/relationships/hyperlink" Target="#PLA12A"/><Relationship Id="rId56" Type="http://schemas.openxmlformats.org/officeDocument/2006/relationships/hyperlink" Target="#INTOT1"/><Relationship Id="rId64" Type="http://schemas.openxmlformats.org/officeDocument/2006/relationships/hyperlink" Target="#PLA22A"/><Relationship Id="rId8" Type="http://schemas.openxmlformats.org/officeDocument/2006/relationships/hyperlink" Target="#PLA10A"/><Relationship Id="rId51" Type="http://schemas.openxmlformats.org/officeDocument/2006/relationships/hyperlink" Target="#SPRSP1"/><Relationship Id="rId3" Type="http://schemas.openxmlformats.org/officeDocument/2006/relationships/hyperlink" Target="#CONMC1"/><Relationship Id="rId12" Type="http://schemas.openxmlformats.org/officeDocument/2006/relationships/hyperlink" Target="#CONRO1"/><Relationship Id="rId17" Type="http://schemas.openxmlformats.org/officeDocument/2006/relationships/hyperlink" Target="#CONPT1"/><Relationship Id="rId25" Type="http://schemas.openxmlformats.org/officeDocument/2006/relationships/hyperlink" Target="#PLA3A"/><Relationship Id="rId33" Type="http://schemas.openxmlformats.org/officeDocument/2006/relationships/hyperlink" Target="#CONCT1"/><Relationship Id="rId38" Type="http://schemas.openxmlformats.org/officeDocument/2006/relationships/hyperlink" Target="#CONTE1"/><Relationship Id="rId46" Type="http://schemas.openxmlformats.org/officeDocument/2006/relationships/hyperlink" Target="#CONDE1"/><Relationship Id="rId59" Type="http://schemas.openxmlformats.org/officeDocument/2006/relationships/hyperlink" Target="#FINST1"/></Relationships>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xdr:col>
      <xdr:colOff>123825</xdr:colOff>
      <xdr:row>2</xdr:row>
      <xdr:rowOff>104775</xdr:rowOff>
    </xdr:from>
    <xdr:to>
      <xdr:col>3</xdr:col>
      <xdr:colOff>904875</xdr:colOff>
      <xdr:row>4</xdr:row>
      <xdr:rowOff>76200</xdr:rowOff>
    </xdr:to>
    <xdr:sp macro="" textlink="">
      <xdr:nvSpPr>
        <xdr:cNvPr id="2" name="AutoShape 1">
          <a:hlinkClick xmlns:r="http://schemas.openxmlformats.org/officeDocument/2006/relationships" r:id="rId1"/>
        </xdr:cNvPr>
        <xdr:cNvSpPr>
          <a:spLocks noChangeArrowheads="1"/>
        </xdr:cNvSpPr>
      </xdr:nvSpPr>
      <xdr:spPr bwMode="auto">
        <a:xfrm>
          <a:off x="3152775" y="400050"/>
          <a:ext cx="781050" cy="342900"/>
        </a:xfrm>
        <a:prstGeom prst="roundRect">
          <a:avLst>
            <a:gd name="adj" fmla="val 16667"/>
          </a:avLst>
        </a:prstGeom>
        <a:solidFill>
          <a:srgbClr xmlns:mc="http://schemas.openxmlformats.org/markup-compatibility/2006" xmlns:a14="http://schemas.microsoft.com/office/drawing/2010/main" val="0000FF" mc:Ignorable="a14" a14:legacySpreadsheetColorIndex="12"/>
        </a:solidFill>
        <a:ln>
          <a:noFill/>
        </a:ln>
        <a:effectLst>
          <a:prstShdw prst="shdw17" dist="17961" dir="2700000">
            <a:srgbClr xmlns:mc="http://schemas.openxmlformats.org/markup-compatibility/2006" xmlns:a14="http://schemas.microsoft.com/office/drawing/2010/main" val="000099" mc:Ignorable="a14" a14:legacySpreadsheetColorIndex="12">
              <a:gamma/>
              <a:shade val="60000"/>
              <a:invGamma/>
            </a:srgbClr>
          </a:prstShdw>
        </a:effectLst>
        <a:extLst>
          <a:ext uri="{91240B29-F687-4F45-9708-019B960494DF}">
            <a14:hiddenLine xmlns:a14="http://schemas.microsoft.com/office/drawing/2010/main" w="12700">
              <a:solidFill>
                <a:srgbClr xmlns:mc="http://schemas.openxmlformats.org/markup-compatibility/2006" val="000000" mc:Ignorable="a14" a14:legacySpreadsheetColorIndex="64"/>
              </a:solidFill>
              <a:round/>
              <a:headEnd/>
              <a:tailEnd/>
            </a14:hiddenLine>
          </a:ext>
        </a:extLst>
      </xdr:spPr>
      <xdr:txBody>
        <a:bodyPr vertOverflow="clip" wrap="square" lIns="27432" tIns="18288" rIns="27432" bIns="18288" anchor="ctr" upright="1"/>
        <a:lstStyle/>
        <a:p>
          <a:pPr algn="ctr" rtl="0">
            <a:defRPr sz="1000"/>
          </a:pPr>
          <a:r>
            <a:rPr lang="en-GB" sz="900" b="0" i="0" u="none" strike="noStrike" baseline="0">
              <a:solidFill>
                <a:srgbClr val="FFFFFF"/>
              </a:solidFill>
              <a:latin typeface="Verdana"/>
              <a:ea typeface="Verdana"/>
              <a:cs typeface="Verdana"/>
            </a:rPr>
            <a:t>Navigation</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781050</xdr:colOff>
      <xdr:row>13</xdr:row>
      <xdr:rowOff>57150</xdr:rowOff>
    </xdr:from>
    <xdr:to>
      <xdr:col>9</xdr:col>
      <xdr:colOff>47625</xdr:colOff>
      <xdr:row>20</xdr:row>
      <xdr:rowOff>104775</xdr:rowOff>
    </xdr:to>
    <xdr:sp macro="" textlink="">
      <xdr:nvSpPr>
        <xdr:cNvPr id="2" name="Text Box 35"/>
        <xdr:cNvSpPr txBox="1">
          <a:spLocks noChangeArrowheads="1"/>
        </xdr:cNvSpPr>
      </xdr:nvSpPr>
      <xdr:spPr bwMode="auto">
        <a:xfrm>
          <a:off x="4248150" y="3209925"/>
          <a:ext cx="3810000" cy="2266950"/>
        </a:xfrm>
        <a:prstGeom prst="rect">
          <a:avLst/>
        </a:prstGeom>
        <a:noFill/>
        <a:ln w="9525" algn="ctr">
          <a:solidFill>
            <a:srgbClr xmlns:mc="http://schemas.openxmlformats.org/markup-compatibility/2006" xmlns:a14="http://schemas.microsoft.com/office/drawing/2010/main" val="000000" mc:Ignorable="a14" a14:legacySpreadsheetColorIndex="64"/>
          </a:solidFill>
          <a:prstDash val="dash"/>
          <a:miter lim="800000"/>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27432" bIns="22860" anchor="b" upright="1"/>
        <a:lstStyle/>
        <a:p>
          <a:pPr algn="r" rtl="0">
            <a:defRPr sz="1000"/>
          </a:pPr>
          <a:r>
            <a:rPr lang="en-GB" sz="1000" b="0" i="0" u="none" strike="noStrike" baseline="0">
              <a:solidFill>
                <a:srgbClr val="000000"/>
              </a:solidFill>
              <a:latin typeface="Arial"/>
              <a:cs typeface="Arial"/>
            </a:rPr>
            <a:t>FINANCIAL MODEL</a:t>
          </a:r>
          <a:endParaRPr lang="en-GB"/>
        </a:p>
      </xdr:txBody>
    </xdr:sp>
    <xdr:clientData/>
  </xdr:twoCellAnchor>
  <mc:AlternateContent xmlns:mc="http://schemas.openxmlformats.org/markup-compatibility/2006">
    <mc:Choice xmlns:a14="http://schemas.microsoft.com/office/drawing/2010/main" Requires="a14">
      <xdr:twoCellAnchor>
        <xdr:from>
          <xdr:col>0</xdr:col>
          <xdr:colOff>28575</xdr:colOff>
          <xdr:row>2</xdr:row>
          <xdr:rowOff>19050</xdr:rowOff>
        </xdr:from>
        <xdr:to>
          <xdr:col>0</xdr:col>
          <xdr:colOff>714375</xdr:colOff>
          <xdr:row>4</xdr:row>
          <xdr:rowOff>66675</xdr:rowOff>
        </xdr:to>
        <xdr:sp macro="" textlink="">
          <xdr:nvSpPr>
            <xdr:cNvPr id="7169" name="o_IN2" hidden="1">
              <a:extLst>
                <a:ext uri="{63B3BB69-23CF-44E3-9099-C40C66FF867C}">
                  <a14:compatExt spid="_x0000_s71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900" b="0" i="0" u="none" strike="noStrike" baseline="0">
                  <a:solidFill>
                    <a:srgbClr val="000000"/>
                  </a:solidFill>
                  <a:latin typeface="Arial"/>
                  <a:cs typeface="Arial"/>
                </a:rPr>
                <a:t>Copy</a:t>
              </a:r>
            </a:p>
          </xdr:txBody>
        </xdr:sp>
        <xdr:clientData fPrintsWithSheet="0"/>
      </xdr:twoCellAnchor>
    </mc:Choice>
    <mc:Fallback/>
  </mc:AlternateContent>
  <xdr:twoCellAnchor>
    <xdr:from>
      <xdr:col>0</xdr:col>
      <xdr:colOff>1381125</xdr:colOff>
      <xdr:row>13</xdr:row>
      <xdr:rowOff>266700</xdr:rowOff>
    </xdr:from>
    <xdr:to>
      <xdr:col>1</xdr:col>
      <xdr:colOff>314325</xdr:colOff>
      <xdr:row>15</xdr:row>
      <xdr:rowOff>238125</xdr:rowOff>
    </xdr:to>
    <xdr:sp macro="" textlink="">
      <xdr:nvSpPr>
        <xdr:cNvPr id="6" name="Text Box 15"/>
        <xdr:cNvSpPr txBox="1">
          <a:spLocks noChangeArrowheads="1"/>
        </xdr:cNvSpPr>
      </xdr:nvSpPr>
      <xdr:spPr bwMode="auto">
        <a:xfrm>
          <a:off x="1381125" y="3419475"/>
          <a:ext cx="990600" cy="657225"/>
        </a:xfrm>
        <a:prstGeom prst="rect">
          <a:avLst/>
        </a:prstGeom>
        <a:solidFill>
          <a:srgbClr val="FFFFCC"/>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outerShdw dist="107763" dir="2700000" algn="ctr" rotWithShape="0">
            <a:srgbClr val="808080">
              <a:alpha val="50000"/>
            </a:srgbClr>
          </a:outerShdw>
        </a:effectLst>
      </xdr:spPr>
      <xdr:txBody>
        <a:bodyPr vertOverflow="clip" wrap="square" lIns="27432" tIns="22860" rIns="27432" bIns="22860" anchor="ctr" upright="1"/>
        <a:lstStyle/>
        <a:p>
          <a:pPr algn="ctr" rtl="0">
            <a:defRPr sz="1000"/>
          </a:pPr>
          <a:r>
            <a:rPr lang="en-GB" sz="900" b="1" i="0" u="none" strike="noStrike" baseline="0">
              <a:solidFill>
                <a:srgbClr val="000000"/>
              </a:solidFill>
              <a:latin typeface="+mn-lt"/>
              <a:cs typeface="Arial"/>
            </a:rPr>
            <a:t>ERP data</a:t>
          </a:r>
          <a:endParaRPr lang="en-GB" sz="900">
            <a:latin typeface="+mn-lt"/>
          </a:endParaRPr>
        </a:p>
      </xdr:txBody>
    </xdr:sp>
    <xdr:clientData/>
  </xdr:twoCellAnchor>
  <xdr:twoCellAnchor>
    <xdr:from>
      <xdr:col>0</xdr:col>
      <xdr:colOff>1381125</xdr:colOff>
      <xdr:row>16</xdr:row>
      <xdr:rowOff>123825</xdr:rowOff>
    </xdr:from>
    <xdr:to>
      <xdr:col>1</xdr:col>
      <xdr:colOff>314325</xdr:colOff>
      <xdr:row>18</xdr:row>
      <xdr:rowOff>95250</xdr:rowOff>
    </xdr:to>
    <xdr:sp macro="" textlink="">
      <xdr:nvSpPr>
        <xdr:cNvPr id="7" name="Text Box 16"/>
        <xdr:cNvSpPr txBox="1">
          <a:spLocks noChangeArrowheads="1"/>
        </xdr:cNvSpPr>
      </xdr:nvSpPr>
      <xdr:spPr bwMode="auto">
        <a:xfrm>
          <a:off x="1381125" y="4305300"/>
          <a:ext cx="990600" cy="657225"/>
        </a:xfrm>
        <a:prstGeom prst="rect">
          <a:avLst/>
        </a:prstGeom>
        <a:solidFill>
          <a:srgbClr val="FFFFCC"/>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outerShdw dist="107763" dir="2700000" algn="ctr" rotWithShape="0">
            <a:srgbClr val="808080">
              <a:alpha val="50000"/>
            </a:srgbClr>
          </a:outerShdw>
        </a:effectLst>
      </xdr:spPr>
      <xdr:txBody>
        <a:bodyPr vertOverflow="clip" wrap="square" lIns="27432" tIns="22860" rIns="27432" bIns="22860" anchor="ctr" upright="1"/>
        <a:lstStyle/>
        <a:p>
          <a:pPr algn="ctr" rtl="0">
            <a:defRPr sz="1000"/>
          </a:pPr>
          <a:r>
            <a:rPr lang="en-GB" sz="900" b="1" i="0" u="none" strike="noStrike" baseline="0">
              <a:solidFill>
                <a:srgbClr val="000000"/>
              </a:solidFill>
              <a:latin typeface="+mn-lt"/>
              <a:cs typeface="Arial"/>
            </a:rPr>
            <a:t>Standard in-house templates</a:t>
          </a:r>
          <a:endParaRPr lang="en-GB" sz="900">
            <a:latin typeface="+mn-lt"/>
          </a:endParaRPr>
        </a:p>
      </xdr:txBody>
    </xdr:sp>
    <xdr:clientData/>
  </xdr:twoCellAnchor>
  <xdr:twoCellAnchor>
    <xdr:from>
      <xdr:col>7</xdr:col>
      <xdr:colOff>9525</xdr:colOff>
      <xdr:row>13</xdr:row>
      <xdr:rowOff>266700</xdr:rowOff>
    </xdr:from>
    <xdr:to>
      <xdr:col>8</xdr:col>
      <xdr:colOff>390525</xdr:colOff>
      <xdr:row>15</xdr:row>
      <xdr:rowOff>238125</xdr:rowOff>
    </xdr:to>
    <xdr:sp macro="" textlink="">
      <xdr:nvSpPr>
        <xdr:cNvPr id="10" name="Text Box 19"/>
        <xdr:cNvSpPr txBox="1">
          <a:spLocks noChangeArrowheads="1"/>
        </xdr:cNvSpPr>
      </xdr:nvSpPr>
      <xdr:spPr bwMode="auto">
        <a:xfrm>
          <a:off x="6800850" y="3419475"/>
          <a:ext cx="990600" cy="657225"/>
        </a:xfrm>
        <a:prstGeom prst="rect">
          <a:avLst/>
        </a:prstGeom>
        <a:solidFill>
          <a:schemeClr val="accent1">
            <a:lumMod val="75000"/>
          </a:schemeClr>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outerShdw dist="107763" dir="2700000" algn="ctr" rotWithShape="0">
            <a:srgbClr val="808080">
              <a:alpha val="50000"/>
            </a:srgbClr>
          </a:outerShdw>
        </a:effectLst>
      </xdr:spPr>
      <xdr:txBody>
        <a:bodyPr vertOverflow="clip" wrap="square" lIns="27432" tIns="22860" rIns="27432" bIns="22860" anchor="ctr" upright="1"/>
        <a:lstStyle/>
        <a:p>
          <a:pPr algn="ctr" rtl="0">
            <a:defRPr sz="1000"/>
          </a:pPr>
          <a:r>
            <a:rPr lang="en-GB" sz="1000" b="1" i="0" u="none" strike="noStrike" baseline="0">
              <a:solidFill>
                <a:schemeClr val="bg1"/>
              </a:solidFill>
              <a:latin typeface="Arial"/>
              <a:cs typeface="Arial"/>
            </a:rPr>
            <a:t>Accounting</a:t>
          </a:r>
          <a:endParaRPr lang="en-GB">
            <a:solidFill>
              <a:schemeClr val="bg1"/>
            </a:solidFill>
          </a:endParaRPr>
        </a:p>
      </xdr:txBody>
    </xdr:sp>
    <xdr:clientData/>
  </xdr:twoCellAnchor>
  <xdr:twoCellAnchor>
    <xdr:from>
      <xdr:col>3</xdr:col>
      <xdr:colOff>428625</xdr:colOff>
      <xdr:row>17</xdr:row>
      <xdr:rowOff>76200</xdr:rowOff>
    </xdr:from>
    <xdr:to>
      <xdr:col>5</xdr:col>
      <xdr:colOff>200025</xdr:colOff>
      <xdr:row>19</xdr:row>
      <xdr:rowOff>47625</xdr:rowOff>
    </xdr:to>
    <xdr:sp macro="" textlink="">
      <xdr:nvSpPr>
        <xdr:cNvPr id="11" name="Text Box 20"/>
        <xdr:cNvSpPr txBox="1">
          <a:spLocks noChangeArrowheads="1"/>
        </xdr:cNvSpPr>
      </xdr:nvSpPr>
      <xdr:spPr bwMode="auto">
        <a:xfrm>
          <a:off x="4781550" y="4600575"/>
          <a:ext cx="990600" cy="657225"/>
        </a:xfrm>
        <a:prstGeom prst="rect">
          <a:avLst/>
        </a:prstGeom>
        <a:solidFill>
          <a:schemeClr val="accent1">
            <a:lumMod val="75000"/>
          </a:schemeClr>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outerShdw dist="107763" dir="2700000" algn="ctr" rotWithShape="0">
            <a:srgbClr val="808080">
              <a:alpha val="50000"/>
            </a:srgbClr>
          </a:outerShdw>
        </a:effectLst>
      </xdr:spPr>
      <xdr:txBody>
        <a:bodyPr vertOverflow="clip" wrap="square" lIns="27432" tIns="22860" rIns="27432" bIns="22860" anchor="ctr" upright="1"/>
        <a:lstStyle/>
        <a:p>
          <a:pPr algn="ctr" rtl="0">
            <a:defRPr sz="1000"/>
          </a:pPr>
          <a:r>
            <a:rPr lang="en-GB" sz="1000" b="1" i="0" u="none" strike="noStrike" baseline="0">
              <a:solidFill>
                <a:schemeClr val="bg1"/>
              </a:solidFill>
              <a:latin typeface="Arial"/>
              <a:cs typeface="Arial"/>
            </a:rPr>
            <a:t>Analysis</a:t>
          </a:r>
          <a:endParaRPr lang="en-GB">
            <a:solidFill>
              <a:schemeClr val="bg1"/>
            </a:solidFill>
          </a:endParaRPr>
        </a:p>
      </xdr:txBody>
    </xdr:sp>
    <xdr:clientData/>
  </xdr:twoCellAnchor>
  <xdr:twoCellAnchor>
    <xdr:from>
      <xdr:col>9</xdr:col>
      <xdr:colOff>200025</xdr:colOff>
      <xdr:row>14</xdr:row>
      <xdr:rowOff>47625</xdr:rowOff>
    </xdr:from>
    <xdr:to>
      <xdr:col>11</xdr:col>
      <xdr:colOff>0</xdr:colOff>
      <xdr:row>15</xdr:row>
      <xdr:rowOff>95250</xdr:rowOff>
    </xdr:to>
    <xdr:sp macro="" textlink="">
      <xdr:nvSpPr>
        <xdr:cNvPr id="13" name="Text Box 30"/>
        <xdr:cNvSpPr txBox="1">
          <a:spLocks noChangeArrowheads="1"/>
        </xdr:cNvSpPr>
      </xdr:nvSpPr>
      <xdr:spPr bwMode="auto">
        <a:xfrm>
          <a:off x="8236059" y="3255470"/>
          <a:ext cx="1026182" cy="387021"/>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Outputs</a:t>
          </a:r>
          <a:endParaRPr lang="en-GB"/>
        </a:p>
      </xdr:txBody>
    </xdr:sp>
    <xdr:clientData/>
  </xdr:twoCellAnchor>
  <xdr:twoCellAnchor>
    <xdr:from>
      <xdr:col>3</xdr:col>
      <xdr:colOff>428627</xdr:colOff>
      <xdr:row>13</xdr:row>
      <xdr:rowOff>266699</xdr:rowOff>
    </xdr:from>
    <xdr:to>
      <xdr:col>5</xdr:col>
      <xdr:colOff>199706</xdr:colOff>
      <xdr:row>15</xdr:row>
      <xdr:rowOff>237635</xdr:rowOff>
    </xdr:to>
    <xdr:grpSp>
      <xdr:nvGrpSpPr>
        <xdr:cNvPr id="18" name="Group 28"/>
        <xdr:cNvGrpSpPr>
          <a:grpSpLocks/>
        </xdr:cNvGrpSpPr>
      </xdr:nvGrpSpPr>
      <xdr:grpSpPr bwMode="auto">
        <a:xfrm>
          <a:off x="4774408" y="2778918"/>
          <a:ext cx="985517" cy="661498"/>
          <a:chOff x="550" y="318"/>
          <a:chExt cx="104" cy="69"/>
        </a:xfrm>
      </xdr:grpSpPr>
      <xdr:sp macro="" textlink="">
        <xdr:nvSpPr>
          <xdr:cNvPr id="22" name="Text Box 14"/>
          <xdr:cNvSpPr txBox="1">
            <a:spLocks noChangeArrowheads="1"/>
          </xdr:cNvSpPr>
        </xdr:nvSpPr>
        <xdr:spPr bwMode="auto">
          <a:xfrm>
            <a:off x="550" y="318"/>
            <a:ext cx="104" cy="69"/>
          </a:xfrm>
          <a:prstGeom prst="rect">
            <a:avLst/>
          </a:prstGeom>
          <a:solidFill>
            <a:schemeClr val="tx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outerShdw dist="107763" dir="2700000" algn="ctr" rotWithShape="0">
              <a:srgbClr val="808080">
                <a:alpha val="50000"/>
              </a:srgbClr>
            </a:outerShdw>
          </a:effectLst>
        </xdr:spPr>
        <xdr:txBody>
          <a:bodyPr vertOverflow="clip" wrap="square" lIns="27432" tIns="22860" rIns="27432" bIns="22860" anchor="ctr" upright="1"/>
          <a:lstStyle/>
          <a:p>
            <a:pPr algn="ctr" rtl="0">
              <a:defRPr sz="1000"/>
            </a:pPr>
            <a:r>
              <a:rPr lang="en-GB" sz="1000" b="1" i="0" u="none" strike="noStrike" baseline="0">
                <a:solidFill>
                  <a:schemeClr val="bg1"/>
                </a:solidFill>
                <a:latin typeface="Arial"/>
                <a:cs typeface="Arial"/>
              </a:rPr>
              <a:t>Pricing </a:t>
            </a:r>
            <a:endParaRPr lang="en-GB">
              <a:solidFill>
                <a:schemeClr val="bg1"/>
              </a:solidFill>
            </a:endParaRPr>
          </a:p>
        </xdr:txBody>
      </xdr:sp>
      <xdr:sp macro="" textlink="">
        <xdr:nvSpPr>
          <xdr:cNvPr id="20" name="Rectangle 26"/>
          <xdr:cNvSpPr>
            <a:spLocks noChangeArrowheads="1"/>
          </xdr:cNvSpPr>
        </xdr:nvSpPr>
        <xdr:spPr bwMode="auto">
          <a:xfrm>
            <a:off x="550" y="318"/>
            <a:ext cx="12" cy="22"/>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21" name="Rectangle 27"/>
          <xdr:cNvSpPr>
            <a:spLocks noChangeArrowheads="1"/>
          </xdr:cNvSpPr>
        </xdr:nvSpPr>
        <xdr:spPr bwMode="auto">
          <a:xfrm>
            <a:off x="550" y="365"/>
            <a:ext cx="12" cy="22"/>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grpSp>
    <xdr:clientData/>
  </xdr:twoCellAnchor>
  <xdr:twoCellAnchor>
    <xdr:from>
      <xdr:col>1</xdr:col>
      <xdr:colOff>314325</xdr:colOff>
      <xdr:row>14</xdr:row>
      <xdr:rowOff>252168</xdr:rowOff>
    </xdr:from>
    <xdr:to>
      <xdr:col>3</xdr:col>
      <xdr:colOff>428625</xdr:colOff>
      <xdr:row>14</xdr:row>
      <xdr:rowOff>252412</xdr:rowOff>
    </xdr:to>
    <xdr:cxnSp macro="">
      <xdr:nvCxnSpPr>
        <xdr:cNvPr id="28" name="Elbow Connector 27"/>
        <xdr:cNvCxnSpPr>
          <a:stCxn id="6" idx="3"/>
          <a:endCxn id="22" idx="1"/>
        </xdr:cNvCxnSpPr>
      </xdr:nvCxnSpPr>
      <xdr:spPr>
        <a:xfrm flipV="1">
          <a:off x="2372601" y="3460013"/>
          <a:ext cx="2413438" cy="244"/>
        </a:xfrm>
        <a:prstGeom prst="bentConnector3">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314325</xdr:colOff>
      <xdr:row>14</xdr:row>
      <xdr:rowOff>252168</xdr:rowOff>
    </xdr:from>
    <xdr:to>
      <xdr:col>3</xdr:col>
      <xdr:colOff>428625</xdr:colOff>
      <xdr:row>17</xdr:row>
      <xdr:rowOff>109538</xdr:rowOff>
    </xdr:to>
    <xdr:cxnSp macro="">
      <xdr:nvCxnSpPr>
        <xdr:cNvPr id="30" name="Elbow Connector 29"/>
        <xdr:cNvCxnSpPr>
          <a:stCxn id="7" idx="3"/>
          <a:endCxn id="22" idx="1"/>
        </xdr:cNvCxnSpPr>
      </xdr:nvCxnSpPr>
      <xdr:spPr>
        <a:xfrm flipV="1">
          <a:off x="2372601" y="3460013"/>
          <a:ext cx="2413438" cy="875559"/>
        </a:xfrm>
        <a:prstGeom prst="bentConnector3">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199706</xdr:colOff>
      <xdr:row>14</xdr:row>
      <xdr:rowOff>252167</xdr:rowOff>
    </xdr:from>
    <xdr:to>
      <xdr:col>7</xdr:col>
      <xdr:colOff>9525</xdr:colOff>
      <xdr:row>14</xdr:row>
      <xdr:rowOff>252412</xdr:rowOff>
    </xdr:to>
    <xdr:cxnSp macro="">
      <xdr:nvCxnSpPr>
        <xdr:cNvPr id="7168" name="Elbow Connector 7167"/>
        <xdr:cNvCxnSpPr>
          <a:stCxn id="22" idx="3"/>
          <a:endCxn id="10" idx="1"/>
        </xdr:cNvCxnSpPr>
      </xdr:nvCxnSpPr>
      <xdr:spPr>
        <a:xfrm>
          <a:off x="5783327" y="3460012"/>
          <a:ext cx="1036026" cy="245"/>
        </a:xfrm>
        <a:prstGeom prst="bentConnector3">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314166</xdr:colOff>
      <xdr:row>15</xdr:row>
      <xdr:rowOff>237635</xdr:rowOff>
    </xdr:from>
    <xdr:to>
      <xdr:col>4</xdr:col>
      <xdr:colOff>314325</xdr:colOff>
      <xdr:row>17</xdr:row>
      <xdr:rowOff>76200</xdr:rowOff>
    </xdr:to>
    <xdr:cxnSp macro="">
      <xdr:nvCxnSpPr>
        <xdr:cNvPr id="7173" name="Elbow Connector 7172"/>
        <xdr:cNvCxnSpPr>
          <a:stCxn id="22" idx="2"/>
          <a:endCxn id="11" idx="0"/>
        </xdr:cNvCxnSpPr>
      </xdr:nvCxnSpPr>
      <xdr:spPr>
        <a:xfrm rot="16200000" flipH="1">
          <a:off x="5026084" y="4043475"/>
          <a:ext cx="517358" cy="159"/>
        </a:xfrm>
        <a:prstGeom prst="bentConnector3">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390525</xdr:colOff>
      <xdr:row>14</xdr:row>
      <xdr:rowOff>251810</xdr:rowOff>
    </xdr:from>
    <xdr:to>
      <xdr:col>9</xdr:col>
      <xdr:colOff>372242</xdr:colOff>
      <xdr:row>14</xdr:row>
      <xdr:rowOff>252412</xdr:rowOff>
    </xdr:to>
    <xdr:cxnSp macro="">
      <xdr:nvCxnSpPr>
        <xdr:cNvPr id="7175" name="Straight Arrow Connector 7174"/>
        <xdr:cNvCxnSpPr>
          <a:stCxn id="10" idx="3"/>
        </xdr:cNvCxnSpPr>
      </xdr:nvCxnSpPr>
      <xdr:spPr>
        <a:xfrm flipV="1">
          <a:off x="7813456" y="3459655"/>
          <a:ext cx="594820" cy="60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161925</xdr:colOff>
      <xdr:row>76</xdr:row>
      <xdr:rowOff>28575</xdr:rowOff>
    </xdr:from>
    <xdr:to>
      <xdr:col>23</xdr:col>
      <xdr:colOff>114300</xdr:colOff>
      <xdr:row>93</xdr:row>
      <xdr:rowOff>0</xdr:rowOff>
    </xdr:to>
    <xdr:sp macro="" textlink="">
      <xdr:nvSpPr>
        <xdr:cNvPr id="2" name="Text Box 480"/>
        <xdr:cNvSpPr txBox="1">
          <a:spLocks noChangeArrowheads="1"/>
        </xdr:cNvSpPr>
      </xdr:nvSpPr>
      <xdr:spPr bwMode="auto">
        <a:xfrm>
          <a:off x="161925" y="11982450"/>
          <a:ext cx="9867900" cy="2524125"/>
        </a:xfrm>
        <a:prstGeom prst="rect">
          <a:avLst/>
        </a:prstGeom>
        <a:noFill/>
        <a:ln w="25400" algn="ctr">
          <a:solidFill>
            <a:srgbClr xmlns:mc="http://schemas.openxmlformats.org/markup-compatibility/2006" xmlns:a14="http://schemas.microsoft.com/office/drawing/2010/main" val="0000FF" mc:Ignorable="a14" a14:legacySpreadsheetColorIndex="12"/>
          </a:solidFill>
          <a:miter lim="800000"/>
          <a:headEnd/>
          <a:tailEnd/>
        </a:ln>
        <a:effectLst>
          <a:outerShdw dist="35921" dir="2700000" algn="ctr" rotWithShape="0">
            <a:srgbClr val="808080"/>
          </a:outerShdw>
        </a:effectLst>
        <a:extLst>
          <a:ext uri="{909E8E84-426E-40DD-AFC4-6F175D3DCCD1}">
            <a14:hiddenFill xmlns:a14="http://schemas.microsoft.com/office/drawing/2010/main">
              <a:solidFill>
                <a:srgbClr xmlns:mc="http://schemas.openxmlformats.org/markup-compatibility/2006" val="FFFF99" mc:Ignorable="a14" a14:legacySpreadsheetColorIndex="43"/>
              </a:solidFill>
            </a14:hiddenFill>
          </a:ext>
        </a:extLst>
      </xdr:spPr>
      <xdr:txBody>
        <a:bodyPr vertOverflow="clip" wrap="square" lIns="90000" tIns="72000" rIns="90000" bIns="46800" anchor="t" upright="1"/>
        <a:lstStyle/>
        <a:p>
          <a:pPr algn="r" rtl="0">
            <a:defRPr sz="1000"/>
          </a:pPr>
          <a:r>
            <a:rPr lang="en-GB" sz="1000" b="0" i="0" u="none" strike="noStrike" baseline="0">
              <a:solidFill>
                <a:srgbClr val="0000FF"/>
              </a:solidFill>
              <a:latin typeface="Arial"/>
              <a:cs typeface="Arial"/>
            </a:rPr>
            <a:t>CALCULATION </a:t>
          </a:r>
          <a:endParaRPr lang="en-GB"/>
        </a:p>
      </xdr:txBody>
    </xdr:sp>
    <xdr:clientData/>
  </xdr:twoCellAnchor>
  <xdr:twoCellAnchor>
    <xdr:from>
      <xdr:col>1</xdr:col>
      <xdr:colOff>0</xdr:colOff>
      <xdr:row>113</xdr:row>
      <xdr:rowOff>28575</xdr:rowOff>
    </xdr:from>
    <xdr:to>
      <xdr:col>23</xdr:col>
      <xdr:colOff>152400</xdr:colOff>
      <xdr:row>120</xdr:row>
      <xdr:rowOff>142875</xdr:rowOff>
    </xdr:to>
    <xdr:sp macro="" textlink="">
      <xdr:nvSpPr>
        <xdr:cNvPr id="3" name="Text Box 515"/>
        <xdr:cNvSpPr txBox="1">
          <a:spLocks noChangeArrowheads="1"/>
        </xdr:cNvSpPr>
      </xdr:nvSpPr>
      <xdr:spPr bwMode="auto">
        <a:xfrm>
          <a:off x="200025" y="17773650"/>
          <a:ext cx="9867900" cy="1219200"/>
        </a:xfrm>
        <a:prstGeom prst="rect">
          <a:avLst/>
        </a:prstGeom>
        <a:noFill/>
        <a:ln w="25400" algn="ctr">
          <a:solidFill>
            <a:srgbClr xmlns:mc="http://schemas.openxmlformats.org/markup-compatibility/2006" xmlns:a14="http://schemas.microsoft.com/office/drawing/2010/main" val="0000FF" mc:Ignorable="a14" a14:legacySpreadsheetColorIndex="12"/>
          </a:solidFill>
          <a:miter lim="800000"/>
          <a:headEnd/>
          <a:tailEnd/>
        </a:ln>
        <a:effectLst>
          <a:outerShdw dist="35921" dir="2700000" algn="ctr" rotWithShape="0">
            <a:srgbClr val="808080"/>
          </a:outerShdw>
        </a:effectLst>
        <a:extLst>
          <a:ext uri="{909E8E84-426E-40DD-AFC4-6F175D3DCCD1}">
            <a14:hiddenFill xmlns:a14="http://schemas.microsoft.com/office/drawing/2010/main">
              <a:solidFill>
                <a:srgbClr xmlns:mc="http://schemas.openxmlformats.org/markup-compatibility/2006" val="FFFF99" mc:Ignorable="a14" a14:legacySpreadsheetColorIndex="43"/>
              </a:solidFill>
            </a14:hiddenFill>
          </a:ext>
        </a:extLst>
      </xdr:spPr>
      <xdr:txBody>
        <a:bodyPr vertOverflow="clip" wrap="square" lIns="90000" tIns="72000" rIns="90000" bIns="46800" anchor="t" upright="1"/>
        <a:lstStyle/>
        <a:p>
          <a:pPr algn="r" rtl="0">
            <a:defRPr sz="1000"/>
          </a:pPr>
          <a:r>
            <a:rPr lang="en-GB" sz="1000" b="0" i="0" u="none" strike="noStrike" baseline="0">
              <a:solidFill>
                <a:srgbClr val="0000FF"/>
              </a:solidFill>
              <a:latin typeface="Arial"/>
              <a:cs typeface="Arial"/>
            </a:rPr>
            <a:t>ADMIN SHEETS</a:t>
          </a:r>
          <a:endParaRPr lang="en-GB"/>
        </a:p>
      </xdr:txBody>
    </xdr:sp>
    <xdr:clientData/>
  </xdr:twoCellAnchor>
  <xdr:twoCellAnchor>
    <xdr:from>
      <xdr:col>1</xdr:col>
      <xdr:colOff>0</xdr:colOff>
      <xdr:row>47</xdr:row>
      <xdr:rowOff>95250</xdr:rowOff>
    </xdr:from>
    <xdr:to>
      <xdr:col>23</xdr:col>
      <xdr:colOff>152400</xdr:colOff>
      <xdr:row>72</xdr:row>
      <xdr:rowOff>142875</xdr:rowOff>
    </xdr:to>
    <xdr:sp macro="" textlink="">
      <xdr:nvSpPr>
        <xdr:cNvPr id="4" name="Text Box 386"/>
        <xdr:cNvSpPr txBox="1">
          <a:spLocks noChangeArrowheads="1"/>
        </xdr:cNvSpPr>
      </xdr:nvSpPr>
      <xdr:spPr bwMode="auto">
        <a:xfrm>
          <a:off x="200025" y="7410450"/>
          <a:ext cx="9867900" cy="4133850"/>
        </a:xfrm>
        <a:prstGeom prst="rect">
          <a:avLst/>
        </a:prstGeom>
        <a:noFill/>
        <a:ln w="25400" algn="ctr">
          <a:solidFill>
            <a:srgbClr xmlns:mc="http://schemas.openxmlformats.org/markup-compatibility/2006" xmlns:a14="http://schemas.microsoft.com/office/drawing/2010/main" val="0000FF" mc:Ignorable="a14" a14:legacySpreadsheetColorIndex="12"/>
          </a:solidFill>
          <a:miter lim="800000"/>
          <a:headEnd/>
          <a:tailEnd/>
        </a:ln>
        <a:effectLst>
          <a:outerShdw dist="35921" dir="2700000" algn="ctr" rotWithShape="0">
            <a:srgbClr val="808080"/>
          </a:outerShdw>
        </a:effectLst>
        <a:extLst>
          <a:ext uri="{909E8E84-426E-40DD-AFC4-6F175D3DCCD1}">
            <a14:hiddenFill xmlns:a14="http://schemas.microsoft.com/office/drawing/2010/main">
              <a:solidFill>
                <a:srgbClr xmlns:mc="http://schemas.openxmlformats.org/markup-compatibility/2006" val="FFFF99" mc:Ignorable="a14" a14:legacySpreadsheetColorIndex="43"/>
              </a:solidFill>
            </a14:hiddenFill>
          </a:ext>
        </a:extLst>
      </xdr:spPr>
      <xdr:txBody>
        <a:bodyPr vertOverflow="clip" wrap="square" lIns="90000" tIns="72000" rIns="90000" bIns="46800" anchor="t" upright="1"/>
        <a:lstStyle/>
        <a:p>
          <a:pPr algn="r" rtl="0">
            <a:defRPr sz="1000"/>
          </a:pPr>
          <a:r>
            <a:rPr lang="en-GB" sz="1000" b="0" i="0" u="none" strike="noStrike" baseline="0">
              <a:solidFill>
                <a:srgbClr val="0000FF"/>
              </a:solidFill>
              <a:latin typeface="Arial"/>
              <a:cs typeface="Arial"/>
            </a:rPr>
            <a:t>INPUT </a:t>
          </a:r>
          <a:endParaRPr lang="en-GB"/>
        </a:p>
      </xdr:txBody>
    </xdr:sp>
    <xdr:clientData/>
  </xdr:twoCellAnchor>
  <xdr:twoCellAnchor>
    <xdr:from>
      <xdr:col>10</xdr:col>
      <xdr:colOff>352425</xdr:colOff>
      <xdr:row>49</xdr:row>
      <xdr:rowOff>123825</xdr:rowOff>
    </xdr:from>
    <xdr:to>
      <xdr:col>19</xdr:col>
      <xdr:colOff>9525</xdr:colOff>
      <xdr:row>72</xdr:row>
      <xdr:rowOff>85725</xdr:rowOff>
    </xdr:to>
    <xdr:sp macro="" textlink="">
      <xdr:nvSpPr>
        <xdr:cNvPr id="5" name="Text Box 7">
          <a:hlinkClick xmlns:r="http://schemas.openxmlformats.org/officeDocument/2006/relationships" r:id="rId1" tooltip="Hyperlink to sheet"/>
        </xdr:cNvPr>
        <xdr:cNvSpPr txBox="1">
          <a:spLocks noChangeArrowheads="1" noTextEdit="1"/>
        </xdr:cNvSpPr>
      </xdr:nvSpPr>
      <xdr:spPr bwMode="auto">
        <a:xfrm>
          <a:off x="4514850" y="7800975"/>
          <a:ext cx="3686175" cy="3686175"/>
        </a:xfrm>
        <a:prstGeom prst="rect">
          <a:avLst/>
        </a:prstGeom>
        <a:solidFill>
          <a:srgbClr xmlns:mc="http://schemas.openxmlformats.org/markup-compatibility/2006" xmlns:a14="http://schemas.microsoft.com/office/drawing/2010/main" val="FFFF99" mc:Ignorable="a14" a14:legacySpreadsheetColorIndex="43"/>
        </a:solidFill>
        <a:ln w="19050">
          <a:solidFill>
            <a:srgbClr xmlns:mc="http://schemas.openxmlformats.org/markup-compatibility/2006" xmlns:a14="http://schemas.microsoft.com/office/drawing/2010/main" val="333333" mc:Ignorable="a14" a14:legacySpreadsheetColorIndex="63"/>
          </a:solidFill>
          <a:miter lim="800000"/>
          <a:headEnd/>
          <a:tailEnd/>
        </a:ln>
      </xdr:spPr>
      <xdr:txBody>
        <a:bodyPr vertOverflow="clip" wrap="square" lIns="27432" tIns="22860" rIns="27432" bIns="0" anchor="t" upright="1"/>
        <a:lstStyle/>
        <a:p>
          <a:pPr algn="ctr" rtl="0">
            <a:defRPr sz="1000"/>
          </a:pPr>
          <a:fld id="{37EF70D7-561A-4970-81C0-8B70C2BD4289}" type="TxLink">
            <a:rPr lang="en-GB" sz="1000" b="0" i="0" u="none" strike="noStrike" baseline="0">
              <a:solidFill>
                <a:srgbClr val="000000"/>
              </a:solidFill>
              <a:latin typeface="Arial"/>
              <a:cs typeface="Arial"/>
            </a:rPr>
            <a:pPr algn="ctr" rtl="0">
              <a:defRPr sz="1000"/>
            </a:pPr>
            <a:t>Constants</a:t>
          </a:fld>
          <a:endParaRPr lang="en-GB"/>
        </a:p>
      </xdr:txBody>
    </xdr:sp>
    <xdr:clientData/>
  </xdr:twoCellAnchor>
  <xdr:twoCellAnchor>
    <xdr:from>
      <xdr:col>0</xdr:col>
      <xdr:colOff>190500</xdr:colOff>
      <xdr:row>95</xdr:row>
      <xdr:rowOff>9525</xdr:rowOff>
    </xdr:from>
    <xdr:to>
      <xdr:col>23</xdr:col>
      <xdr:colOff>142875</xdr:colOff>
      <xdr:row>110</xdr:row>
      <xdr:rowOff>57150</xdr:rowOff>
    </xdr:to>
    <xdr:sp macro="" textlink="">
      <xdr:nvSpPr>
        <xdr:cNvPr id="6" name="Text Box 496"/>
        <xdr:cNvSpPr txBox="1">
          <a:spLocks noChangeArrowheads="1"/>
        </xdr:cNvSpPr>
      </xdr:nvSpPr>
      <xdr:spPr bwMode="auto">
        <a:xfrm>
          <a:off x="190500" y="14839950"/>
          <a:ext cx="9867900" cy="2476500"/>
        </a:xfrm>
        <a:prstGeom prst="rect">
          <a:avLst/>
        </a:prstGeom>
        <a:noFill/>
        <a:ln w="25400" algn="ctr">
          <a:solidFill>
            <a:srgbClr xmlns:mc="http://schemas.openxmlformats.org/markup-compatibility/2006" xmlns:a14="http://schemas.microsoft.com/office/drawing/2010/main" val="0000FF" mc:Ignorable="a14" a14:legacySpreadsheetColorIndex="12"/>
          </a:solidFill>
          <a:miter lim="800000"/>
          <a:headEnd/>
          <a:tailEnd/>
        </a:ln>
        <a:effectLst>
          <a:outerShdw dist="35921" dir="2700000" algn="ctr" rotWithShape="0">
            <a:srgbClr val="808080"/>
          </a:outerShdw>
        </a:effectLst>
        <a:extLst>
          <a:ext uri="{909E8E84-426E-40DD-AFC4-6F175D3DCCD1}">
            <a14:hiddenFill xmlns:a14="http://schemas.microsoft.com/office/drawing/2010/main">
              <a:solidFill>
                <a:srgbClr xmlns:mc="http://schemas.openxmlformats.org/markup-compatibility/2006" val="FFFF99" mc:Ignorable="a14" a14:legacySpreadsheetColorIndex="43"/>
              </a:solidFill>
            </a14:hiddenFill>
          </a:ext>
        </a:extLst>
      </xdr:spPr>
      <xdr:txBody>
        <a:bodyPr vertOverflow="clip" wrap="square" lIns="90000" tIns="72000" rIns="90000" bIns="46800" anchor="t" upright="1"/>
        <a:lstStyle/>
        <a:p>
          <a:pPr algn="r" rtl="0">
            <a:defRPr sz="1000"/>
          </a:pPr>
          <a:r>
            <a:rPr lang="en-GB" sz="1000" b="0" i="0" u="none" strike="noStrike" baseline="0">
              <a:solidFill>
                <a:srgbClr val="0000FF"/>
              </a:solidFill>
              <a:latin typeface="Arial"/>
              <a:cs typeface="Arial"/>
            </a:rPr>
            <a:t>OUTPUT </a:t>
          </a:r>
          <a:endParaRPr lang="en-GB"/>
        </a:p>
      </xdr:txBody>
    </xdr:sp>
    <xdr:clientData/>
  </xdr:twoCellAnchor>
  <xdr:twoCellAnchor>
    <xdr:from>
      <xdr:col>10</xdr:col>
      <xdr:colOff>409575</xdr:colOff>
      <xdr:row>58</xdr:row>
      <xdr:rowOff>142875</xdr:rowOff>
    </xdr:from>
    <xdr:to>
      <xdr:col>12</xdr:col>
      <xdr:colOff>409575</xdr:colOff>
      <xdr:row>61</xdr:row>
      <xdr:rowOff>19050</xdr:rowOff>
    </xdr:to>
    <xdr:sp macro="" textlink="">
      <xdr:nvSpPr>
        <xdr:cNvPr id="9" name="Text Box 362">
          <a:hlinkClick xmlns:r="http://schemas.openxmlformats.org/officeDocument/2006/relationships" r:id="rId2" tooltip="Hyperlink to code list"/>
        </xdr:cNvPr>
        <xdr:cNvSpPr txBox="1">
          <a:spLocks noChangeArrowheads="1" noTextEdit="1"/>
        </xdr:cNvSpPr>
      </xdr:nvSpPr>
      <xdr:spPr bwMode="auto">
        <a:xfrm>
          <a:off x="4580868" y="9339427"/>
          <a:ext cx="897759" cy="368847"/>
        </a:xfrm>
        <a:prstGeom prst="rect">
          <a:avLst/>
        </a:prstGeom>
        <a:solidFill>
          <a:srgbClr xmlns:mc="http://schemas.openxmlformats.org/markup-compatibility/2006" xmlns:a14="http://schemas.microsoft.com/office/drawing/2010/main" val="000080" mc:Ignorable="a14" a14:legacySpreadsheetColorIndex="18"/>
        </a:solidFill>
        <a:ln w="9525">
          <a:solidFill>
            <a:srgbClr xmlns:mc="http://schemas.openxmlformats.org/markup-compatibility/2006" xmlns:a14="http://schemas.microsoft.com/office/drawing/2010/main" val="FFFFFF" mc:Ignorable="a14" a14:legacySpreadsheetColorIndex="9"/>
          </a:solidFill>
          <a:miter lim="800000"/>
          <a:headEnd/>
          <a:tailEnd/>
        </a:ln>
      </xdr:spPr>
      <xdr:txBody>
        <a:bodyPr vertOverflow="clip" wrap="square" lIns="27432" tIns="18288" rIns="27432" bIns="18288" anchor="ctr" upright="1"/>
        <a:lstStyle/>
        <a:p>
          <a:pPr algn="ctr" rtl="0">
            <a:defRPr sz="1000"/>
          </a:pPr>
          <a:fld id="{98813860-4E5C-4BFC-8FE7-246D0EB9E08E}" type="TxLink">
            <a:rPr lang="en-GB" sz="900" b="0" i="0" u="none" strike="noStrike" baseline="0">
              <a:solidFill>
                <a:srgbClr val="FFFFFF"/>
              </a:solidFill>
              <a:latin typeface="Arial"/>
              <a:cs typeface="Arial"/>
            </a:rPr>
            <a:pPr algn="ctr" rtl="0">
              <a:defRPr sz="1000"/>
            </a:pPr>
            <a:t>Benchmarks</a:t>
          </a:fld>
          <a:endParaRPr lang="en-GB"/>
        </a:p>
      </xdr:txBody>
    </xdr:sp>
    <xdr:clientData/>
  </xdr:twoCellAnchor>
  <xdr:twoCellAnchor editAs="oneCell">
    <xdr:from>
      <xdr:col>14</xdr:col>
      <xdr:colOff>409575</xdr:colOff>
      <xdr:row>58</xdr:row>
      <xdr:rowOff>142875</xdr:rowOff>
    </xdr:from>
    <xdr:to>
      <xdr:col>16</xdr:col>
      <xdr:colOff>409575</xdr:colOff>
      <xdr:row>61</xdr:row>
      <xdr:rowOff>19051</xdr:rowOff>
    </xdr:to>
    <xdr:sp macro="" textlink="">
      <xdr:nvSpPr>
        <xdr:cNvPr id="11" name="Text Box 82">
          <a:hlinkClick xmlns:r="http://schemas.openxmlformats.org/officeDocument/2006/relationships" r:id="rId3" tooltip="Hyperlink to code list"/>
        </xdr:cNvPr>
        <xdr:cNvSpPr txBox="1">
          <a:spLocks noChangeArrowheads="1" noTextEdit="1"/>
        </xdr:cNvSpPr>
      </xdr:nvSpPr>
      <xdr:spPr bwMode="auto">
        <a:xfrm>
          <a:off x="6362700" y="9277350"/>
          <a:ext cx="895350" cy="361950"/>
        </a:xfrm>
        <a:prstGeom prst="rect">
          <a:avLst/>
        </a:prstGeom>
        <a:solidFill>
          <a:srgbClr xmlns:mc="http://schemas.openxmlformats.org/markup-compatibility/2006" xmlns:a14="http://schemas.microsoft.com/office/drawing/2010/main" val="000080" mc:Ignorable="a14" a14:legacySpreadsheetColorIndex="18"/>
        </a:solidFill>
        <a:ln w="9525">
          <a:solidFill>
            <a:srgbClr xmlns:mc="http://schemas.openxmlformats.org/markup-compatibility/2006" xmlns:a14="http://schemas.microsoft.com/office/drawing/2010/main" val="FFFFFF" mc:Ignorable="a14" a14:legacySpreadsheetColorIndex="9"/>
          </a:solidFill>
          <a:miter lim="800000"/>
          <a:headEnd/>
          <a:tailEnd/>
        </a:ln>
      </xdr:spPr>
      <xdr:txBody>
        <a:bodyPr vertOverflow="clip" wrap="square" lIns="27432" tIns="22860" rIns="27432" bIns="22860" anchor="ctr" upright="1"/>
        <a:lstStyle/>
        <a:p>
          <a:pPr algn="ctr" rtl="0">
            <a:defRPr sz="1000"/>
          </a:pPr>
          <a:fld id="{E4D80909-2595-46B4-9F72-C2041461EA46}" type="TxLink">
            <a:rPr lang="en-GB" sz="900" b="0" i="0" u="none" strike="noStrike" baseline="0">
              <a:solidFill>
                <a:srgbClr val="FFFFFF"/>
              </a:solidFill>
              <a:latin typeface="Arial"/>
              <a:cs typeface="Arial"/>
            </a:rPr>
            <a:pPr algn="ctr" rtl="0">
              <a:defRPr sz="1000"/>
            </a:pPr>
            <a:t>Miscellaneous Constants</a:t>
          </a:fld>
          <a:endParaRPr lang="en-GB"/>
        </a:p>
      </xdr:txBody>
    </xdr:sp>
    <xdr:clientData/>
  </xdr:twoCellAnchor>
  <xdr:twoCellAnchor editAs="oneCell">
    <xdr:from>
      <xdr:col>16</xdr:col>
      <xdr:colOff>409575</xdr:colOff>
      <xdr:row>61</xdr:row>
      <xdr:rowOff>19050</xdr:rowOff>
    </xdr:from>
    <xdr:to>
      <xdr:col>18</xdr:col>
      <xdr:colOff>409575</xdr:colOff>
      <xdr:row>63</xdr:row>
      <xdr:rowOff>57150</xdr:rowOff>
    </xdr:to>
    <xdr:sp macro="" textlink="">
      <xdr:nvSpPr>
        <xdr:cNvPr id="13" name="Text Box 89">
          <a:hlinkClick xmlns:r="http://schemas.openxmlformats.org/officeDocument/2006/relationships" r:id="rId4" tooltip="Hyperlink to code list"/>
        </xdr:cNvPr>
        <xdr:cNvSpPr txBox="1">
          <a:spLocks noChangeArrowheads="1" noTextEdit="1"/>
        </xdr:cNvSpPr>
      </xdr:nvSpPr>
      <xdr:spPr bwMode="auto">
        <a:xfrm>
          <a:off x="7258050" y="9639300"/>
          <a:ext cx="895350" cy="361950"/>
        </a:xfrm>
        <a:prstGeom prst="rect">
          <a:avLst/>
        </a:prstGeom>
        <a:solidFill>
          <a:srgbClr xmlns:mc="http://schemas.openxmlformats.org/markup-compatibility/2006" xmlns:a14="http://schemas.microsoft.com/office/drawing/2010/main" val="000080" mc:Ignorable="a14" a14:legacySpreadsheetColorIndex="18"/>
        </a:solidFill>
        <a:ln w="9525">
          <a:solidFill>
            <a:srgbClr xmlns:mc="http://schemas.openxmlformats.org/markup-compatibility/2006" xmlns:a14="http://schemas.microsoft.com/office/drawing/2010/main" val="FFFFFF" mc:Ignorable="a14" a14:legacySpreadsheetColorIndex="9"/>
          </a:solidFill>
          <a:miter lim="800000"/>
          <a:headEnd/>
          <a:tailEnd/>
        </a:ln>
      </xdr:spPr>
      <xdr:txBody>
        <a:bodyPr vertOverflow="clip" wrap="square" lIns="27432" tIns="22860" rIns="27432" bIns="22860" anchor="ctr" upright="1"/>
        <a:lstStyle/>
        <a:p>
          <a:pPr algn="ctr" rtl="0">
            <a:defRPr sz="1000"/>
          </a:pPr>
          <a:fld id="{F6E0068C-66C6-444C-B9FC-45F861C2B097}" type="TxLink">
            <a:rPr lang="en-GB" sz="900" b="0" i="0" u="none" strike="noStrike" baseline="0">
              <a:solidFill>
                <a:srgbClr val="FFFFFF"/>
              </a:solidFill>
              <a:latin typeface="Arial"/>
              <a:cs typeface="Arial"/>
            </a:rPr>
            <a:pPr algn="ctr" rtl="0">
              <a:defRPr sz="1000"/>
            </a:pPr>
            <a:t>User Code 1</a:t>
          </a:fld>
          <a:endParaRPr lang="en-GB"/>
        </a:p>
      </xdr:txBody>
    </xdr:sp>
    <xdr:clientData/>
  </xdr:twoCellAnchor>
  <xdr:twoCellAnchor editAs="oneCell">
    <xdr:from>
      <xdr:col>12</xdr:col>
      <xdr:colOff>152400</xdr:colOff>
      <xdr:row>117</xdr:row>
      <xdr:rowOff>0</xdr:rowOff>
    </xdr:from>
    <xdr:to>
      <xdr:col>14</xdr:col>
      <xdr:colOff>152400</xdr:colOff>
      <xdr:row>119</xdr:row>
      <xdr:rowOff>38100</xdr:rowOff>
    </xdr:to>
    <xdr:sp macro="" textlink="">
      <xdr:nvSpPr>
        <xdr:cNvPr id="14" name="Text Box 3">
          <a:hlinkClick xmlns:r="http://schemas.openxmlformats.org/officeDocument/2006/relationships" r:id="rId5" tooltip="Hyperlink to sheet"/>
        </xdr:cNvPr>
        <xdr:cNvSpPr txBox="1">
          <a:spLocks noChangeArrowheads="1" noTextEdit="1"/>
        </xdr:cNvSpPr>
      </xdr:nvSpPr>
      <xdr:spPr bwMode="auto">
        <a:xfrm>
          <a:off x="5210175" y="18364200"/>
          <a:ext cx="895350" cy="361950"/>
        </a:xfrm>
        <a:prstGeom prst="rect">
          <a:avLst/>
        </a:prstGeom>
        <a:solidFill>
          <a:srgbClr xmlns:mc="http://schemas.openxmlformats.org/markup-compatibility/2006" xmlns:a14="http://schemas.microsoft.com/office/drawing/2010/main" val="FF0000" mc:Ignorable="a14" a14:legacySpreadsheetColorIndex="10"/>
        </a:solidFill>
        <a:ln w="9525">
          <a:solidFill>
            <a:srgbClr xmlns:mc="http://schemas.openxmlformats.org/markup-compatibility/2006" xmlns:a14="http://schemas.microsoft.com/office/drawing/2010/main" val="333333" mc:Ignorable="a14" a14:legacySpreadsheetColorIndex="63"/>
          </a:solidFill>
          <a:miter lim="800000"/>
          <a:headEnd/>
          <a:tailEnd/>
        </a:ln>
      </xdr:spPr>
      <xdr:txBody>
        <a:bodyPr vertOverflow="clip" wrap="square" lIns="27432" tIns="22860" rIns="27432" bIns="22860" anchor="ctr" upright="1"/>
        <a:lstStyle/>
        <a:p>
          <a:pPr algn="ctr" rtl="0">
            <a:defRPr sz="1000"/>
          </a:pPr>
          <a:fld id="{356828E5-2018-4A60-98DD-503C7F4AF927}" type="TxLink">
            <a:rPr lang="en-GB" sz="900" b="0" i="0" u="none" strike="noStrike" baseline="0">
              <a:solidFill>
                <a:srgbClr val="FFFFFF"/>
              </a:solidFill>
              <a:latin typeface="Arial"/>
              <a:cs typeface="Arial"/>
            </a:rPr>
            <a:pPr algn="ctr" rtl="0">
              <a:defRPr sz="1000"/>
            </a:pPr>
            <a:t>Error Checks</a:t>
          </a:fld>
          <a:endParaRPr lang="en-GB"/>
        </a:p>
      </xdr:txBody>
    </xdr:sp>
    <xdr:clientData/>
  </xdr:twoCellAnchor>
  <xdr:twoCellAnchor editAs="oneCell">
    <xdr:from>
      <xdr:col>1</xdr:col>
      <xdr:colOff>190500</xdr:colOff>
      <xdr:row>78</xdr:row>
      <xdr:rowOff>85725</xdr:rowOff>
    </xdr:from>
    <xdr:to>
      <xdr:col>3</xdr:col>
      <xdr:colOff>400050</xdr:colOff>
      <xdr:row>91</xdr:row>
      <xdr:rowOff>95250</xdr:rowOff>
    </xdr:to>
    <xdr:sp macro="" textlink="">
      <xdr:nvSpPr>
        <xdr:cNvPr id="15" name="Text Box 20">
          <a:hlinkClick xmlns:r="http://schemas.openxmlformats.org/officeDocument/2006/relationships" r:id="rId6" tooltip="Hyperlink to sheet"/>
        </xdr:cNvPr>
        <xdr:cNvSpPr txBox="1">
          <a:spLocks noChangeArrowheads="1" noTextEdit="1"/>
        </xdr:cNvSpPr>
      </xdr:nvSpPr>
      <xdr:spPr bwMode="auto">
        <a:xfrm>
          <a:off x="390525" y="12363450"/>
          <a:ext cx="1038225" cy="1914525"/>
        </a:xfrm>
        <a:prstGeom prst="rect">
          <a:avLst/>
        </a:prstGeom>
        <a:solidFill>
          <a:srgbClr xmlns:mc="http://schemas.openxmlformats.org/markup-compatibility/2006" xmlns:a14="http://schemas.microsoft.com/office/drawing/2010/main" val="FFFF99" mc:Ignorable="a14" a14:legacySpreadsheetColorIndex="43"/>
        </a:solidFill>
        <a:ln w="19050">
          <a:solidFill>
            <a:srgbClr xmlns:mc="http://schemas.openxmlformats.org/markup-compatibility/2006" xmlns:a14="http://schemas.microsoft.com/office/drawing/2010/main" val="333333" mc:Ignorable="a14" a14:legacySpreadsheetColorIndex="63"/>
          </a:solidFill>
          <a:miter lim="800000"/>
          <a:headEnd/>
          <a:tailEnd/>
        </a:ln>
      </xdr:spPr>
      <xdr:txBody>
        <a:bodyPr vertOverflow="clip" wrap="square" lIns="27432" tIns="22860" rIns="27432" bIns="0" anchor="t" upright="1"/>
        <a:lstStyle/>
        <a:p>
          <a:pPr algn="ctr" rtl="0">
            <a:defRPr sz="1000"/>
          </a:pPr>
          <a:fld id="{1514F38C-0FDD-4638-89E2-2F461F2E9737}" type="TxLink">
            <a:rPr lang="en-GB" sz="1000" b="0" i="0" u="none" strike="noStrike" baseline="0">
              <a:solidFill>
                <a:srgbClr val="000000"/>
              </a:solidFill>
              <a:latin typeface="Arial"/>
              <a:cs typeface="Arial"/>
            </a:rPr>
            <a:pPr algn="ctr" rtl="0">
              <a:defRPr sz="1000"/>
            </a:pPr>
            <a:t>Timelines</a:t>
          </a:fld>
          <a:endParaRPr lang="en-GB"/>
        </a:p>
      </xdr:txBody>
    </xdr:sp>
    <xdr:clientData/>
  </xdr:twoCellAnchor>
  <xdr:twoCellAnchor editAs="oneCell">
    <xdr:from>
      <xdr:col>15</xdr:col>
      <xdr:colOff>38100</xdr:colOff>
      <xdr:row>117</xdr:row>
      <xdr:rowOff>0</xdr:rowOff>
    </xdr:from>
    <xdr:to>
      <xdr:col>17</xdr:col>
      <xdr:colOff>38100</xdr:colOff>
      <xdr:row>119</xdr:row>
      <xdr:rowOff>38100</xdr:rowOff>
    </xdr:to>
    <xdr:sp macro="" textlink="">
      <xdr:nvSpPr>
        <xdr:cNvPr id="16" name="Text Box 29">
          <a:hlinkClick xmlns:r="http://schemas.openxmlformats.org/officeDocument/2006/relationships" r:id="rId7" tooltip="Hyperlink to sheet"/>
        </xdr:cNvPr>
        <xdr:cNvSpPr txBox="1">
          <a:spLocks noChangeArrowheads="1" noTextEdit="1"/>
        </xdr:cNvSpPr>
      </xdr:nvSpPr>
      <xdr:spPr bwMode="auto">
        <a:xfrm>
          <a:off x="6438900" y="18364200"/>
          <a:ext cx="895350" cy="3619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333333" mc:Ignorable="a14" a14:legacySpreadsheetColorIndex="63"/>
          </a:solidFill>
          <a:miter lim="800000"/>
          <a:headEnd/>
          <a:tailEnd/>
        </a:ln>
      </xdr:spPr>
      <xdr:txBody>
        <a:bodyPr vertOverflow="clip" wrap="square" lIns="27432" tIns="22860" rIns="27432" bIns="22860" anchor="ctr" upright="1"/>
        <a:lstStyle/>
        <a:p>
          <a:pPr algn="ctr" rtl="0">
            <a:defRPr sz="1000"/>
          </a:pPr>
          <a:fld id="{ED1BF1B8-ACB0-4F0D-A6EE-3920DEEB62C8}" type="TxLink">
            <a:rPr lang="en-GB" sz="1000" b="0" i="0" u="none" strike="noStrike" baseline="0">
              <a:solidFill>
                <a:srgbClr val="FFFFFF"/>
              </a:solidFill>
              <a:latin typeface="Arial"/>
              <a:cs typeface="Arial"/>
            </a:rPr>
            <a:pPr algn="ctr" rtl="0">
              <a:defRPr sz="1000"/>
            </a:pPr>
            <a:t>Audit</a:t>
          </a:fld>
          <a:endParaRPr lang="en-GB"/>
        </a:p>
      </xdr:txBody>
    </xdr:sp>
    <xdr:clientData/>
  </xdr:twoCellAnchor>
  <xdr:twoCellAnchor editAs="oneCell">
    <xdr:from>
      <xdr:col>6</xdr:col>
      <xdr:colOff>142875</xdr:colOff>
      <xdr:row>49</xdr:row>
      <xdr:rowOff>123825</xdr:rowOff>
    </xdr:from>
    <xdr:to>
      <xdr:col>8</xdr:col>
      <xdr:colOff>285750</xdr:colOff>
      <xdr:row>52</xdr:row>
      <xdr:rowOff>57149</xdr:rowOff>
    </xdr:to>
    <xdr:sp macro="" textlink="">
      <xdr:nvSpPr>
        <xdr:cNvPr id="17" name="Text Box 30">
          <a:hlinkClick xmlns:r="http://schemas.openxmlformats.org/officeDocument/2006/relationships" r:id="rId8" tooltip="Hyperlink to sheet"/>
        </xdr:cNvPr>
        <xdr:cNvSpPr txBox="1">
          <a:spLocks noChangeArrowheads="1" noTextEdit="1"/>
        </xdr:cNvSpPr>
      </xdr:nvSpPr>
      <xdr:spPr bwMode="auto">
        <a:xfrm>
          <a:off x="2514600" y="7800975"/>
          <a:ext cx="1038225" cy="419100"/>
        </a:xfrm>
        <a:prstGeom prst="rect">
          <a:avLst/>
        </a:prstGeom>
        <a:solidFill>
          <a:srgbClr xmlns:mc="http://schemas.openxmlformats.org/markup-compatibility/2006" xmlns:a14="http://schemas.microsoft.com/office/drawing/2010/main" val="FFFF99" mc:Ignorable="a14" a14:legacySpreadsheetColorIndex="43"/>
        </a:solidFill>
        <a:ln w="19050">
          <a:solidFill>
            <a:srgbClr xmlns:mc="http://schemas.openxmlformats.org/markup-compatibility/2006" xmlns:a14="http://schemas.microsoft.com/office/drawing/2010/main" val="333333" mc:Ignorable="a14" a14:legacySpreadsheetColorIndex="63"/>
          </a:solidFill>
          <a:miter lim="800000"/>
          <a:headEnd/>
          <a:tailEnd/>
        </a:ln>
      </xdr:spPr>
      <xdr:txBody>
        <a:bodyPr vertOverflow="clip" wrap="square" lIns="27432" tIns="22860" rIns="27432" bIns="22860" anchor="ctr" upright="1"/>
        <a:lstStyle/>
        <a:p>
          <a:pPr algn="ctr" rtl="0">
            <a:defRPr sz="1000"/>
          </a:pPr>
          <a:fld id="{F6C26B78-5A87-413B-BB43-E6BAB31A2B1E}" type="TxLink">
            <a:rPr lang="en-GB" sz="1000" b="0" i="0" u="none" strike="noStrike" baseline="0">
              <a:solidFill>
                <a:srgbClr val="000000"/>
              </a:solidFill>
              <a:latin typeface="Arial"/>
              <a:cs typeface="Arial"/>
            </a:rPr>
            <a:pPr algn="ctr" rtl="0">
              <a:defRPr sz="1000"/>
            </a:pPr>
            <a:t>Main Input</a:t>
          </a:fld>
          <a:endParaRPr lang="en-GB"/>
        </a:p>
      </xdr:txBody>
    </xdr:sp>
    <xdr:clientData/>
  </xdr:twoCellAnchor>
  <xdr:twoCellAnchor>
    <xdr:from>
      <xdr:col>5</xdr:col>
      <xdr:colOff>266700</xdr:colOff>
      <xdr:row>52</xdr:row>
      <xdr:rowOff>66675</xdr:rowOff>
    </xdr:from>
    <xdr:to>
      <xdr:col>7</xdr:col>
      <xdr:colOff>219075</xdr:colOff>
      <xdr:row>84</xdr:row>
      <xdr:rowOff>66675</xdr:rowOff>
    </xdr:to>
    <xdr:cxnSp macro="">
      <xdr:nvCxnSpPr>
        <xdr:cNvPr id="18" name="AutoShape 31"/>
        <xdr:cNvCxnSpPr>
          <a:cxnSpLocks noChangeShapeType="1"/>
          <a:stCxn id="17" idx="2"/>
          <a:endCxn id="214" idx="0"/>
        </xdr:cNvCxnSpPr>
      </xdr:nvCxnSpPr>
      <xdr:spPr bwMode="auto">
        <a:xfrm rot="5400000">
          <a:off x="171450" y="10248900"/>
          <a:ext cx="4886325" cy="847725"/>
        </a:xfrm>
        <a:prstGeom prst="bentConnector3">
          <a:avLst>
            <a:gd name="adj1" fmla="val 49903"/>
          </a:avLst>
        </a:prstGeom>
        <a:noFill/>
        <a:ln w="9525">
          <a:solidFill>
            <a:srgbClr xmlns:mc="http://schemas.openxmlformats.org/markup-compatibility/2006" xmlns:a14="http://schemas.microsoft.com/office/drawing/2010/main" val="000000" mc:Ignorable="a14" a14:legacySpreadsheetColorIndex="64"/>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editAs="oneCell">
    <xdr:from>
      <xdr:col>17</xdr:col>
      <xdr:colOff>371475</xdr:colOff>
      <xdr:row>117</xdr:row>
      <xdr:rowOff>0</xdr:rowOff>
    </xdr:from>
    <xdr:to>
      <xdr:col>19</xdr:col>
      <xdr:colOff>371475</xdr:colOff>
      <xdr:row>119</xdr:row>
      <xdr:rowOff>38100</xdr:rowOff>
    </xdr:to>
    <xdr:sp macro="" textlink="">
      <xdr:nvSpPr>
        <xdr:cNvPr id="20" name="Text Box 52">
          <a:hlinkClick xmlns:r="http://schemas.openxmlformats.org/officeDocument/2006/relationships" r:id="rId9" tooltip="Hyperlink to sheet"/>
        </xdr:cNvPr>
        <xdr:cNvSpPr txBox="1">
          <a:spLocks noChangeArrowheads="1" noTextEdit="1"/>
        </xdr:cNvSpPr>
      </xdr:nvSpPr>
      <xdr:spPr bwMode="auto">
        <a:xfrm>
          <a:off x="7667625" y="18364200"/>
          <a:ext cx="895350" cy="3619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333333" mc:Ignorable="a14" a14:legacySpreadsheetColorIndex="63"/>
          </a:solidFill>
          <a:miter lim="800000"/>
          <a:headEnd/>
          <a:tailEnd/>
        </a:ln>
      </xdr:spPr>
      <xdr:txBody>
        <a:bodyPr vertOverflow="clip" wrap="square" lIns="27432" tIns="22860" rIns="27432" bIns="22860" anchor="ctr" upright="1"/>
        <a:lstStyle/>
        <a:p>
          <a:pPr algn="ctr" rtl="0">
            <a:defRPr sz="1000"/>
          </a:pPr>
          <a:fld id="{815178F8-B3AB-441F-AA4C-373379C5DBF3}" type="TxLink">
            <a:rPr lang="en-GB" sz="1000" b="0" i="0" u="none" strike="noStrike" baseline="0">
              <a:solidFill>
                <a:srgbClr val="FFFFFF"/>
              </a:solidFill>
              <a:latin typeface="Arial"/>
              <a:cs typeface="Arial"/>
            </a:rPr>
            <a:pPr algn="ctr" rtl="0">
              <a:defRPr sz="1000"/>
            </a:pPr>
            <a:t>Change Control</a:t>
          </a:fld>
          <a:endParaRPr lang="en-GB"/>
        </a:p>
      </xdr:txBody>
    </xdr:sp>
    <xdr:clientData/>
  </xdr:twoCellAnchor>
  <xdr:twoCellAnchor editAs="oneCell">
    <xdr:from>
      <xdr:col>18</xdr:col>
      <xdr:colOff>200025</xdr:colOff>
      <xdr:row>84</xdr:row>
      <xdr:rowOff>66675</xdr:rowOff>
    </xdr:from>
    <xdr:to>
      <xdr:col>20</xdr:col>
      <xdr:colOff>266700</xdr:colOff>
      <xdr:row>86</xdr:row>
      <xdr:rowOff>104775</xdr:rowOff>
    </xdr:to>
    <xdr:sp macro="" textlink="" fLocksText="0">
      <xdr:nvSpPr>
        <xdr:cNvPr id="21" name="Text Box 57">
          <a:hlinkClick xmlns:r="http://schemas.openxmlformats.org/officeDocument/2006/relationships" r:id="rId10" tooltip="Hyperlink to sheet"/>
        </xdr:cNvPr>
        <xdr:cNvSpPr txBox="1">
          <a:spLocks noChangeArrowheads="1" noTextEdit="1"/>
        </xdr:cNvSpPr>
      </xdr:nvSpPr>
      <xdr:spPr bwMode="auto">
        <a:xfrm>
          <a:off x="7943850" y="13115925"/>
          <a:ext cx="895350" cy="361950"/>
        </a:xfrm>
        <a:prstGeom prst="rect">
          <a:avLst/>
        </a:prstGeom>
        <a:solidFill>
          <a:srgbClr xmlns:mc="http://schemas.openxmlformats.org/markup-compatibility/2006" xmlns:a14="http://schemas.microsoft.com/office/drawing/2010/main" val="969696" mc:Ignorable="a14" a14:legacySpreadsheetColorIndex="55"/>
        </a:solidFill>
        <a:ln w="9525">
          <a:solidFill>
            <a:srgbClr xmlns:mc="http://schemas.openxmlformats.org/markup-compatibility/2006" xmlns:a14="http://schemas.microsoft.com/office/drawing/2010/main" val="333333" mc:Ignorable="a14" a14:legacySpreadsheetColorIndex="63"/>
          </a:solidFill>
          <a:miter lim="800000"/>
          <a:headEnd/>
          <a:tailEnd/>
        </a:ln>
      </xdr:spPr>
      <xdr:txBody>
        <a:bodyPr vertOverflow="clip" wrap="square" lIns="27432" tIns="22860" rIns="27432" bIns="22860" anchor="ctr" upright="1"/>
        <a:lstStyle/>
        <a:p>
          <a:pPr algn="ctr" rtl="0">
            <a:defRPr sz="1000"/>
          </a:pPr>
          <a:fld id="{27E5FE5B-FF94-4C1C-BB47-701E34EE3B24}" type="TxLink">
            <a:rPr lang="en-GB" sz="1000" b="0" i="0" u="none" strike="noStrike" baseline="0">
              <a:solidFill>
                <a:srgbClr val="FFFFFF"/>
              </a:solidFill>
              <a:latin typeface="Arial"/>
              <a:cs typeface="Arial"/>
            </a:rPr>
            <a:pPr algn="ctr" rtl="0">
              <a:defRPr sz="1000"/>
            </a:pPr>
            <a:t>Profile with CoM</a:t>
          </a:fld>
          <a:endParaRPr lang="en-GB"/>
        </a:p>
      </xdr:txBody>
    </xdr:sp>
    <xdr:clientData/>
  </xdr:twoCellAnchor>
  <xdr:twoCellAnchor editAs="oneCell">
    <xdr:from>
      <xdr:col>10</xdr:col>
      <xdr:colOff>409575</xdr:colOff>
      <xdr:row>52</xdr:row>
      <xdr:rowOff>47625</xdr:rowOff>
    </xdr:from>
    <xdr:to>
      <xdr:col>12</xdr:col>
      <xdr:colOff>409575</xdr:colOff>
      <xdr:row>54</xdr:row>
      <xdr:rowOff>85726</xdr:rowOff>
    </xdr:to>
    <xdr:sp macro="" textlink="">
      <xdr:nvSpPr>
        <xdr:cNvPr id="22" name="Text Box 63">
          <a:hlinkClick xmlns:r="http://schemas.openxmlformats.org/officeDocument/2006/relationships" r:id="rId11" tooltip="Hyperlink to code list"/>
        </xdr:cNvPr>
        <xdr:cNvSpPr txBox="1">
          <a:spLocks noChangeArrowheads="1" noTextEdit="1"/>
        </xdr:cNvSpPr>
      </xdr:nvSpPr>
      <xdr:spPr bwMode="auto">
        <a:xfrm>
          <a:off x="4572000" y="8210550"/>
          <a:ext cx="895350" cy="361950"/>
        </a:xfrm>
        <a:prstGeom prst="rect">
          <a:avLst/>
        </a:prstGeom>
        <a:solidFill>
          <a:srgbClr xmlns:mc="http://schemas.openxmlformats.org/markup-compatibility/2006" xmlns:a14="http://schemas.microsoft.com/office/drawing/2010/main" val="000080" mc:Ignorable="a14" a14:legacySpreadsheetColorIndex="18"/>
        </a:solidFill>
        <a:ln w="9525">
          <a:solidFill>
            <a:srgbClr xmlns:mc="http://schemas.openxmlformats.org/markup-compatibility/2006" xmlns:a14="http://schemas.microsoft.com/office/drawing/2010/main" val="FFFFFF" mc:Ignorable="a14" a14:legacySpreadsheetColorIndex="9"/>
          </a:solidFill>
          <a:miter lim="800000"/>
          <a:headEnd/>
          <a:tailEnd/>
        </a:ln>
      </xdr:spPr>
      <xdr:txBody>
        <a:bodyPr vertOverflow="clip" wrap="square" lIns="27432" tIns="22860" rIns="27432" bIns="22860" anchor="ctr" upright="1"/>
        <a:lstStyle/>
        <a:p>
          <a:pPr algn="ctr" rtl="0">
            <a:defRPr sz="1000"/>
          </a:pPr>
          <a:fld id="{A57B1189-F02F-4CE4-B048-7580A375430B}" type="TxLink">
            <a:rPr lang="en-GB" sz="900" b="0" i="0" u="none" strike="noStrike" baseline="0">
              <a:solidFill>
                <a:srgbClr val="FFFFFF"/>
              </a:solidFill>
              <a:latin typeface="Arial"/>
              <a:cs typeface="Arial"/>
            </a:rPr>
            <a:pPr algn="ctr" rtl="0">
              <a:defRPr sz="1000"/>
            </a:pPr>
            <a:t>Accounting Treatment</a:t>
          </a:fld>
          <a:endParaRPr lang="en-GB"/>
        </a:p>
      </xdr:txBody>
    </xdr:sp>
    <xdr:clientData/>
  </xdr:twoCellAnchor>
  <xdr:twoCellAnchor editAs="oneCell">
    <xdr:from>
      <xdr:col>14</xdr:col>
      <xdr:colOff>409575</xdr:colOff>
      <xdr:row>70</xdr:row>
      <xdr:rowOff>9525</xdr:rowOff>
    </xdr:from>
    <xdr:to>
      <xdr:col>16</xdr:col>
      <xdr:colOff>409575</xdr:colOff>
      <xdr:row>72</xdr:row>
      <xdr:rowOff>47624</xdr:rowOff>
    </xdr:to>
    <xdr:sp macro="" textlink="">
      <xdr:nvSpPr>
        <xdr:cNvPr id="24" name="Text Box 73">
          <a:hlinkClick xmlns:r="http://schemas.openxmlformats.org/officeDocument/2006/relationships" r:id="rId12" tooltip="Hyperlink to code list"/>
        </xdr:cNvPr>
        <xdr:cNvSpPr txBox="1">
          <a:spLocks noChangeArrowheads="1" noTextEdit="1"/>
        </xdr:cNvSpPr>
      </xdr:nvSpPr>
      <xdr:spPr bwMode="auto">
        <a:xfrm>
          <a:off x="6362700" y="11087100"/>
          <a:ext cx="895350" cy="361950"/>
        </a:xfrm>
        <a:prstGeom prst="rect">
          <a:avLst/>
        </a:prstGeom>
        <a:solidFill>
          <a:srgbClr xmlns:mc="http://schemas.openxmlformats.org/markup-compatibility/2006" xmlns:a14="http://schemas.microsoft.com/office/drawing/2010/main" val="000080" mc:Ignorable="a14" a14:legacySpreadsheetColorIndex="18"/>
        </a:solidFill>
        <a:ln w="9525">
          <a:solidFill>
            <a:srgbClr xmlns:mc="http://schemas.openxmlformats.org/markup-compatibility/2006" xmlns:a14="http://schemas.microsoft.com/office/drawing/2010/main" val="FFFFFF" mc:Ignorable="a14" a14:legacySpreadsheetColorIndex="9"/>
          </a:solidFill>
          <a:miter lim="800000"/>
          <a:headEnd/>
          <a:tailEnd/>
        </a:ln>
      </xdr:spPr>
      <xdr:txBody>
        <a:bodyPr vertOverflow="clip" wrap="square" lIns="27432" tIns="22860" rIns="27432" bIns="22860" anchor="ctr" upright="1"/>
        <a:lstStyle/>
        <a:p>
          <a:pPr algn="ctr" rtl="0">
            <a:defRPr sz="1000"/>
          </a:pPr>
          <a:fld id="{FFE4238F-BB6D-4A6C-A16B-5D60733C8411}" type="TxLink">
            <a:rPr lang="en-GB" sz="900" b="0" i="0" u="none" strike="noStrike" baseline="0">
              <a:solidFill>
                <a:srgbClr val="FFFFFF"/>
              </a:solidFill>
              <a:latin typeface="Arial"/>
              <a:cs typeface="Arial"/>
            </a:rPr>
            <a:pPr algn="ctr" rtl="0">
              <a:defRPr sz="1000"/>
            </a:pPr>
            <a:t>Role</a:t>
          </a:fld>
          <a:endParaRPr lang="en-GB"/>
        </a:p>
      </xdr:txBody>
    </xdr:sp>
    <xdr:clientData/>
  </xdr:twoCellAnchor>
  <xdr:twoCellAnchor editAs="oneCell">
    <xdr:from>
      <xdr:col>10</xdr:col>
      <xdr:colOff>409575</xdr:colOff>
      <xdr:row>56</xdr:row>
      <xdr:rowOff>104775</xdr:rowOff>
    </xdr:from>
    <xdr:to>
      <xdr:col>12</xdr:col>
      <xdr:colOff>409575</xdr:colOff>
      <xdr:row>58</xdr:row>
      <xdr:rowOff>142874</xdr:rowOff>
    </xdr:to>
    <xdr:sp macro="" textlink="">
      <xdr:nvSpPr>
        <xdr:cNvPr id="25" name="Text Box 74">
          <a:hlinkClick xmlns:r="http://schemas.openxmlformats.org/officeDocument/2006/relationships" r:id="rId13" tooltip="Hyperlink to code list"/>
        </xdr:cNvPr>
        <xdr:cNvSpPr txBox="1">
          <a:spLocks noChangeArrowheads="1" noTextEdit="1"/>
        </xdr:cNvSpPr>
      </xdr:nvSpPr>
      <xdr:spPr bwMode="auto">
        <a:xfrm>
          <a:off x="4572000" y="8915400"/>
          <a:ext cx="895350" cy="361950"/>
        </a:xfrm>
        <a:prstGeom prst="rect">
          <a:avLst/>
        </a:prstGeom>
        <a:solidFill>
          <a:srgbClr xmlns:mc="http://schemas.openxmlformats.org/markup-compatibility/2006" xmlns:a14="http://schemas.microsoft.com/office/drawing/2010/main" val="000080" mc:Ignorable="a14" a14:legacySpreadsheetColorIndex="18"/>
        </a:solidFill>
        <a:ln w="9525">
          <a:solidFill>
            <a:srgbClr xmlns:mc="http://schemas.openxmlformats.org/markup-compatibility/2006" xmlns:a14="http://schemas.microsoft.com/office/drawing/2010/main" val="FFFFFF" mc:Ignorable="a14" a14:legacySpreadsheetColorIndex="9"/>
          </a:solidFill>
          <a:miter lim="800000"/>
          <a:headEnd/>
          <a:tailEnd/>
        </a:ln>
      </xdr:spPr>
      <xdr:txBody>
        <a:bodyPr vertOverflow="clip" wrap="square" lIns="27432" tIns="22860" rIns="27432" bIns="22860" anchor="ctr" upright="1"/>
        <a:lstStyle/>
        <a:p>
          <a:pPr algn="ctr" rtl="0">
            <a:defRPr sz="1000"/>
          </a:pPr>
          <a:fld id="{DA0EF4DD-E437-4841-9549-01B63C2B4207}" type="TxLink">
            <a:rPr lang="en-GB" sz="900" b="0" i="0" u="none" strike="noStrike" baseline="0">
              <a:solidFill>
                <a:srgbClr val="FFFFFF"/>
              </a:solidFill>
              <a:latin typeface="Arial"/>
              <a:cs typeface="Arial"/>
            </a:rPr>
            <a:pPr algn="ctr" rtl="0">
              <a:defRPr sz="1000"/>
            </a:pPr>
            <a:t>BAR Revenue Code</a:t>
          </a:fld>
          <a:endParaRPr lang="en-GB"/>
        </a:p>
      </xdr:txBody>
    </xdr:sp>
    <xdr:clientData/>
  </xdr:twoCellAnchor>
  <xdr:twoCellAnchor editAs="oneCell">
    <xdr:from>
      <xdr:col>12</xdr:col>
      <xdr:colOff>409575</xdr:colOff>
      <xdr:row>63</xdr:row>
      <xdr:rowOff>57150</xdr:rowOff>
    </xdr:from>
    <xdr:to>
      <xdr:col>14</xdr:col>
      <xdr:colOff>409575</xdr:colOff>
      <xdr:row>65</xdr:row>
      <xdr:rowOff>95249</xdr:rowOff>
    </xdr:to>
    <xdr:sp macro="" textlink="">
      <xdr:nvSpPr>
        <xdr:cNvPr id="26" name="Text Box 79">
          <a:hlinkClick xmlns:r="http://schemas.openxmlformats.org/officeDocument/2006/relationships" r:id="rId14" tooltip="Hyperlink to code list"/>
        </xdr:cNvPr>
        <xdr:cNvSpPr txBox="1">
          <a:spLocks noChangeArrowheads="1" noTextEdit="1"/>
        </xdr:cNvSpPr>
      </xdr:nvSpPr>
      <xdr:spPr bwMode="auto">
        <a:xfrm>
          <a:off x="5467350" y="10001250"/>
          <a:ext cx="895350" cy="361950"/>
        </a:xfrm>
        <a:prstGeom prst="rect">
          <a:avLst/>
        </a:prstGeom>
        <a:solidFill>
          <a:srgbClr xmlns:mc="http://schemas.openxmlformats.org/markup-compatibility/2006" xmlns:a14="http://schemas.microsoft.com/office/drawing/2010/main" val="000080" mc:Ignorable="a14" a14:legacySpreadsheetColorIndex="18"/>
        </a:solidFill>
        <a:ln w="9525">
          <a:solidFill>
            <a:srgbClr xmlns:mc="http://schemas.openxmlformats.org/markup-compatibility/2006" xmlns:a14="http://schemas.microsoft.com/office/drawing/2010/main" val="FFFFFF" mc:Ignorable="a14" a14:legacySpreadsheetColorIndex="9"/>
          </a:solidFill>
          <a:miter lim="800000"/>
          <a:headEnd/>
          <a:tailEnd/>
        </a:ln>
      </xdr:spPr>
      <xdr:txBody>
        <a:bodyPr vertOverflow="clip" wrap="square" lIns="27432" tIns="22860" rIns="27432" bIns="22860" anchor="ctr" upright="1"/>
        <a:lstStyle/>
        <a:p>
          <a:pPr algn="ctr" rtl="0">
            <a:defRPr sz="1000"/>
          </a:pPr>
          <a:fld id="{9EF88555-EE9C-4545-B127-6CBE92367552}" type="TxLink">
            <a:rPr lang="en-GB" sz="900" b="0" i="0" u="none" strike="noStrike" baseline="0">
              <a:solidFill>
                <a:srgbClr val="FFFFFF"/>
              </a:solidFill>
              <a:latin typeface="Arial"/>
              <a:cs typeface="Arial"/>
            </a:rPr>
            <a:pPr algn="ctr" rtl="0">
              <a:defRPr sz="1000"/>
            </a:pPr>
            <a:t>Currency Rates</a:t>
          </a:fld>
          <a:endParaRPr lang="en-GB"/>
        </a:p>
      </xdr:txBody>
    </xdr:sp>
    <xdr:clientData/>
  </xdr:twoCellAnchor>
  <xdr:twoCellAnchor editAs="oneCell">
    <xdr:from>
      <xdr:col>1</xdr:col>
      <xdr:colOff>247650</xdr:colOff>
      <xdr:row>81</xdr:row>
      <xdr:rowOff>19050</xdr:rowOff>
    </xdr:from>
    <xdr:to>
      <xdr:col>3</xdr:col>
      <xdr:colOff>314325</xdr:colOff>
      <xdr:row>84</xdr:row>
      <xdr:rowOff>47625</xdr:rowOff>
    </xdr:to>
    <xdr:sp macro="" textlink="">
      <xdr:nvSpPr>
        <xdr:cNvPr id="27" name="Text Box 85">
          <a:hlinkClick xmlns:r="http://schemas.openxmlformats.org/officeDocument/2006/relationships" r:id="rId15" tooltip="Hyperlink to area"/>
        </xdr:cNvPr>
        <xdr:cNvSpPr txBox="1">
          <a:spLocks noChangeArrowheads="1" noTextEdit="1"/>
        </xdr:cNvSpPr>
      </xdr:nvSpPr>
      <xdr:spPr bwMode="auto">
        <a:xfrm>
          <a:off x="447675" y="12734925"/>
          <a:ext cx="895350" cy="361950"/>
        </a:xfrm>
        <a:prstGeom prst="rect">
          <a:avLst/>
        </a:prstGeom>
        <a:solidFill>
          <a:srgbClr xmlns:mc="http://schemas.openxmlformats.org/markup-compatibility/2006" xmlns:a14="http://schemas.microsoft.com/office/drawing/2010/main" val="000080" mc:Ignorable="a14" a14:legacySpreadsheetColorIndex="18"/>
        </a:solidFill>
        <a:ln w="9525">
          <a:solidFill>
            <a:srgbClr xmlns:mc="http://schemas.openxmlformats.org/markup-compatibility/2006" xmlns:a14="http://schemas.microsoft.com/office/drawing/2010/main" val="FFFFFF" mc:Ignorable="a14" a14:legacySpreadsheetColorIndex="9"/>
          </a:solidFill>
          <a:miter lim="800000"/>
          <a:headEnd/>
          <a:tailEnd/>
        </a:ln>
      </xdr:spPr>
      <xdr:txBody>
        <a:bodyPr vertOverflow="clip" wrap="square" lIns="27432" tIns="22860" rIns="27432" bIns="22860" anchor="ctr" upright="1"/>
        <a:lstStyle/>
        <a:p>
          <a:pPr algn="ctr" rtl="0">
            <a:defRPr sz="1000"/>
          </a:pPr>
          <a:fld id="{9DFD5908-C1F1-436A-8773-04230AC69D5D}" type="TxLink">
            <a:rPr lang="en-GB" sz="900" b="0" i="0" u="none" strike="noStrike" baseline="0">
              <a:solidFill>
                <a:srgbClr val="FFFFFF"/>
              </a:solidFill>
              <a:latin typeface="Arial"/>
              <a:cs typeface="Arial"/>
            </a:rPr>
            <a:pPr algn="ctr" rtl="0">
              <a:defRPr sz="1000"/>
            </a:pPr>
            <a:t>General</a:t>
          </a:fld>
          <a:endParaRPr lang="en-GB"/>
        </a:p>
      </xdr:txBody>
    </xdr:sp>
    <xdr:clientData/>
  </xdr:twoCellAnchor>
  <xdr:twoCellAnchor editAs="oneCell">
    <xdr:from>
      <xdr:col>1</xdr:col>
      <xdr:colOff>247650</xdr:colOff>
      <xdr:row>84</xdr:row>
      <xdr:rowOff>47625</xdr:rowOff>
    </xdr:from>
    <xdr:to>
      <xdr:col>3</xdr:col>
      <xdr:colOff>314325</xdr:colOff>
      <xdr:row>86</xdr:row>
      <xdr:rowOff>85725</xdr:rowOff>
    </xdr:to>
    <xdr:sp macro="" textlink="">
      <xdr:nvSpPr>
        <xdr:cNvPr id="28" name="Text Box 86">
          <a:hlinkClick xmlns:r="http://schemas.openxmlformats.org/officeDocument/2006/relationships" r:id="rId16" tooltip="Hyperlink to area"/>
        </xdr:cNvPr>
        <xdr:cNvSpPr txBox="1">
          <a:spLocks noChangeArrowheads="1" noTextEdit="1"/>
        </xdr:cNvSpPr>
      </xdr:nvSpPr>
      <xdr:spPr bwMode="auto">
        <a:xfrm>
          <a:off x="447675" y="13096875"/>
          <a:ext cx="895350" cy="361950"/>
        </a:xfrm>
        <a:prstGeom prst="rect">
          <a:avLst/>
        </a:prstGeom>
        <a:solidFill>
          <a:srgbClr xmlns:mc="http://schemas.openxmlformats.org/markup-compatibility/2006" xmlns:a14="http://schemas.microsoft.com/office/drawing/2010/main" val="000080" mc:Ignorable="a14" a14:legacySpreadsheetColorIndex="18"/>
        </a:solidFill>
        <a:ln w="9525">
          <a:solidFill>
            <a:srgbClr xmlns:mc="http://schemas.openxmlformats.org/markup-compatibility/2006" xmlns:a14="http://schemas.microsoft.com/office/drawing/2010/main" val="FFFFFF" mc:Ignorable="a14" a14:legacySpreadsheetColorIndex="9"/>
          </a:solidFill>
          <a:miter lim="800000"/>
          <a:headEnd/>
          <a:tailEnd/>
        </a:ln>
      </xdr:spPr>
      <xdr:txBody>
        <a:bodyPr vertOverflow="clip" wrap="square" lIns="27432" tIns="22860" rIns="27432" bIns="22860" anchor="ctr" upright="1"/>
        <a:lstStyle/>
        <a:p>
          <a:pPr algn="ctr" rtl="0">
            <a:defRPr sz="1000"/>
          </a:pPr>
          <a:fld id="{F27EA4E1-1C18-48CE-8848-AEE03C3CB838}" type="TxLink">
            <a:rPr lang="en-GB" sz="900" b="0" i="0" u="none" strike="noStrike" baseline="0">
              <a:solidFill>
                <a:srgbClr val="FFFFFF"/>
              </a:solidFill>
              <a:latin typeface="Arial"/>
              <a:cs typeface="Arial"/>
            </a:rPr>
            <a:pPr algn="ctr" rtl="0">
              <a:defRPr sz="1000"/>
            </a:pPr>
            <a:t>Monthly</a:t>
          </a:fld>
          <a:endParaRPr lang="en-GB"/>
        </a:p>
      </xdr:txBody>
    </xdr:sp>
    <xdr:clientData/>
  </xdr:twoCellAnchor>
  <xdr:twoCellAnchor editAs="oneCell">
    <xdr:from>
      <xdr:col>14</xdr:col>
      <xdr:colOff>409575</xdr:colOff>
      <xdr:row>63</xdr:row>
      <xdr:rowOff>57150</xdr:rowOff>
    </xdr:from>
    <xdr:to>
      <xdr:col>16</xdr:col>
      <xdr:colOff>409575</xdr:colOff>
      <xdr:row>65</xdr:row>
      <xdr:rowOff>95249</xdr:rowOff>
    </xdr:to>
    <xdr:sp macro="" textlink="">
      <xdr:nvSpPr>
        <xdr:cNvPr id="29" name="Text Box 88">
          <a:hlinkClick xmlns:r="http://schemas.openxmlformats.org/officeDocument/2006/relationships" r:id="rId17" tooltip="Hyperlink to code list"/>
        </xdr:cNvPr>
        <xdr:cNvSpPr txBox="1">
          <a:spLocks noChangeArrowheads="1" noTextEdit="1"/>
        </xdr:cNvSpPr>
      </xdr:nvSpPr>
      <xdr:spPr bwMode="auto">
        <a:xfrm>
          <a:off x="6362700" y="10001250"/>
          <a:ext cx="895350" cy="361950"/>
        </a:xfrm>
        <a:prstGeom prst="rect">
          <a:avLst/>
        </a:prstGeom>
        <a:solidFill>
          <a:srgbClr xmlns:mc="http://schemas.openxmlformats.org/markup-compatibility/2006" xmlns:a14="http://schemas.microsoft.com/office/drawing/2010/main" val="000080" mc:Ignorable="a14" a14:legacySpreadsheetColorIndex="18"/>
        </a:solidFill>
        <a:ln w="9525">
          <a:solidFill>
            <a:srgbClr xmlns:mc="http://schemas.openxmlformats.org/markup-compatibility/2006" xmlns:a14="http://schemas.microsoft.com/office/drawing/2010/main" val="FFFFFF" mc:Ignorable="a14" a14:legacySpreadsheetColorIndex="9"/>
          </a:solidFill>
          <a:miter lim="800000"/>
          <a:headEnd/>
          <a:tailEnd/>
        </a:ln>
      </xdr:spPr>
      <xdr:txBody>
        <a:bodyPr vertOverflow="clip" wrap="square" lIns="27432" tIns="22860" rIns="27432" bIns="22860" anchor="ctr" upright="1"/>
        <a:lstStyle/>
        <a:p>
          <a:pPr algn="ctr" rtl="0">
            <a:defRPr sz="1000"/>
          </a:pPr>
          <a:fld id="{D6EF5337-AD02-48D3-ADD5-81E72294E02C}" type="TxLink">
            <a:rPr lang="en-GB" sz="900" b="0" i="0" u="none" strike="noStrike" baseline="0">
              <a:solidFill>
                <a:srgbClr val="FFFFFF"/>
              </a:solidFill>
              <a:latin typeface="Arial"/>
              <a:cs typeface="Arial"/>
            </a:rPr>
            <a:pPr algn="ctr" rtl="0">
              <a:defRPr sz="1000"/>
            </a:pPr>
            <a:t>Payment Type</a:t>
          </a:fld>
          <a:endParaRPr lang="en-GB"/>
        </a:p>
      </xdr:txBody>
    </xdr:sp>
    <xdr:clientData/>
  </xdr:twoCellAnchor>
  <xdr:twoCellAnchor editAs="oneCell">
    <xdr:from>
      <xdr:col>5</xdr:col>
      <xdr:colOff>28575</xdr:colOff>
      <xdr:row>41</xdr:row>
      <xdr:rowOff>104775</xdr:rowOff>
    </xdr:from>
    <xdr:to>
      <xdr:col>7</xdr:col>
      <xdr:colOff>28575</xdr:colOff>
      <xdr:row>43</xdr:row>
      <xdr:rowOff>142874</xdr:rowOff>
    </xdr:to>
    <xdr:sp macro="" textlink="">
      <xdr:nvSpPr>
        <xdr:cNvPr id="31" name="Text Box 107"/>
        <xdr:cNvSpPr txBox="1">
          <a:spLocks noChangeArrowheads="1"/>
        </xdr:cNvSpPr>
      </xdr:nvSpPr>
      <xdr:spPr bwMode="auto">
        <a:xfrm>
          <a:off x="1952625" y="6448425"/>
          <a:ext cx="895350" cy="361950"/>
        </a:xfrm>
        <a:prstGeom prst="rect">
          <a:avLst/>
        </a:prstGeom>
        <a:solidFill>
          <a:srgbClr xmlns:mc="http://schemas.openxmlformats.org/markup-compatibility/2006" xmlns:a14="http://schemas.microsoft.com/office/drawing/2010/main" val="FFFFFF" mc:Ignorable="a14" a14:legacySpreadsheetColorIndex="9"/>
        </a:solidFill>
        <a:ln w="19050">
          <a:solidFill>
            <a:srgbClr xmlns:mc="http://schemas.openxmlformats.org/markup-compatibility/2006" xmlns:a14="http://schemas.microsoft.com/office/drawing/2010/main" val="333333" mc:Ignorable="a14" a14:legacySpreadsheetColorIndex="63"/>
          </a:solidFill>
          <a:miter lim="800000"/>
          <a:headEnd/>
          <a:tailEnd/>
        </a:ln>
      </xdr:spPr>
      <xdr:txBody>
        <a:bodyPr vertOverflow="clip" wrap="square" lIns="27432" tIns="22860" rIns="27432" bIns="22860" anchor="ctr" upright="1"/>
        <a:lstStyle/>
        <a:p>
          <a:pPr algn="ctr" rtl="0">
            <a:defRPr sz="1000"/>
          </a:pPr>
          <a:r>
            <a:rPr lang="en-GB" sz="900" b="0" i="0" u="none" strike="noStrike" baseline="0">
              <a:solidFill>
                <a:srgbClr val="000000"/>
              </a:solidFill>
              <a:latin typeface="Arial"/>
              <a:cs typeface="Arial"/>
            </a:rPr>
            <a:t>BU Input</a:t>
          </a:r>
          <a:endParaRPr lang="en-GB"/>
        </a:p>
      </xdr:txBody>
    </xdr:sp>
    <xdr:clientData/>
  </xdr:twoCellAnchor>
  <xdr:twoCellAnchor>
    <xdr:from>
      <xdr:col>3</xdr:col>
      <xdr:colOff>85725</xdr:colOff>
      <xdr:row>97</xdr:row>
      <xdr:rowOff>38100</xdr:rowOff>
    </xdr:from>
    <xdr:to>
      <xdr:col>5</xdr:col>
      <xdr:colOff>85725</xdr:colOff>
      <xdr:row>99</xdr:row>
      <xdr:rowOff>66675</xdr:rowOff>
    </xdr:to>
    <xdr:sp macro="" textlink="">
      <xdr:nvSpPr>
        <xdr:cNvPr id="32" name="Rectangle 134">
          <a:hlinkClick xmlns:r="http://schemas.openxmlformats.org/officeDocument/2006/relationships" r:id="rId18" tooltip="Hyperlink to sheet"/>
        </xdr:cNvPr>
        <xdr:cNvSpPr>
          <a:spLocks noChangeArrowheads="1" noTextEdit="1"/>
        </xdr:cNvSpPr>
      </xdr:nvSpPr>
      <xdr:spPr bwMode="auto">
        <a:xfrm>
          <a:off x="1114425" y="15192375"/>
          <a:ext cx="895350" cy="352425"/>
        </a:xfrm>
        <a:prstGeom prst="rect">
          <a:avLst/>
        </a:prstGeom>
        <a:solidFill>
          <a:srgbClr xmlns:mc="http://schemas.openxmlformats.org/markup-compatibility/2006" xmlns:a14="http://schemas.microsoft.com/office/drawing/2010/main" val="008000" mc:Ignorable="a14" a14:legacySpreadsheetColorIndex="1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fld id="{B6407E83-47AF-4D82-A2DD-7E1306051611}" type="TxLink">
            <a:rPr lang="en-GB" sz="1000" b="0" i="0" u="none" strike="noStrike" baseline="0">
              <a:solidFill>
                <a:srgbClr val="FFFFFF"/>
              </a:solidFill>
              <a:latin typeface="Arial"/>
              <a:cs typeface="Arial"/>
            </a:rPr>
            <a:pPr algn="ctr" rtl="0">
              <a:defRPr sz="1000"/>
            </a:pPr>
            <a:t>Final Price</a:t>
          </a:fld>
          <a:endParaRPr lang="en-GB"/>
        </a:p>
      </xdr:txBody>
    </xdr:sp>
    <xdr:clientData/>
  </xdr:twoCellAnchor>
  <xdr:twoCellAnchor>
    <xdr:from>
      <xdr:col>4</xdr:col>
      <xdr:colOff>85725</xdr:colOff>
      <xdr:row>86</xdr:row>
      <xdr:rowOff>104775</xdr:rowOff>
    </xdr:from>
    <xdr:to>
      <xdr:col>19</xdr:col>
      <xdr:colOff>200025</xdr:colOff>
      <xdr:row>97</xdr:row>
      <xdr:rowOff>38100</xdr:rowOff>
    </xdr:to>
    <xdr:cxnSp macro="">
      <xdr:nvCxnSpPr>
        <xdr:cNvPr id="33" name="AutoShape 135"/>
        <xdr:cNvCxnSpPr>
          <a:cxnSpLocks noChangeShapeType="1"/>
          <a:stCxn id="21" idx="2"/>
          <a:endCxn id="32" idx="0"/>
        </xdr:cNvCxnSpPr>
      </xdr:nvCxnSpPr>
      <xdr:spPr bwMode="auto">
        <a:xfrm rot="5400000">
          <a:off x="4119563" y="10920412"/>
          <a:ext cx="1714500" cy="6829425"/>
        </a:xfrm>
        <a:prstGeom prst="bentConnector3">
          <a:avLst>
            <a:gd name="adj1" fmla="val 50000"/>
          </a:avLst>
        </a:prstGeom>
        <a:noFill/>
        <a:ln w="9525">
          <a:solidFill>
            <a:srgbClr xmlns:mc="http://schemas.openxmlformats.org/markup-compatibility/2006" xmlns:a14="http://schemas.microsoft.com/office/drawing/2010/main" val="333333" mc:Ignorable="a14" a14:legacySpreadsheetColorIndex="63"/>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6</xdr:col>
      <xdr:colOff>28575</xdr:colOff>
      <xdr:row>43</xdr:row>
      <xdr:rowOff>152400</xdr:rowOff>
    </xdr:from>
    <xdr:to>
      <xdr:col>7</xdr:col>
      <xdr:colOff>219075</xdr:colOff>
      <xdr:row>49</xdr:row>
      <xdr:rowOff>114300</xdr:rowOff>
    </xdr:to>
    <xdr:cxnSp macro="">
      <xdr:nvCxnSpPr>
        <xdr:cNvPr id="34" name="AutoShape 138"/>
        <xdr:cNvCxnSpPr>
          <a:cxnSpLocks noChangeShapeType="1"/>
          <a:stCxn id="31" idx="2"/>
          <a:endCxn id="17" idx="0"/>
        </xdr:cNvCxnSpPr>
      </xdr:nvCxnSpPr>
      <xdr:spPr bwMode="auto">
        <a:xfrm rot="16200000" flipH="1">
          <a:off x="2233613" y="6986587"/>
          <a:ext cx="971550" cy="638175"/>
        </a:xfrm>
        <a:prstGeom prst="bentConnector3">
          <a:avLst>
            <a:gd name="adj1" fmla="val 50000"/>
          </a:avLst>
        </a:prstGeom>
        <a:noFill/>
        <a:ln w="9525">
          <a:solidFill>
            <a:srgbClr xmlns:mc="http://schemas.openxmlformats.org/markup-compatibility/2006" xmlns:a14="http://schemas.microsoft.com/office/drawing/2010/main" val="333333" mc:Ignorable="a14" a14:legacySpreadsheetColorIndex="63"/>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editAs="oneCell">
    <xdr:from>
      <xdr:col>14</xdr:col>
      <xdr:colOff>409575</xdr:colOff>
      <xdr:row>52</xdr:row>
      <xdr:rowOff>47625</xdr:rowOff>
    </xdr:from>
    <xdr:to>
      <xdr:col>16</xdr:col>
      <xdr:colOff>409575</xdr:colOff>
      <xdr:row>54</xdr:row>
      <xdr:rowOff>85726</xdr:rowOff>
    </xdr:to>
    <xdr:sp macro="" textlink="">
      <xdr:nvSpPr>
        <xdr:cNvPr id="35" name="Text Box 140">
          <a:hlinkClick xmlns:r="http://schemas.openxmlformats.org/officeDocument/2006/relationships" r:id="rId19" tooltip="Hyperlink to code list"/>
        </xdr:cNvPr>
        <xdr:cNvSpPr txBox="1">
          <a:spLocks noChangeArrowheads="1" noTextEdit="1"/>
        </xdr:cNvSpPr>
      </xdr:nvSpPr>
      <xdr:spPr bwMode="auto">
        <a:xfrm>
          <a:off x="6362700" y="8210550"/>
          <a:ext cx="895350" cy="361950"/>
        </a:xfrm>
        <a:prstGeom prst="rect">
          <a:avLst/>
        </a:prstGeom>
        <a:solidFill>
          <a:srgbClr xmlns:mc="http://schemas.openxmlformats.org/markup-compatibility/2006" xmlns:a14="http://schemas.microsoft.com/office/drawing/2010/main" val="000080" mc:Ignorable="a14" a14:legacySpreadsheetColorIndex="18"/>
        </a:solidFill>
        <a:ln w="9525">
          <a:solidFill>
            <a:srgbClr xmlns:mc="http://schemas.openxmlformats.org/markup-compatibility/2006" xmlns:a14="http://schemas.microsoft.com/office/drawing/2010/main" val="FFFFFF" mc:Ignorable="a14" a14:legacySpreadsheetColorIndex="9"/>
          </a:solidFill>
          <a:miter lim="800000"/>
          <a:headEnd/>
          <a:tailEnd/>
        </a:ln>
      </xdr:spPr>
      <xdr:txBody>
        <a:bodyPr vertOverflow="clip" wrap="square" lIns="27432" tIns="22860" rIns="27432" bIns="22860" anchor="ctr" upright="1"/>
        <a:lstStyle/>
        <a:p>
          <a:pPr algn="ctr" rtl="0">
            <a:defRPr sz="1000"/>
          </a:pPr>
          <a:fld id="{CBB16633-F1BB-4541-B64E-8FC1AE27B336}" type="TxLink">
            <a:rPr lang="en-GB" sz="900" b="0" i="0" u="none" strike="noStrike" baseline="0">
              <a:solidFill>
                <a:srgbClr val="FFFFFF"/>
              </a:solidFill>
              <a:latin typeface="Arial"/>
              <a:cs typeface="Arial"/>
            </a:rPr>
            <a:pPr algn="ctr" rtl="0">
              <a:defRPr sz="1000"/>
            </a:pPr>
            <a:t>Indexation Rates</a:t>
          </a:fld>
          <a:endParaRPr lang="en-GB"/>
        </a:p>
      </xdr:txBody>
    </xdr:sp>
    <xdr:clientData/>
  </xdr:twoCellAnchor>
  <xdr:twoCellAnchor editAs="oneCell">
    <xdr:from>
      <xdr:col>2</xdr:col>
      <xdr:colOff>9525</xdr:colOff>
      <xdr:row>41</xdr:row>
      <xdr:rowOff>104775</xdr:rowOff>
    </xdr:from>
    <xdr:to>
      <xdr:col>4</xdr:col>
      <xdr:colOff>9525</xdr:colOff>
      <xdr:row>43</xdr:row>
      <xdr:rowOff>142874</xdr:rowOff>
    </xdr:to>
    <xdr:sp macro="" textlink="">
      <xdr:nvSpPr>
        <xdr:cNvPr id="36" name="Text Box 221"/>
        <xdr:cNvSpPr txBox="1">
          <a:spLocks noChangeArrowheads="1"/>
        </xdr:cNvSpPr>
      </xdr:nvSpPr>
      <xdr:spPr bwMode="auto">
        <a:xfrm>
          <a:off x="590550" y="6448425"/>
          <a:ext cx="895350" cy="361950"/>
        </a:xfrm>
        <a:prstGeom prst="rect">
          <a:avLst/>
        </a:prstGeom>
        <a:solidFill>
          <a:srgbClr xmlns:mc="http://schemas.openxmlformats.org/markup-compatibility/2006" xmlns:a14="http://schemas.microsoft.com/office/drawing/2010/main" val="FFFFFF" mc:Ignorable="a14" a14:legacySpreadsheetColorIndex="9"/>
        </a:solidFill>
        <a:ln w="19050">
          <a:solidFill>
            <a:srgbClr xmlns:mc="http://schemas.openxmlformats.org/markup-compatibility/2006" xmlns:a14="http://schemas.microsoft.com/office/drawing/2010/main" val="333333" mc:Ignorable="a14" a14:legacySpreadsheetColorIndex="63"/>
          </a:solidFill>
          <a:miter lim="800000"/>
          <a:headEnd/>
          <a:tailEnd/>
        </a:ln>
      </xdr:spPr>
      <xdr:txBody>
        <a:bodyPr vertOverflow="clip" wrap="square" lIns="27432" tIns="22860" rIns="27432" bIns="22860" anchor="ctr" upright="1"/>
        <a:lstStyle/>
        <a:p>
          <a:pPr algn="ctr" rtl="0">
            <a:defRPr sz="1000"/>
          </a:pPr>
          <a:r>
            <a:rPr lang="en-GB" sz="900" b="0" i="0" u="none" strike="noStrike" baseline="0">
              <a:solidFill>
                <a:srgbClr val="000000"/>
              </a:solidFill>
              <a:latin typeface="Arial"/>
              <a:cs typeface="Arial"/>
            </a:rPr>
            <a:t>Risks</a:t>
          </a:r>
          <a:endParaRPr lang="en-GB"/>
        </a:p>
      </xdr:txBody>
    </xdr:sp>
    <xdr:clientData/>
  </xdr:twoCellAnchor>
  <xdr:twoCellAnchor>
    <xdr:from>
      <xdr:col>3</xdr:col>
      <xdr:colOff>9525</xdr:colOff>
      <xdr:row>43</xdr:row>
      <xdr:rowOff>152400</xdr:rowOff>
    </xdr:from>
    <xdr:to>
      <xdr:col>7</xdr:col>
      <xdr:colOff>219075</xdr:colOff>
      <xdr:row>49</xdr:row>
      <xdr:rowOff>114300</xdr:rowOff>
    </xdr:to>
    <xdr:cxnSp macro="">
      <xdr:nvCxnSpPr>
        <xdr:cNvPr id="39" name="AutoShape 224"/>
        <xdr:cNvCxnSpPr>
          <a:cxnSpLocks noChangeShapeType="1"/>
          <a:stCxn id="36" idx="2"/>
          <a:endCxn id="17" idx="0"/>
        </xdr:cNvCxnSpPr>
      </xdr:nvCxnSpPr>
      <xdr:spPr bwMode="auto">
        <a:xfrm rot="16200000" flipH="1">
          <a:off x="1552575" y="6305550"/>
          <a:ext cx="971550" cy="2000250"/>
        </a:xfrm>
        <a:prstGeom prst="bentConnector3">
          <a:avLst>
            <a:gd name="adj1" fmla="val 50000"/>
          </a:avLst>
        </a:prstGeom>
        <a:noFill/>
        <a:ln w="9525">
          <a:solidFill>
            <a:srgbClr xmlns:mc="http://schemas.openxmlformats.org/markup-compatibility/2006" xmlns:a14="http://schemas.microsoft.com/office/drawing/2010/main" val="333333" mc:Ignorable="a14" a14:legacySpreadsheetColorIndex="63"/>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editAs="oneCell">
    <xdr:from>
      <xdr:col>14</xdr:col>
      <xdr:colOff>409575</xdr:colOff>
      <xdr:row>54</xdr:row>
      <xdr:rowOff>85725</xdr:rowOff>
    </xdr:from>
    <xdr:to>
      <xdr:col>16</xdr:col>
      <xdr:colOff>409575</xdr:colOff>
      <xdr:row>56</xdr:row>
      <xdr:rowOff>123825</xdr:rowOff>
    </xdr:to>
    <xdr:sp macro="" textlink="">
      <xdr:nvSpPr>
        <xdr:cNvPr id="40" name="Text Box 225">
          <a:hlinkClick xmlns:r="http://schemas.openxmlformats.org/officeDocument/2006/relationships" r:id="rId20" tooltip="Hyperlink to code list"/>
        </xdr:cNvPr>
        <xdr:cNvSpPr txBox="1">
          <a:spLocks noChangeArrowheads="1" noTextEdit="1"/>
        </xdr:cNvSpPr>
      </xdr:nvSpPr>
      <xdr:spPr bwMode="auto">
        <a:xfrm>
          <a:off x="6362700" y="8572500"/>
          <a:ext cx="895350" cy="361950"/>
        </a:xfrm>
        <a:prstGeom prst="rect">
          <a:avLst/>
        </a:prstGeom>
        <a:solidFill>
          <a:srgbClr xmlns:mc="http://schemas.openxmlformats.org/markup-compatibility/2006" xmlns:a14="http://schemas.microsoft.com/office/drawing/2010/main" val="000080" mc:Ignorable="a14" a14:legacySpreadsheetColorIndex="18"/>
        </a:solidFill>
        <a:ln w="9525">
          <a:solidFill>
            <a:srgbClr xmlns:mc="http://schemas.openxmlformats.org/markup-compatibility/2006" xmlns:a14="http://schemas.microsoft.com/office/drawing/2010/main" val="FFFFFF" mc:Ignorable="a14" a14:legacySpreadsheetColorIndex="9"/>
          </a:solidFill>
          <a:miter lim="800000"/>
          <a:headEnd/>
          <a:tailEnd/>
        </a:ln>
      </xdr:spPr>
      <xdr:txBody>
        <a:bodyPr vertOverflow="clip" wrap="square" lIns="27432" tIns="22860" rIns="27432" bIns="22860" anchor="ctr" upright="1"/>
        <a:lstStyle/>
        <a:p>
          <a:pPr algn="ctr" rtl="0">
            <a:defRPr sz="1000"/>
          </a:pPr>
          <a:fld id="{95CA2206-C3F7-470D-B957-BBADA273CBE2}" type="TxLink">
            <a:rPr lang="en-GB" sz="900" b="0" i="0" u="none" strike="noStrike" baseline="0">
              <a:solidFill>
                <a:srgbClr val="FFFFFF"/>
              </a:solidFill>
              <a:latin typeface="Arial"/>
              <a:cs typeface="Arial"/>
            </a:rPr>
            <a:pPr algn="ctr" rtl="0">
              <a:defRPr sz="1000"/>
            </a:pPr>
            <a:t>Lease Financing</a:t>
          </a:fld>
          <a:endParaRPr lang="en-GB"/>
        </a:p>
      </xdr:txBody>
    </xdr:sp>
    <xdr:clientData/>
  </xdr:twoCellAnchor>
  <xdr:twoCellAnchor editAs="oneCell">
    <xdr:from>
      <xdr:col>1</xdr:col>
      <xdr:colOff>104775</xdr:colOff>
      <xdr:row>117</xdr:row>
      <xdr:rowOff>0</xdr:rowOff>
    </xdr:from>
    <xdr:to>
      <xdr:col>3</xdr:col>
      <xdr:colOff>171450</xdr:colOff>
      <xdr:row>119</xdr:row>
      <xdr:rowOff>38100</xdr:rowOff>
    </xdr:to>
    <xdr:sp macro="" textlink="">
      <xdr:nvSpPr>
        <xdr:cNvPr id="41" name="Text Box 234">
          <a:hlinkClick xmlns:r="http://schemas.openxmlformats.org/officeDocument/2006/relationships" r:id="rId21" tooltip="Hyperlink to sheet"/>
        </xdr:cNvPr>
        <xdr:cNvSpPr txBox="1">
          <a:spLocks noChangeArrowheads="1"/>
        </xdr:cNvSpPr>
      </xdr:nvSpPr>
      <xdr:spPr bwMode="auto">
        <a:xfrm>
          <a:off x="304800" y="18364200"/>
          <a:ext cx="895350" cy="3619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333333" mc:Ignorable="a14" a14:legacySpreadsheetColorIndex="63"/>
          </a:solidFill>
          <a:miter lim="800000"/>
          <a:headEnd/>
          <a:tailEnd/>
        </a:ln>
      </xdr:spPr>
      <xdr:txBody>
        <a:bodyPr vertOverflow="clip" wrap="square" lIns="27432" tIns="22860" rIns="27432" bIns="22860" anchor="ctr" upright="1"/>
        <a:lstStyle/>
        <a:p>
          <a:pPr algn="ctr" rtl="0">
            <a:defRPr sz="1000"/>
          </a:pPr>
          <a:r>
            <a:rPr lang="en-GB" sz="900" b="0" i="0" u="none" strike="noStrike" baseline="0">
              <a:solidFill>
                <a:srgbClr val="FFFFFF"/>
              </a:solidFill>
              <a:latin typeface="Arial"/>
              <a:cs typeface="Arial"/>
            </a:rPr>
            <a:t>Cover</a:t>
          </a:r>
          <a:endParaRPr lang="en-GB"/>
        </a:p>
      </xdr:txBody>
    </xdr:sp>
    <xdr:clientData/>
  </xdr:twoCellAnchor>
  <xdr:twoCellAnchor editAs="oneCell">
    <xdr:from>
      <xdr:col>20</xdr:col>
      <xdr:colOff>323850</xdr:colOff>
      <xdr:row>117</xdr:row>
      <xdr:rowOff>0</xdr:rowOff>
    </xdr:from>
    <xdr:to>
      <xdr:col>22</xdr:col>
      <xdr:colOff>323850</xdr:colOff>
      <xdr:row>119</xdr:row>
      <xdr:rowOff>38100</xdr:rowOff>
    </xdr:to>
    <xdr:sp macro="" textlink="">
      <xdr:nvSpPr>
        <xdr:cNvPr id="42" name="Text Box 235">
          <a:hlinkClick xmlns:r="http://schemas.openxmlformats.org/officeDocument/2006/relationships" r:id="rId22" tooltip="Hyperlink to sheet"/>
        </xdr:cNvPr>
        <xdr:cNvSpPr txBox="1">
          <a:spLocks noChangeArrowheads="1"/>
        </xdr:cNvSpPr>
      </xdr:nvSpPr>
      <xdr:spPr bwMode="auto">
        <a:xfrm>
          <a:off x="8896350" y="18364200"/>
          <a:ext cx="895350" cy="3619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333333" mc:Ignorable="a14" a14:legacySpreadsheetColorIndex="63"/>
          </a:solidFill>
          <a:miter lim="800000"/>
          <a:headEnd/>
          <a:tailEnd/>
        </a:ln>
      </xdr:spPr>
      <xdr:txBody>
        <a:bodyPr vertOverflow="clip" wrap="square" lIns="27432" tIns="22860" rIns="27432" bIns="22860" anchor="ctr" upright="1"/>
        <a:lstStyle/>
        <a:p>
          <a:pPr algn="ctr" rtl="0">
            <a:defRPr sz="1000"/>
          </a:pPr>
          <a:r>
            <a:rPr lang="en-GB" sz="900" b="0" i="0" u="none" strike="noStrike" baseline="0">
              <a:solidFill>
                <a:srgbClr val="FFFFFF"/>
              </a:solidFill>
              <a:latin typeface="Arial"/>
              <a:cs typeface="Arial"/>
            </a:rPr>
            <a:t>End</a:t>
          </a:r>
          <a:endParaRPr lang="en-GB"/>
        </a:p>
      </xdr:txBody>
    </xdr:sp>
    <xdr:clientData/>
  </xdr:twoCellAnchor>
  <xdr:twoCellAnchor editAs="oneCell">
    <xdr:from>
      <xdr:col>4</xdr:col>
      <xdr:colOff>47625</xdr:colOff>
      <xdr:row>117</xdr:row>
      <xdr:rowOff>0</xdr:rowOff>
    </xdr:from>
    <xdr:to>
      <xdr:col>6</xdr:col>
      <xdr:colOff>47625</xdr:colOff>
      <xdr:row>119</xdr:row>
      <xdr:rowOff>38100</xdr:rowOff>
    </xdr:to>
    <xdr:sp macro="" textlink="">
      <xdr:nvSpPr>
        <xdr:cNvPr id="43" name="Text Box 236">
          <a:hlinkClick xmlns:r="http://schemas.openxmlformats.org/officeDocument/2006/relationships" r:id="rId23" tooltip="Hyperlink to sheet"/>
        </xdr:cNvPr>
        <xdr:cNvSpPr txBox="1">
          <a:spLocks noChangeArrowheads="1" noTextEdit="1"/>
        </xdr:cNvSpPr>
      </xdr:nvSpPr>
      <xdr:spPr bwMode="auto">
        <a:xfrm>
          <a:off x="1524000" y="18364200"/>
          <a:ext cx="895350" cy="361950"/>
        </a:xfrm>
        <a:prstGeom prst="rect">
          <a:avLst/>
        </a:prstGeom>
        <a:solidFill>
          <a:srgbClr xmlns:mc="http://schemas.openxmlformats.org/markup-compatibility/2006" xmlns:a14="http://schemas.microsoft.com/office/drawing/2010/main" val="0000FF" mc:Ignorable="a14" a14:legacySpreadsheetColorIndex="12"/>
        </a:solidFill>
        <a:ln w="9525">
          <a:solidFill>
            <a:srgbClr xmlns:mc="http://schemas.openxmlformats.org/markup-compatibility/2006" xmlns:a14="http://schemas.microsoft.com/office/drawing/2010/main" val="333333" mc:Ignorable="a14" a14:legacySpreadsheetColorIndex="63"/>
          </a:solidFill>
          <a:miter lim="800000"/>
          <a:headEnd/>
          <a:tailEnd/>
        </a:ln>
      </xdr:spPr>
      <xdr:txBody>
        <a:bodyPr vertOverflow="clip" wrap="square" lIns="27432" tIns="22860" rIns="27432" bIns="22860" anchor="ctr" upright="1"/>
        <a:lstStyle/>
        <a:p>
          <a:pPr algn="ctr" rtl="0">
            <a:defRPr sz="1000"/>
          </a:pPr>
          <a:fld id="{25579181-74AF-4079-AE1B-E015071EE385}" type="TxLink">
            <a:rPr lang="en-GB" sz="900" b="0" i="0" u="none" strike="noStrike" baseline="0">
              <a:solidFill>
                <a:srgbClr val="FFFFFF"/>
              </a:solidFill>
              <a:latin typeface="Arial"/>
              <a:cs typeface="Arial"/>
            </a:rPr>
            <a:pPr algn="ctr" rtl="0">
              <a:defRPr sz="1000"/>
            </a:pPr>
            <a:t>Instructions &amp; Notes</a:t>
          </a:fld>
          <a:endParaRPr lang="en-GB"/>
        </a:p>
      </xdr:txBody>
    </xdr:sp>
    <xdr:clientData/>
  </xdr:twoCellAnchor>
  <xdr:twoCellAnchor editAs="oneCell">
    <xdr:from>
      <xdr:col>6</xdr:col>
      <xdr:colOff>381000</xdr:colOff>
      <xdr:row>117</xdr:row>
      <xdr:rowOff>0</xdr:rowOff>
    </xdr:from>
    <xdr:to>
      <xdr:col>8</xdr:col>
      <xdr:colOff>381000</xdr:colOff>
      <xdr:row>119</xdr:row>
      <xdr:rowOff>38100</xdr:rowOff>
    </xdr:to>
    <xdr:sp macro="" textlink="">
      <xdr:nvSpPr>
        <xdr:cNvPr id="44" name="Text Box 237">
          <a:hlinkClick xmlns:r="http://schemas.openxmlformats.org/officeDocument/2006/relationships" r:id="rId24" tooltip="Hyperlink to sheet"/>
        </xdr:cNvPr>
        <xdr:cNvSpPr txBox="1">
          <a:spLocks noChangeArrowheads="1" noTextEdit="1"/>
        </xdr:cNvSpPr>
      </xdr:nvSpPr>
      <xdr:spPr bwMode="auto">
        <a:xfrm>
          <a:off x="2752725" y="18364200"/>
          <a:ext cx="895350" cy="361950"/>
        </a:xfrm>
        <a:prstGeom prst="rect">
          <a:avLst/>
        </a:prstGeom>
        <a:solidFill>
          <a:srgbClr xmlns:mc="http://schemas.openxmlformats.org/markup-compatibility/2006" xmlns:a14="http://schemas.microsoft.com/office/drawing/2010/main" val="0000FF" mc:Ignorable="a14" a14:legacySpreadsheetColorIndex="12"/>
        </a:solidFill>
        <a:ln w="9525">
          <a:solidFill>
            <a:srgbClr xmlns:mc="http://schemas.openxmlformats.org/markup-compatibility/2006" xmlns:a14="http://schemas.microsoft.com/office/drawing/2010/main" val="333333" mc:Ignorable="a14" a14:legacySpreadsheetColorIndex="63"/>
          </a:solidFill>
          <a:miter lim="800000"/>
          <a:headEnd/>
          <a:tailEnd/>
        </a:ln>
      </xdr:spPr>
      <xdr:txBody>
        <a:bodyPr vertOverflow="clip" wrap="square" lIns="27432" tIns="22860" rIns="27432" bIns="22860" anchor="ctr" upright="1"/>
        <a:lstStyle/>
        <a:p>
          <a:pPr algn="ctr" rtl="0">
            <a:defRPr sz="1000"/>
          </a:pPr>
          <a:fld id="{7F8F9830-13E4-47AE-91EF-246CE8087990}" type="TxLink">
            <a:rPr lang="en-GB" sz="900" b="0" i="0" u="none" strike="noStrike" baseline="0">
              <a:solidFill>
                <a:srgbClr val="FFFFFF"/>
              </a:solidFill>
              <a:latin typeface="Arial"/>
              <a:cs typeface="Arial"/>
            </a:rPr>
            <a:pPr algn="ctr" rtl="0">
              <a:defRPr sz="1000"/>
            </a:pPr>
            <a:t>Styles</a:t>
          </a:fld>
          <a:endParaRPr lang="en-GB"/>
        </a:p>
      </xdr:txBody>
    </xdr:sp>
    <xdr:clientData/>
  </xdr:twoCellAnchor>
  <xdr:twoCellAnchor editAs="oneCell">
    <xdr:from>
      <xdr:col>9</xdr:col>
      <xdr:colOff>266700</xdr:colOff>
      <xdr:row>117</xdr:row>
      <xdr:rowOff>0</xdr:rowOff>
    </xdr:from>
    <xdr:to>
      <xdr:col>11</xdr:col>
      <xdr:colOff>266700</xdr:colOff>
      <xdr:row>119</xdr:row>
      <xdr:rowOff>38100</xdr:rowOff>
    </xdr:to>
    <xdr:sp macro="" textlink="">
      <xdr:nvSpPr>
        <xdr:cNvPr id="45" name="Text Box 238">
          <a:hlinkClick xmlns:r="http://schemas.openxmlformats.org/officeDocument/2006/relationships" r:id="rId25" tooltip="Hyperlink to sheet"/>
        </xdr:cNvPr>
        <xdr:cNvSpPr txBox="1">
          <a:spLocks noChangeArrowheads="1" noTextEdit="1"/>
        </xdr:cNvSpPr>
      </xdr:nvSpPr>
      <xdr:spPr bwMode="auto">
        <a:xfrm>
          <a:off x="3981450" y="18364200"/>
          <a:ext cx="895350" cy="361950"/>
        </a:xfrm>
        <a:prstGeom prst="rect">
          <a:avLst/>
        </a:prstGeom>
        <a:solidFill>
          <a:srgbClr xmlns:mc="http://schemas.openxmlformats.org/markup-compatibility/2006" xmlns:a14="http://schemas.microsoft.com/office/drawing/2010/main" val="0000FF" mc:Ignorable="a14" a14:legacySpreadsheetColorIndex="12"/>
        </a:solidFill>
        <a:ln w="9525">
          <a:solidFill>
            <a:srgbClr xmlns:mc="http://schemas.openxmlformats.org/markup-compatibility/2006" xmlns:a14="http://schemas.microsoft.com/office/drawing/2010/main" val="333333" mc:Ignorable="a14" a14:legacySpreadsheetColorIndex="63"/>
          </a:solidFill>
          <a:miter lim="800000"/>
          <a:headEnd/>
          <a:tailEnd/>
        </a:ln>
      </xdr:spPr>
      <xdr:txBody>
        <a:bodyPr vertOverflow="clip" wrap="square" lIns="27432" tIns="22860" rIns="27432" bIns="22860" anchor="ctr" upright="1"/>
        <a:lstStyle/>
        <a:p>
          <a:pPr algn="ctr" rtl="0">
            <a:defRPr sz="1000"/>
          </a:pPr>
          <a:fld id="{710F7B52-76DC-458F-8C1D-468504B99CAE}" type="TxLink">
            <a:rPr lang="en-GB" sz="900" b="0" i="0" u="none" strike="noStrike" baseline="0">
              <a:solidFill>
                <a:srgbClr val="FFFFFF"/>
              </a:solidFill>
              <a:latin typeface="Arial"/>
              <a:cs typeface="Arial"/>
            </a:rPr>
            <a:pPr algn="ctr" rtl="0">
              <a:defRPr sz="1000"/>
            </a:pPr>
            <a:t>Contents</a:t>
          </a:fld>
          <a:endParaRPr lang="en-GB"/>
        </a:p>
      </xdr:txBody>
    </xdr:sp>
    <xdr:clientData/>
  </xdr:twoCellAnchor>
  <xdr:twoCellAnchor editAs="oneCell">
    <xdr:from>
      <xdr:col>14</xdr:col>
      <xdr:colOff>409575</xdr:colOff>
      <xdr:row>56</xdr:row>
      <xdr:rowOff>104775</xdr:rowOff>
    </xdr:from>
    <xdr:to>
      <xdr:col>16</xdr:col>
      <xdr:colOff>409575</xdr:colOff>
      <xdr:row>58</xdr:row>
      <xdr:rowOff>142874</xdr:rowOff>
    </xdr:to>
    <xdr:sp macro="" textlink="">
      <xdr:nvSpPr>
        <xdr:cNvPr id="46" name="Text Box 256">
          <a:hlinkClick xmlns:r="http://schemas.openxmlformats.org/officeDocument/2006/relationships" r:id="rId26" tooltip="Hyperlink to code list"/>
        </xdr:cNvPr>
        <xdr:cNvSpPr txBox="1">
          <a:spLocks noChangeArrowheads="1" noTextEdit="1"/>
        </xdr:cNvSpPr>
      </xdr:nvSpPr>
      <xdr:spPr bwMode="auto">
        <a:xfrm>
          <a:off x="6362700" y="8915400"/>
          <a:ext cx="895350" cy="361950"/>
        </a:xfrm>
        <a:prstGeom prst="rect">
          <a:avLst/>
        </a:prstGeom>
        <a:solidFill>
          <a:srgbClr xmlns:mc="http://schemas.openxmlformats.org/markup-compatibility/2006" xmlns:a14="http://schemas.microsoft.com/office/drawing/2010/main" val="000080" mc:Ignorable="a14" a14:legacySpreadsheetColorIndex="18"/>
        </a:solidFill>
        <a:ln w="9525">
          <a:solidFill>
            <a:srgbClr xmlns:mc="http://schemas.openxmlformats.org/markup-compatibility/2006" xmlns:a14="http://schemas.microsoft.com/office/drawing/2010/main" val="FFFFFF" mc:Ignorable="a14" a14:legacySpreadsheetColorIndex="9"/>
          </a:solidFill>
          <a:miter lim="800000"/>
          <a:headEnd/>
          <a:tailEnd/>
        </a:ln>
      </xdr:spPr>
      <xdr:txBody>
        <a:bodyPr vertOverflow="clip" wrap="square" lIns="27432" tIns="22860" rIns="27432" bIns="22860" anchor="ctr" upright="1"/>
        <a:lstStyle/>
        <a:p>
          <a:pPr algn="ctr" rtl="0">
            <a:defRPr sz="1000"/>
          </a:pPr>
          <a:fld id="{86BD6B10-2C2F-4847-9130-2CD28AEB3ABA}" type="TxLink">
            <a:rPr lang="en-GB" sz="900" b="0" i="0" u="none" strike="noStrike" baseline="0">
              <a:solidFill>
                <a:srgbClr val="FFFFFF"/>
              </a:solidFill>
              <a:latin typeface="Arial"/>
              <a:cs typeface="Arial"/>
            </a:rPr>
            <a:pPr algn="ctr" rtl="0">
              <a:defRPr sz="1000"/>
            </a:pPr>
            <a:t>Margin</a:t>
          </a:fld>
          <a:endParaRPr lang="en-GB"/>
        </a:p>
      </xdr:txBody>
    </xdr:sp>
    <xdr:clientData/>
  </xdr:twoCellAnchor>
  <xdr:twoCellAnchor editAs="oneCell">
    <xdr:from>
      <xdr:col>1</xdr:col>
      <xdr:colOff>247650</xdr:colOff>
      <xdr:row>86</xdr:row>
      <xdr:rowOff>85725</xdr:rowOff>
    </xdr:from>
    <xdr:to>
      <xdr:col>3</xdr:col>
      <xdr:colOff>314325</xdr:colOff>
      <xdr:row>88</xdr:row>
      <xdr:rowOff>123826</xdr:rowOff>
    </xdr:to>
    <xdr:sp macro="" textlink="">
      <xdr:nvSpPr>
        <xdr:cNvPr id="47" name="Text Box 343">
          <a:hlinkClick xmlns:r="http://schemas.openxmlformats.org/officeDocument/2006/relationships" r:id="rId27" tooltip="Hyperlink to area"/>
        </xdr:cNvPr>
        <xdr:cNvSpPr txBox="1">
          <a:spLocks noChangeArrowheads="1" noTextEdit="1"/>
        </xdr:cNvSpPr>
      </xdr:nvSpPr>
      <xdr:spPr bwMode="auto">
        <a:xfrm>
          <a:off x="447675" y="13458825"/>
          <a:ext cx="895350" cy="361950"/>
        </a:xfrm>
        <a:prstGeom prst="rect">
          <a:avLst/>
        </a:prstGeom>
        <a:solidFill>
          <a:srgbClr xmlns:mc="http://schemas.openxmlformats.org/markup-compatibility/2006" xmlns:a14="http://schemas.microsoft.com/office/drawing/2010/main" val="000080" mc:Ignorable="a14" a14:legacySpreadsheetColorIndex="18"/>
        </a:solidFill>
        <a:ln w="9525">
          <a:solidFill>
            <a:srgbClr xmlns:mc="http://schemas.openxmlformats.org/markup-compatibility/2006" xmlns:a14="http://schemas.microsoft.com/office/drawing/2010/main" val="FFFFFF" mc:Ignorable="a14" a14:legacySpreadsheetColorIndex="9"/>
          </a:solidFill>
          <a:miter lim="800000"/>
          <a:headEnd/>
          <a:tailEnd/>
        </a:ln>
      </xdr:spPr>
      <xdr:txBody>
        <a:bodyPr vertOverflow="clip" wrap="square" lIns="27432" tIns="22860" rIns="27432" bIns="22860" anchor="ctr" upright="1"/>
        <a:lstStyle/>
        <a:p>
          <a:pPr algn="ctr" rtl="0">
            <a:defRPr sz="1000"/>
          </a:pPr>
          <a:fld id="{AD722DCC-A67A-495B-BE14-A94DD49E0B33}" type="TxLink">
            <a:rPr lang="en-GB" sz="900" b="0" i="0" u="none" strike="noStrike" baseline="0">
              <a:solidFill>
                <a:srgbClr val="FFFFFF"/>
              </a:solidFill>
              <a:latin typeface="Arial"/>
              <a:cs typeface="Arial"/>
            </a:rPr>
            <a:pPr algn="ctr" rtl="0">
              <a:defRPr sz="1000"/>
            </a:pPr>
            <a:t>Annual</a:t>
          </a:fld>
          <a:endParaRPr lang="en-GB"/>
        </a:p>
      </xdr:txBody>
    </xdr:sp>
    <xdr:clientData/>
  </xdr:twoCellAnchor>
  <xdr:twoCellAnchor editAs="oneCell">
    <xdr:from>
      <xdr:col>10</xdr:col>
      <xdr:colOff>409575</xdr:colOff>
      <xdr:row>65</xdr:row>
      <xdr:rowOff>95250</xdr:rowOff>
    </xdr:from>
    <xdr:to>
      <xdr:col>12</xdr:col>
      <xdr:colOff>409575</xdr:colOff>
      <xdr:row>67</xdr:row>
      <xdr:rowOff>133350</xdr:rowOff>
    </xdr:to>
    <xdr:sp macro="" textlink="">
      <xdr:nvSpPr>
        <xdr:cNvPr id="51" name="Text Box 365">
          <a:hlinkClick xmlns:r="http://schemas.openxmlformats.org/officeDocument/2006/relationships" r:id="rId28" tooltip="Hyperlink to code list"/>
        </xdr:cNvPr>
        <xdr:cNvSpPr txBox="1">
          <a:spLocks noChangeArrowheads="1" noTextEdit="1"/>
        </xdr:cNvSpPr>
      </xdr:nvSpPr>
      <xdr:spPr bwMode="auto">
        <a:xfrm>
          <a:off x="4572000" y="10363200"/>
          <a:ext cx="895350" cy="361950"/>
        </a:xfrm>
        <a:prstGeom prst="rect">
          <a:avLst/>
        </a:prstGeom>
        <a:solidFill>
          <a:srgbClr xmlns:mc="http://schemas.openxmlformats.org/markup-compatibility/2006" xmlns:a14="http://schemas.microsoft.com/office/drawing/2010/main" val="000080" mc:Ignorable="a14" a14:legacySpreadsheetColorIndex="18"/>
        </a:solidFill>
        <a:ln w="9525">
          <a:solidFill>
            <a:srgbClr xmlns:mc="http://schemas.openxmlformats.org/markup-compatibility/2006" xmlns:a14="http://schemas.microsoft.com/office/drawing/2010/main" val="FFFFFF" mc:Ignorable="a14" a14:legacySpreadsheetColorIndex="9"/>
          </a:solidFill>
          <a:miter lim="800000"/>
          <a:headEnd/>
          <a:tailEnd/>
        </a:ln>
      </xdr:spPr>
      <xdr:txBody>
        <a:bodyPr vertOverflow="clip" wrap="square" lIns="27432" tIns="22860" rIns="27432" bIns="22860" anchor="ctr" upright="1"/>
        <a:lstStyle/>
        <a:p>
          <a:pPr algn="ctr" rtl="0">
            <a:defRPr sz="1000"/>
          </a:pPr>
          <a:fld id="{3A645075-8D00-4141-915E-385C41DDD91E}" type="TxLink">
            <a:rPr lang="en-GB" sz="900" b="0" i="0" u="none" strike="noStrike" baseline="0">
              <a:solidFill>
                <a:srgbClr val="FFFFFF"/>
              </a:solidFill>
              <a:latin typeface="Arial"/>
              <a:cs typeface="Arial"/>
            </a:rPr>
            <a:pPr algn="ctr" rtl="0">
              <a:defRPr sz="1000"/>
            </a:pPr>
            <a:t>Capability Units</a:t>
          </a:fld>
          <a:endParaRPr lang="en-GB"/>
        </a:p>
      </xdr:txBody>
    </xdr:sp>
    <xdr:clientData/>
  </xdr:twoCellAnchor>
  <xdr:twoCellAnchor editAs="oneCell">
    <xdr:from>
      <xdr:col>10</xdr:col>
      <xdr:colOff>409575</xdr:colOff>
      <xdr:row>67</xdr:row>
      <xdr:rowOff>133350</xdr:rowOff>
    </xdr:from>
    <xdr:to>
      <xdr:col>12</xdr:col>
      <xdr:colOff>409575</xdr:colOff>
      <xdr:row>70</xdr:row>
      <xdr:rowOff>9526</xdr:rowOff>
    </xdr:to>
    <xdr:sp macro="" textlink="">
      <xdr:nvSpPr>
        <xdr:cNvPr id="52" name="Text Box 366">
          <a:hlinkClick xmlns:r="http://schemas.openxmlformats.org/officeDocument/2006/relationships" r:id="rId29" tooltip="Hyperlink to code list"/>
        </xdr:cNvPr>
        <xdr:cNvSpPr txBox="1">
          <a:spLocks noChangeArrowheads="1" noTextEdit="1"/>
        </xdr:cNvSpPr>
      </xdr:nvSpPr>
      <xdr:spPr bwMode="auto">
        <a:xfrm>
          <a:off x="4572000" y="10725150"/>
          <a:ext cx="895350" cy="361950"/>
        </a:xfrm>
        <a:prstGeom prst="rect">
          <a:avLst/>
        </a:prstGeom>
        <a:solidFill>
          <a:srgbClr xmlns:mc="http://schemas.openxmlformats.org/markup-compatibility/2006" xmlns:a14="http://schemas.microsoft.com/office/drawing/2010/main" val="000080" mc:Ignorable="a14" a14:legacySpreadsheetColorIndex="18"/>
        </a:solidFill>
        <a:ln w="9525">
          <a:solidFill>
            <a:srgbClr xmlns:mc="http://schemas.openxmlformats.org/markup-compatibility/2006" xmlns:a14="http://schemas.microsoft.com/office/drawing/2010/main" val="FFFFFF" mc:Ignorable="a14" a14:legacySpreadsheetColorIndex="9"/>
          </a:solidFill>
          <a:miter lim="800000"/>
          <a:headEnd/>
          <a:tailEnd/>
        </a:ln>
      </xdr:spPr>
      <xdr:txBody>
        <a:bodyPr vertOverflow="clip" wrap="square" lIns="27432" tIns="22860" rIns="27432" bIns="22860" anchor="ctr" upright="1"/>
        <a:lstStyle/>
        <a:p>
          <a:pPr algn="ctr" rtl="0">
            <a:defRPr sz="1000"/>
          </a:pPr>
          <a:fld id="{CDF973F9-50E0-4C2D-B519-467F43726C59}" type="TxLink">
            <a:rPr lang="en-GB" sz="900" b="0" i="0" u="none" strike="noStrike" baseline="0">
              <a:solidFill>
                <a:srgbClr val="FFFFFF"/>
              </a:solidFill>
              <a:latin typeface="Arial"/>
              <a:cs typeface="Arial"/>
            </a:rPr>
            <a:pPr algn="ctr" rtl="0">
              <a:defRPr sz="1000"/>
            </a:pPr>
            <a:t>Capex / Opex</a:t>
          </a:fld>
          <a:endParaRPr lang="en-GB"/>
        </a:p>
      </xdr:txBody>
    </xdr:sp>
    <xdr:clientData/>
  </xdr:twoCellAnchor>
  <xdr:twoCellAnchor editAs="oneCell">
    <xdr:from>
      <xdr:col>12</xdr:col>
      <xdr:colOff>409575</xdr:colOff>
      <xdr:row>52</xdr:row>
      <xdr:rowOff>47625</xdr:rowOff>
    </xdr:from>
    <xdr:to>
      <xdr:col>14</xdr:col>
      <xdr:colOff>409575</xdr:colOff>
      <xdr:row>54</xdr:row>
      <xdr:rowOff>85726</xdr:rowOff>
    </xdr:to>
    <xdr:sp macro="" textlink="">
      <xdr:nvSpPr>
        <xdr:cNvPr id="53" name="Text Box 367">
          <a:hlinkClick xmlns:r="http://schemas.openxmlformats.org/officeDocument/2006/relationships" r:id="rId30" tooltip="Hyperlink to code list"/>
        </xdr:cNvPr>
        <xdr:cNvSpPr txBox="1">
          <a:spLocks noChangeArrowheads="1" noTextEdit="1"/>
        </xdr:cNvSpPr>
      </xdr:nvSpPr>
      <xdr:spPr bwMode="auto">
        <a:xfrm>
          <a:off x="5467350" y="8210550"/>
          <a:ext cx="895350" cy="361950"/>
        </a:xfrm>
        <a:prstGeom prst="rect">
          <a:avLst/>
        </a:prstGeom>
        <a:solidFill>
          <a:srgbClr xmlns:mc="http://schemas.openxmlformats.org/markup-compatibility/2006" xmlns:a14="http://schemas.microsoft.com/office/drawing/2010/main" val="000080" mc:Ignorable="a14" a14:legacySpreadsheetColorIndex="18"/>
        </a:solidFill>
        <a:ln w="9525">
          <a:solidFill>
            <a:srgbClr xmlns:mc="http://schemas.openxmlformats.org/markup-compatibility/2006" xmlns:a14="http://schemas.microsoft.com/office/drawing/2010/main" val="FFFFFF" mc:Ignorable="a14" a14:legacySpreadsheetColorIndex="9"/>
          </a:solidFill>
          <a:miter lim="800000"/>
          <a:headEnd/>
          <a:tailEnd/>
        </a:ln>
      </xdr:spPr>
      <xdr:txBody>
        <a:bodyPr vertOverflow="clip" wrap="square" lIns="27432" tIns="22860" rIns="27432" bIns="22860" anchor="ctr" upright="1"/>
        <a:lstStyle/>
        <a:p>
          <a:pPr algn="ctr" rtl="0">
            <a:defRPr sz="1000"/>
          </a:pPr>
          <a:fld id="{4A0E1C51-7024-47CC-B7B1-5EF89CD368FA}" type="TxLink">
            <a:rPr lang="en-GB" sz="900" b="0" i="0" u="none" strike="noStrike" baseline="0">
              <a:solidFill>
                <a:srgbClr val="FFFFFF"/>
              </a:solidFill>
              <a:latin typeface="Arial"/>
              <a:cs typeface="Arial"/>
            </a:rPr>
            <a:pPr algn="ctr" rtl="0">
              <a:defRPr sz="1000"/>
            </a:pPr>
            <a:t>Cost Classification</a:t>
          </a:fld>
          <a:endParaRPr lang="en-GB"/>
        </a:p>
      </xdr:txBody>
    </xdr:sp>
    <xdr:clientData/>
  </xdr:twoCellAnchor>
  <xdr:twoCellAnchor editAs="oneCell">
    <xdr:from>
      <xdr:col>12</xdr:col>
      <xdr:colOff>409575</xdr:colOff>
      <xdr:row>54</xdr:row>
      <xdr:rowOff>85725</xdr:rowOff>
    </xdr:from>
    <xdr:to>
      <xdr:col>14</xdr:col>
      <xdr:colOff>409575</xdr:colOff>
      <xdr:row>56</xdr:row>
      <xdr:rowOff>123825</xdr:rowOff>
    </xdr:to>
    <xdr:sp macro="" textlink="">
      <xdr:nvSpPr>
        <xdr:cNvPr id="54" name="Text Box 368">
          <a:hlinkClick xmlns:r="http://schemas.openxmlformats.org/officeDocument/2006/relationships" r:id="rId31" tooltip="Hyperlink to code list"/>
        </xdr:cNvPr>
        <xdr:cNvSpPr txBox="1">
          <a:spLocks noChangeArrowheads="1" noTextEdit="1"/>
        </xdr:cNvSpPr>
      </xdr:nvSpPr>
      <xdr:spPr bwMode="auto">
        <a:xfrm>
          <a:off x="5467350" y="8572500"/>
          <a:ext cx="895350" cy="361950"/>
        </a:xfrm>
        <a:prstGeom prst="rect">
          <a:avLst/>
        </a:prstGeom>
        <a:solidFill>
          <a:srgbClr xmlns:mc="http://schemas.openxmlformats.org/markup-compatibility/2006" xmlns:a14="http://schemas.microsoft.com/office/drawing/2010/main" val="000080" mc:Ignorable="a14" a14:legacySpreadsheetColorIndex="18"/>
        </a:solidFill>
        <a:ln w="9525">
          <a:solidFill>
            <a:srgbClr xmlns:mc="http://schemas.openxmlformats.org/markup-compatibility/2006" xmlns:a14="http://schemas.microsoft.com/office/drawing/2010/main" val="FFFFFF" mc:Ignorable="a14" a14:legacySpreadsheetColorIndex="9"/>
          </a:solidFill>
          <a:miter lim="800000"/>
          <a:headEnd/>
          <a:tailEnd/>
        </a:ln>
      </xdr:spPr>
      <xdr:txBody>
        <a:bodyPr vertOverflow="clip" wrap="square" lIns="27432" tIns="22860" rIns="27432" bIns="22860" anchor="ctr" upright="1"/>
        <a:lstStyle/>
        <a:p>
          <a:pPr algn="ctr" rtl="0">
            <a:defRPr sz="1000"/>
          </a:pPr>
          <a:fld id="{4BA95FB9-B0DE-4928-B965-CE66DF6B90D5}" type="TxLink">
            <a:rPr lang="en-GB" sz="900" b="0" i="0" u="none" strike="noStrike" baseline="0">
              <a:solidFill>
                <a:srgbClr val="FFFFFF"/>
              </a:solidFill>
              <a:latin typeface="Arial"/>
              <a:cs typeface="Arial"/>
            </a:rPr>
            <a:pPr algn="ctr" rtl="0">
              <a:defRPr sz="1000"/>
            </a:pPr>
            <a:t>Cost of Money</a:t>
          </a:fld>
          <a:endParaRPr lang="en-GB"/>
        </a:p>
      </xdr:txBody>
    </xdr:sp>
    <xdr:clientData/>
  </xdr:twoCellAnchor>
  <xdr:twoCellAnchor editAs="oneCell">
    <xdr:from>
      <xdr:col>12</xdr:col>
      <xdr:colOff>409575</xdr:colOff>
      <xdr:row>56</xdr:row>
      <xdr:rowOff>104775</xdr:rowOff>
    </xdr:from>
    <xdr:to>
      <xdr:col>14</xdr:col>
      <xdr:colOff>409575</xdr:colOff>
      <xdr:row>58</xdr:row>
      <xdr:rowOff>142874</xdr:rowOff>
    </xdr:to>
    <xdr:sp macro="" textlink="">
      <xdr:nvSpPr>
        <xdr:cNvPr id="55" name="Text Box 369">
          <a:hlinkClick xmlns:r="http://schemas.openxmlformats.org/officeDocument/2006/relationships" r:id="rId32" tooltip="Hyperlink to code list"/>
        </xdr:cNvPr>
        <xdr:cNvSpPr txBox="1">
          <a:spLocks noChangeArrowheads="1" noTextEdit="1"/>
        </xdr:cNvSpPr>
      </xdr:nvSpPr>
      <xdr:spPr bwMode="auto">
        <a:xfrm>
          <a:off x="5467350" y="8915400"/>
          <a:ext cx="895350" cy="361950"/>
        </a:xfrm>
        <a:prstGeom prst="rect">
          <a:avLst/>
        </a:prstGeom>
        <a:solidFill>
          <a:srgbClr xmlns:mc="http://schemas.openxmlformats.org/markup-compatibility/2006" xmlns:a14="http://schemas.microsoft.com/office/drawing/2010/main" val="000080" mc:Ignorable="a14" a14:legacySpreadsheetColorIndex="18"/>
        </a:solidFill>
        <a:ln w="9525">
          <a:solidFill>
            <a:srgbClr xmlns:mc="http://schemas.openxmlformats.org/markup-compatibility/2006" xmlns:a14="http://schemas.microsoft.com/office/drawing/2010/main" val="FFFFFF" mc:Ignorable="a14" a14:legacySpreadsheetColorIndex="9"/>
          </a:solidFill>
          <a:miter lim="800000"/>
          <a:headEnd/>
          <a:tailEnd/>
        </a:ln>
      </xdr:spPr>
      <xdr:txBody>
        <a:bodyPr vertOverflow="clip" wrap="square" lIns="27432" tIns="22860" rIns="27432" bIns="22860" anchor="ctr" upright="1"/>
        <a:lstStyle/>
        <a:p>
          <a:pPr algn="ctr" rtl="0">
            <a:defRPr sz="1000"/>
          </a:pPr>
          <a:fld id="{60F644D7-2A86-4DBC-AAED-16F86A0B1ACE}" type="TxLink">
            <a:rPr lang="en-GB" sz="900" b="0" i="0" u="none" strike="noStrike" baseline="0">
              <a:solidFill>
                <a:srgbClr val="FFFFFF"/>
              </a:solidFill>
              <a:latin typeface="Arial"/>
              <a:cs typeface="Arial"/>
            </a:rPr>
            <a:pPr algn="ctr" rtl="0">
              <a:defRPr sz="1000"/>
            </a:pPr>
            <a:t>Cost Phase</a:t>
          </a:fld>
          <a:endParaRPr lang="en-GB"/>
        </a:p>
      </xdr:txBody>
    </xdr:sp>
    <xdr:clientData/>
  </xdr:twoCellAnchor>
  <xdr:twoCellAnchor editAs="oneCell">
    <xdr:from>
      <xdr:col>12</xdr:col>
      <xdr:colOff>409575</xdr:colOff>
      <xdr:row>58</xdr:row>
      <xdr:rowOff>142875</xdr:rowOff>
    </xdr:from>
    <xdr:to>
      <xdr:col>14</xdr:col>
      <xdr:colOff>409575</xdr:colOff>
      <xdr:row>61</xdr:row>
      <xdr:rowOff>19051</xdr:rowOff>
    </xdr:to>
    <xdr:sp macro="" textlink="">
      <xdr:nvSpPr>
        <xdr:cNvPr id="56" name="Text Box 370">
          <a:hlinkClick xmlns:r="http://schemas.openxmlformats.org/officeDocument/2006/relationships" r:id="rId33" tooltip="Hyperlink to code list"/>
        </xdr:cNvPr>
        <xdr:cNvSpPr txBox="1">
          <a:spLocks noChangeArrowheads="1" noTextEdit="1"/>
        </xdr:cNvSpPr>
      </xdr:nvSpPr>
      <xdr:spPr bwMode="auto">
        <a:xfrm>
          <a:off x="5467350" y="9277350"/>
          <a:ext cx="895350" cy="361950"/>
        </a:xfrm>
        <a:prstGeom prst="rect">
          <a:avLst/>
        </a:prstGeom>
        <a:solidFill>
          <a:srgbClr xmlns:mc="http://schemas.openxmlformats.org/markup-compatibility/2006" xmlns:a14="http://schemas.microsoft.com/office/drawing/2010/main" val="800080" mc:Ignorable="a14" a14:legacySpreadsheetColorIndex="20"/>
        </a:solidFill>
        <a:ln w="9525">
          <a:solidFill>
            <a:srgbClr xmlns:mc="http://schemas.openxmlformats.org/markup-compatibility/2006" xmlns:a14="http://schemas.microsoft.com/office/drawing/2010/main" val="FFFFFF" mc:Ignorable="a14" a14:legacySpreadsheetColorIndex="9"/>
          </a:solidFill>
          <a:miter lim="800000"/>
          <a:headEnd/>
          <a:tailEnd/>
        </a:ln>
      </xdr:spPr>
      <xdr:txBody>
        <a:bodyPr vertOverflow="clip" wrap="square" lIns="27432" tIns="22860" rIns="27432" bIns="22860" anchor="ctr" upright="1"/>
        <a:lstStyle/>
        <a:p>
          <a:pPr algn="ctr" rtl="0">
            <a:defRPr sz="1000"/>
          </a:pPr>
          <a:fld id="{D37A7E8F-4397-4A47-8815-09BAFE85EF39}" type="TxLink">
            <a:rPr lang="en-GB" sz="900" b="0" i="0" u="none" strike="noStrike" baseline="0">
              <a:solidFill>
                <a:srgbClr val="FFFFFF"/>
              </a:solidFill>
              <a:latin typeface="Arial"/>
              <a:cs typeface="Arial"/>
            </a:rPr>
            <a:pPr algn="ctr" rtl="0">
              <a:defRPr sz="1000"/>
            </a:pPr>
            <a:t>Cost Types</a:t>
          </a:fld>
          <a:endParaRPr lang="en-GB"/>
        </a:p>
      </xdr:txBody>
    </xdr:sp>
    <xdr:clientData/>
  </xdr:twoCellAnchor>
  <xdr:twoCellAnchor editAs="oneCell">
    <xdr:from>
      <xdr:col>12</xdr:col>
      <xdr:colOff>409575</xdr:colOff>
      <xdr:row>61</xdr:row>
      <xdr:rowOff>19050</xdr:rowOff>
    </xdr:from>
    <xdr:to>
      <xdr:col>14</xdr:col>
      <xdr:colOff>409575</xdr:colOff>
      <xdr:row>63</xdr:row>
      <xdr:rowOff>57150</xdr:rowOff>
    </xdr:to>
    <xdr:sp macro="" textlink="">
      <xdr:nvSpPr>
        <xdr:cNvPr id="57" name="Text Box 371">
          <a:hlinkClick xmlns:r="http://schemas.openxmlformats.org/officeDocument/2006/relationships" r:id="rId32" tooltip="Hyperlink to code list"/>
        </xdr:cNvPr>
        <xdr:cNvSpPr txBox="1">
          <a:spLocks noChangeArrowheads="1" noTextEdit="1"/>
        </xdr:cNvSpPr>
      </xdr:nvSpPr>
      <xdr:spPr bwMode="auto">
        <a:xfrm>
          <a:off x="5467350" y="9639300"/>
          <a:ext cx="895350" cy="361950"/>
        </a:xfrm>
        <a:prstGeom prst="rect">
          <a:avLst/>
        </a:prstGeom>
        <a:solidFill>
          <a:srgbClr xmlns:mc="http://schemas.openxmlformats.org/markup-compatibility/2006" xmlns:a14="http://schemas.microsoft.com/office/drawing/2010/main" val="000080" mc:Ignorable="a14" a14:legacySpreadsheetColorIndex="18"/>
        </a:solidFill>
        <a:ln w="9525">
          <a:solidFill>
            <a:srgbClr xmlns:mc="http://schemas.openxmlformats.org/markup-compatibility/2006" xmlns:a14="http://schemas.microsoft.com/office/drawing/2010/main" val="FFFFFF" mc:Ignorable="a14" a14:legacySpreadsheetColorIndex="9"/>
          </a:solidFill>
          <a:miter lim="800000"/>
          <a:headEnd/>
          <a:tailEnd/>
        </a:ln>
      </xdr:spPr>
      <xdr:txBody>
        <a:bodyPr vertOverflow="clip" wrap="square" lIns="27432" tIns="22860" rIns="27432" bIns="22860" anchor="ctr" upright="1"/>
        <a:lstStyle/>
        <a:p>
          <a:pPr algn="ctr" rtl="0">
            <a:defRPr sz="1000"/>
          </a:pPr>
          <a:fld id="{C79FEF01-D2CD-4852-BBA5-C7BD2E4FDFD0}" type="TxLink">
            <a:rPr lang="en-GB" sz="900" b="0" i="0" u="none" strike="noStrike" baseline="0">
              <a:solidFill>
                <a:srgbClr val="FFFFFF"/>
              </a:solidFill>
              <a:latin typeface="Arial"/>
              <a:cs typeface="Arial"/>
            </a:rPr>
            <a:pPr algn="ctr" rtl="0">
              <a:defRPr sz="1000"/>
            </a:pPr>
            <a:t>Currency Preferences</a:t>
          </a:fld>
          <a:endParaRPr lang="en-GB"/>
        </a:p>
      </xdr:txBody>
    </xdr:sp>
    <xdr:clientData/>
  </xdr:twoCellAnchor>
  <xdr:twoCellAnchor editAs="oneCell">
    <xdr:from>
      <xdr:col>12</xdr:col>
      <xdr:colOff>409575</xdr:colOff>
      <xdr:row>65</xdr:row>
      <xdr:rowOff>95250</xdr:rowOff>
    </xdr:from>
    <xdr:to>
      <xdr:col>14</xdr:col>
      <xdr:colOff>409575</xdr:colOff>
      <xdr:row>67</xdr:row>
      <xdr:rowOff>133350</xdr:rowOff>
    </xdr:to>
    <xdr:sp macro="" textlink="">
      <xdr:nvSpPr>
        <xdr:cNvPr id="58" name="Text Box 372">
          <a:hlinkClick xmlns:r="http://schemas.openxmlformats.org/officeDocument/2006/relationships" r:id="rId34" tooltip="Hyperlink to code list"/>
        </xdr:cNvPr>
        <xdr:cNvSpPr txBox="1">
          <a:spLocks noChangeArrowheads="1" noTextEdit="1"/>
        </xdr:cNvSpPr>
      </xdr:nvSpPr>
      <xdr:spPr bwMode="auto">
        <a:xfrm>
          <a:off x="5467350" y="10363200"/>
          <a:ext cx="895350" cy="361950"/>
        </a:xfrm>
        <a:prstGeom prst="rect">
          <a:avLst/>
        </a:prstGeom>
        <a:solidFill>
          <a:srgbClr xmlns:mc="http://schemas.openxmlformats.org/markup-compatibility/2006" xmlns:a14="http://schemas.microsoft.com/office/drawing/2010/main" val="800080" mc:Ignorable="a14" a14:legacySpreadsheetColorIndex="20"/>
        </a:solidFill>
        <a:ln w="9525">
          <a:solidFill>
            <a:srgbClr xmlns:mc="http://schemas.openxmlformats.org/markup-compatibility/2006" xmlns:a14="http://schemas.microsoft.com/office/drawing/2010/main" val="FFFFFF" mc:Ignorable="a14" a14:legacySpreadsheetColorIndex="9"/>
          </a:solidFill>
          <a:miter lim="800000"/>
          <a:headEnd/>
          <a:tailEnd/>
        </a:ln>
      </xdr:spPr>
      <xdr:txBody>
        <a:bodyPr vertOverflow="clip" wrap="square" lIns="27432" tIns="22860" rIns="27432" bIns="22860" anchor="ctr" upright="1"/>
        <a:lstStyle/>
        <a:p>
          <a:pPr algn="ctr" rtl="0">
            <a:defRPr sz="1000"/>
          </a:pPr>
          <a:fld id="{5A03DAD4-F0F9-4C59-979C-4A622F0B166F}" type="TxLink">
            <a:rPr lang="en-GB" sz="900" b="0" i="0" u="none" strike="noStrike" baseline="0">
              <a:solidFill>
                <a:srgbClr val="FFFFFF"/>
              </a:solidFill>
              <a:latin typeface="Arial"/>
              <a:cs typeface="Arial"/>
            </a:rPr>
            <a:pPr algn="ctr" rtl="0">
              <a:defRPr sz="1000"/>
            </a:pPr>
            <a:t>Customer's Service Codes</a:t>
          </a:fld>
          <a:endParaRPr lang="en-GB"/>
        </a:p>
      </xdr:txBody>
    </xdr:sp>
    <xdr:clientData/>
  </xdr:twoCellAnchor>
  <xdr:twoCellAnchor editAs="oneCell">
    <xdr:from>
      <xdr:col>14</xdr:col>
      <xdr:colOff>409575</xdr:colOff>
      <xdr:row>65</xdr:row>
      <xdr:rowOff>95250</xdr:rowOff>
    </xdr:from>
    <xdr:to>
      <xdr:col>16</xdr:col>
      <xdr:colOff>409575</xdr:colOff>
      <xdr:row>67</xdr:row>
      <xdr:rowOff>133350</xdr:rowOff>
    </xdr:to>
    <xdr:sp macro="" textlink="">
      <xdr:nvSpPr>
        <xdr:cNvPr id="59" name="Text Box 373">
          <a:hlinkClick xmlns:r="http://schemas.openxmlformats.org/officeDocument/2006/relationships" r:id="rId35" tooltip="Hyperlink to code list"/>
        </xdr:cNvPr>
        <xdr:cNvSpPr txBox="1">
          <a:spLocks noChangeArrowheads="1" noTextEdit="1"/>
        </xdr:cNvSpPr>
      </xdr:nvSpPr>
      <xdr:spPr bwMode="auto">
        <a:xfrm>
          <a:off x="6362700" y="10363200"/>
          <a:ext cx="895350" cy="361950"/>
        </a:xfrm>
        <a:prstGeom prst="rect">
          <a:avLst/>
        </a:prstGeom>
        <a:solidFill>
          <a:srgbClr xmlns:mc="http://schemas.openxmlformats.org/markup-compatibility/2006" xmlns:a14="http://schemas.microsoft.com/office/drawing/2010/main" val="000080" mc:Ignorable="a14" a14:legacySpreadsheetColorIndex="18"/>
        </a:solidFill>
        <a:ln w="9525">
          <a:solidFill>
            <a:srgbClr xmlns:mc="http://schemas.openxmlformats.org/markup-compatibility/2006" xmlns:a14="http://schemas.microsoft.com/office/drawing/2010/main" val="FFFFFF" mc:Ignorable="a14" a14:legacySpreadsheetColorIndex="9"/>
          </a:solidFill>
          <a:miter lim="800000"/>
          <a:headEnd/>
          <a:tailEnd/>
        </a:ln>
      </xdr:spPr>
      <xdr:txBody>
        <a:bodyPr vertOverflow="clip" wrap="square" lIns="27432" tIns="22860" rIns="27432" bIns="22860" anchor="ctr" upright="1"/>
        <a:lstStyle/>
        <a:p>
          <a:pPr algn="ctr" rtl="0">
            <a:defRPr sz="1000"/>
          </a:pPr>
          <a:fld id="{734E9728-C0F3-49F8-825C-BC53DA0968DA}" type="TxLink">
            <a:rPr lang="en-GB" sz="900" b="0" i="0" u="none" strike="noStrike" baseline="0">
              <a:solidFill>
                <a:srgbClr val="FFFFFF"/>
              </a:solidFill>
              <a:latin typeface="Arial"/>
              <a:cs typeface="Arial"/>
            </a:rPr>
            <a:pPr algn="ctr" rtl="0">
              <a:defRPr sz="1000"/>
            </a:pPr>
            <a:t>Prepayments and Accruals</a:t>
          </a:fld>
          <a:endParaRPr lang="en-GB"/>
        </a:p>
      </xdr:txBody>
    </xdr:sp>
    <xdr:clientData/>
  </xdr:twoCellAnchor>
  <xdr:twoCellAnchor editAs="oneCell">
    <xdr:from>
      <xdr:col>14</xdr:col>
      <xdr:colOff>409575</xdr:colOff>
      <xdr:row>67</xdr:row>
      <xdr:rowOff>133350</xdr:rowOff>
    </xdr:from>
    <xdr:to>
      <xdr:col>16</xdr:col>
      <xdr:colOff>409575</xdr:colOff>
      <xdr:row>70</xdr:row>
      <xdr:rowOff>9526</xdr:rowOff>
    </xdr:to>
    <xdr:sp macro="" textlink="">
      <xdr:nvSpPr>
        <xdr:cNvPr id="60" name="Text Box 374">
          <a:hlinkClick xmlns:r="http://schemas.openxmlformats.org/officeDocument/2006/relationships" r:id="rId36" tooltip="Hyperlink to code list"/>
        </xdr:cNvPr>
        <xdr:cNvSpPr txBox="1">
          <a:spLocks noChangeArrowheads="1" noTextEdit="1"/>
        </xdr:cNvSpPr>
      </xdr:nvSpPr>
      <xdr:spPr bwMode="auto">
        <a:xfrm>
          <a:off x="6362700" y="10725150"/>
          <a:ext cx="895350" cy="361950"/>
        </a:xfrm>
        <a:prstGeom prst="rect">
          <a:avLst/>
        </a:prstGeom>
        <a:solidFill>
          <a:srgbClr xmlns:mc="http://schemas.openxmlformats.org/markup-compatibility/2006" xmlns:a14="http://schemas.microsoft.com/office/drawing/2010/main" val="000080" mc:Ignorable="a14" a14:legacySpreadsheetColorIndex="18"/>
        </a:solidFill>
        <a:ln w="9525">
          <a:solidFill>
            <a:srgbClr xmlns:mc="http://schemas.openxmlformats.org/markup-compatibility/2006" xmlns:a14="http://schemas.microsoft.com/office/drawing/2010/main" val="FFFFFF" mc:Ignorable="a14" a14:legacySpreadsheetColorIndex="9"/>
          </a:solidFill>
          <a:miter lim="800000"/>
          <a:headEnd/>
          <a:tailEnd/>
        </a:ln>
      </xdr:spPr>
      <xdr:txBody>
        <a:bodyPr vertOverflow="clip" wrap="square" lIns="27432" tIns="22860" rIns="27432" bIns="22860" anchor="ctr" upright="1"/>
        <a:lstStyle/>
        <a:p>
          <a:pPr algn="ctr" rtl="0">
            <a:defRPr sz="1000"/>
          </a:pPr>
          <a:fld id="{79D9A4F6-9359-4660-AB45-031622AC0633}" type="TxLink">
            <a:rPr lang="en-GB" sz="900" b="0" i="0" u="none" strike="noStrike" baseline="0">
              <a:solidFill>
                <a:srgbClr val="FFFFFF"/>
              </a:solidFill>
              <a:latin typeface="Arial"/>
              <a:cs typeface="Arial"/>
            </a:rPr>
            <a:pPr algn="ctr" rtl="0">
              <a:defRPr sz="1000"/>
            </a:pPr>
            <a:t>Region</a:t>
          </a:fld>
          <a:endParaRPr lang="en-GB"/>
        </a:p>
      </xdr:txBody>
    </xdr:sp>
    <xdr:clientData/>
  </xdr:twoCellAnchor>
  <xdr:twoCellAnchor editAs="oneCell">
    <xdr:from>
      <xdr:col>16</xdr:col>
      <xdr:colOff>409575</xdr:colOff>
      <xdr:row>54</xdr:row>
      <xdr:rowOff>76200</xdr:rowOff>
    </xdr:from>
    <xdr:to>
      <xdr:col>18</xdr:col>
      <xdr:colOff>409575</xdr:colOff>
      <xdr:row>56</xdr:row>
      <xdr:rowOff>114300</xdr:rowOff>
    </xdr:to>
    <xdr:sp macro="" textlink="">
      <xdr:nvSpPr>
        <xdr:cNvPr id="61" name="Text Box 375">
          <a:hlinkClick xmlns:r="http://schemas.openxmlformats.org/officeDocument/2006/relationships" r:id="rId37" tooltip="Hyperlink to code list"/>
        </xdr:cNvPr>
        <xdr:cNvSpPr txBox="1">
          <a:spLocks noChangeArrowheads="1" noTextEdit="1"/>
        </xdr:cNvSpPr>
      </xdr:nvSpPr>
      <xdr:spPr bwMode="auto">
        <a:xfrm>
          <a:off x="7258050" y="8562975"/>
          <a:ext cx="895350" cy="361950"/>
        </a:xfrm>
        <a:prstGeom prst="rect">
          <a:avLst/>
        </a:prstGeom>
        <a:solidFill>
          <a:srgbClr xmlns:mc="http://schemas.openxmlformats.org/markup-compatibility/2006" xmlns:a14="http://schemas.microsoft.com/office/drawing/2010/main" val="800080" mc:Ignorable="a14" a14:legacySpreadsheetColorIndex="20"/>
        </a:solidFill>
        <a:ln w="9525">
          <a:solidFill>
            <a:srgbClr xmlns:mc="http://schemas.openxmlformats.org/markup-compatibility/2006" xmlns:a14="http://schemas.microsoft.com/office/drawing/2010/main" val="FFFFFF" mc:Ignorable="a14" a14:legacySpreadsheetColorIndex="9"/>
          </a:solidFill>
          <a:miter lim="800000"/>
          <a:headEnd/>
          <a:tailEnd/>
        </a:ln>
      </xdr:spPr>
      <xdr:txBody>
        <a:bodyPr vertOverflow="clip" wrap="square" lIns="27432" tIns="22860" rIns="27432" bIns="22860" anchor="ctr" upright="1"/>
        <a:lstStyle/>
        <a:p>
          <a:pPr algn="ctr" rtl="0">
            <a:defRPr sz="1000"/>
          </a:pPr>
          <a:fld id="{D32E2D32-9457-48A0-9A64-2B091F944922}" type="TxLink">
            <a:rPr lang="en-GB" sz="900" b="0" i="0" u="none" strike="noStrike" baseline="0">
              <a:solidFill>
                <a:srgbClr val="FFFFFF"/>
              </a:solidFill>
              <a:latin typeface="Arial"/>
              <a:cs typeface="Arial"/>
            </a:rPr>
            <a:pPr algn="ctr" rtl="0">
              <a:defRPr sz="1000"/>
            </a:pPr>
            <a:t>Suppliers</a:t>
          </a:fld>
          <a:endParaRPr lang="en-GB"/>
        </a:p>
      </xdr:txBody>
    </xdr:sp>
    <xdr:clientData/>
  </xdr:twoCellAnchor>
  <xdr:twoCellAnchor editAs="oneCell">
    <xdr:from>
      <xdr:col>16</xdr:col>
      <xdr:colOff>409575</xdr:colOff>
      <xdr:row>56</xdr:row>
      <xdr:rowOff>104775</xdr:rowOff>
    </xdr:from>
    <xdr:to>
      <xdr:col>18</xdr:col>
      <xdr:colOff>409575</xdr:colOff>
      <xdr:row>58</xdr:row>
      <xdr:rowOff>142874</xdr:rowOff>
    </xdr:to>
    <xdr:sp macro="" textlink="">
      <xdr:nvSpPr>
        <xdr:cNvPr id="62" name="Text Box 376">
          <a:hlinkClick xmlns:r="http://schemas.openxmlformats.org/officeDocument/2006/relationships" r:id="rId38" tooltip="Hyperlink to code list"/>
        </xdr:cNvPr>
        <xdr:cNvSpPr txBox="1">
          <a:spLocks noChangeArrowheads="1" noTextEdit="1"/>
        </xdr:cNvSpPr>
      </xdr:nvSpPr>
      <xdr:spPr bwMode="auto">
        <a:xfrm>
          <a:off x="7258050" y="8915400"/>
          <a:ext cx="895350" cy="361950"/>
        </a:xfrm>
        <a:prstGeom prst="rect">
          <a:avLst/>
        </a:prstGeom>
        <a:solidFill>
          <a:srgbClr xmlns:mc="http://schemas.openxmlformats.org/markup-compatibility/2006" xmlns:a14="http://schemas.microsoft.com/office/drawing/2010/main" val="000080" mc:Ignorable="a14" a14:legacySpreadsheetColorIndex="18"/>
        </a:solidFill>
        <a:ln w="9525">
          <a:solidFill>
            <a:srgbClr xmlns:mc="http://schemas.openxmlformats.org/markup-compatibility/2006" xmlns:a14="http://schemas.microsoft.com/office/drawing/2010/main" val="FFFFFF" mc:Ignorable="a14" a14:legacySpreadsheetColorIndex="9"/>
          </a:solidFill>
          <a:miter lim="800000"/>
          <a:headEnd/>
          <a:tailEnd/>
        </a:ln>
      </xdr:spPr>
      <xdr:txBody>
        <a:bodyPr vertOverflow="clip" wrap="square" lIns="27432" tIns="22860" rIns="27432" bIns="22860" anchor="ctr" upright="1"/>
        <a:lstStyle/>
        <a:p>
          <a:pPr algn="ctr" rtl="0">
            <a:defRPr sz="1000"/>
          </a:pPr>
          <a:fld id="{D04C5F26-1830-4355-B28F-3DC43F3EA483}" type="TxLink">
            <a:rPr lang="en-GB" sz="900" b="0" i="0" u="none" strike="noStrike" baseline="0">
              <a:solidFill>
                <a:srgbClr val="FFFFFF"/>
              </a:solidFill>
              <a:latin typeface="Arial"/>
              <a:cs typeface="Arial"/>
            </a:rPr>
            <a:pPr algn="ctr" rtl="0">
              <a:defRPr sz="1000"/>
            </a:pPr>
            <a:t>Terms</a:t>
          </a:fld>
          <a:endParaRPr lang="en-GB"/>
        </a:p>
      </xdr:txBody>
    </xdr:sp>
    <xdr:clientData/>
  </xdr:twoCellAnchor>
  <xdr:twoCellAnchor>
    <xdr:from>
      <xdr:col>16</xdr:col>
      <xdr:colOff>409575</xdr:colOff>
      <xdr:row>52</xdr:row>
      <xdr:rowOff>47625</xdr:rowOff>
    </xdr:from>
    <xdr:to>
      <xdr:col>18</xdr:col>
      <xdr:colOff>409575</xdr:colOff>
      <xdr:row>54</xdr:row>
      <xdr:rowOff>85725</xdr:rowOff>
    </xdr:to>
    <xdr:sp macro="" textlink="">
      <xdr:nvSpPr>
        <xdr:cNvPr id="63" name="Text Box 377">
          <a:hlinkClick xmlns:r="http://schemas.openxmlformats.org/officeDocument/2006/relationships" r:id="rId39" tooltip="Hyperlink to code list"/>
        </xdr:cNvPr>
        <xdr:cNvSpPr txBox="1">
          <a:spLocks noChangeArrowheads="1" noTextEdit="1"/>
        </xdr:cNvSpPr>
      </xdr:nvSpPr>
      <xdr:spPr bwMode="auto">
        <a:xfrm>
          <a:off x="7258050" y="8210550"/>
          <a:ext cx="895350" cy="361950"/>
        </a:xfrm>
        <a:prstGeom prst="rect">
          <a:avLst/>
        </a:prstGeom>
        <a:solidFill>
          <a:srgbClr xmlns:mc="http://schemas.openxmlformats.org/markup-compatibility/2006" xmlns:a14="http://schemas.microsoft.com/office/drawing/2010/main" val="000080" mc:Ignorable="a14" a14:legacySpreadsheetColorIndex="18"/>
        </a:solidFill>
        <a:ln w="9525">
          <a:solidFill>
            <a:srgbClr xmlns:mc="http://schemas.openxmlformats.org/markup-compatibility/2006" xmlns:a14="http://schemas.microsoft.com/office/drawing/2010/main" val="FFFFFF" mc:Ignorable="a14" a14:legacySpreadsheetColorIndex="9"/>
          </a:solidFill>
          <a:miter lim="800000"/>
          <a:headEnd/>
          <a:tailEnd/>
        </a:ln>
      </xdr:spPr>
      <xdr:txBody>
        <a:bodyPr vertOverflow="clip" wrap="square" lIns="27432" tIns="22860" rIns="27432" bIns="22860" anchor="ctr" upright="1"/>
        <a:lstStyle/>
        <a:p>
          <a:pPr algn="ctr" rtl="0">
            <a:defRPr sz="1000"/>
          </a:pPr>
          <a:fld id="{6CAC8E2F-FFBD-4F7C-9C01-2B94B5B614C9}" type="TxLink">
            <a:rPr lang="en-GB" sz="900" b="0" i="0" u="none" strike="noStrike" baseline="0">
              <a:solidFill>
                <a:srgbClr val="FFFFFF"/>
              </a:solidFill>
              <a:latin typeface="Arial"/>
              <a:cs typeface="Arial"/>
            </a:rPr>
            <a:pPr algn="ctr" rtl="0">
              <a:defRPr sz="1000"/>
            </a:pPr>
            <a:t>Site</a:t>
          </a:fld>
          <a:endParaRPr lang="en-GB"/>
        </a:p>
      </xdr:txBody>
    </xdr:sp>
    <xdr:clientData/>
  </xdr:twoCellAnchor>
  <xdr:twoCellAnchor>
    <xdr:from>
      <xdr:col>1</xdr:col>
      <xdr:colOff>342900</xdr:colOff>
      <xdr:row>15</xdr:row>
      <xdr:rowOff>104775</xdr:rowOff>
    </xdr:from>
    <xdr:to>
      <xdr:col>3</xdr:col>
      <xdr:colOff>400050</xdr:colOff>
      <xdr:row>18</xdr:row>
      <xdr:rowOff>152400</xdr:rowOff>
    </xdr:to>
    <xdr:sp macro="" textlink="">
      <xdr:nvSpPr>
        <xdr:cNvPr id="64" name="Text Box 389">
          <a:hlinkClick xmlns:r="http://schemas.openxmlformats.org/officeDocument/2006/relationships" r:id="rId6" tooltip="Hyperlink to sheet"/>
        </xdr:cNvPr>
        <xdr:cNvSpPr txBox="1">
          <a:spLocks noChangeArrowheads="1" noTextEdit="1"/>
        </xdr:cNvSpPr>
      </xdr:nvSpPr>
      <xdr:spPr bwMode="auto">
        <a:xfrm>
          <a:off x="542925" y="2238375"/>
          <a:ext cx="885825" cy="533400"/>
        </a:xfrm>
        <a:prstGeom prst="rect">
          <a:avLst/>
        </a:prstGeom>
        <a:solidFill>
          <a:srgbClr xmlns:mc="http://schemas.openxmlformats.org/markup-compatibility/2006" xmlns:a14="http://schemas.microsoft.com/office/drawing/2010/main" val="969696" mc:Ignorable="a14" a14:legacySpreadsheetColorIndex="55"/>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outerShdw dist="107763" dir="2700000" algn="ctr" rotWithShape="0">
            <a:srgbClr val="808080">
              <a:alpha val="50000"/>
            </a:srgbClr>
          </a:outerShdw>
        </a:effectLst>
      </xdr:spPr>
      <xdr:txBody>
        <a:bodyPr vertOverflow="clip" wrap="square" lIns="27432" tIns="22860" rIns="27432" bIns="22860" anchor="ctr" upright="1"/>
        <a:lstStyle/>
        <a:p>
          <a:pPr algn="ctr" rtl="0">
            <a:defRPr sz="1000"/>
          </a:pPr>
          <a:fld id="{21412FC5-8B21-4859-8A29-C1BAF910C24F}" type="TxLink">
            <a:rPr lang="en-GB" sz="1000" b="0" i="0" u="none" strike="noStrike" baseline="0">
              <a:solidFill>
                <a:srgbClr val="FFFFFF"/>
              </a:solidFill>
              <a:latin typeface="Arial"/>
              <a:cs typeface="Arial"/>
            </a:rPr>
            <a:pPr algn="ctr" rtl="0">
              <a:defRPr sz="1000"/>
            </a:pPr>
            <a:t>Timelines</a:t>
          </a:fld>
          <a:endParaRPr lang="en-GB"/>
        </a:p>
      </xdr:txBody>
    </xdr:sp>
    <xdr:clientData/>
  </xdr:twoCellAnchor>
  <xdr:twoCellAnchor>
    <xdr:from>
      <xdr:col>20</xdr:col>
      <xdr:colOff>66675</xdr:colOff>
      <xdr:row>23</xdr:row>
      <xdr:rowOff>152400</xdr:rowOff>
    </xdr:from>
    <xdr:to>
      <xdr:col>22</xdr:col>
      <xdr:colOff>57150</xdr:colOff>
      <xdr:row>27</xdr:row>
      <xdr:rowOff>38100</xdr:rowOff>
    </xdr:to>
    <xdr:sp macro="" textlink="">
      <xdr:nvSpPr>
        <xdr:cNvPr id="65" name="Text Box 395"/>
        <xdr:cNvSpPr txBox="1">
          <a:spLocks noChangeArrowheads="1" noTextEdit="1"/>
        </xdr:cNvSpPr>
      </xdr:nvSpPr>
      <xdr:spPr bwMode="auto">
        <a:xfrm>
          <a:off x="8639175" y="3581400"/>
          <a:ext cx="885825" cy="533400"/>
        </a:xfrm>
        <a:prstGeom prst="rect">
          <a:avLst/>
        </a:prstGeom>
        <a:solidFill>
          <a:schemeClr val="tx1">
            <a:lumMod val="95000"/>
            <a:lumOff val="5000"/>
          </a:schemeClr>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outerShdw dist="107763" dir="2700000" algn="ctr" rotWithShape="0">
            <a:srgbClr val="808080">
              <a:alpha val="50000"/>
            </a:srgbClr>
          </a:outerShdw>
        </a:effectLst>
      </xdr:spPr>
      <xdr:txBody>
        <a:bodyPr vertOverflow="clip" wrap="square" lIns="27432" tIns="22860" rIns="27432" bIns="22860" anchor="ctr" upright="1"/>
        <a:lstStyle/>
        <a:p>
          <a:pPr algn="ctr" rtl="0">
            <a:defRPr sz="1000"/>
          </a:pPr>
          <a:fld id="{41B66E52-E013-47B3-8134-E4A8D9B35030}" type="TxLink">
            <a:rPr lang="en-GB" sz="1000" b="0" i="0" u="none" strike="noStrike" baseline="0">
              <a:solidFill>
                <a:srgbClr val="FFFFFF"/>
              </a:solidFill>
              <a:latin typeface="Arial"/>
              <a:cs typeface="Arial"/>
            </a:rPr>
            <a:pPr algn="ctr" rtl="0">
              <a:defRPr sz="1000"/>
            </a:pPr>
            <a:t>Final Price</a:t>
          </a:fld>
          <a:endParaRPr lang="en-GB"/>
        </a:p>
      </xdr:txBody>
    </xdr:sp>
    <xdr:clientData/>
  </xdr:twoCellAnchor>
  <xdr:twoCellAnchor>
    <xdr:from>
      <xdr:col>7</xdr:col>
      <xdr:colOff>9525</xdr:colOff>
      <xdr:row>32</xdr:row>
      <xdr:rowOff>142875</xdr:rowOff>
    </xdr:from>
    <xdr:to>
      <xdr:col>9</xdr:col>
      <xdr:colOff>0</xdr:colOff>
      <xdr:row>36</xdr:row>
      <xdr:rowOff>28575</xdr:rowOff>
    </xdr:to>
    <xdr:sp macro="" textlink="">
      <xdr:nvSpPr>
        <xdr:cNvPr id="66" name="Text Box 397">
          <a:hlinkClick xmlns:r="http://schemas.openxmlformats.org/officeDocument/2006/relationships" r:id="rId40" tooltip="Hyperlink to sheet"/>
        </xdr:cNvPr>
        <xdr:cNvSpPr txBox="1">
          <a:spLocks noChangeArrowheads="1" noTextEdit="1"/>
        </xdr:cNvSpPr>
      </xdr:nvSpPr>
      <xdr:spPr bwMode="auto">
        <a:xfrm>
          <a:off x="2828925" y="5029200"/>
          <a:ext cx="885825" cy="533400"/>
        </a:xfrm>
        <a:prstGeom prst="rect">
          <a:avLst/>
        </a:prstGeom>
        <a:solidFill>
          <a:srgbClr xmlns:mc="http://schemas.openxmlformats.org/markup-compatibility/2006" xmlns:a14="http://schemas.microsoft.com/office/drawing/2010/main" val="969696" mc:Ignorable="a14" a14:legacySpreadsheetColorIndex="55"/>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outerShdw dist="107763" dir="2700000" algn="ctr" rotWithShape="0">
            <a:srgbClr val="808080">
              <a:alpha val="50000"/>
            </a:srgbClr>
          </a:outerShdw>
        </a:effectLst>
      </xdr:spPr>
      <xdr:txBody>
        <a:bodyPr vertOverflow="clip" wrap="square" lIns="27432" tIns="22860" rIns="27432" bIns="22860" anchor="ctr" upright="1"/>
        <a:lstStyle/>
        <a:p>
          <a:pPr algn="ctr" rtl="0">
            <a:defRPr sz="1000"/>
          </a:pPr>
          <a:fld id="{59001003-8F4A-4ECB-A82B-B802FCFC47E5}" type="TxLink">
            <a:rPr lang="en-GB" sz="1000" b="0" i="0" u="none" strike="noStrike" baseline="0">
              <a:solidFill>
                <a:srgbClr val="FFFFFF"/>
              </a:solidFill>
              <a:latin typeface="Arial"/>
              <a:cs typeface="Arial"/>
            </a:rPr>
            <a:pPr algn="ctr" rtl="0">
              <a:defRPr sz="1000"/>
            </a:pPr>
            <a:t>Capital</a:t>
          </a:fld>
          <a:endParaRPr lang="en-GB"/>
        </a:p>
      </xdr:txBody>
    </xdr:sp>
    <xdr:clientData/>
  </xdr:twoCellAnchor>
  <xdr:twoCellAnchor>
    <xdr:from>
      <xdr:col>2</xdr:col>
      <xdr:colOff>409575</xdr:colOff>
      <xdr:row>18</xdr:row>
      <xdr:rowOff>152400</xdr:rowOff>
    </xdr:from>
    <xdr:to>
      <xdr:col>2</xdr:col>
      <xdr:colOff>409575</xdr:colOff>
      <xdr:row>23</xdr:row>
      <xdr:rowOff>152400</xdr:rowOff>
    </xdr:to>
    <xdr:cxnSp macro="">
      <xdr:nvCxnSpPr>
        <xdr:cNvPr id="67" name="AutoShape 400"/>
        <xdr:cNvCxnSpPr>
          <a:cxnSpLocks noChangeShapeType="1"/>
          <a:stCxn id="64" idx="2"/>
          <a:endCxn id="120" idx="0"/>
        </xdr:cNvCxnSpPr>
      </xdr:nvCxnSpPr>
      <xdr:spPr bwMode="auto">
        <a:xfrm rot="5400000">
          <a:off x="585787" y="3176588"/>
          <a:ext cx="809625" cy="0"/>
        </a:xfrm>
        <a:prstGeom prst="straightConnector1">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3</xdr:col>
      <xdr:colOff>295275</xdr:colOff>
      <xdr:row>18</xdr:row>
      <xdr:rowOff>152400</xdr:rowOff>
    </xdr:from>
    <xdr:to>
      <xdr:col>5</xdr:col>
      <xdr:colOff>371475</xdr:colOff>
      <xdr:row>23</xdr:row>
      <xdr:rowOff>152400</xdr:rowOff>
    </xdr:to>
    <xdr:cxnSp macro="">
      <xdr:nvCxnSpPr>
        <xdr:cNvPr id="68" name="AutoShape 401"/>
        <xdr:cNvCxnSpPr>
          <a:cxnSpLocks noChangeShapeType="1"/>
          <a:stCxn id="126" idx="2"/>
          <a:endCxn id="121" idx="0"/>
        </xdr:cNvCxnSpPr>
      </xdr:nvCxnSpPr>
      <xdr:spPr bwMode="auto">
        <a:xfrm rot="5400000">
          <a:off x="1404937" y="2690813"/>
          <a:ext cx="809625" cy="971550"/>
        </a:xfrm>
        <a:prstGeom prst="bentConnector3">
          <a:avLst>
            <a:gd name="adj1" fmla="val 49412"/>
          </a:avLst>
        </a:prstGeom>
        <a:noFill/>
        <a:ln w="9525">
          <a:solidFill>
            <a:srgbClr xmlns:mc="http://schemas.openxmlformats.org/markup-compatibility/2006" xmlns:a14="http://schemas.microsoft.com/office/drawing/2010/main" val="000000" mc:Ignorable="a14" a14:legacySpreadsheetColorIndex="64"/>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3</xdr:col>
      <xdr:colOff>400050</xdr:colOff>
      <xdr:row>25</xdr:row>
      <xdr:rowOff>95250</xdr:rowOff>
    </xdr:from>
    <xdr:to>
      <xdr:col>5</xdr:col>
      <xdr:colOff>219075</xdr:colOff>
      <xdr:row>25</xdr:row>
      <xdr:rowOff>95250</xdr:rowOff>
    </xdr:to>
    <xdr:cxnSp macro="">
      <xdr:nvCxnSpPr>
        <xdr:cNvPr id="69" name="AutoShape 402"/>
        <xdr:cNvCxnSpPr>
          <a:cxnSpLocks noChangeShapeType="1"/>
          <a:stCxn id="120" idx="3"/>
          <a:endCxn id="111" idx="1"/>
        </xdr:cNvCxnSpPr>
      </xdr:nvCxnSpPr>
      <xdr:spPr bwMode="auto">
        <a:xfrm>
          <a:off x="1428750" y="3848100"/>
          <a:ext cx="714375" cy="0"/>
        </a:xfrm>
        <a:prstGeom prst="straightConnector1">
          <a:avLst/>
        </a:prstGeom>
        <a:noFill/>
        <a:ln w="25400">
          <a:solidFill>
            <a:srgbClr xmlns:mc="http://schemas.openxmlformats.org/markup-compatibility/2006" xmlns:a14="http://schemas.microsoft.com/office/drawing/2010/main" val="000000" mc:Ignorable="a14" a14:legacySpreadsheetColorIndex="64"/>
          </a:solidFill>
          <a:round/>
          <a:headEnd/>
          <a:tailEnd type="triangle" w="med" len="med"/>
        </a:ln>
        <a:effectLst>
          <a:outerShdw dist="107763" dir="2700000" algn="ctr" rotWithShape="0">
            <a:srgbClr val="808080">
              <a:alpha val="50000"/>
            </a:srgbClr>
          </a:outerShdw>
        </a:effectLst>
        <a:extLst>
          <a:ext uri="{909E8E84-426E-40DD-AFC4-6F175D3DCCD1}">
            <a14:hiddenFill xmlns:a14="http://schemas.microsoft.com/office/drawing/2010/main">
              <a:noFill/>
            </a14:hiddenFill>
          </a:ext>
        </a:extLst>
      </xdr:spPr>
    </xdr:cxnSp>
    <xdr:clientData/>
  </xdr:twoCellAnchor>
  <xdr:twoCellAnchor>
    <xdr:from>
      <xdr:col>7</xdr:col>
      <xdr:colOff>209550</xdr:colOff>
      <xdr:row>25</xdr:row>
      <xdr:rowOff>95250</xdr:rowOff>
    </xdr:from>
    <xdr:to>
      <xdr:col>12</xdr:col>
      <xdr:colOff>323850</xdr:colOff>
      <xdr:row>25</xdr:row>
      <xdr:rowOff>95250</xdr:rowOff>
    </xdr:to>
    <xdr:cxnSp macro="">
      <xdr:nvCxnSpPr>
        <xdr:cNvPr id="70" name="AutoShape 403"/>
        <xdr:cNvCxnSpPr>
          <a:cxnSpLocks noChangeShapeType="1"/>
          <a:stCxn id="111" idx="3"/>
          <a:endCxn id="79" idx="1"/>
        </xdr:cNvCxnSpPr>
      </xdr:nvCxnSpPr>
      <xdr:spPr bwMode="auto">
        <a:xfrm>
          <a:off x="3034205" y="3872405"/>
          <a:ext cx="2358697" cy="0"/>
        </a:xfrm>
        <a:prstGeom prst="straightConnector1">
          <a:avLst/>
        </a:prstGeom>
        <a:noFill/>
        <a:ln w="25400">
          <a:solidFill>
            <a:srgbClr xmlns:mc="http://schemas.openxmlformats.org/markup-compatibility/2006" xmlns:a14="http://schemas.microsoft.com/office/drawing/2010/main" val="000000" mc:Ignorable="a14" a14:legacySpreadsheetColorIndex="64"/>
          </a:solidFill>
          <a:round/>
          <a:headEnd/>
          <a:tailEnd type="triangle" w="med" len="med"/>
        </a:ln>
        <a:effectLst>
          <a:outerShdw dist="107763" dir="2700000" algn="ctr" rotWithShape="0">
            <a:srgbClr val="808080">
              <a:alpha val="50000"/>
            </a:srgbClr>
          </a:outerShdw>
        </a:effectLst>
        <a:extLst>
          <a:ext uri="{909E8E84-426E-40DD-AFC4-6F175D3DCCD1}">
            <a14:hiddenFill xmlns:a14="http://schemas.microsoft.com/office/drawing/2010/main">
              <a:noFill/>
            </a14:hiddenFill>
          </a:ext>
        </a:extLst>
      </xdr:spPr>
    </xdr:cxnSp>
    <xdr:clientData/>
  </xdr:twoCellAnchor>
  <xdr:twoCellAnchor>
    <xdr:from>
      <xdr:col>6</xdr:col>
      <xdr:colOff>219075</xdr:colOff>
      <xdr:row>18</xdr:row>
      <xdr:rowOff>152400</xdr:rowOff>
    </xdr:from>
    <xdr:to>
      <xdr:col>6</xdr:col>
      <xdr:colOff>219075</xdr:colOff>
      <xdr:row>23</xdr:row>
      <xdr:rowOff>152400</xdr:rowOff>
    </xdr:to>
    <xdr:cxnSp macro="">
      <xdr:nvCxnSpPr>
        <xdr:cNvPr id="72" name="AutoShape 405"/>
        <xdr:cNvCxnSpPr>
          <a:cxnSpLocks noChangeShapeType="1"/>
          <a:stCxn id="125" idx="2"/>
          <a:endCxn id="111" idx="0"/>
        </xdr:cNvCxnSpPr>
      </xdr:nvCxnSpPr>
      <xdr:spPr bwMode="auto">
        <a:xfrm rot="5400000">
          <a:off x="2185987" y="3176588"/>
          <a:ext cx="809625" cy="0"/>
        </a:xfrm>
        <a:prstGeom prst="straightConnector1">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12</xdr:col>
      <xdr:colOff>95250</xdr:colOff>
      <xdr:row>27</xdr:row>
      <xdr:rowOff>38100</xdr:rowOff>
    </xdr:from>
    <xdr:to>
      <xdr:col>13</xdr:col>
      <xdr:colOff>323850</xdr:colOff>
      <xdr:row>32</xdr:row>
      <xdr:rowOff>142875</xdr:rowOff>
    </xdr:to>
    <xdr:cxnSp macro="">
      <xdr:nvCxnSpPr>
        <xdr:cNvPr id="75" name="AutoShape 408"/>
        <xdr:cNvCxnSpPr>
          <a:cxnSpLocks noChangeShapeType="1"/>
          <a:stCxn id="105" idx="0"/>
          <a:endCxn id="79" idx="2"/>
        </xdr:cNvCxnSpPr>
      </xdr:nvCxnSpPr>
      <xdr:spPr bwMode="auto">
        <a:xfrm rot="16200000">
          <a:off x="5033963" y="4233862"/>
          <a:ext cx="914400" cy="676275"/>
        </a:xfrm>
        <a:prstGeom prst="bentConnector3">
          <a:avLst>
            <a:gd name="adj1" fmla="val 50000"/>
          </a:avLst>
        </a:prstGeom>
        <a:noFill/>
        <a:ln w="9525">
          <a:solidFill>
            <a:srgbClr xmlns:mc="http://schemas.openxmlformats.org/markup-compatibility/2006" xmlns:a14="http://schemas.microsoft.com/office/drawing/2010/main" val="000000" mc:Ignorable="a14" a14:legacySpreadsheetColorIndex="64"/>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14</xdr:col>
      <xdr:colOff>314325</xdr:colOff>
      <xdr:row>25</xdr:row>
      <xdr:rowOff>95250</xdr:rowOff>
    </xdr:from>
    <xdr:to>
      <xdr:col>20</xdr:col>
      <xdr:colOff>66675</xdr:colOff>
      <xdr:row>25</xdr:row>
      <xdr:rowOff>95250</xdr:rowOff>
    </xdr:to>
    <xdr:cxnSp macro="">
      <xdr:nvCxnSpPr>
        <xdr:cNvPr id="76" name="AutoShape 409"/>
        <xdr:cNvCxnSpPr>
          <a:cxnSpLocks noChangeShapeType="1"/>
          <a:stCxn id="79" idx="3"/>
          <a:endCxn id="65" idx="1"/>
        </xdr:cNvCxnSpPr>
      </xdr:nvCxnSpPr>
      <xdr:spPr bwMode="auto">
        <a:xfrm>
          <a:off x="6281135" y="3872405"/>
          <a:ext cx="2379937" cy="0"/>
        </a:xfrm>
        <a:prstGeom prst="straightConnector1">
          <a:avLst/>
        </a:prstGeom>
        <a:noFill/>
        <a:ln w="25400">
          <a:solidFill>
            <a:srgbClr xmlns:mc="http://schemas.openxmlformats.org/markup-compatibility/2006" xmlns:a14="http://schemas.microsoft.com/office/drawing/2010/main" val="000000" mc:Ignorable="a14" a14:legacySpreadsheetColorIndex="64"/>
          </a:solidFill>
          <a:round/>
          <a:headEnd/>
          <a:tailEnd type="triangle" w="med" len="med"/>
        </a:ln>
        <a:effectLst>
          <a:outerShdw dist="107763" dir="2700000" algn="ctr" rotWithShape="0">
            <a:srgbClr val="808080">
              <a:alpha val="50000"/>
            </a:srgbClr>
          </a:outerShdw>
        </a:effectLst>
        <a:extLst>
          <a:ext uri="{909E8E84-426E-40DD-AFC4-6F175D3DCCD1}">
            <a14:hiddenFill xmlns:a14="http://schemas.microsoft.com/office/drawing/2010/main">
              <a:noFill/>
            </a14:hiddenFill>
          </a:ext>
        </a:extLst>
      </xdr:spPr>
    </xdr:cxnSp>
    <xdr:clientData/>
  </xdr:twoCellAnchor>
  <xdr:twoCellAnchor>
    <xdr:from>
      <xdr:col>12</xdr:col>
      <xdr:colOff>323850</xdr:colOff>
      <xdr:row>23</xdr:row>
      <xdr:rowOff>152400</xdr:rowOff>
    </xdr:from>
    <xdr:to>
      <xdr:col>14</xdr:col>
      <xdr:colOff>314325</xdr:colOff>
      <xdr:row>27</xdr:row>
      <xdr:rowOff>38100</xdr:rowOff>
    </xdr:to>
    <xdr:grpSp>
      <xdr:nvGrpSpPr>
        <xdr:cNvPr id="78" name="Group 414"/>
        <xdr:cNvGrpSpPr>
          <a:grpSpLocks/>
        </xdr:cNvGrpSpPr>
      </xdr:nvGrpSpPr>
      <xdr:grpSpPr bwMode="auto">
        <a:xfrm>
          <a:off x="5431631" y="3652838"/>
          <a:ext cx="895350" cy="552450"/>
          <a:chOff x="565" y="376"/>
          <a:chExt cx="93" cy="56"/>
        </a:xfrm>
      </xdr:grpSpPr>
      <xdr:sp macro="" textlink="">
        <xdr:nvSpPr>
          <xdr:cNvPr id="79" name="Text Box 393">
            <a:hlinkClick xmlns:r="http://schemas.openxmlformats.org/officeDocument/2006/relationships" r:id="rId41" tooltip="Hyperlink to sheet"/>
          </xdr:cNvPr>
          <xdr:cNvSpPr txBox="1">
            <a:spLocks noChangeArrowheads="1" noTextEdit="1"/>
          </xdr:cNvSpPr>
        </xdr:nvSpPr>
        <xdr:spPr bwMode="auto">
          <a:xfrm>
            <a:off x="565" y="376"/>
            <a:ext cx="93" cy="56"/>
          </a:xfrm>
          <a:prstGeom prst="rect">
            <a:avLst/>
          </a:prstGeom>
          <a:solidFill>
            <a:srgbClr xmlns:mc="http://schemas.openxmlformats.org/markup-compatibility/2006" xmlns:a14="http://schemas.microsoft.com/office/drawing/2010/main" val="969696" mc:Ignorable="a14" a14:legacySpreadsheetColorIndex="55"/>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outerShdw dist="107763" dir="2700000" algn="ctr" rotWithShape="0">
              <a:srgbClr val="808080">
                <a:alpha val="50000"/>
              </a:srgbClr>
            </a:outerShdw>
          </a:effectLst>
        </xdr:spPr>
        <xdr:txBody>
          <a:bodyPr vertOverflow="clip" wrap="square" lIns="27432" tIns="22860" rIns="27432" bIns="22860" anchor="ctr" upright="1"/>
          <a:lstStyle/>
          <a:p>
            <a:pPr algn="ctr" rtl="0">
              <a:defRPr sz="1000"/>
            </a:pPr>
            <a:fld id="{EA5638E4-D138-4D2E-80F4-44B49214042B}" type="TxLink">
              <a:rPr lang="en-GB" sz="1000" b="0" i="0" u="none" strike="noStrike" baseline="0">
                <a:solidFill>
                  <a:srgbClr val="FFFFFF"/>
                </a:solidFill>
                <a:latin typeface="Arial"/>
                <a:cs typeface="Arial"/>
              </a:rPr>
              <a:pPr algn="ctr" rtl="0">
                <a:defRPr sz="1000"/>
              </a:pPr>
              <a:t>Profile before CoM</a:t>
            </a:fld>
            <a:endParaRPr lang="en-GB"/>
          </a:p>
        </xdr:txBody>
      </xdr:sp>
      <xdr:sp macro="" textlink="">
        <xdr:nvSpPr>
          <xdr:cNvPr id="80" name="Rectangle 411"/>
          <xdr:cNvSpPr>
            <a:spLocks noChangeArrowheads="1"/>
          </xdr:cNvSpPr>
        </xdr:nvSpPr>
        <xdr:spPr bwMode="auto">
          <a:xfrm>
            <a:off x="631" y="417"/>
            <a:ext cx="27" cy="14"/>
          </a:xfrm>
          <a:prstGeom prst="rect">
            <a:avLst/>
          </a:prstGeom>
          <a:noFill/>
          <a:ln>
            <a:noFill/>
          </a:ln>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grpSp>
    <xdr:clientData/>
  </xdr:twoCellAnchor>
  <xdr:twoCellAnchor>
    <xdr:from>
      <xdr:col>12</xdr:col>
      <xdr:colOff>247650</xdr:colOff>
      <xdr:row>32</xdr:row>
      <xdr:rowOff>47625</xdr:rowOff>
    </xdr:from>
    <xdr:to>
      <xdr:col>13</xdr:col>
      <xdr:colOff>57150</xdr:colOff>
      <xdr:row>33</xdr:row>
      <xdr:rowOff>19050</xdr:rowOff>
    </xdr:to>
    <xdr:sp macro="" textlink="">
      <xdr:nvSpPr>
        <xdr:cNvPr id="81" name="Rectangle 412"/>
        <xdr:cNvSpPr>
          <a:spLocks noChangeArrowheads="1"/>
        </xdr:cNvSpPr>
      </xdr:nvSpPr>
      <xdr:spPr bwMode="auto">
        <a:xfrm>
          <a:off x="5305425" y="4933950"/>
          <a:ext cx="257175" cy="133350"/>
        </a:xfrm>
        <a:prstGeom prst="rect">
          <a:avLst/>
        </a:prstGeom>
        <a:noFill/>
        <a:ln>
          <a:noFill/>
        </a:ln>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12</xdr:col>
      <xdr:colOff>85725</xdr:colOff>
      <xdr:row>28</xdr:row>
      <xdr:rowOff>19050</xdr:rowOff>
    </xdr:from>
    <xdr:to>
      <xdr:col>14</xdr:col>
      <xdr:colOff>95250</xdr:colOff>
      <xdr:row>30</xdr:row>
      <xdr:rowOff>66675</xdr:rowOff>
    </xdr:to>
    <xdr:sp macro="" textlink="">
      <xdr:nvSpPr>
        <xdr:cNvPr id="83" name="Text Box 417"/>
        <xdr:cNvSpPr txBox="1">
          <a:spLocks noChangeArrowheads="1"/>
        </xdr:cNvSpPr>
      </xdr:nvSpPr>
      <xdr:spPr bwMode="auto">
        <a:xfrm>
          <a:off x="5143500" y="4257675"/>
          <a:ext cx="904875" cy="371475"/>
        </a:xfrm>
        <a:prstGeom prst="rect">
          <a:avLst/>
        </a:prstGeom>
        <a:noFill/>
        <a:ln>
          <a:noFill/>
        </a:ln>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en-GB" sz="900" b="0" i="1" u="none" strike="noStrike" baseline="0">
              <a:solidFill>
                <a:srgbClr val="000000"/>
              </a:solidFill>
              <a:latin typeface="Arial"/>
              <a:cs typeface="Arial"/>
            </a:rPr>
            <a:t>Profiles &amp; Discounts</a:t>
          </a:r>
          <a:endParaRPr lang="en-GB"/>
        </a:p>
      </xdr:txBody>
    </xdr:sp>
    <xdr:clientData/>
  </xdr:twoCellAnchor>
  <xdr:twoCellAnchor>
    <xdr:from>
      <xdr:col>14</xdr:col>
      <xdr:colOff>314325</xdr:colOff>
      <xdr:row>18</xdr:row>
      <xdr:rowOff>152401</xdr:rowOff>
    </xdr:from>
    <xdr:to>
      <xdr:col>21</xdr:col>
      <xdr:colOff>371475</xdr:colOff>
      <xdr:row>25</xdr:row>
      <xdr:rowOff>95250</xdr:rowOff>
    </xdr:to>
    <xdr:cxnSp macro="">
      <xdr:nvCxnSpPr>
        <xdr:cNvPr id="85" name="AutoShape 419"/>
        <xdr:cNvCxnSpPr>
          <a:cxnSpLocks noChangeShapeType="1"/>
          <a:stCxn id="79" idx="3"/>
        </xdr:cNvCxnSpPr>
      </xdr:nvCxnSpPr>
      <xdr:spPr bwMode="auto">
        <a:xfrm flipV="1">
          <a:off x="6281135" y="2779987"/>
          <a:ext cx="3133616" cy="1092418"/>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type="triangle" w="med" len="med"/>
        </a:ln>
        <a:effectLst>
          <a:outerShdw dist="107763" dir="2700000" algn="ctr" rotWithShape="0">
            <a:srgbClr val="808080">
              <a:alpha val="50000"/>
            </a:srgbClr>
          </a:outerShdw>
        </a:effectLst>
        <a:extLst>
          <a:ext uri="{909E8E84-426E-40DD-AFC4-6F175D3DCCD1}">
            <a14:hiddenFill xmlns:a14="http://schemas.microsoft.com/office/drawing/2010/main">
              <a:noFill/>
            </a14:hiddenFill>
          </a:ext>
        </a:extLst>
      </xdr:spPr>
    </xdr:cxnSp>
    <xdr:clientData/>
  </xdr:twoCellAnchor>
  <xdr:twoCellAnchor>
    <xdr:from>
      <xdr:col>6</xdr:col>
      <xdr:colOff>419100</xdr:colOff>
      <xdr:row>24</xdr:row>
      <xdr:rowOff>0</xdr:rowOff>
    </xdr:from>
    <xdr:to>
      <xdr:col>7</xdr:col>
      <xdr:colOff>228600</xdr:colOff>
      <xdr:row>24</xdr:row>
      <xdr:rowOff>133350</xdr:rowOff>
    </xdr:to>
    <xdr:sp macro="" textlink="">
      <xdr:nvSpPr>
        <xdr:cNvPr id="91" name="Rectangle 424"/>
        <xdr:cNvSpPr>
          <a:spLocks noChangeArrowheads="1"/>
        </xdr:cNvSpPr>
      </xdr:nvSpPr>
      <xdr:spPr bwMode="auto">
        <a:xfrm>
          <a:off x="2790825" y="3590925"/>
          <a:ext cx="257175" cy="133350"/>
        </a:xfrm>
        <a:prstGeom prst="rect">
          <a:avLst/>
        </a:prstGeom>
        <a:noFill/>
        <a:ln>
          <a:noFill/>
        </a:ln>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7</xdr:col>
      <xdr:colOff>104775</xdr:colOff>
      <xdr:row>18</xdr:row>
      <xdr:rowOff>152400</xdr:rowOff>
    </xdr:from>
    <xdr:to>
      <xdr:col>20</xdr:col>
      <xdr:colOff>209550</xdr:colOff>
      <xdr:row>24</xdr:row>
      <xdr:rowOff>0</xdr:rowOff>
    </xdr:to>
    <xdr:cxnSp macro="">
      <xdr:nvCxnSpPr>
        <xdr:cNvPr id="92" name="AutoShape 425"/>
        <xdr:cNvCxnSpPr>
          <a:cxnSpLocks noChangeShapeType="1"/>
          <a:stCxn id="91" idx="0"/>
          <a:endCxn id="89" idx="2"/>
        </xdr:cNvCxnSpPr>
      </xdr:nvCxnSpPr>
      <xdr:spPr bwMode="auto">
        <a:xfrm rot="16200000">
          <a:off x="5443538" y="252412"/>
          <a:ext cx="819150" cy="5857875"/>
        </a:xfrm>
        <a:prstGeom prst="bentConnector3">
          <a:avLst>
            <a:gd name="adj1" fmla="val 65787"/>
          </a:avLst>
        </a:prstGeom>
        <a:noFill/>
        <a:ln w="9525">
          <a:solidFill>
            <a:srgbClr xmlns:mc="http://schemas.openxmlformats.org/markup-compatibility/2006" xmlns:a14="http://schemas.microsoft.com/office/drawing/2010/main" val="000000" mc:Ignorable="a14" a14:legacySpreadsheetColorIndex="64"/>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10</xdr:col>
      <xdr:colOff>381000</xdr:colOff>
      <xdr:row>15</xdr:row>
      <xdr:rowOff>104775</xdr:rowOff>
    </xdr:from>
    <xdr:to>
      <xdr:col>12</xdr:col>
      <xdr:colOff>371475</xdr:colOff>
      <xdr:row>18</xdr:row>
      <xdr:rowOff>152400</xdr:rowOff>
    </xdr:to>
    <xdr:grpSp>
      <xdr:nvGrpSpPr>
        <xdr:cNvPr id="93" name="Group 442"/>
        <xdr:cNvGrpSpPr>
          <a:grpSpLocks/>
        </xdr:cNvGrpSpPr>
      </xdr:nvGrpSpPr>
      <xdr:grpSpPr bwMode="auto">
        <a:xfrm>
          <a:off x="4583906" y="2271713"/>
          <a:ext cx="895350" cy="547687"/>
          <a:chOff x="477" y="235"/>
          <a:chExt cx="93" cy="56"/>
        </a:xfrm>
      </xdr:grpSpPr>
      <xdr:sp macro="" textlink="">
        <xdr:nvSpPr>
          <xdr:cNvPr id="94" name="Text Box 398">
            <a:hlinkClick xmlns:r="http://schemas.openxmlformats.org/officeDocument/2006/relationships" r:id="rId42" tooltip="Hyperlink to sheet"/>
          </xdr:cNvPr>
          <xdr:cNvSpPr txBox="1">
            <a:spLocks noChangeArrowheads="1" noTextEdit="1"/>
          </xdr:cNvSpPr>
        </xdr:nvSpPr>
        <xdr:spPr bwMode="auto">
          <a:xfrm>
            <a:off x="477" y="235"/>
            <a:ext cx="93" cy="56"/>
          </a:xfrm>
          <a:prstGeom prst="rect">
            <a:avLst/>
          </a:prstGeom>
          <a:solidFill>
            <a:srgbClr xmlns:mc="http://schemas.openxmlformats.org/markup-compatibility/2006" xmlns:a14="http://schemas.microsoft.com/office/drawing/2010/main" val="FFFF99" mc:Ignorable="a14" a14:legacySpreadsheetColorIndex="43"/>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outerShdw dist="107763" dir="2700000" algn="ctr" rotWithShape="0">
              <a:srgbClr val="808080">
                <a:alpha val="50000"/>
              </a:srgbClr>
            </a:outerShdw>
          </a:effectLst>
        </xdr:spPr>
        <xdr:txBody>
          <a:bodyPr vertOverflow="clip" wrap="square" lIns="27432" tIns="22860" rIns="27432" bIns="22860" anchor="ctr" upright="1"/>
          <a:lstStyle/>
          <a:p>
            <a:pPr algn="ctr" rtl="0">
              <a:defRPr sz="1000"/>
            </a:pPr>
            <a:fld id="{A0241607-D6E0-4ABC-BC93-BD9944B61C87}" type="TxLink">
              <a:rPr lang="en-GB" sz="1000" b="0" i="0" u="none" strike="noStrike" baseline="0">
                <a:solidFill>
                  <a:srgbClr val="000000"/>
                </a:solidFill>
                <a:latin typeface="Arial"/>
                <a:cs typeface="Arial"/>
              </a:rPr>
              <a:pPr algn="ctr" rtl="0">
                <a:defRPr sz="1000"/>
              </a:pPr>
              <a:t>Financial Dashboard</a:t>
            </a:fld>
            <a:endParaRPr lang="en-GB"/>
          </a:p>
        </xdr:txBody>
      </xdr:sp>
      <xdr:sp macro="" textlink="">
        <xdr:nvSpPr>
          <xdr:cNvPr id="95" name="Rectangle 427"/>
          <xdr:cNvSpPr>
            <a:spLocks noChangeArrowheads="1"/>
          </xdr:cNvSpPr>
        </xdr:nvSpPr>
        <xdr:spPr bwMode="auto">
          <a:xfrm>
            <a:off x="542" y="276"/>
            <a:ext cx="27" cy="14"/>
          </a:xfrm>
          <a:prstGeom prst="rect">
            <a:avLst/>
          </a:prstGeom>
          <a:noFill/>
          <a:ln>
            <a:noFill/>
          </a:ln>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96" name="Rectangle 428"/>
          <xdr:cNvSpPr>
            <a:spLocks noChangeArrowheads="1"/>
          </xdr:cNvSpPr>
        </xdr:nvSpPr>
        <xdr:spPr bwMode="auto">
          <a:xfrm>
            <a:off x="478" y="277"/>
            <a:ext cx="27" cy="14"/>
          </a:xfrm>
          <a:prstGeom prst="rect">
            <a:avLst/>
          </a:prstGeom>
          <a:noFill/>
          <a:ln>
            <a:noFill/>
          </a:ln>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grpSp>
    <xdr:clientData/>
  </xdr:twoCellAnchor>
  <xdr:twoCellAnchor>
    <xdr:from>
      <xdr:col>18</xdr:col>
      <xdr:colOff>66675</xdr:colOff>
      <xdr:row>28</xdr:row>
      <xdr:rowOff>123825</xdr:rowOff>
    </xdr:from>
    <xdr:to>
      <xdr:col>20</xdr:col>
      <xdr:colOff>209550</xdr:colOff>
      <xdr:row>30</xdr:row>
      <xdr:rowOff>142875</xdr:rowOff>
    </xdr:to>
    <xdr:sp macro="" textlink="">
      <xdr:nvSpPr>
        <xdr:cNvPr id="99" name="AutoShape 437"/>
        <xdr:cNvSpPr>
          <a:spLocks noChangeArrowheads="1"/>
        </xdr:cNvSpPr>
      </xdr:nvSpPr>
      <xdr:spPr bwMode="auto">
        <a:xfrm>
          <a:off x="7810500" y="4362450"/>
          <a:ext cx="971550" cy="342900"/>
        </a:xfrm>
        <a:prstGeom prst="wedgeRectCallout">
          <a:avLst>
            <a:gd name="adj1" fmla="val 51963"/>
            <a:gd name="adj2" fmla="val -166667"/>
          </a:avLst>
        </a:prstGeom>
        <a:solidFill>
          <a:srgbClr xmlns:mc="http://schemas.openxmlformats.org/markup-compatibility/2006" xmlns:a14="http://schemas.microsoft.com/office/drawing/2010/main" val="FFFFCC" mc:Ignorable="a14" a14:legacySpreadsheetColorIndex="26"/>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27432" bIns="18288" anchor="ctr" upright="1"/>
        <a:lstStyle/>
        <a:p>
          <a:pPr algn="ctr" rtl="0">
            <a:defRPr sz="1000"/>
          </a:pPr>
          <a:r>
            <a:rPr lang="en-GB" sz="900" b="0" i="0" u="none" strike="noStrike" baseline="0">
              <a:solidFill>
                <a:srgbClr val="008000"/>
              </a:solidFill>
              <a:latin typeface="Arial"/>
              <a:cs typeface="Arial"/>
            </a:rPr>
            <a:t>Apply bank finance charges</a:t>
          </a:r>
          <a:endParaRPr lang="en-GB"/>
        </a:p>
      </xdr:txBody>
    </xdr:sp>
    <xdr:clientData/>
  </xdr:twoCellAnchor>
  <xdr:twoCellAnchor>
    <xdr:from>
      <xdr:col>17</xdr:col>
      <xdr:colOff>219075</xdr:colOff>
      <xdr:row>15</xdr:row>
      <xdr:rowOff>133350</xdr:rowOff>
    </xdr:from>
    <xdr:to>
      <xdr:col>19</xdr:col>
      <xdr:colOff>295275</xdr:colOff>
      <xdr:row>18</xdr:row>
      <xdr:rowOff>152400</xdr:rowOff>
    </xdr:to>
    <xdr:sp macro="" textlink="">
      <xdr:nvSpPr>
        <xdr:cNvPr id="100" name="AutoShape 438"/>
        <xdr:cNvSpPr>
          <a:spLocks noChangeArrowheads="1"/>
        </xdr:cNvSpPr>
      </xdr:nvSpPr>
      <xdr:spPr bwMode="auto">
        <a:xfrm>
          <a:off x="7515225" y="2266950"/>
          <a:ext cx="971550" cy="504825"/>
        </a:xfrm>
        <a:prstGeom prst="wedgeRectCallout">
          <a:avLst>
            <a:gd name="adj1" fmla="val 87255"/>
            <a:gd name="adj2" fmla="val -33019"/>
          </a:avLst>
        </a:prstGeom>
        <a:solidFill>
          <a:srgbClr xmlns:mc="http://schemas.openxmlformats.org/markup-compatibility/2006" xmlns:a14="http://schemas.microsoft.com/office/drawing/2010/main" val="FFFFCC" mc:Ignorable="a14" a14:legacySpreadsheetColorIndex="26"/>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27432" bIns="18288" anchor="ctr" upright="1"/>
        <a:lstStyle/>
        <a:p>
          <a:pPr algn="ctr" rtl="0">
            <a:defRPr sz="1000"/>
          </a:pPr>
          <a:r>
            <a:rPr lang="en-GB" sz="900" b="0" i="0" u="none" strike="noStrike" baseline="0">
              <a:solidFill>
                <a:srgbClr val="008000"/>
              </a:solidFill>
              <a:latin typeface="Arial"/>
              <a:cs typeface="Arial"/>
            </a:rPr>
            <a:t>Data tables for link to other models</a:t>
          </a:r>
          <a:endParaRPr lang="en-GB"/>
        </a:p>
      </xdr:txBody>
    </xdr:sp>
    <xdr:clientData/>
  </xdr:twoCellAnchor>
  <xdr:twoCellAnchor>
    <xdr:from>
      <xdr:col>13</xdr:col>
      <xdr:colOff>104775</xdr:colOff>
      <xdr:row>15</xdr:row>
      <xdr:rowOff>133350</xdr:rowOff>
    </xdr:from>
    <xdr:to>
      <xdr:col>15</xdr:col>
      <xdr:colOff>95250</xdr:colOff>
      <xdr:row>18</xdr:row>
      <xdr:rowOff>152400</xdr:rowOff>
    </xdr:to>
    <xdr:sp macro="" textlink="">
      <xdr:nvSpPr>
        <xdr:cNvPr id="101" name="AutoShape 440"/>
        <xdr:cNvSpPr>
          <a:spLocks noChangeArrowheads="1"/>
        </xdr:cNvSpPr>
      </xdr:nvSpPr>
      <xdr:spPr bwMode="auto">
        <a:xfrm>
          <a:off x="5610225" y="2266950"/>
          <a:ext cx="885825" cy="504825"/>
        </a:xfrm>
        <a:prstGeom prst="wedgeRectCallout">
          <a:avLst>
            <a:gd name="adj1" fmla="val -86560"/>
            <a:gd name="adj2" fmla="val 944"/>
          </a:avLst>
        </a:prstGeom>
        <a:solidFill>
          <a:srgbClr xmlns:mc="http://schemas.openxmlformats.org/markup-compatibility/2006" xmlns:a14="http://schemas.microsoft.com/office/drawing/2010/main" val="FFFFCC" mc:Ignorable="a14" a14:legacySpreadsheetColorIndex="26"/>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27432" bIns="18288" anchor="ctr" upright="1"/>
        <a:lstStyle/>
        <a:p>
          <a:pPr algn="ctr" rtl="0">
            <a:defRPr sz="1000"/>
          </a:pPr>
          <a:r>
            <a:rPr lang="en-GB" sz="900" b="0" i="0" u="none" strike="noStrike" baseline="0">
              <a:solidFill>
                <a:srgbClr val="008000"/>
              </a:solidFill>
              <a:latin typeface="Arial"/>
              <a:cs typeface="Arial"/>
            </a:rPr>
            <a:t>Key displays and main function switches</a:t>
          </a:r>
          <a:endParaRPr lang="en-GB"/>
        </a:p>
      </xdr:txBody>
    </xdr:sp>
    <xdr:clientData/>
  </xdr:twoCellAnchor>
  <xdr:twoCellAnchor>
    <xdr:from>
      <xdr:col>6</xdr:col>
      <xdr:colOff>390525</xdr:colOff>
      <xdr:row>18</xdr:row>
      <xdr:rowOff>152400</xdr:rowOff>
    </xdr:from>
    <xdr:to>
      <xdr:col>11</xdr:col>
      <xdr:colOff>381000</xdr:colOff>
      <xdr:row>23</xdr:row>
      <xdr:rowOff>152400</xdr:rowOff>
    </xdr:to>
    <xdr:cxnSp macro="">
      <xdr:nvCxnSpPr>
        <xdr:cNvPr id="102" name="AutoShape 443"/>
        <xdr:cNvCxnSpPr>
          <a:cxnSpLocks noChangeShapeType="1"/>
          <a:stCxn id="94" idx="2"/>
          <a:endCxn id="112" idx="0"/>
        </xdr:cNvCxnSpPr>
      </xdr:nvCxnSpPr>
      <xdr:spPr bwMode="auto">
        <a:xfrm rot="5400000">
          <a:off x="3471862" y="2062163"/>
          <a:ext cx="809625" cy="2228850"/>
        </a:xfrm>
        <a:prstGeom prst="bentConnector3">
          <a:avLst>
            <a:gd name="adj1" fmla="val 73333"/>
          </a:avLst>
        </a:prstGeom>
        <a:noFill/>
        <a:ln w="9525">
          <a:solidFill>
            <a:srgbClr xmlns:mc="http://schemas.openxmlformats.org/markup-compatibility/2006" xmlns:a14="http://schemas.microsoft.com/office/drawing/2010/main" val="008000" mc:Ignorable="a14" a14:legacySpreadsheetColorIndex="17"/>
          </a:solidFill>
          <a:prstDash val="dash"/>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11</xdr:col>
      <xdr:colOff>95250</xdr:colOff>
      <xdr:row>32</xdr:row>
      <xdr:rowOff>142875</xdr:rowOff>
    </xdr:from>
    <xdr:to>
      <xdr:col>13</xdr:col>
      <xdr:colOff>85725</xdr:colOff>
      <xdr:row>36</xdr:row>
      <xdr:rowOff>28575</xdr:rowOff>
    </xdr:to>
    <xdr:grpSp>
      <xdr:nvGrpSpPr>
        <xdr:cNvPr id="104" name="Group 447"/>
        <xdr:cNvGrpSpPr>
          <a:grpSpLocks/>
        </xdr:cNvGrpSpPr>
      </xdr:nvGrpSpPr>
      <xdr:grpSpPr bwMode="auto">
        <a:xfrm>
          <a:off x="4750594" y="5143500"/>
          <a:ext cx="895350" cy="552450"/>
          <a:chOff x="493" y="528"/>
          <a:chExt cx="93" cy="56"/>
        </a:xfrm>
      </xdr:grpSpPr>
      <xdr:sp macro="" textlink="">
        <xdr:nvSpPr>
          <xdr:cNvPr id="105" name="Text Box 392">
            <a:hlinkClick xmlns:r="http://schemas.openxmlformats.org/officeDocument/2006/relationships" r:id="rId43" tooltip="Hyperlink to sheet"/>
          </xdr:cNvPr>
          <xdr:cNvSpPr txBox="1">
            <a:spLocks noChangeArrowheads="1" noTextEdit="1"/>
          </xdr:cNvSpPr>
        </xdr:nvSpPr>
        <xdr:spPr bwMode="auto">
          <a:xfrm>
            <a:off x="493" y="528"/>
            <a:ext cx="93" cy="56"/>
          </a:xfrm>
          <a:prstGeom prst="rect">
            <a:avLst/>
          </a:prstGeom>
          <a:solidFill>
            <a:srgbClr xmlns:mc="http://schemas.openxmlformats.org/markup-compatibility/2006" xmlns:a14="http://schemas.microsoft.com/office/drawing/2010/main" val="FFFF99" mc:Ignorable="a14" a14:legacySpreadsheetColorIndex="43"/>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outerShdw dist="107763" dir="2700000" algn="ctr" rotWithShape="0">
              <a:srgbClr val="808080">
                <a:alpha val="50000"/>
              </a:srgbClr>
            </a:outerShdw>
          </a:effectLst>
        </xdr:spPr>
        <xdr:txBody>
          <a:bodyPr vertOverflow="clip" wrap="square" lIns="27432" tIns="22860" rIns="27432" bIns="22860" anchor="ctr" upright="1"/>
          <a:lstStyle/>
          <a:p>
            <a:pPr algn="ctr" rtl="0">
              <a:defRPr sz="1000"/>
            </a:pPr>
            <a:fld id="{F17BA598-6175-4229-9CAC-5E19D1B2591D}" type="TxLink">
              <a:rPr lang="en-GB" sz="1000" b="0" i="0" u="none" strike="noStrike" baseline="0">
                <a:solidFill>
                  <a:srgbClr val="000000"/>
                </a:solidFill>
                <a:latin typeface="Arial"/>
                <a:cs typeface="Arial"/>
              </a:rPr>
              <a:pPr algn="ctr" rtl="0">
                <a:defRPr sz="1000"/>
              </a:pPr>
              <a:t>Customer Charges</a:t>
            </a:fld>
            <a:endParaRPr lang="en-GB"/>
          </a:p>
        </xdr:txBody>
      </xdr:sp>
      <xdr:sp macro="" textlink="">
        <xdr:nvSpPr>
          <xdr:cNvPr id="106" name="Rectangle 445"/>
          <xdr:cNvSpPr>
            <a:spLocks noChangeArrowheads="1"/>
          </xdr:cNvSpPr>
        </xdr:nvSpPr>
        <xdr:spPr bwMode="auto">
          <a:xfrm>
            <a:off x="510" y="528"/>
            <a:ext cx="26" cy="12"/>
          </a:xfrm>
          <a:prstGeom prst="rect">
            <a:avLst/>
          </a:prstGeom>
          <a:noFill/>
          <a:ln>
            <a:noFill/>
          </a:ln>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grpSp>
    <xdr:clientData/>
  </xdr:twoCellAnchor>
  <xdr:twoCellAnchor>
    <xdr:from>
      <xdr:col>11</xdr:col>
      <xdr:colOff>381000</xdr:colOff>
      <xdr:row>18</xdr:row>
      <xdr:rowOff>152400</xdr:rowOff>
    </xdr:from>
    <xdr:to>
      <xdr:col>11</xdr:col>
      <xdr:colOff>381000</xdr:colOff>
      <xdr:row>32</xdr:row>
      <xdr:rowOff>142875</xdr:rowOff>
    </xdr:to>
    <xdr:cxnSp macro="">
      <xdr:nvCxnSpPr>
        <xdr:cNvPr id="107" name="AutoShape 446"/>
        <xdr:cNvCxnSpPr>
          <a:cxnSpLocks noChangeShapeType="1"/>
          <a:stCxn id="94" idx="2"/>
          <a:endCxn id="106" idx="0"/>
        </xdr:cNvCxnSpPr>
      </xdr:nvCxnSpPr>
      <xdr:spPr bwMode="auto">
        <a:xfrm rot="5400000">
          <a:off x="3862387" y="3900488"/>
          <a:ext cx="2257425" cy="0"/>
        </a:xfrm>
        <a:prstGeom prst="straightConnector1">
          <a:avLst/>
        </a:prstGeom>
        <a:noFill/>
        <a:ln w="9525">
          <a:solidFill>
            <a:srgbClr xmlns:mc="http://schemas.openxmlformats.org/markup-compatibility/2006" xmlns:a14="http://schemas.microsoft.com/office/drawing/2010/main" val="008000" mc:Ignorable="a14" a14:legacySpreadsheetColorIndex="17"/>
          </a:solidFill>
          <a:prstDash val="dash"/>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13</xdr:col>
      <xdr:colOff>411326</xdr:colOff>
      <xdr:row>34</xdr:row>
      <xdr:rowOff>10072</xdr:rowOff>
    </xdr:from>
    <xdr:to>
      <xdr:col>16</xdr:col>
      <xdr:colOff>295822</xdr:colOff>
      <xdr:row>37</xdr:row>
      <xdr:rowOff>109483</xdr:rowOff>
    </xdr:to>
    <xdr:sp macro="" textlink="">
      <xdr:nvSpPr>
        <xdr:cNvPr id="108" name="AutoShape 433"/>
        <xdr:cNvSpPr>
          <a:spLocks noChangeArrowheads="1"/>
        </xdr:cNvSpPr>
      </xdr:nvSpPr>
      <xdr:spPr bwMode="auto">
        <a:xfrm>
          <a:off x="5929257" y="5265244"/>
          <a:ext cx="1231134" cy="592084"/>
        </a:xfrm>
        <a:prstGeom prst="wedgeRectCallout">
          <a:avLst>
            <a:gd name="adj1" fmla="val -82688"/>
            <a:gd name="adj2" fmla="val -51827"/>
          </a:avLst>
        </a:prstGeom>
        <a:solidFill>
          <a:srgbClr xmlns:mc="http://schemas.openxmlformats.org/markup-compatibility/2006" xmlns:a14="http://schemas.microsoft.com/office/drawing/2010/main" val="FFFFCC" mc:Ignorable="a14" a14:legacySpreadsheetColorIndex="26"/>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27432" bIns="18288" anchor="ctr" upright="1"/>
        <a:lstStyle/>
        <a:p>
          <a:pPr algn="ctr" rtl="0">
            <a:defRPr sz="1000"/>
          </a:pPr>
          <a:r>
            <a:rPr lang="en-GB" sz="900" b="0" i="0" u="none" strike="noStrike" baseline="0">
              <a:solidFill>
                <a:srgbClr val="008000"/>
              </a:solidFill>
              <a:latin typeface="Arial"/>
              <a:cs typeface="Arial"/>
            </a:rPr>
            <a:t>Payment milestones</a:t>
          </a:r>
          <a:endParaRPr lang="en-GB"/>
        </a:p>
      </xdr:txBody>
    </xdr:sp>
    <xdr:clientData/>
  </xdr:twoCellAnchor>
  <xdr:twoCellAnchor>
    <xdr:from>
      <xdr:col>11</xdr:col>
      <xdr:colOff>381000</xdr:colOff>
      <xdr:row>18</xdr:row>
      <xdr:rowOff>152400</xdr:rowOff>
    </xdr:from>
    <xdr:to>
      <xdr:col>21</xdr:col>
      <xdr:colOff>66675</xdr:colOff>
      <xdr:row>23</xdr:row>
      <xdr:rowOff>152400</xdr:rowOff>
    </xdr:to>
    <xdr:cxnSp macro="">
      <xdr:nvCxnSpPr>
        <xdr:cNvPr id="109" name="AutoShape 448"/>
        <xdr:cNvCxnSpPr>
          <a:cxnSpLocks noChangeShapeType="1"/>
          <a:stCxn id="94" idx="2"/>
          <a:endCxn id="65" idx="0"/>
        </xdr:cNvCxnSpPr>
      </xdr:nvCxnSpPr>
      <xdr:spPr bwMode="auto">
        <a:xfrm rot="16200000" flipH="1">
          <a:off x="6634162" y="1128713"/>
          <a:ext cx="809625" cy="4095750"/>
        </a:xfrm>
        <a:prstGeom prst="bentConnector3">
          <a:avLst>
            <a:gd name="adj1" fmla="val 65329"/>
          </a:avLst>
        </a:prstGeom>
        <a:noFill/>
        <a:ln w="9525">
          <a:solidFill>
            <a:srgbClr xmlns:mc="http://schemas.openxmlformats.org/markup-compatibility/2006" xmlns:a14="http://schemas.microsoft.com/office/drawing/2010/main" val="008000" mc:Ignorable="a14" a14:legacySpreadsheetColorIndex="17"/>
          </a:solidFill>
          <a:prstDash val="dash"/>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5</xdr:col>
      <xdr:colOff>219075</xdr:colOff>
      <xdr:row>23</xdr:row>
      <xdr:rowOff>152400</xdr:rowOff>
    </xdr:from>
    <xdr:to>
      <xdr:col>7</xdr:col>
      <xdr:colOff>209550</xdr:colOff>
      <xdr:row>27</xdr:row>
      <xdr:rowOff>38100</xdr:rowOff>
    </xdr:to>
    <xdr:grpSp>
      <xdr:nvGrpSpPr>
        <xdr:cNvPr id="110" name="Group 450"/>
        <xdr:cNvGrpSpPr>
          <a:grpSpLocks/>
        </xdr:cNvGrpSpPr>
      </xdr:nvGrpSpPr>
      <xdr:grpSpPr bwMode="auto">
        <a:xfrm>
          <a:off x="2159794" y="3652838"/>
          <a:ext cx="895350" cy="552450"/>
          <a:chOff x="227" y="376"/>
          <a:chExt cx="93" cy="56"/>
        </a:xfrm>
      </xdr:grpSpPr>
      <xdr:sp macro="" textlink="">
        <xdr:nvSpPr>
          <xdr:cNvPr id="111" name="Text Box 390">
            <a:hlinkClick xmlns:r="http://schemas.openxmlformats.org/officeDocument/2006/relationships" r:id="rId44" tooltip="Hyperlink to sheet"/>
          </xdr:cNvPr>
          <xdr:cNvSpPr txBox="1">
            <a:spLocks noChangeArrowheads="1" noTextEdit="1"/>
          </xdr:cNvSpPr>
        </xdr:nvSpPr>
        <xdr:spPr bwMode="auto">
          <a:xfrm>
            <a:off x="227" y="376"/>
            <a:ext cx="93" cy="56"/>
          </a:xfrm>
          <a:prstGeom prst="rect">
            <a:avLst/>
          </a:prstGeom>
          <a:solidFill>
            <a:srgbClr xmlns:mc="http://schemas.openxmlformats.org/markup-compatibility/2006" xmlns:a14="http://schemas.microsoft.com/office/drawing/2010/main" val="969696" mc:Ignorable="a14" a14:legacySpreadsheetColorIndex="55"/>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outerShdw dist="107763" dir="2700000" algn="ctr" rotWithShape="0">
              <a:srgbClr val="808080">
                <a:alpha val="50000"/>
              </a:srgbClr>
            </a:outerShdw>
          </a:effectLst>
        </xdr:spPr>
        <xdr:txBody>
          <a:bodyPr vertOverflow="clip" wrap="square" lIns="27432" tIns="22860" rIns="27432" bIns="22860" anchor="ctr" upright="1"/>
          <a:lstStyle/>
          <a:p>
            <a:pPr algn="ctr" rtl="0">
              <a:defRPr sz="1000"/>
            </a:pPr>
            <a:fld id="{1891C5DD-E1B1-48D6-AB9C-CF53EE074663}" type="TxLink">
              <a:rPr lang="en-GB" sz="1000" b="0" i="0" u="none" strike="noStrike" baseline="0">
                <a:solidFill>
                  <a:srgbClr val="FFFFFF"/>
                </a:solidFill>
                <a:latin typeface="Arial"/>
                <a:cs typeface="Arial"/>
              </a:rPr>
              <a:pPr algn="ctr" rtl="0">
                <a:defRPr sz="1000"/>
              </a:pPr>
              <a:t>Conversion</a:t>
            </a:fld>
            <a:endParaRPr lang="en-GB"/>
          </a:p>
        </xdr:txBody>
      </xdr:sp>
      <xdr:sp macro="" textlink="">
        <xdr:nvSpPr>
          <xdr:cNvPr id="112" name="Rectangle 449"/>
          <xdr:cNvSpPr>
            <a:spLocks noChangeArrowheads="1"/>
          </xdr:cNvSpPr>
        </xdr:nvSpPr>
        <xdr:spPr bwMode="auto">
          <a:xfrm>
            <a:off x="283" y="376"/>
            <a:ext cx="18" cy="10"/>
          </a:xfrm>
          <a:prstGeom prst="rect">
            <a:avLst/>
          </a:prstGeom>
          <a:noFill/>
          <a:ln>
            <a:noFill/>
          </a:ln>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grpSp>
    <xdr:clientData/>
  </xdr:twoCellAnchor>
  <xdr:twoCellAnchor>
    <xdr:from>
      <xdr:col>2</xdr:col>
      <xdr:colOff>200025</xdr:colOff>
      <xdr:row>31</xdr:row>
      <xdr:rowOff>85725</xdr:rowOff>
    </xdr:from>
    <xdr:to>
      <xdr:col>5</xdr:col>
      <xdr:colOff>266700</xdr:colOff>
      <xdr:row>34</xdr:row>
      <xdr:rowOff>95250</xdr:rowOff>
    </xdr:to>
    <xdr:sp macro="" textlink="">
      <xdr:nvSpPr>
        <xdr:cNvPr id="113" name="AutoShape 430"/>
        <xdr:cNvSpPr>
          <a:spLocks noChangeArrowheads="1"/>
        </xdr:cNvSpPr>
      </xdr:nvSpPr>
      <xdr:spPr bwMode="auto">
        <a:xfrm>
          <a:off x="781050" y="4810125"/>
          <a:ext cx="1409700" cy="495300"/>
        </a:xfrm>
        <a:prstGeom prst="wedgeRectCallout">
          <a:avLst>
            <a:gd name="adj1" fmla="val 81083"/>
            <a:gd name="adj2" fmla="val -234616"/>
          </a:avLst>
        </a:prstGeom>
        <a:solidFill>
          <a:srgbClr xmlns:mc="http://schemas.openxmlformats.org/markup-compatibility/2006" xmlns:a14="http://schemas.microsoft.com/office/drawing/2010/main" val="FFFFCC" mc:Ignorable="a14" a14:legacySpreadsheetColorIndex="26"/>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27432" bIns="18288" anchor="ctr" upright="1"/>
        <a:lstStyle/>
        <a:p>
          <a:pPr algn="ctr" rtl="0">
            <a:defRPr sz="1000"/>
          </a:pPr>
          <a:r>
            <a:rPr lang="en-GB" sz="900" b="0" i="0" u="none" strike="noStrike" baseline="0">
              <a:solidFill>
                <a:srgbClr val="008000"/>
              </a:solidFill>
              <a:latin typeface="Arial"/>
              <a:cs typeface="Arial"/>
            </a:rPr>
            <a:t>Check switches</a:t>
          </a:r>
          <a:endParaRPr lang="en-GB"/>
        </a:p>
      </xdr:txBody>
    </xdr:sp>
    <xdr:clientData/>
  </xdr:twoCellAnchor>
  <xdr:twoCellAnchor>
    <xdr:from>
      <xdr:col>1</xdr:col>
      <xdr:colOff>342900</xdr:colOff>
      <xdr:row>23</xdr:row>
      <xdr:rowOff>152400</xdr:rowOff>
    </xdr:from>
    <xdr:to>
      <xdr:col>3</xdr:col>
      <xdr:colOff>409575</xdr:colOff>
      <xdr:row>27</xdr:row>
      <xdr:rowOff>38100</xdr:rowOff>
    </xdr:to>
    <xdr:grpSp>
      <xdr:nvGrpSpPr>
        <xdr:cNvPr id="119" name="Group 455"/>
        <xdr:cNvGrpSpPr>
          <a:grpSpLocks/>
        </xdr:cNvGrpSpPr>
      </xdr:nvGrpSpPr>
      <xdr:grpSpPr bwMode="auto">
        <a:xfrm>
          <a:off x="545306" y="3652838"/>
          <a:ext cx="900113" cy="552450"/>
          <a:chOff x="57" y="376"/>
          <a:chExt cx="94" cy="56"/>
        </a:xfrm>
      </xdr:grpSpPr>
      <xdr:sp macro="" textlink="">
        <xdr:nvSpPr>
          <xdr:cNvPr id="120" name="Text Box 387">
            <a:hlinkClick xmlns:r="http://schemas.openxmlformats.org/officeDocument/2006/relationships" r:id="rId8" tooltip="Hyperlink to sheet"/>
          </xdr:cNvPr>
          <xdr:cNvSpPr txBox="1">
            <a:spLocks noChangeArrowheads="1" noTextEdit="1"/>
          </xdr:cNvSpPr>
        </xdr:nvSpPr>
        <xdr:spPr bwMode="auto">
          <a:xfrm>
            <a:off x="57" y="376"/>
            <a:ext cx="93" cy="56"/>
          </a:xfrm>
          <a:prstGeom prst="rect">
            <a:avLst/>
          </a:prstGeom>
          <a:solidFill>
            <a:srgbClr xmlns:mc="http://schemas.openxmlformats.org/markup-compatibility/2006" xmlns:a14="http://schemas.microsoft.com/office/drawing/2010/main" val="FFFF99" mc:Ignorable="a14" a14:legacySpreadsheetColorIndex="43"/>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outerShdw dist="107763" dir="2700000" algn="ctr" rotWithShape="0">
              <a:srgbClr val="808080">
                <a:alpha val="50000"/>
              </a:srgbClr>
            </a:outerShdw>
          </a:effectLst>
        </xdr:spPr>
        <xdr:txBody>
          <a:bodyPr vertOverflow="clip" wrap="square" lIns="27432" tIns="22860" rIns="27432" bIns="22860" anchor="ctr" upright="1"/>
          <a:lstStyle/>
          <a:p>
            <a:pPr algn="ctr" rtl="0">
              <a:defRPr sz="1000"/>
            </a:pPr>
            <a:fld id="{50664B25-9467-48B4-9BBE-538F1A476D99}" type="TxLink">
              <a:rPr lang="en-GB" sz="1000" b="0" i="0" u="none" strike="noStrike" baseline="0">
                <a:solidFill>
                  <a:srgbClr val="000000"/>
                </a:solidFill>
                <a:latin typeface="Arial"/>
                <a:cs typeface="Arial"/>
              </a:rPr>
              <a:pPr algn="ctr" rtl="0">
                <a:defRPr sz="1000"/>
              </a:pPr>
              <a:t>Main Input</a:t>
            </a:fld>
            <a:endParaRPr lang="en-GB"/>
          </a:p>
        </xdr:txBody>
      </xdr:sp>
      <xdr:sp macro="" textlink="">
        <xdr:nvSpPr>
          <xdr:cNvPr id="121" name="Rectangle 454"/>
          <xdr:cNvSpPr>
            <a:spLocks noChangeArrowheads="1"/>
          </xdr:cNvSpPr>
        </xdr:nvSpPr>
        <xdr:spPr bwMode="auto">
          <a:xfrm>
            <a:off x="126" y="376"/>
            <a:ext cx="25" cy="15"/>
          </a:xfrm>
          <a:prstGeom prst="rect">
            <a:avLst/>
          </a:prstGeom>
          <a:noFill/>
          <a:ln>
            <a:noFill/>
          </a:ln>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grpSp>
    <xdr:clientData/>
  </xdr:twoCellAnchor>
  <xdr:twoCellAnchor>
    <xdr:from>
      <xdr:col>1</xdr:col>
      <xdr:colOff>247650</xdr:colOff>
      <xdr:row>28</xdr:row>
      <xdr:rowOff>123825</xdr:rowOff>
    </xdr:from>
    <xdr:to>
      <xdr:col>3</xdr:col>
      <xdr:colOff>171450</xdr:colOff>
      <xdr:row>30</xdr:row>
      <xdr:rowOff>142875</xdr:rowOff>
    </xdr:to>
    <xdr:sp macro="" textlink="">
      <xdr:nvSpPr>
        <xdr:cNvPr id="122" name="AutoShape 429"/>
        <xdr:cNvSpPr>
          <a:spLocks noChangeArrowheads="1"/>
        </xdr:cNvSpPr>
      </xdr:nvSpPr>
      <xdr:spPr bwMode="auto">
        <a:xfrm>
          <a:off x="447675" y="4362450"/>
          <a:ext cx="752475" cy="342900"/>
        </a:xfrm>
        <a:prstGeom prst="wedgeRectCallout">
          <a:avLst>
            <a:gd name="adj1" fmla="val 25949"/>
            <a:gd name="adj2" fmla="val -172222"/>
          </a:avLst>
        </a:prstGeom>
        <a:solidFill>
          <a:srgbClr xmlns:mc="http://schemas.openxmlformats.org/markup-compatibility/2006" xmlns:a14="http://schemas.microsoft.com/office/drawing/2010/main" val="FFFFCC" mc:Ignorable="a14" a14:legacySpreadsheetColorIndex="26"/>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27432" bIns="18288" anchor="ctr" upright="1"/>
        <a:lstStyle/>
        <a:p>
          <a:pPr algn="ctr" rtl="0">
            <a:defRPr sz="1000"/>
          </a:pPr>
          <a:r>
            <a:rPr lang="en-GB" sz="900" b="0" i="0" u="none" strike="noStrike" baseline="0">
              <a:solidFill>
                <a:srgbClr val="008000"/>
              </a:solidFill>
              <a:latin typeface="Arial"/>
              <a:cs typeface="Arial"/>
            </a:rPr>
            <a:t>Raw data</a:t>
          </a:r>
          <a:endParaRPr lang="en-GB"/>
        </a:p>
      </xdr:txBody>
    </xdr:sp>
    <xdr:clientData/>
  </xdr:twoCellAnchor>
  <xdr:twoCellAnchor>
    <xdr:from>
      <xdr:col>6</xdr:col>
      <xdr:colOff>219075</xdr:colOff>
      <xdr:row>15</xdr:row>
      <xdr:rowOff>104775</xdr:rowOff>
    </xdr:from>
    <xdr:to>
      <xdr:col>22</xdr:col>
      <xdr:colOff>57150</xdr:colOff>
      <xdr:row>25</xdr:row>
      <xdr:rowOff>95250</xdr:rowOff>
    </xdr:to>
    <xdr:cxnSp macro="">
      <xdr:nvCxnSpPr>
        <xdr:cNvPr id="123" name="AutoShape 456"/>
        <xdr:cNvCxnSpPr>
          <a:cxnSpLocks noChangeShapeType="1"/>
          <a:stCxn id="125" idx="0"/>
          <a:endCxn id="65" idx="3"/>
        </xdr:cNvCxnSpPr>
      </xdr:nvCxnSpPr>
      <xdr:spPr bwMode="auto">
        <a:xfrm rot="5400000" flipV="1">
          <a:off x="5253037" y="-423862"/>
          <a:ext cx="1609725" cy="6934200"/>
        </a:xfrm>
        <a:prstGeom prst="bentConnector4">
          <a:avLst>
            <a:gd name="adj1" fmla="val -4699"/>
            <a:gd name="adj2" fmla="val 103157"/>
          </a:avLst>
        </a:prstGeom>
        <a:noFill/>
        <a:ln w="9525">
          <a:solidFill>
            <a:srgbClr xmlns:mc="http://schemas.openxmlformats.org/markup-compatibility/2006" xmlns:a14="http://schemas.microsoft.com/office/drawing/2010/main" val="000000" mc:Ignorable="a14" a14:legacySpreadsheetColorIndex="64"/>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5</xdr:col>
      <xdr:colOff>219075</xdr:colOff>
      <xdr:row>15</xdr:row>
      <xdr:rowOff>104775</xdr:rowOff>
    </xdr:from>
    <xdr:to>
      <xdr:col>7</xdr:col>
      <xdr:colOff>209550</xdr:colOff>
      <xdr:row>18</xdr:row>
      <xdr:rowOff>152400</xdr:rowOff>
    </xdr:to>
    <xdr:grpSp>
      <xdr:nvGrpSpPr>
        <xdr:cNvPr id="124" name="Group 459"/>
        <xdr:cNvGrpSpPr>
          <a:grpSpLocks/>
        </xdr:cNvGrpSpPr>
      </xdr:nvGrpSpPr>
      <xdr:grpSpPr bwMode="auto">
        <a:xfrm>
          <a:off x="2159794" y="2271713"/>
          <a:ext cx="895350" cy="547687"/>
          <a:chOff x="226" y="235"/>
          <a:chExt cx="93" cy="56"/>
        </a:xfrm>
      </xdr:grpSpPr>
      <xdr:sp macro="" textlink="">
        <xdr:nvSpPr>
          <xdr:cNvPr id="125" name="Text Box 388">
            <a:hlinkClick xmlns:r="http://schemas.openxmlformats.org/officeDocument/2006/relationships" r:id="rId1" tooltip="Hyperlink to sheet"/>
          </xdr:cNvPr>
          <xdr:cNvSpPr txBox="1">
            <a:spLocks noChangeArrowheads="1" noTextEdit="1"/>
          </xdr:cNvSpPr>
        </xdr:nvSpPr>
        <xdr:spPr bwMode="auto">
          <a:xfrm>
            <a:off x="226" y="235"/>
            <a:ext cx="93" cy="56"/>
          </a:xfrm>
          <a:prstGeom prst="rect">
            <a:avLst/>
          </a:prstGeom>
          <a:solidFill>
            <a:srgbClr xmlns:mc="http://schemas.openxmlformats.org/markup-compatibility/2006" xmlns:a14="http://schemas.microsoft.com/office/drawing/2010/main" val="FFFF99" mc:Ignorable="a14" a14:legacySpreadsheetColorIndex="43"/>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outerShdw dist="107763" dir="2700000" algn="ctr" rotWithShape="0">
              <a:srgbClr val="808080">
                <a:alpha val="50000"/>
              </a:srgbClr>
            </a:outerShdw>
          </a:effectLst>
        </xdr:spPr>
        <xdr:txBody>
          <a:bodyPr vertOverflow="clip" wrap="square" lIns="27432" tIns="22860" rIns="27432" bIns="22860" anchor="ctr" upright="1"/>
          <a:lstStyle/>
          <a:p>
            <a:pPr algn="ctr" rtl="0">
              <a:defRPr sz="1000"/>
            </a:pPr>
            <a:fld id="{13D3082A-B631-4C02-AD24-E7FDCED5EF4B}" type="TxLink">
              <a:rPr lang="en-GB" sz="1000" b="0" i="0" u="none" strike="noStrike" baseline="0">
                <a:solidFill>
                  <a:srgbClr val="000000"/>
                </a:solidFill>
                <a:latin typeface="Arial"/>
                <a:cs typeface="Arial"/>
              </a:rPr>
              <a:pPr algn="ctr" rtl="0">
                <a:defRPr sz="1000"/>
              </a:pPr>
              <a:t>Constants</a:t>
            </a:fld>
            <a:endParaRPr lang="en-GB"/>
          </a:p>
        </xdr:txBody>
      </xdr:sp>
      <xdr:sp macro="" textlink="">
        <xdr:nvSpPr>
          <xdr:cNvPr id="126" name="Rectangle 457"/>
          <xdr:cNvSpPr>
            <a:spLocks noChangeArrowheads="1"/>
          </xdr:cNvSpPr>
        </xdr:nvSpPr>
        <xdr:spPr bwMode="auto">
          <a:xfrm>
            <a:off x="226" y="275"/>
            <a:ext cx="32" cy="16"/>
          </a:xfrm>
          <a:prstGeom prst="rect">
            <a:avLst/>
          </a:prstGeom>
          <a:noFill/>
          <a:ln>
            <a:noFill/>
          </a:ln>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27" name="Rectangle 458"/>
          <xdr:cNvSpPr>
            <a:spLocks noChangeArrowheads="1"/>
          </xdr:cNvSpPr>
        </xdr:nvSpPr>
        <xdr:spPr bwMode="auto">
          <a:xfrm>
            <a:off x="287" y="274"/>
            <a:ext cx="32" cy="16"/>
          </a:xfrm>
          <a:prstGeom prst="rect">
            <a:avLst/>
          </a:prstGeom>
          <a:noFill/>
          <a:ln>
            <a:noFill/>
          </a:ln>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grpSp>
    <xdr:clientData/>
  </xdr:twoCellAnchor>
  <xdr:twoCellAnchor>
    <xdr:from>
      <xdr:col>8</xdr:col>
      <xdr:colOff>209550</xdr:colOff>
      <xdr:row>15</xdr:row>
      <xdr:rowOff>133350</xdr:rowOff>
    </xdr:from>
    <xdr:to>
      <xdr:col>10</xdr:col>
      <xdr:colOff>200025</xdr:colOff>
      <xdr:row>18</xdr:row>
      <xdr:rowOff>152400</xdr:rowOff>
    </xdr:to>
    <xdr:sp macro="" textlink="">
      <xdr:nvSpPr>
        <xdr:cNvPr id="128" name="AutoShape 441"/>
        <xdr:cNvSpPr>
          <a:spLocks noChangeArrowheads="1"/>
        </xdr:cNvSpPr>
      </xdr:nvSpPr>
      <xdr:spPr bwMode="auto">
        <a:xfrm>
          <a:off x="3476625" y="2266950"/>
          <a:ext cx="885825" cy="504825"/>
        </a:xfrm>
        <a:prstGeom prst="wedgeRectCallout">
          <a:avLst>
            <a:gd name="adj1" fmla="val -118819"/>
            <a:gd name="adj2" fmla="val 21699"/>
          </a:avLst>
        </a:prstGeom>
        <a:solidFill>
          <a:srgbClr xmlns:mc="http://schemas.openxmlformats.org/markup-compatibility/2006" xmlns:a14="http://schemas.microsoft.com/office/drawing/2010/main" val="FFFFCC" mc:Ignorable="a14" a14:legacySpreadsheetColorIndex="26"/>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27432" bIns="18288" anchor="ctr" upright="1"/>
        <a:lstStyle/>
        <a:p>
          <a:pPr algn="ctr" rtl="0">
            <a:defRPr sz="1000"/>
          </a:pPr>
          <a:r>
            <a:rPr lang="en-GB" sz="900" b="0" i="0" u="none" strike="noStrike" baseline="0">
              <a:solidFill>
                <a:srgbClr val="008000"/>
              </a:solidFill>
              <a:latin typeface="Arial"/>
              <a:cs typeface="Arial"/>
            </a:rPr>
            <a:t>Variables, tables, rates, switches etc.</a:t>
          </a:r>
          <a:endParaRPr lang="en-GB"/>
        </a:p>
      </xdr:txBody>
    </xdr:sp>
    <xdr:clientData/>
  </xdr:twoCellAnchor>
  <xdr:twoCellAnchor editAs="oneCell">
    <xdr:from>
      <xdr:col>1</xdr:col>
      <xdr:colOff>247650</xdr:colOff>
      <xdr:row>88</xdr:row>
      <xdr:rowOff>123825</xdr:rowOff>
    </xdr:from>
    <xdr:to>
      <xdr:col>3</xdr:col>
      <xdr:colOff>314325</xdr:colOff>
      <xdr:row>90</xdr:row>
      <xdr:rowOff>164223</xdr:rowOff>
    </xdr:to>
    <xdr:sp macro="" textlink="">
      <xdr:nvSpPr>
        <xdr:cNvPr id="129" name="Text Box 464">
          <a:hlinkClick xmlns:r="http://schemas.openxmlformats.org/officeDocument/2006/relationships" r:id="rId45" tooltip="Hyperlink to area"/>
        </xdr:cNvPr>
        <xdr:cNvSpPr txBox="1">
          <a:spLocks noChangeArrowheads="1" noTextEdit="1"/>
        </xdr:cNvSpPr>
      </xdr:nvSpPr>
      <xdr:spPr bwMode="auto">
        <a:xfrm>
          <a:off x="447675" y="13820775"/>
          <a:ext cx="895350" cy="361950"/>
        </a:xfrm>
        <a:prstGeom prst="rect">
          <a:avLst/>
        </a:prstGeom>
        <a:solidFill>
          <a:srgbClr xmlns:mc="http://schemas.openxmlformats.org/markup-compatibility/2006" xmlns:a14="http://schemas.microsoft.com/office/drawing/2010/main" val="000080" mc:Ignorable="a14" a14:legacySpreadsheetColorIndex="18"/>
        </a:solidFill>
        <a:ln w="9525">
          <a:solidFill>
            <a:srgbClr xmlns:mc="http://schemas.openxmlformats.org/markup-compatibility/2006" xmlns:a14="http://schemas.microsoft.com/office/drawing/2010/main" val="FFFFFF" mc:Ignorable="a14" a14:legacySpreadsheetColorIndex="9"/>
          </a:solidFill>
          <a:miter lim="800000"/>
          <a:headEnd/>
          <a:tailEnd/>
        </a:ln>
      </xdr:spPr>
      <xdr:txBody>
        <a:bodyPr vertOverflow="clip" wrap="square" lIns="27432" tIns="22860" rIns="27432" bIns="22860" anchor="ctr" upright="1"/>
        <a:lstStyle/>
        <a:p>
          <a:pPr algn="ctr" rtl="0">
            <a:defRPr sz="1000"/>
          </a:pPr>
          <a:fld id="{E0530801-57DC-44BE-8692-AD6D3314C41A}" type="TxLink">
            <a:rPr lang="en-GB" sz="900" b="0" i="0" u="none" strike="noStrike" baseline="0">
              <a:solidFill>
                <a:srgbClr val="FFFFFF"/>
              </a:solidFill>
              <a:latin typeface="Arial"/>
              <a:cs typeface="Arial"/>
            </a:rPr>
            <a:pPr algn="ctr" rtl="0">
              <a:defRPr sz="1000"/>
            </a:pPr>
            <a:t>Quarterly</a:t>
          </a:fld>
          <a:endParaRPr lang="en-GB"/>
        </a:p>
      </xdr:txBody>
    </xdr:sp>
    <xdr:clientData/>
  </xdr:twoCellAnchor>
  <xdr:twoCellAnchor>
    <xdr:from>
      <xdr:col>10</xdr:col>
      <xdr:colOff>409575</xdr:colOff>
      <xdr:row>70</xdr:row>
      <xdr:rowOff>9525</xdr:rowOff>
    </xdr:from>
    <xdr:to>
      <xdr:col>12</xdr:col>
      <xdr:colOff>409575</xdr:colOff>
      <xdr:row>72</xdr:row>
      <xdr:rowOff>47625</xdr:rowOff>
    </xdr:to>
    <xdr:sp macro="" textlink="">
      <xdr:nvSpPr>
        <xdr:cNvPr id="130" name="Text Box 78">
          <a:hlinkClick xmlns:r="http://schemas.openxmlformats.org/officeDocument/2006/relationships" r:id="rId46" tooltip="Hyperlink to code list"/>
        </xdr:cNvPr>
        <xdr:cNvSpPr txBox="1">
          <a:spLocks noChangeArrowheads="1" noTextEdit="1"/>
        </xdr:cNvSpPr>
      </xdr:nvSpPr>
      <xdr:spPr bwMode="auto">
        <a:xfrm>
          <a:off x="4572000" y="11087100"/>
          <a:ext cx="895350" cy="361950"/>
        </a:xfrm>
        <a:prstGeom prst="rect">
          <a:avLst/>
        </a:prstGeom>
        <a:solidFill>
          <a:srgbClr xmlns:mc="http://schemas.openxmlformats.org/markup-compatibility/2006" xmlns:a14="http://schemas.microsoft.com/office/drawing/2010/main" val="000080" mc:Ignorable="a14" a14:legacySpreadsheetColorIndex="18"/>
        </a:solidFill>
        <a:ln w="9525">
          <a:solidFill>
            <a:srgbClr xmlns:mc="http://schemas.openxmlformats.org/markup-compatibility/2006" xmlns:a14="http://schemas.microsoft.com/office/drawing/2010/main" val="FFFFFF" mc:Ignorable="a14" a14:legacySpreadsheetColorIndex="9"/>
          </a:solidFill>
          <a:miter lim="800000"/>
          <a:headEnd/>
          <a:tailEnd/>
        </a:ln>
      </xdr:spPr>
      <xdr:txBody>
        <a:bodyPr vertOverflow="clip" wrap="square" lIns="27432" tIns="22860" rIns="27432" bIns="22860" anchor="ctr" upright="1"/>
        <a:lstStyle/>
        <a:p>
          <a:pPr algn="ctr" rtl="0">
            <a:defRPr sz="1000"/>
          </a:pPr>
          <a:fld id="{AB823719-5DF0-490F-9E6D-A037EEE6FACB}" type="TxLink">
            <a:rPr lang="en-GB" sz="900" b="0" i="0" u="none" strike="noStrike" baseline="0">
              <a:solidFill>
                <a:srgbClr val="FFFFFF"/>
              </a:solidFill>
              <a:latin typeface="Arial"/>
              <a:cs typeface="Arial"/>
            </a:rPr>
            <a:pPr algn="ctr" rtl="0">
              <a:defRPr sz="1000"/>
            </a:pPr>
            <a:t>Capital Life Of Assets</a:t>
          </a:fld>
          <a:endParaRPr lang="en-GB"/>
        </a:p>
      </xdr:txBody>
    </xdr:sp>
    <xdr:clientData/>
  </xdr:twoCellAnchor>
  <xdr:twoCellAnchor editAs="oneCell">
    <xdr:from>
      <xdr:col>16</xdr:col>
      <xdr:colOff>409575</xdr:colOff>
      <xdr:row>58</xdr:row>
      <xdr:rowOff>142875</xdr:rowOff>
    </xdr:from>
    <xdr:to>
      <xdr:col>18</xdr:col>
      <xdr:colOff>409575</xdr:colOff>
      <xdr:row>61</xdr:row>
      <xdr:rowOff>19051</xdr:rowOff>
    </xdr:to>
    <xdr:sp macro="" textlink="">
      <xdr:nvSpPr>
        <xdr:cNvPr id="131" name="Text Box 468">
          <a:hlinkClick xmlns:r="http://schemas.openxmlformats.org/officeDocument/2006/relationships" r:id="rId47" tooltip="Hyperlink to code list"/>
        </xdr:cNvPr>
        <xdr:cNvSpPr txBox="1">
          <a:spLocks noChangeArrowheads="1" noTextEdit="1"/>
        </xdr:cNvSpPr>
      </xdr:nvSpPr>
      <xdr:spPr bwMode="auto">
        <a:xfrm>
          <a:off x="7258050" y="9277350"/>
          <a:ext cx="895350" cy="361950"/>
        </a:xfrm>
        <a:prstGeom prst="rect">
          <a:avLst/>
        </a:prstGeom>
        <a:solidFill>
          <a:srgbClr xmlns:mc="http://schemas.openxmlformats.org/markup-compatibility/2006" xmlns:a14="http://schemas.microsoft.com/office/drawing/2010/main" val="000080" mc:Ignorable="a14" a14:legacySpreadsheetColorIndex="18"/>
        </a:solidFill>
        <a:ln w="9525">
          <a:solidFill>
            <a:srgbClr xmlns:mc="http://schemas.openxmlformats.org/markup-compatibility/2006" xmlns:a14="http://schemas.microsoft.com/office/drawing/2010/main" val="FFFFFF" mc:Ignorable="a14" a14:legacySpreadsheetColorIndex="9"/>
          </a:solidFill>
          <a:miter lim="800000"/>
          <a:headEnd/>
          <a:tailEnd/>
        </a:ln>
      </xdr:spPr>
      <xdr:txBody>
        <a:bodyPr vertOverflow="clip" wrap="square" lIns="27432" tIns="22860" rIns="27432" bIns="22860" anchor="ctr" upright="1"/>
        <a:lstStyle/>
        <a:p>
          <a:pPr algn="ctr" rtl="0">
            <a:defRPr sz="1000"/>
          </a:pPr>
          <a:fld id="{642A4960-2BD5-497B-A63C-92A5ADF88C91}" type="TxLink">
            <a:rPr lang="en-GB" sz="900" b="0" i="0" u="none" strike="noStrike" baseline="0">
              <a:solidFill>
                <a:srgbClr val="FFFFFF"/>
              </a:solidFill>
              <a:latin typeface="Arial"/>
              <a:cs typeface="Arial"/>
            </a:rPr>
            <a:pPr algn="ctr" rtl="0">
              <a:defRPr sz="1000"/>
            </a:pPr>
            <a:t>Unit Types</a:t>
          </a:fld>
          <a:endParaRPr lang="en-GB"/>
        </a:p>
      </xdr:txBody>
    </xdr:sp>
    <xdr:clientData/>
  </xdr:twoCellAnchor>
  <xdr:twoCellAnchor>
    <xdr:from>
      <xdr:col>10</xdr:col>
      <xdr:colOff>409575</xdr:colOff>
      <xdr:row>84</xdr:row>
      <xdr:rowOff>57150</xdr:rowOff>
    </xdr:from>
    <xdr:to>
      <xdr:col>12</xdr:col>
      <xdr:colOff>409575</xdr:colOff>
      <xdr:row>86</xdr:row>
      <xdr:rowOff>104775</xdr:rowOff>
    </xdr:to>
    <xdr:grpSp>
      <xdr:nvGrpSpPr>
        <xdr:cNvPr id="137" name="Group 554"/>
        <xdr:cNvGrpSpPr>
          <a:grpSpLocks/>
        </xdr:cNvGrpSpPr>
      </xdr:nvGrpSpPr>
      <xdr:grpSpPr bwMode="auto">
        <a:xfrm>
          <a:off x="4612481" y="13380244"/>
          <a:ext cx="904875" cy="381000"/>
          <a:chOff x="480" y="1385"/>
          <a:chExt cx="94" cy="39"/>
        </a:xfrm>
      </xdr:grpSpPr>
      <xdr:grpSp>
        <xdr:nvGrpSpPr>
          <xdr:cNvPr id="138" name="Group 482">
            <a:hlinkClick xmlns:r="http://schemas.openxmlformats.org/officeDocument/2006/relationships" r:id="rId48"/>
          </xdr:cNvPr>
          <xdr:cNvGrpSpPr>
            <a:grpSpLocks/>
          </xdr:cNvGrpSpPr>
        </xdr:nvGrpSpPr>
        <xdr:grpSpPr bwMode="auto">
          <a:xfrm>
            <a:off x="480" y="1386"/>
            <a:ext cx="94" cy="38"/>
            <a:chOff x="361" y="791"/>
            <a:chExt cx="94" cy="38"/>
          </a:xfrm>
        </xdr:grpSpPr>
        <xdr:sp macro="" textlink="" fLocksText="0">
          <xdr:nvSpPr>
            <xdr:cNvPr id="140" name="Text Box 226">
              <a:hlinkClick xmlns:r="http://schemas.openxmlformats.org/officeDocument/2006/relationships" r:id="rId2" tooltip="Hyperlink to sheet"/>
            </xdr:cNvPr>
            <xdr:cNvSpPr txBox="1">
              <a:spLocks noChangeArrowheads="1" noTextEdit="1"/>
            </xdr:cNvSpPr>
          </xdr:nvSpPr>
          <xdr:spPr bwMode="auto">
            <a:xfrm>
              <a:off x="361" y="791"/>
              <a:ext cx="94" cy="38"/>
            </a:xfrm>
            <a:prstGeom prst="rect">
              <a:avLst/>
            </a:prstGeom>
            <a:solidFill>
              <a:srgbClr xmlns:mc="http://schemas.openxmlformats.org/markup-compatibility/2006" xmlns:a14="http://schemas.microsoft.com/office/drawing/2010/main" val="969696" mc:Ignorable="a14" a14:legacySpreadsheetColorIndex="55"/>
            </a:solidFill>
            <a:ln w="9525">
              <a:solidFill>
                <a:srgbClr xmlns:mc="http://schemas.openxmlformats.org/markup-compatibility/2006" xmlns:a14="http://schemas.microsoft.com/office/drawing/2010/main" val="333333" mc:Ignorable="a14" a14:legacySpreadsheetColorIndex="63"/>
              </a:solidFill>
              <a:miter lim="800000"/>
              <a:headEnd/>
              <a:tailEnd/>
            </a:ln>
          </xdr:spPr>
          <xdr:txBody>
            <a:bodyPr vertOverflow="clip" wrap="square" lIns="27432" tIns="22860" rIns="27432" bIns="22860" anchor="ctr" upright="1"/>
            <a:lstStyle/>
            <a:p>
              <a:pPr algn="ctr" rtl="0">
                <a:defRPr sz="1000"/>
              </a:pPr>
              <a:fld id="{B57D9DE1-588E-4F84-9E76-E73A4A5FCBDF}" type="TxLink">
                <a:rPr lang="en-GB" sz="1000" b="0" i="0" u="none" strike="noStrike" baseline="0">
                  <a:solidFill>
                    <a:srgbClr val="FFFFFF"/>
                  </a:solidFill>
                  <a:latin typeface="Arial"/>
                  <a:cs typeface="Arial"/>
                </a:rPr>
                <a:pPr algn="ctr" rtl="0">
                  <a:defRPr sz="1000"/>
                </a:pPr>
                <a:t>Cost Plus</a:t>
              </a:fld>
              <a:endParaRPr lang="en-GB"/>
            </a:p>
          </xdr:txBody>
        </xdr:sp>
        <xdr:sp macro="" textlink="">
          <xdr:nvSpPr>
            <xdr:cNvPr id="141" name="Rectangle 481"/>
            <xdr:cNvSpPr>
              <a:spLocks noChangeArrowheads="1"/>
            </xdr:cNvSpPr>
          </xdr:nvSpPr>
          <xdr:spPr bwMode="auto">
            <a:xfrm>
              <a:off x="423" y="791"/>
              <a:ext cx="32" cy="1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grpSp>
      <xdr:sp macro="" textlink="">
        <xdr:nvSpPr>
          <xdr:cNvPr id="139" name="Rectangle 553"/>
          <xdr:cNvSpPr>
            <a:spLocks noChangeArrowheads="1"/>
          </xdr:cNvSpPr>
        </xdr:nvSpPr>
        <xdr:spPr bwMode="auto">
          <a:xfrm>
            <a:off x="480" y="1385"/>
            <a:ext cx="29" cy="17"/>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grpSp>
    <xdr:clientData/>
  </xdr:twoCellAnchor>
  <xdr:twoCellAnchor>
    <xdr:from>
      <xdr:col>6</xdr:col>
      <xdr:colOff>419100</xdr:colOff>
      <xdr:row>53</xdr:row>
      <xdr:rowOff>66675</xdr:rowOff>
    </xdr:from>
    <xdr:to>
      <xdr:col>14</xdr:col>
      <xdr:colOff>409575</xdr:colOff>
      <xdr:row>84</xdr:row>
      <xdr:rowOff>57150</xdr:rowOff>
    </xdr:to>
    <xdr:cxnSp macro="">
      <xdr:nvCxnSpPr>
        <xdr:cNvPr id="142" name="AutoShape 491"/>
        <xdr:cNvCxnSpPr>
          <a:cxnSpLocks noChangeShapeType="1"/>
          <a:stCxn id="35" idx="1"/>
          <a:endCxn id="213" idx="0"/>
        </xdr:cNvCxnSpPr>
      </xdr:nvCxnSpPr>
      <xdr:spPr bwMode="auto">
        <a:xfrm rot="10800000" flipV="1">
          <a:off x="2790825" y="8391525"/>
          <a:ext cx="3571875" cy="4714875"/>
        </a:xfrm>
        <a:prstGeom prst="bentConnector2">
          <a:avLst/>
        </a:prstGeom>
        <a:noFill/>
        <a:ln w="9525">
          <a:solidFill>
            <a:srgbClr xmlns:mc="http://schemas.openxmlformats.org/markup-compatibility/2006" xmlns:a14="http://schemas.microsoft.com/office/drawing/2010/main" val="333333" mc:Ignorable="a14" a14:legacySpreadsheetColorIndex="63"/>
          </a:solidFill>
          <a:miter lim="800000"/>
          <a:headEnd type="oval"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18</xdr:col>
      <xdr:colOff>200025</xdr:colOff>
      <xdr:row>78</xdr:row>
      <xdr:rowOff>19050</xdr:rowOff>
    </xdr:from>
    <xdr:to>
      <xdr:col>19</xdr:col>
      <xdr:colOff>200025</xdr:colOff>
      <xdr:row>84</xdr:row>
      <xdr:rowOff>66675</xdr:rowOff>
    </xdr:to>
    <xdr:cxnSp macro="">
      <xdr:nvCxnSpPr>
        <xdr:cNvPr id="144" name="AutoShape 494"/>
        <xdr:cNvCxnSpPr>
          <a:cxnSpLocks noChangeShapeType="1"/>
          <a:stCxn id="193" idx="3"/>
          <a:endCxn id="21" idx="0"/>
        </xdr:cNvCxnSpPr>
      </xdr:nvCxnSpPr>
      <xdr:spPr bwMode="auto">
        <a:xfrm>
          <a:off x="7943850" y="12296775"/>
          <a:ext cx="447675" cy="819150"/>
        </a:xfrm>
        <a:prstGeom prst="bentConnector2">
          <a:avLst/>
        </a:prstGeom>
        <a:noFill/>
        <a:ln w="9525">
          <a:solidFill>
            <a:srgbClr xmlns:mc="http://schemas.openxmlformats.org/markup-compatibility/2006" xmlns:a14="http://schemas.microsoft.com/office/drawing/2010/main" val="000000" mc:Ignorable="a14" a14:legacySpreadsheetColorIndex="64"/>
          </a:solidFill>
          <a:miter lim="800000"/>
          <a:headEnd type="oval"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12</xdr:col>
      <xdr:colOff>409575</xdr:colOff>
      <xdr:row>85</xdr:row>
      <xdr:rowOff>85725</xdr:rowOff>
    </xdr:from>
    <xdr:to>
      <xdr:col>18</xdr:col>
      <xdr:colOff>200025</xdr:colOff>
      <xdr:row>85</xdr:row>
      <xdr:rowOff>85784</xdr:rowOff>
    </xdr:to>
    <xdr:cxnSp macro="">
      <xdr:nvCxnSpPr>
        <xdr:cNvPr id="145" name="AutoShape 495"/>
        <xdr:cNvCxnSpPr>
          <a:cxnSpLocks noChangeShapeType="1"/>
          <a:stCxn id="140" idx="3"/>
          <a:endCxn id="21" idx="1"/>
        </xdr:cNvCxnSpPr>
      </xdr:nvCxnSpPr>
      <xdr:spPr bwMode="auto">
        <a:xfrm flipV="1">
          <a:off x="5478627" y="13376932"/>
          <a:ext cx="2483726" cy="59"/>
        </a:xfrm>
        <a:prstGeom prst="straightConnector1">
          <a:avLst/>
        </a:prstGeom>
        <a:noFill/>
        <a:ln w="9525">
          <a:solidFill>
            <a:srgbClr xmlns:mc="http://schemas.openxmlformats.org/markup-compatibility/2006" xmlns:a14="http://schemas.microsoft.com/office/drawing/2010/main" val="333333" mc:Ignorable="a14" a14:legacySpreadsheetColorIndex="63"/>
          </a:solidFill>
          <a:round/>
          <a:headEnd type="oval"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7</xdr:col>
      <xdr:colOff>381000</xdr:colOff>
      <xdr:row>97</xdr:row>
      <xdr:rowOff>28575</xdr:rowOff>
    </xdr:from>
    <xdr:to>
      <xdr:col>10</xdr:col>
      <xdr:colOff>142875</xdr:colOff>
      <xdr:row>105</xdr:row>
      <xdr:rowOff>9525</xdr:rowOff>
    </xdr:to>
    <xdr:grpSp>
      <xdr:nvGrpSpPr>
        <xdr:cNvPr id="146" name="Group 542"/>
        <xdr:cNvGrpSpPr>
          <a:grpSpLocks/>
        </xdr:cNvGrpSpPr>
      </xdr:nvGrpSpPr>
      <xdr:grpSpPr bwMode="auto">
        <a:xfrm>
          <a:off x="3226594" y="15518606"/>
          <a:ext cx="1119187" cy="1314450"/>
          <a:chOff x="346" y="1511"/>
          <a:chExt cx="116" cy="134"/>
        </a:xfrm>
      </xdr:grpSpPr>
      <xdr:sp macro="" textlink="">
        <xdr:nvSpPr>
          <xdr:cNvPr id="147" name="Rectangle 497">
            <a:hlinkClick xmlns:r="http://schemas.openxmlformats.org/officeDocument/2006/relationships" r:id="rId49" tooltip="Hyperlink to sheet"/>
          </xdr:cNvPr>
          <xdr:cNvSpPr>
            <a:spLocks noChangeArrowheads="1" noTextEdit="1"/>
          </xdr:cNvSpPr>
        </xdr:nvSpPr>
        <xdr:spPr bwMode="auto">
          <a:xfrm>
            <a:off x="346" y="1511"/>
            <a:ext cx="116" cy="134"/>
          </a:xfrm>
          <a:prstGeom prst="rect">
            <a:avLst/>
          </a:prstGeom>
          <a:solidFill>
            <a:srgbClr xmlns:mc="http://schemas.openxmlformats.org/markup-compatibility/2006" xmlns:a14="http://schemas.microsoft.com/office/drawing/2010/main" val="008000" mc:Ignorable="a14" a14:legacySpreadsheetColorIndex="1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0" anchor="t" upright="1"/>
          <a:lstStyle/>
          <a:p>
            <a:pPr algn="ctr" rtl="0">
              <a:defRPr sz="1000"/>
            </a:pPr>
            <a:fld id="{3B176914-4AC5-472F-ABD5-9556A8969FFA}" type="TxLink">
              <a:rPr lang="en-GB" sz="1000" b="0" i="0" u="none" strike="noStrike" baseline="0">
                <a:solidFill>
                  <a:srgbClr val="FFFFFF"/>
                </a:solidFill>
                <a:latin typeface="Arial"/>
                <a:cs typeface="Arial"/>
              </a:rPr>
              <a:pPr algn="ctr" rtl="0">
                <a:defRPr sz="1000"/>
              </a:pPr>
              <a:t>Service Prices</a:t>
            </a:fld>
            <a:endParaRPr lang="en-GB"/>
          </a:p>
        </xdr:txBody>
      </xdr:sp>
      <xdr:sp macro="" textlink="">
        <xdr:nvSpPr>
          <xdr:cNvPr id="148" name="Text Box 503">
            <a:hlinkClick xmlns:r="http://schemas.openxmlformats.org/officeDocument/2006/relationships" r:id="rId50" tooltip="Hyperlink to area"/>
          </xdr:cNvPr>
          <xdr:cNvSpPr txBox="1">
            <a:spLocks noChangeArrowheads="1" noTextEdit="1"/>
          </xdr:cNvSpPr>
        </xdr:nvSpPr>
        <xdr:spPr bwMode="auto">
          <a:xfrm>
            <a:off x="356" y="1598"/>
            <a:ext cx="94" cy="38"/>
          </a:xfrm>
          <a:prstGeom prst="rect">
            <a:avLst/>
          </a:prstGeom>
          <a:solidFill>
            <a:srgbClr xmlns:mc="http://schemas.openxmlformats.org/markup-compatibility/2006" xmlns:a14="http://schemas.microsoft.com/office/drawing/2010/main" val="000080" mc:Ignorable="a14" a14:legacySpreadsheetColorIndex="18"/>
          </a:solidFill>
          <a:ln w="9525">
            <a:solidFill>
              <a:srgbClr xmlns:mc="http://schemas.openxmlformats.org/markup-compatibility/2006" xmlns:a14="http://schemas.microsoft.com/office/drawing/2010/main" val="FFFFFF" mc:Ignorable="a14" a14:legacySpreadsheetColorIndex="9"/>
            </a:solidFill>
            <a:miter lim="800000"/>
            <a:headEnd/>
            <a:tailEnd/>
          </a:ln>
        </xdr:spPr>
        <xdr:txBody>
          <a:bodyPr vertOverflow="clip" wrap="square" lIns="27432" tIns="18288" rIns="27432" bIns="18288" anchor="ctr" upright="1"/>
          <a:lstStyle/>
          <a:p>
            <a:pPr algn="ctr" rtl="0">
              <a:defRPr sz="1000"/>
            </a:pPr>
            <a:fld id="{A7F8582D-02D9-49FA-983A-D71DAED4EF97}" type="TxLink">
              <a:rPr lang="en-GB" sz="900" b="0" i="0" u="none" strike="noStrike" baseline="0">
                <a:solidFill>
                  <a:srgbClr val="FFFFFF"/>
                </a:solidFill>
                <a:latin typeface="Arial"/>
                <a:cs typeface="Arial"/>
              </a:rPr>
              <a:pPr algn="ctr" rtl="0">
                <a:defRPr sz="1000"/>
              </a:pPr>
              <a:t>SUMMARY TABLES</a:t>
            </a:fld>
            <a:endParaRPr lang="en-GB"/>
          </a:p>
        </xdr:txBody>
      </xdr:sp>
      <xdr:sp macro="" textlink="">
        <xdr:nvSpPr>
          <xdr:cNvPr id="149" name="AutoShape 502">
            <a:hlinkClick xmlns:r="http://schemas.openxmlformats.org/officeDocument/2006/relationships" r:id="rId51" tooltip="Hyperlink to area"/>
          </xdr:cNvPr>
          <xdr:cNvSpPr>
            <a:spLocks noChangeArrowheads="1" noTextEdit="1"/>
          </xdr:cNvSpPr>
        </xdr:nvSpPr>
        <xdr:spPr bwMode="auto">
          <a:xfrm>
            <a:off x="356" y="1546"/>
            <a:ext cx="94" cy="59"/>
          </a:xfrm>
          <a:prstGeom prst="downArrowCallout">
            <a:avLst>
              <a:gd name="adj1" fmla="val 27203"/>
              <a:gd name="adj2" fmla="val 79661"/>
              <a:gd name="adj3" fmla="val 28847"/>
              <a:gd name="adj4" fmla="val 66667"/>
            </a:avLst>
          </a:prstGeom>
          <a:solidFill>
            <a:srgbClr xmlns:mc="http://schemas.openxmlformats.org/markup-compatibility/2006" xmlns:a14="http://schemas.microsoft.com/office/drawing/2010/main" val="000080" mc:Ignorable="a14" a14:legacySpreadsheetColorIndex="18"/>
          </a:solidFill>
          <a:ln w="9525" algn="ctr">
            <a:solidFill>
              <a:srgbClr xmlns:mc="http://schemas.openxmlformats.org/markup-compatibility/2006" xmlns:a14="http://schemas.microsoft.com/office/drawing/2010/main" val="FFFFFF" mc:Ignorable="a14" a14:legacySpreadsheetColorIndex="9"/>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27432" bIns="18288" anchor="ctr" upright="1"/>
          <a:lstStyle/>
          <a:p>
            <a:pPr algn="ctr" rtl="0">
              <a:defRPr sz="1000"/>
            </a:pPr>
            <a:fld id="{9166459A-BBF5-4361-8F29-8A42366632C9}" type="TxLink">
              <a:rPr lang="en-GB" sz="900" b="0" i="0" u="none" strike="noStrike" baseline="0">
                <a:solidFill>
                  <a:srgbClr val="FFFFFF"/>
                </a:solidFill>
                <a:latin typeface="Arial"/>
                <a:cs typeface="Arial"/>
              </a:rPr>
              <a:pPr algn="ctr" rtl="0">
                <a:defRPr sz="1000"/>
              </a:pPr>
              <a:t>SERVICE PROFILES</a:t>
            </a:fld>
            <a:endParaRPr lang="en-GB"/>
          </a:p>
        </xdr:txBody>
      </xdr:sp>
    </xdr:grpSp>
    <xdr:clientData/>
  </xdr:twoCellAnchor>
  <xdr:twoCellAnchor editAs="oneCell">
    <xdr:from>
      <xdr:col>2</xdr:col>
      <xdr:colOff>0</xdr:colOff>
      <xdr:row>49</xdr:row>
      <xdr:rowOff>104775</xdr:rowOff>
    </xdr:from>
    <xdr:to>
      <xdr:col>4</xdr:col>
      <xdr:colOff>142875</xdr:colOff>
      <xdr:row>66</xdr:row>
      <xdr:rowOff>95249</xdr:rowOff>
    </xdr:to>
    <xdr:sp macro="" textlink="">
      <xdr:nvSpPr>
        <xdr:cNvPr id="150" name="Text Box 506">
          <a:hlinkClick xmlns:r="http://schemas.openxmlformats.org/officeDocument/2006/relationships" r:id="rId42" tooltip="Hyperlink to sheet"/>
        </xdr:cNvPr>
        <xdr:cNvSpPr txBox="1">
          <a:spLocks noChangeArrowheads="1" noTextEdit="1"/>
        </xdr:cNvSpPr>
      </xdr:nvSpPr>
      <xdr:spPr bwMode="auto">
        <a:xfrm>
          <a:off x="581025" y="7781925"/>
          <a:ext cx="1038225" cy="2743200"/>
        </a:xfrm>
        <a:prstGeom prst="rect">
          <a:avLst/>
        </a:prstGeom>
        <a:solidFill>
          <a:srgbClr xmlns:mc="http://schemas.openxmlformats.org/markup-compatibility/2006" xmlns:a14="http://schemas.microsoft.com/office/drawing/2010/main" val="FFFF99" mc:Ignorable="a14" a14:legacySpreadsheetColorIndex="43"/>
        </a:solidFill>
        <a:ln w="19050">
          <a:solidFill>
            <a:srgbClr xmlns:mc="http://schemas.openxmlformats.org/markup-compatibility/2006" xmlns:a14="http://schemas.microsoft.com/office/drawing/2010/main" val="333333" mc:Ignorable="a14" a14:legacySpreadsheetColorIndex="63"/>
          </a:solidFill>
          <a:miter lim="800000"/>
          <a:headEnd/>
          <a:tailEnd/>
        </a:ln>
      </xdr:spPr>
      <xdr:txBody>
        <a:bodyPr vertOverflow="clip" wrap="square" lIns="27432" tIns="22860" rIns="27432" bIns="0" anchor="t" upright="1"/>
        <a:lstStyle/>
        <a:p>
          <a:pPr algn="ctr" rtl="0">
            <a:defRPr sz="1000"/>
          </a:pPr>
          <a:fld id="{BDBE2FC5-8AAC-4AB3-85B5-1B726DE2F7CB}" type="TxLink">
            <a:rPr lang="en-GB" sz="1000" b="0" i="0" u="none" strike="noStrike" baseline="0">
              <a:solidFill>
                <a:srgbClr val="000000"/>
              </a:solidFill>
              <a:latin typeface="Arial"/>
              <a:cs typeface="Arial"/>
            </a:rPr>
            <a:pPr algn="ctr" rtl="0">
              <a:defRPr sz="1000"/>
            </a:pPr>
            <a:t>Financial Dashboard</a:t>
          </a:fld>
          <a:endParaRPr lang="en-GB"/>
        </a:p>
      </xdr:txBody>
    </xdr:sp>
    <xdr:clientData/>
  </xdr:twoCellAnchor>
  <xdr:twoCellAnchor>
    <xdr:from>
      <xdr:col>18</xdr:col>
      <xdr:colOff>28575</xdr:colOff>
      <xdr:row>97</xdr:row>
      <xdr:rowOff>0</xdr:rowOff>
    </xdr:from>
    <xdr:to>
      <xdr:col>20</xdr:col>
      <xdr:colOff>304800</xdr:colOff>
      <xdr:row>109</xdr:row>
      <xdr:rowOff>0</xdr:rowOff>
    </xdr:to>
    <xdr:grpSp>
      <xdr:nvGrpSpPr>
        <xdr:cNvPr id="151" name="Group 543"/>
        <xdr:cNvGrpSpPr>
          <a:grpSpLocks/>
        </xdr:cNvGrpSpPr>
      </xdr:nvGrpSpPr>
      <xdr:grpSpPr bwMode="auto">
        <a:xfrm>
          <a:off x="7850981" y="15490031"/>
          <a:ext cx="1109663" cy="2000250"/>
          <a:chOff x="816" y="1506"/>
          <a:chExt cx="116" cy="204"/>
        </a:xfrm>
      </xdr:grpSpPr>
      <xdr:sp macro="" textlink="">
        <xdr:nvSpPr>
          <xdr:cNvPr id="152" name="Rectangle 507">
            <a:hlinkClick xmlns:r="http://schemas.openxmlformats.org/officeDocument/2006/relationships" r:id="rId52" tooltip="Hyperlink to sheet"/>
          </xdr:cNvPr>
          <xdr:cNvSpPr>
            <a:spLocks noChangeArrowheads="1" noTextEdit="1"/>
          </xdr:cNvSpPr>
        </xdr:nvSpPr>
        <xdr:spPr bwMode="auto">
          <a:xfrm>
            <a:off x="816" y="1506"/>
            <a:ext cx="116" cy="204"/>
          </a:xfrm>
          <a:prstGeom prst="rect">
            <a:avLst/>
          </a:prstGeom>
          <a:solidFill>
            <a:srgbClr xmlns:mc="http://schemas.openxmlformats.org/markup-compatibility/2006" xmlns:a14="http://schemas.microsoft.com/office/drawing/2010/main" val="008000" mc:Ignorable="a14" a14:legacySpreadsheetColorIndex="1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0" anchor="t" upright="1"/>
          <a:lstStyle/>
          <a:p>
            <a:pPr algn="ctr" rtl="0">
              <a:defRPr sz="1000"/>
            </a:pPr>
            <a:fld id="{86DAE4EB-C936-473B-A962-D2B63B1445E0}" type="TxLink">
              <a:rPr lang="en-GB" sz="1000" b="0" i="0" u="none" strike="noStrike" baseline="0">
                <a:solidFill>
                  <a:srgbClr val="FFFFFF"/>
                </a:solidFill>
                <a:latin typeface="Arial"/>
                <a:cs typeface="Arial"/>
              </a:rPr>
              <a:pPr algn="ctr" rtl="0">
                <a:defRPr sz="1000"/>
              </a:pPr>
              <a:t>Interface</a:t>
            </a:fld>
            <a:endParaRPr lang="en-GB"/>
          </a:p>
        </xdr:txBody>
      </xdr:sp>
      <xdr:sp macro="" textlink="">
        <xdr:nvSpPr>
          <xdr:cNvPr id="153" name="Text Box 508">
            <a:hlinkClick xmlns:r="http://schemas.openxmlformats.org/officeDocument/2006/relationships" r:id="rId53" tooltip="Hyperlink to area"/>
          </xdr:cNvPr>
          <xdr:cNvSpPr txBox="1">
            <a:spLocks noChangeArrowheads="1" noTextEdit="1"/>
          </xdr:cNvSpPr>
        </xdr:nvSpPr>
        <xdr:spPr bwMode="auto">
          <a:xfrm>
            <a:off x="827" y="1542"/>
            <a:ext cx="94" cy="38"/>
          </a:xfrm>
          <a:prstGeom prst="rect">
            <a:avLst/>
          </a:prstGeom>
          <a:solidFill>
            <a:srgbClr xmlns:mc="http://schemas.openxmlformats.org/markup-compatibility/2006" xmlns:a14="http://schemas.microsoft.com/office/drawing/2010/main" val="000080" mc:Ignorable="a14" a14:legacySpreadsheetColorIndex="18"/>
          </a:solidFill>
          <a:ln w="9525">
            <a:solidFill>
              <a:srgbClr xmlns:mc="http://schemas.openxmlformats.org/markup-compatibility/2006" xmlns:a14="http://schemas.microsoft.com/office/drawing/2010/main" val="FFFFFF" mc:Ignorable="a14" a14:legacySpreadsheetColorIndex="9"/>
            </a:solidFill>
            <a:miter lim="800000"/>
            <a:headEnd/>
            <a:tailEnd/>
          </a:ln>
        </xdr:spPr>
        <xdr:txBody>
          <a:bodyPr vertOverflow="clip" wrap="square" lIns="27432" tIns="18288" rIns="27432" bIns="18288" anchor="ctr" upright="1"/>
          <a:lstStyle/>
          <a:p>
            <a:pPr algn="ctr" rtl="0">
              <a:defRPr sz="1000"/>
            </a:pPr>
            <a:fld id="{38E7FB54-8BA8-494A-923B-63F821CB5E75}" type="TxLink">
              <a:rPr lang="en-GB" sz="900" b="0" i="0" u="none" strike="noStrike" baseline="0">
                <a:solidFill>
                  <a:srgbClr val="FFFFFF"/>
                </a:solidFill>
                <a:latin typeface="Arial"/>
                <a:cs typeface="Arial"/>
              </a:rPr>
              <a:pPr algn="ctr" rtl="0">
                <a:defRPr sz="1000"/>
              </a:pPr>
              <a:t>Costs</a:t>
            </a:fld>
            <a:endParaRPr lang="en-GB"/>
          </a:p>
        </xdr:txBody>
      </xdr:sp>
      <xdr:sp macro="" textlink="">
        <xdr:nvSpPr>
          <xdr:cNvPr id="154" name="Text Box 510">
            <a:hlinkClick xmlns:r="http://schemas.openxmlformats.org/officeDocument/2006/relationships" r:id="rId54" tooltip="Hyperlink to area"/>
          </xdr:cNvPr>
          <xdr:cNvSpPr txBox="1">
            <a:spLocks noChangeArrowheads="1" noTextEdit="1"/>
          </xdr:cNvSpPr>
        </xdr:nvSpPr>
        <xdr:spPr bwMode="auto">
          <a:xfrm>
            <a:off x="827" y="1581"/>
            <a:ext cx="94" cy="38"/>
          </a:xfrm>
          <a:prstGeom prst="rect">
            <a:avLst/>
          </a:prstGeom>
          <a:solidFill>
            <a:srgbClr xmlns:mc="http://schemas.openxmlformats.org/markup-compatibility/2006" xmlns:a14="http://schemas.microsoft.com/office/drawing/2010/main" val="000080" mc:Ignorable="a14" a14:legacySpreadsheetColorIndex="18"/>
          </a:solidFill>
          <a:ln w="9525">
            <a:solidFill>
              <a:srgbClr xmlns:mc="http://schemas.openxmlformats.org/markup-compatibility/2006" xmlns:a14="http://schemas.microsoft.com/office/drawing/2010/main" val="FFFFFF" mc:Ignorable="a14" a14:legacySpreadsheetColorIndex="9"/>
            </a:solidFill>
            <a:miter lim="800000"/>
            <a:headEnd/>
            <a:tailEnd/>
          </a:ln>
        </xdr:spPr>
        <xdr:txBody>
          <a:bodyPr vertOverflow="clip" wrap="square" lIns="27432" tIns="18288" rIns="27432" bIns="18288" anchor="ctr" upright="1"/>
          <a:lstStyle/>
          <a:p>
            <a:pPr algn="ctr" rtl="0">
              <a:defRPr sz="1000"/>
            </a:pPr>
            <a:fld id="{31B26030-87C3-4ACE-A882-B13F7E8FD30D}" type="TxLink">
              <a:rPr lang="en-GB" sz="900" b="0" i="0" u="none" strike="noStrike" baseline="0">
                <a:solidFill>
                  <a:srgbClr val="FFFFFF"/>
                </a:solidFill>
                <a:latin typeface="Arial"/>
                <a:cs typeface="Arial"/>
              </a:rPr>
              <a:pPr algn="ctr" rtl="0">
                <a:defRPr sz="1000"/>
              </a:pPr>
              <a:t>Cost Plus</a:t>
            </a:fld>
            <a:endParaRPr lang="en-GB"/>
          </a:p>
        </xdr:txBody>
      </xdr:sp>
      <xdr:sp macro="" textlink="">
        <xdr:nvSpPr>
          <xdr:cNvPr id="155" name="Text Box 511">
            <a:hlinkClick xmlns:r="http://schemas.openxmlformats.org/officeDocument/2006/relationships" r:id="rId55" tooltip="Hyperlink to area"/>
          </xdr:cNvPr>
          <xdr:cNvSpPr txBox="1">
            <a:spLocks noChangeArrowheads="1" noTextEdit="1"/>
          </xdr:cNvSpPr>
        </xdr:nvSpPr>
        <xdr:spPr bwMode="auto">
          <a:xfrm>
            <a:off x="827" y="1619"/>
            <a:ext cx="94" cy="38"/>
          </a:xfrm>
          <a:prstGeom prst="rect">
            <a:avLst/>
          </a:prstGeom>
          <a:solidFill>
            <a:srgbClr xmlns:mc="http://schemas.openxmlformats.org/markup-compatibility/2006" xmlns:a14="http://schemas.microsoft.com/office/drawing/2010/main" val="000080" mc:Ignorable="a14" a14:legacySpreadsheetColorIndex="18"/>
          </a:solidFill>
          <a:ln w="9525">
            <a:solidFill>
              <a:srgbClr xmlns:mc="http://schemas.openxmlformats.org/markup-compatibility/2006" xmlns:a14="http://schemas.microsoft.com/office/drawing/2010/main" val="FFFFFF" mc:Ignorable="a14" a14:legacySpreadsheetColorIndex="9"/>
            </a:solidFill>
            <a:miter lim="800000"/>
            <a:headEnd/>
            <a:tailEnd/>
          </a:ln>
        </xdr:spPr>
        <xdr:txBody>
          <a:bodyPr vertOverflow="clip" wrap="square" lIns="27432" tIns="18288" rIns="27432" bIns="18288" anchor="ctr" upright="1"/>
          <a:lstStyle/>
          <a:p>
            <a:pPr algn="ctr" rtl="0">
              <a:defRPr sz="1000"/>
            </a:pPr>
            <a:fld id="{B1557557-8612-4CFB-8F99-3694072E85CF}" type="TxLink">
              <a:rPr lang="en-GB" sz="900" b="0" i="0" u="none" strike="noStrike" baseline="0">
                <a:solidFill>
                  <a:srgbClr val="FFFFFF"/>
                </a:solidFill>
                <a:latin typeface="Arial"/>
                <a:cs typeface="Arial"/>
              </a:rPr>
              <a:pPr algn="ctr" rtl="0">
                <a:defRPr sz="1000"/>
              </a:pPr>
              <a:t>Profile</a:t>
            </a:fld>
            <a:endParaRPr lang="en-GB"/>
          </a:p>
        </xdr:txBody>
      </xdr:sp>
      <xdr:sp macro="" textlink="">
        <xdr:nvSpPr>
          <xdr:cNvPr id="156" name="Text Box 512">
            <a:hlinkClick xmlns:r="http://schemas.openxmlformats.org/officeDocument/2006/relationships" r:id="rId56" tooltip="Hyperlink to area"/>
          </xdr:cNvPr>
          <xdr:cNvSpPr txBox="1">
            <a:spLocks noChangeArrowheads="1" noTextEdit="1"/>
          </xdr:cNvSpPr>
        </xdr:nvSpPr>
        <xdr:spPr bwMode="auto">
          <a:xfrm>
            <a:off x="827" y="1657"/>
            <a:ext cx="94" cy="38"/>
          </a:xfrm>
          <a:prstGeom prst="rect">
            <a:avLst/>
          </a:prstGeom>
          <a:solidFill>
            <a:srgbClr xmlns:mc="http://schemas.openxmlformats.org/markup-compatibility/2006" xmlns:a14="http://schemas.microsoft.com/office/drawing/2010/main" val="000080" mc:Ignorable="a14" a14:legacySpreadsheetColorIndex="18"/>
          </a:solidFill>
          <a:ln w="9525">
            <a:solidFill>
              <a:srgbClr xmlns:mc="http://schemas.openxmlformats.org/markup-compatibility/2006" xmlns:a14="http://schemas.microsoft.com/office/drawing/2010/main" val="FFFFFF" mc:Ignorable="a14" a14:legacySpreadsheetColorIndex="9"/>
            </a:solidFill>
            <a:miter lim="800000"/>
            <a:headEnd/>
            <a:tailEnd/>
          </a:ln>
        </xdr:spPr>
        <xdr:txBody>
          <a:bodyPr vertOverflow="clip" wrap="square" lIns="27432" tIns="18288" rIns="27432" bIns="18288" anchor="ctr" upright="1"/>
          <a:lstStyle/>
          <a:p>
            <a:pPr algn="ctr" rtl="0">
              <a:defRPr sz="1000"/>
            </a:pPr>
            <a:fld id="{6691954B-923A-43CD-9EB3-039298717513}" type="TxLink">
              <a:rPr lang="en-GB" sz="900" b="0" i="0" u="none" strike="noStrike" baseline="0">
                <a:solidFill>
                  <a:srgbClr val="FFFFFF"/>
                </a:solidFill>
                <a:latin typeface="Arial"/>
                <a:cs typeface="Arial"/>
              </a:rPr>
              <a:pPr algn="ctr" rtl="0">
                <a:defRPr sz="1000"/>
              </a:pPr>
              <a:t>Other</a:t>
            </a:fld>
            <a:endParaRPr lang="en-GB"/>
          </a:p>
        </xdr:txBody>
      </xdr:sp>
    </xdr:grpSp>
    <xdr:clientData/>
  </xdr:twoCellAnchor>
  <xdr:twoCellAnchor>
    <xdr:from>
      <xdr:col>5</xdr:col>
      <xdr:colOff>85725</xdr:colOff>
      <xdr:row>98</xdr:row>
      <xdr:rowOff>57150</xdr:rowOff>
    </xdr:from>
    <xdr:to>
      <xdr:col>8</xdr:col>
      <xdr:colOff>28575</xdr:colOff>
      <xdr:row>100</xdr:row>
      <xdr:rowOff>66675</xdr:rowOff>
    </xdr:to>
    <xdr:cxnSp macro="">
      <xdr:nvCxnSpPr>
        <xdr:cNvPr id="157" name="AutoShape 519"/>
        <xdr:cNvCxnSpPr>
          <a:cxnSpLocks noChangeShapeType="1"/>
          <a:stCxn id="32" idx="3"/>
          <a:endCxn id="149" idx="1"/>
        </xdr:cNvCxnSpPr>
      </xdr:nvCxnSpPr>
      <xdr:spPr bwMode="auto">
        <a:xfrm>
          <a:off x="2009775" y="15373350"/>
          <a:ext cx="1285875" cy="333375"/>
        </a:xfrm>
        <a:prstGeom prst="bentConnector3">
          <a:avLst>
            <a:gd name="adj1" fmla="val 49630"/>
          </a:avLst>
        </a:prstGeom>
        <a:noFill/>
        <a:ln w="9525">
          <a:solidFill>
            <a:srgbClr xmlns:mc="http://schemas.openxmlformats.org/markup-compatibility/2006" xmlns:a14="http://schemas.microsoft.com/office/drawing/2010/main" val="333333" mc:Ignorable="a14" a14:legacySpreadsheetColorIndex="63"/>
          </a:solidFill>
          <a:miter lim="800000"/>
          <a:headEnd type="oval"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editAs="oneCell">
    <xdr:from>
      <xdr:col>2</xdr:col>
      <xdr:colOff>66675</xdr:colOff>
      <xdr:row>52</xdr:row>
      <xdr:rowOff>66675</xdr:rowOff>
    </xdr:from>
    <xdr:to>
      <xdr:col>4</xdr:col>
      <xdr:colOff>66675</xdr:colOff>
      <xdr:row>54</xdr:row>
      <xdr:rowOff>104776</xdr:rowOff>
    </xdr:to>
    <xdr:sp macro="" textlink="">
      <xdr:nvSpPr>
        <xdr:cNvPr id="158" name="Text Box 520">
          <a:hlinkClick xmlns:r="http://schemas.openxmlformats.org/officeDocument/2006/relationships" r:id="rId57" tooltip="Hyperlink to area"/>
        </xdr:cNvPr>
        <xdr:cNvSpPr txBox="1">
          <a:spLocks noChangeArrowheads="1" noTextEdit="1"/>
        </xdr:cNvSpPr>
      </xdr:nvSpPr>
      <xdr:spPr bwMode="auto">
        <a:xfrm>
          <a:off x="647700" y="8229600"/>
          <a:ext cx="895350" cy="361950"/>
        </a:xfrm>
        <a:prstGeom prst="rect">
          <a:avLst/>
        </a:prstGeom>
        <a:solidFill>
          <a:srgbClr xmlns:mc="http://schemas.openxmlformats.org/markup-compatibility/2006" xmlns:a14="http://schemas.microsoft.com/office/drawing/2010/main" val="000080" mc:Ignorable="a14" a14:legacySpreadsheetColorIndex="18"/>
        </a:solidFill>
        <a:ln w="9525">
          <a:solidFill>
            <a:srgbClr xmlns:mc="http://schemas.openxmlformats.org/markup-compatibility/2006" xmlns:a14="http://schemas.microsoft.com/office/drawing/2010/main" val="FFFFFF" mc:Ignorable="a14" a14:legacySpreadsheetColorIndex="9"/>
          </a:solidFill>
          <a:miter lim="800000"/>
          <a:headEnd/>
          <a:tailEnd/>
        </a:ln>
      </xdr:spPr>
      <xdr:txBody>
        <a:bodyPr vertOverflow="clip" wrap="square" lIns="27432" tIns="22860" rIns="27432" bIns="22860" anchor="ctr" upright="1"/>
        <a:lstStyle/>
        <a:p>
          <a:pPr algn="ctr" rtl="0">
            <a:defRPr sz="1000"/>
          </a:pPr>
          <a:fld id="{0F693FDB-4EC8-47E6-9E3B-B30A7A4D7597}" type="TxLink">
            <a:rPr lang="en-GB" sz="900" b="0" i="0" u="none" strike="noStrike" baseline="0">
              <a:solidFill>
                <a:srgbClr val="FFFFFF"/>
              </a:solidFill>
              <a:latin typeface="Arial"/>
              <a:cs typeface="Arial"/>
            </a:rPr>
            <a:pPr algn="ctr" rtl="0">
              <a:defRPr sz="1000"/>
            </a:pPr>
            <a:t>Financial Dashboard</a:t>
          </a:fld>
          <a:endParaRPr lang="en-GB"/>
        </a:p>
      </xdr:txBody>
    </xdr:sp>
    <xdr:clientData/>
  </xdr:twoCellAnchor>
  <xdr:twoCellAnchor editAs="oneCell">
    <xdr:from>
      <xdr:col>2</xdr:col>
      <xdr:colOff>66675</xdr:colOff>
      <xdr:row>54</xdr:row>
      <xdr:rowOff>104775</xdr:rowOff>
    </xdr:from>
    <xdr:to>
      <xdr:col>4</xdr:col>
      <xdr:colOff>66675</xdr:colOff>
      <xdr:row>56</xdr:row>
      <xdr:rowOff>142875</xdr:rowOff>
    </xdr:to>
    <xdr:sp macro="" textlink="FINRE1">
      <xdr:nvSpPr>
        <xdr:cNvPr id="159" name="Text Box 521">
          <a:hlinkClick xmlns:r="http://schemas.openxmlformats.org/officeDocument/2006/relationships" r:id="rId2" tooltip="Hyperlink to area"/>
        </xdr:cNvPr>
        <xdr:cNvSpPr txBox="1">
          <a:spLocks noChangeArrowheads="1" noTextEdit="1"/>
        </xdr:cNvSpPr>
      </xdr:nvSpPr>
      <xdr:spPr bwMode="auto">
        <a:xfrm>
          <a:off x="647700" y="8591550"/>
          <a:ext cx="895350" cy="361950"/>
        </a:xfrm>
        <a:prstGeom prst="rect">
          <a:avLst/>
        </a:prstGeom>
        <a:solidFill>
          <a:srgbClr xmlns:mc="http://schemas.openxmlformats.org/markup-compatibility/2006" xmlns:a14="http://schemas.microsoft.com/office/drawing/2010/main" val="000080" mc:Ignorable="a14" a14:legacySpreadsheetColorIndex="18"/>
        </a:solidFill>
        <a:ln w="9525">
          <a:solidFill>
            <a:srgbClr xmlns:mc="http://schemas.openxmlformats.org/markup-compatibility/2006" xmlns:a14="http://schemas.microsoft.com/office/drawing/2010/main" val="FFFFFF" mc:Ignorable="a14" a14:legacySpreadsheetColorIndex="9"/>
          </a:solidFill>
          <a:miter lim="800000"/>
          <a:headEnd/>
          <a:tailEnd/>
        </a:ln>
      </xdr:spPr>
      <xdr:txBody>
        <a:bodyPr vertOverflow="clip" wrap="square" lIns="27432" tIns="22860" rIns="27432" bIns="22860" anchor="ctr" upright="1"/>
        <a:lstStyle/>
        <a:p>
          <a:pPr algn="ctr" rtl="0">
            <a:defRPr sz="1000"/>
          </a:pPr>
          <a:fld id="{078970A8-1265-4CFB-895D-C1EFF158D778}" type="TxLink">
            <a:rPr lang="en-GB" sz="900" b="0" i="0" u="none" strike="noStrike" baseline="0">
              <a:solidFill>
                <a:srgbClr val="FFFFFF"/>
              </a:solidFill>
              <a:latin typeface="Arial"/>
              <a:cs typeface="Arial"/>
            </a:rPr>
            <a:pPr algn="ctr" rtl="0">
              <a:defRPr sz="1000"/>
            </a:pPr>
            <a:t></a:t>
          </a:fld>
          <a:endParaRPr lang="en-GB"/>
        </a:p>
      </xdr:txBody>
    </xdr:sp>
    <xdr:clientData/>
  </xdr:twoCellAnchor>
  <xdr:twoCellAnchor editAs="oneCell">
    <xdr:from>
      <xdr:col>2</xdr:col>
      <xdr:colOff>66675</xdr:colOff>
      <xdr:row>56</xdr:row>
      <xdr:rowOff>152400</xdr:rowOff>
    </xdr:from>
    <xdr:to>
      <xdr:col>4</xdr:col>
      <xdr:colOff>66675</xdr:colOff>
      <xdr:row>59</xdr:row>
      <xdr:rowOff>28574</xdr:rowOff>
    </xdr:to>
    <xdr:sp macro="" textlink="">
      <xdr:nvSpPr>
        <xdr:cNvPr id="160" name="Text Box 522">
          <a:hlinkClick xmlns:r="http://schemas.openxmlformats.org/officeDocument/2006/relationships" r:id="rId58" tooltip="Hyperlink to area"/>
        </xdr:cNvPr>
        <xdr:cNvSpPr txBox="1">
          <a:spLocks noChangeArrowheads="1" noTextEdit="1"/>
        </xdr:cNvSpPr>
      </xdr:nvSpPr>
      <xdr:spPr bwMode="auto">
        <a:xfrm>
          <a:off x="647700" y="8963025"/>
          <a:ext cx="895350" cy="361950"/>
        </a:xfrm>
        <a:prstGeom prst="rect">
          <a:avLst/>
        </a:prstGeom>
        <a:solidFill>
          <a:srgbClr xmlns:mc="http://schemas.openxmlformats.org/markup-compatibility/2006" xmlns:a14="http://schemas.microsoft.com/office/drawing/2010/main" val="000080" mc:Ignorable="a14" a14:legacySpreadsheetColorIndex="18"/>
        </a:solidFill>
        <a:ln w="9525">
          <a:solidFill>
            <a:srgbClr xmlns:mc="http://schemas.openxmlformats.org/markup-compatibility/2006" xmlns:a14="http://schemas.microsoft.com/office/drawing/2010/main" val="FFFFFF" mc:Ignorable="a14" a14:legacySpreadsheetColorIndex="9"/>
          </a:solidFill>
          <a:miter lim="800000"/>
          <a:headEnd/>
          <a:tailEnd/>
        </a:ln>
      </xdr:spPr>
      <xdr:txBody>
        <a:bodyPr vertOverflow="clip" wrap="square" lIns="27432" tIns="22860" rIns="27432" bIns="22860" anchor="ctr" upright="1"/>
        <a:lstStyle/>
        <a:p>
          <a:pPr algn="ctr" rtl="0">
            <a:defRPr sz="1000"/>
          </a:pPr>
          <a:fld id="{FE95C6CB-17DF-4C40-A4DB-1305794D1807}" type="TxLink">
            <a:rPr lang="en-GB" sz="900" b="0" i="0" u="none" strike="noStrike" baseline="0">
              <a:solidFill>
                <a:srgbClr val="FFFFFF"/>
              </a:solidFill>
              <a:latin typeface="Arial"/>
              <a:cs typeface="Arial"/>
            </a:rPr>
            <a:pPr algn="ctr" rtl="0">
              <a:defRPr sz="1000"/>
            </a:pPr>
            <a:t>SHEET REFERENCES</a:t>
          </a:fld>
          <a:endParaRPr lang="en-GB"/>
        </a:p>
      </xdr:txBody>
    </xdr:sp>
    <xdr:clientData/>
  </xdr:twoCellAnchor>
  <xdr:twoCellAnchor editAs="oneCell">
    <xdr:from>
      <xdr:col>2</xdr:col>
      <xdr:colOff>66675</xdr:colOff>
      <xdr:row>59</xdr:row>
      <xdr:rowOff>28575</xdr:rowOff>
    </xdr:from>
    <xdr:to>
      <xdr:col>4</xdr:col>
      <xdr:colOff>66675</xdr:colOff>
      <xdr:row>61</xdr:row>
      <xdr:rowOff>66676</xdr:rowOff>
    </xdr:to>
    <xdr:sp macro="" textlink="">
      <xdr:nvSpPr>
        <xdr:cNvPr id="161" name="Text Box 523">
          <a:hlinkClick xmlns:r="http://schemas.openxmlformats.org/officeDocument/2006/relationships" r:id="rId59" tooltip="Hyperlink to area"/>
        </xdr:cNvPr>
        <xdr:cNvSpPr txBox="1">
          <a:spLocks noChangeArrowheads="1" noTextEdit="1"/>
        </xdr:cNvSpPr>
      </xdr:nvSpPr>
      <xdr:spPr bwMode="auto">
        <a:xfrm>
          <a:off x="647700" y="9324975"/>
          <a:ext cx="895350" cy="361950"/>
        </a:xfrm>
        <a:prstGeom prst="rect">
          <a:avLst/>
        </a:prstGeom>
        <a:solidFill>
          <a:srgbClr xmlns:mc="http://schemas.openxmlformats.org/markup-compatibility/2006" xmlns:a14="http://schemas.microsoft.com/office/drawing/2010/main" val="000080" mc:Ignorable="a14" a14:legacySpreadsheetColorIndex="18"/>
        </a:solidFill>
        <a:ln w="9525">
          <a:solidFill>
            <a:srgbClr xmlns:mc="http://schemas.openxmlformats.org/markup-compatibility/2006" xmlns:a14="http://schemas.microsoft.com/office/drawing/2010/main" val="FFFFFF" mc:Ignorable="a14" a14:legacySpreadsheetColorIndex="9"/>
          </a:solidFill>
          <a:miter lim="800000"/>
          <a:headEnd/>
          <a:tailEnd/>
        </a:ln>
      </xdr:spPr>
      <xdr:txBody>
        <a:bodyPr vertOverflow="clip" wrap="square" lIns="27432" tIns="22860" rIns="27432" bIns="22860" anchor="ctr" upright="1"/>
        <a:lstStyle/>
        <a:p>
          <a:pPr algn="ctr" rtl="0">
            <a:defRPr sz="1000"/>
          </a:pPr>
          <a:fld id="{D707B3AD-79A7-4427-9E91-36D03602454B}" type="TxLink">
            <a:rPr lang="en-GB" sz="900" b="0" i="0" u="none" strike="noStrike" baseline="0">
              <a:solidFill>
                <a:srgbClr val="FFFFFF"/>
              </a:solidFill>
              <a:latin typeface="Arial"/>
              <a:cs typeface="Arial"/>
            </a:rPr>
            <a:pPr algn="ctr" rtl="0">
              <a:defRPr sz="1000"/>
            </a:pPr>
            <a:t>STATUS MESSAGES</a:t>
          </a:fld>
          <a:endParaRPr lang="en-GB"/>
        </a:p>
      </xdr:txBody>
    </xdr:sp>
    <xdr:clientData/>
  </xdr:twoCellAnchor>
  <xdr:twoCellAnchor editAs="oneCell">
    <xdr:from>
      <xdr:col>2</xdr:col>
      <xdr:colOff>66675</xdr:colOff>
      <xdr:row>61</xdr:row>
      <xdr:rowOff>66675</xdr:rowOff>
    </xdr:from>
    <xdr:to>
      <xdr:col>4</xdr:col>
      <xdr:colOff>66675</xdr:colOff>
      <xdr:row>63</xdr:row>
      <xdr:rowOff>104775</xdr:rowOff>
    </xdr:to>
    <xdr:sp macro="" textlink="">
      <xdr:nvSpPr>
        <xdr:cNvPr id="162" name="Text Box 524">
          <a:hlinkClick xmlns:r="http://schemas.openxmlformats.org/officeDocument/2006/relationships" r:id="rId60" tooltip="Hyperlink to area"/>
        </xdr:cNvPr>
        <xdr:cNvSpPr txBox="1">
          <a:spLocks noChangeArrowheads="1" noTextEdit="1"/>
        </xdr:cNvSpPr>
      </xdr:nvSpPr>
      <xdr:spPr bwMode="auto">
        <a:xfrm>
          <a:off x="647700" y="9686925"/>
          <a:ext cx="895350" cy="361950"/>
        </a:xfrm>
        <a:prstGeom prst="rect">
          <a:avLst/>
        </a:prstGeom>
        <a:solidFill>
          <a:srgbClr xmlns:mc="http://schemas.openxmlformats.org/markup-compatibility/2006" xmlns:a14="http://schemas.microsoft.com/office/drawing/2010/main" val="000080" mc:Ignorable="a14" a14:legacySpreadsheetColorIndex="18"/>
        </a:solidFill>
        <a:ln w="9525">
          <a:solidFill>
            <a:srgbClr xmlns:mc="http://schemas.openxmlformats.org/markup-compatibility/2006" xmlns:a14="http://schemas.microsoft.com/office/drawing/2010/main" val="FFFFFF" mc:Ignorable="a14" a14:legacySpreadsheetColorIndex="9"/>
          </a:solidFill>
          <a:miter lim="800000"/>
          <a:headEnd/>
          <a:tailEnd/>
        </a:ln>
      </xdr:spPr>
      <xdr:txBody>
        <a:bodyPr vertOverflow="clip" wrap="square" lIns="27432" tIns="22860" rIns="27432" bIns="22860" anchor="ctr" upright="1"/>
        <a:lstStyle/>
        <a:p>
          <a:pPr algn="ctr" rtl="0">
            <a:defRPr sz="1000"/>
          </a:pPr>
          <a:fld id="{DA143CE0-6DB8-4B9F-A15C-23523C160D75}" type="TxLink">
            <a:rPr lang="en-GB" sz="900" b="0" i="0" u="none" strike="noStrike" baseline="0">
              <a:solidFill>
                <a:srgbClr val="FFFFFF"/>
              </a:solidFill>
              <a:latin typeface="Arial"/>
              <a:cs typeface="Arial"/>
            </a:rPr>
            <a:pPr algn="ctr" rtl="0">
              <a:defRPr sz="1000"/>
            </a:pPr>
            <a:t>GRAPH DATA</a:t>
          </a:fld>
          <a:endParaRPr lang="en-GB"/>
        </a:p>
      </xdr:txBody>
    </xdr:sp>
    <xdr:clientData/>
  </xdr:twoCellAnchor>
  <xdr:twoCellAnchor editAs="oneCell">
    <xdr:from>
      <xdr:col>2</xdr:col>
      <xdr:colOff>66675</xdr:colOff>
      <xdr:row>63</xdr:row>
      <xdr:rowOff>104775</xdr:rowOff>
    </xdr:from>
    <xdr:to>
      <xdr:col>4</xdr:col>
      <xdr:colOff>66675</xdr:colOff>
      <xdr:row>65</xdr:row>
      <xdr:rowOff>142874</xdr:rowOff>
    </xdr:to>
    <xdr:sp macro="" textlink="">
      <xdr:nvSpPr>
        <xdr:cNvPr id="163" name="Text Box 525">
          <a:hlinkClick xmlns:r="http://schemas.openxmlformats.org/officeDocument/2006/relationships" r:id="rId61" tooltip="Hyperlink to area"/>
        </xdr:cNvPr>
        <xdr:cNvSpPr txBox="1">
          <a:spLocks noChangeArrowheads="1" noTextEdit="1"/>
        </xdr:cNvSpPr>
      </xdr:nvSpPr>
      <xdr:spPr bwMode="auto">
        <a:xfrm>
          <a:off x="647700" y="10048875"/>
          <a:ext cx="895350" cy="361950"/>
        </a:xfrm>
        <a:prstGeom prst="rect">
          <a:avLst/>
        </a:prstGeom>
        <a:solidFill>
          <a:srgbClr xmlns:mc="http://schemas.openxmlformats.org/markup-compatibility/2006" xmlns:a14="http://schemas.microsoft.com/office/drawing/2010/main" val="000080" mc:Ignorable="a14" a14:legacySpreadsheetColorIndex="18"/>
        </a:solidFill>
        <a:ln w="9525">
          <a:solidFill>
            <a:srgbClr xmlns:mc="http://schemas.openxmlformats.org/markup-compatibility/2006" xmlns:a14="http://schemas.microsoft.com/office/drawing/2010/main" val="FFFFFF" mc:Ignorable="a14" a14:legacySpreadsheetColorIndex="9"/>
          </a:solidFill>
          <a:miter lim="800000"/>
          <a:headEnd/>
          <a:tailEnd/>
        </a:ln>
      </xdr:spPr>
      <xdr:txBody>
        <a:bodyPr vertOverflow="clip" wrap="square" lIns="27432" tIns="22860" rIns="27432" bIns="22860" anchor="ctr" upright="1"/>
        <a:lstStyle/>
        <a:p>
          <a:pPr algn="ctr" rtl="0">
            <a:defRPr sz="1000"/>
          </a:pPr>
          <a:fld id="{98434830-D895-47F6-B976-7922C51594AF}" type="TxLink">
            <a:rPr lang="en-GB" sz="900" b="0" i="0" u="none" strike="noStrike" baseline="0">
              <a:solidFill>
                <a:srgbClr val="FFFFFF"/>
              </a:solidFill>
              <a:latin typeface="Arial"/>
              <a:cs typeface="Arial"/>
            </a:rPr>
            <a:pPr algn="ctr" rtl="0">
              <a:defRPr sz="1000"/>
            </a:pPr>
            <a:t>Cost Base by Cost Type</a:t>
          </a:fld>
          <a:endParaRPr lang="en-GB"/>
        </a:p>
      </xdr:txBody>
    </xdr:sp>
    <xdr:clientData/>
  </xdr:twoCellAnchor>
  <xdr:twoCellAnchor>
    <xdr:from>
      <xdr:col>1</xdr:col>
      <xdr:colOff>0</xdr:colOff>
      <xdr:row>122</xdr:row>
      <xdr:rowOff>190500</xdr:rowOff>
    </xdr:from>
    <xdr:to>
      <xdr:col>23</xdr:col>
      <xdr:colOff>152400</xdr:colOff>
      <xdr:row>128</xdr:row>
      <xdr:rowOff>152400</xdr:rowOff>
    </xdr:to>
    <xdr:sp macro="" textlink="">
      <xdr:nvSpPr>
        <xdr:cNvPr id="164" name="Text Box 526"/>
        <xdr:cNvSpPr txBox="1">
          <a:spLocks noChangeArrowheads="1"/>
        </xdr:cNvSpPr>
      </xdr:nvSpPr>
      <xdr:spPr bwMode="auto">
        <a:xfrm>
          <a:off x="200025" y="19459575"/>
          <a:ext cx="9867900" cy="1219200"/>
        </a:xfrm>
        <a:prstGeom prst="rect">
          <a:avLst/>
        </a:prstGeom>
        <a:noFill/>
        <a:ln w="25400" algn="ctr">
          <a:solidFill>
            <a:srgbClr xmlns:mc="http://schemas.openxmlformats.org/markup-compatibility/2006" xmlns:a14="http://schemas.microsoft.com/office/drawing/2010/main" val="008000" mc:Ignorable="a14" a14:legacySpreadsheetColorIndex="17"/>
          </a:solidFill>
          <a:miter lim="800000"/>
          <a:headEnd/>
          <a:tailEnd/>
        </a:ln>
        <a:effectLst>
          <a:outerShdw dist="35921" dir="2700000" algn="ctr" rotWithShape="0">
            <a:srgbClr val="808080"/>
          </a:outerShdw>
        </a:effectLst>
        <a:extLst>
          <a:ext uri="{909E8E84-426E-40DD-AFC4-6F175D3DCCD1}">
            <a14:hiddenFill xmlns:a14="http://schemas.microsoft.com/office/drawing/2010/main">
              <a:solidFill>
                <a:srgbClr xmlns:mc="http://schemas.openxmlformats.org/markup-compatibility/2006" val="FFFF99" mc:Ignorable="a14" a14:legacySpreadsheetColorIndex="43"/>
              </a:solidFill>
            </a14:hiddenFill>
          </a:ext>
        </a:extLst>
      </xdr:spPr>
      <xdr:txBody>
        <a:bodyPr vertOverflow="clip" wrap="square" lIns="90000" tIns="72000" rIns="90000" bIns="46800" anchor="t" upright="1"/>
        <a:lstStyle/>
        <a:p>
          <a:pPr algn="l" rtl="0">
            <a:defRPr sz="1000"/>
          </a:pPr>
          <a:r>
            <a:rPr lang="en-GB" sz="1000" b="0" i="0" u="none" strike="noStrike" baseline="0">
              <a:solidFill>
                <a:srgbClr val="008000"/>
              </a:solidFill>
              <a:latin typeface="Arial"/>
              <a:cs typeface="Arial"/>
            </a:rPr>
            <a:t>KEY:</a:t>
          </a:r>
          <a:endParaRPr lang="en-GB"/>
        </a:p>
      </xdr:txBody>
    </xdr:sp>
    <xdr:clientData/>
  </xdr:twoCellAnchor>
  <xdr:twoCellAnchor>
    <xdr:from>
      <xdr:col>2</xdr:col>
      <xdr:colOff>104775</xdr:colOff>
      <xdr:row>123</xdr:row>
      <xdr:rowOff>161925</xdr:rowOff>
    </xdr:from>
    <xdr:to>
      <xdr:col>8</xdr:col>
      <xdr:colOff>352425</xdr:colOff>
      <xdr:row>127</xdr:row>
      <xdr:rowOff>180975</xdr:rowOff>
    </xdr:to>
    <xdr:grpSp>
      <xdr:nvGrpSpPr>
        <xdr:cNvPr id="165" name="Group 536"/>
        <xdr:cNvGrpSpPr>
          <a:grpSpLocks/>
        </xdr:cNvGrpSpPr>
      </xdr:nvGrpSpPr>
      <xdr:grpSpPr bwMode="auto">
        <a:xfrm>
          <a:off x="688181" y="20057269"/>
          <a:ext cx="2962275" cy="876300"/>
          <a:chOff x="95" y="1569"/>
          <a:chExt cx="308" cy="90"/>
        </a:xfrm>
      </xdr:grpSpPr>
      <xdr:sp macro="" textlink="">
        <xdr:nvSpPr>
          <xdr:cNvPr id="166" name="Text Box 527"/>
          <xdr:cNvSpPr txBox="1">
            <a:spLocks noChangeArrowheads="1"/>
          </xdr:cNvSpPr>
        </xdr:nvSpPr>
        <xdr:spPr bwMode="auto">
          <a:xfrm>
            <a:off x="95" y="1569"/>
            <a:ext cx="308" cy="90"/>
          </a:xfrm>
          <a:prstGeom prst="rect">
            <a:avLst/>
          </a:prstGeom>
          <a:solidFill>
            <a:srgbClr xmlns:mc="http://schemas.openxmlformats.org/markup-compatibility/2006" xmlns:a14="http://schemas.microsoft.com/office/drawing/2010/main" val="FFFF99" mc:Ignorable="a14" a14:legacySpreadsheetColorIndex="43"/>
          </a:solidFill>
          <a:ln w="19050">
            <a:solidFill>
              <a:srgbClr xmlns:mc="http://schemas.openxmlformats.org/markup-compatibility/2006" xmlns:a14="http://schemas.microsoft.com/office/drawing/2010/main" val="333333" mc:Ignorable="a14" a14:legacySpreadsheetColorIndex="63"/>
            </a:solidFill>
            <a:miter lim="800000"/>
            <a:headEnd/>
            <a:tailEnd/>
          </a:ln>
        </xdr:spPr>
        <xdr:txBody>
          <a:bodyPr vertOverflow="clip" wrap="square" lIns="27432" tIns="22860" rIns="27432" bIns="0" anchor="t" upright="1"/>
          <a:lstStyle/>
          <a:p>
            <a:pPr algn="ctr" rtl="0">
              <a:defRPr sz="1000"/>
            </a:pPr>
            <a:r>
              <a:rPr lang="en-GB" sz="1000" b="0" i="0" u="none" strike="noStrike" baseline="0">
                <a:solidFill>
                  <a:srgbClr val="000000"/>
                </a:solidFill>
                <a:latin typeface="Arial"/>
                <a:cs typeface="Arial"/>
              </a:rPr>
              <a:t>Input Sheet</a:t>
            </a:r>
            <a:endParaRPr lang="en-GB"/>
          </a:p>
        </xdr:txBody>
      </xdr:sp>
      <xdr:sp macro="" textlink="">
        <xdr:nvSpPr>
          <xdr:cNvPr id="167" name="Text Box 528"/>
          <xdr:cNvSpPr txBox="1">
            <a:spLocks noChangeArrowheads="1"/>
          </xdr:cNvSpPr>
        </xdr:nvSpPr>
        <xdr:spPr bwMode="auto">
          <a:xfrm>
            <a:off x="107" y="1607"/>
            <a:ext cx="94" cy="38"/>
          </a:xfrm>
          <a:prstGeom prst="rect">
            <a:avLst/>
          </a:prstGeom>
          <a:solidFill>
            <a:srgbClr xmlns:mc="http://schemas.openxmlformats.org/markup-compatibility/2006" xmlns:a14="http://schemas.microsoft.com/office/drawing/2010/main" val="000080" mc:Ignorable="a14" a14:legacySpreadsheetColorIndex="18"/>
          </a:solidFill>
          <a:ln w="9525">
            <a:solidFill>
              <a:srgbClr xmlns:mc="http://schemas.openxmlformats.org/markup-compatibility/2006" xmlns:a14="http://schemas.microsoft.com/office/drawing/2010/main" val="FFFFFF" mc:Ignorable="a14" a14:legacySpreadsheetColorIndex="9"/>
            </a:solidFill>
            <a:miter lim="800000"/>
            <a:headEnd/>
            <a:tailEnd/>
          </a:ln>
        </xdr:spPr>
        <xdr:txBody>
          <a:bodyPr vertOverflow="clip" wrap="square" lIns="27432" tIns="22860" rIns="27432" bIns="22860" anchor="ctr" upright="1"/>
          <a:lstStyle/>
          <a:p>
            <a:pPr algn="ctr" rtl="0">
              <a:defRPr sz="1000"/>
            </a:pPr>
            <a:r>
              <a:rPr lang="en-GB" sz="900" b="0" i="0" u="none" strike="noStrike" baseline="0">
                <a:solidFill>
                  <a:srgbClr val="FFFFFF"/>
                </a:solidFill>
                <a:latin typeface="Arial"/>
                <a:cs typeface="Arial"/>
              </a:rPr>
              <a:t>Standard Menu Item</a:t>
            </a:r>
            <a:endParaRPr lang="en-GB"/>
          </a:p>
        </xdr:txBody>
      </xdr:sp>
      <xdr:sp macro="" textlink="">
        <xdr:nvSpPr>
          <xdr:cNvPr id="168" name="Text Box 529"/>
          <xdr:cNvSpPr txBox="1">
            <a:spLocks noChangeArrowheads="1"/>
          </xdr:cNvSpPr>
        </xdr:nvSpPr>
        <xdr:spPr bwMode="auto">
          <a:xfrm>
            <a:off x="200" y="1607"/>
            <a:ext cx="94" cy="38"/>
          </a:xfrm>
          <a:prstGeom prst="rect">
            <a:avLst/>
          </a:prstGeom>
          <a:solidFill>
            <a:srgbClr xmlns:mc="http://schemas.openxmlformats.org/markup-compatibility/2006" xmlns:a14="http://schemas.microsoft.com/office/drawing/2010/main" val="CC99FF" mc:Ignorable="a14" a14:legacySpreadsheetColorIndex="46"/>
          </a:solidFill>
          <a:ln w="9525">
            <a:solidFill>
              <a:srgbClr xmlns:mc="http://schemas.openxmlformats.org/markup-compatibility/2006" xmlns:a14="http://schemas.microsoft.com/office/drawing/2010/main" val="FFFFFF" mc:Ignorable="a14" a14:legacySpreadsheetColorIndex="9"/>
            </a:solidFill>
            <a:miter lim="800000"/>
            <a:headEnd/>
            <a:tailEnd/>
          </a:ln>
        </xdr:spPr>
        <xdr:txBody>
          <a:bodyPr vertOverflow="clip" wrap="square" lIns="27432" tIns="18288" rIns="27432" bIns="18288" anchor="ctr" upright="1"/>
          <a:lstStyle/>
          <a:p>
            <a:pPr algn="ctr" rtl="0">
              <a:defRPr sz="1000"/>
            </a:pPr>
            <a:r>
              <a:rPr lang="en-GB" sz="900" b="0" i="0" u="none" strike="noStrike" baseline="0">
                <a:solidFill>
                  <a:srgbClr val="FFFFFF"/>
                </a:solidFill>
                <a:latin typeface="Arial"/>
                <a:cs typeface="Arial"/>
              </a:rPr>
              <a:t>Mandatory Menu Item</a:t>
            </a:r>
            <a:endParaRPr lang="en-GB"/>
          </a:p>
        </xdr:txBody>
      </xdr:sp>
      <xdr:sp macro="" textlink="">
        <xdr:nvSpPr>
          <xdr:cNvPr id="169" name="Text Box 530"/>
          <xdr:cNvSpPr txBox="1">
            <a:spLocks noChangeArrowheads="1"/>
          </xdr:cNvSpPr>
        </xdr:nvSpPr>
        <xdr:spPr bwMode="auto">
          <a:xfrm>
            <a:off x="293" y="1607"/>
            <a:ext cx="94" cy="38"/>
          </a:xfrm>
          <a:prstGeom prst="rect">
            <a:avLst/>
          </a:prstGeom>
          <a:solidFill>
            <a:srgbClr xmlns:mc="http://schemas.openxmlformats.org/markup-compatibility/2006" xmlns:a14="http://schemas.microsoft.com/office/drawing/2010/main" val="800080" mc:Ignorable="a14" a14:legacySpreadsheetColorIndex="20"/>
          </a:solidFill>
          <a:ln w="9525">
            <a:solidFill>
              <a:srgbClr xmlns:mc="http://schemas.openxmlformats.org/markup-compatibility/2006" xmlns:a14="http://schemas.microsoft.com/office/drawing/2010/main" val="FFFFFF" mc:Ignorable="a14" a14:legacySpreadsheetColorIndex="9"/>
            </a:solidFill>
            <a:miter lim="800000"/>
            <a:headEnd/>
            <a:tailEnd/>
          </a:ln>
        </xdr:spPr>
        <xdr:txBody>
          <a:bodyPr vertOverflow="clip" wrap="square" lIns="27432" tIns="18288" rIns="27432" bIns="18288" anchor="ctr" upright="1"/>
          <a:lstStyle/>
          <a:p>
            <a:pPr algn="ctr" rtl="0">
              <a:defRPr sz="1000"/>
            </a:pPr>
            <a:r>
              <a:rPr lang="en-GB" sz="900" b="0" i="0" u="none" strike="noStrike" baseline="0">
                <a:solidFill>
                  <a:srgbClr val="FFFFFF"/>
                </a:solidFill>
                <a:latin typeface="Arial"/>
                <a:cs typeface="Arial"/>
              </a:rPr>
              <a:t>Menu Item with Switches</a:t>
            </a:r>
            <a:endParaRPr lang="en-GB"/>
          </a:p>
        </xdr:txBody>
      </xdr:sp>
    </xdr:grpSp>
    <xdr:clientData/>
  </xdr:twoCellAnchor>
  <xdr:twoCellAnchor editAs="oneCell">
    <xdr:from>
      <xdr:col>9</xdr:col>
      <xdr:colOff>276225</xdr:colOff>
      <xdr:row>123</xdr:row>
      <xdr:rowOff>161925</xdr:rowOff>
    </xdr:from>
    <xdr:to>
      <xdr:col>11</xdr:col>
      <xdr:colOff>276225</xdr:colOff>
      <xdr:row>125</xdr:row>
      <xdr:rowOff>104775</xdr:rowOff>
    </xdr:to>
    <xdr:sp macro="" textlink="" fLocksText="0">
      <xdr:nvSpPr>
        <xdr:cNvPr id="170" name="Text Box 531"/>
        <xdr:cNvSpPr txBox="1">
          <a:spLocks noChangeArrowheads="1"/>
        </xdr:cNvSpPr>
      </xdr:nvSpPr>
      <xdr:spPr bwMode="auto">
        <a:xfrm>
          <a:off x="3990975" y="19640550"/>
          <a:ext cx="895350" cy="361950"/>
        </a:xfrm>
        <a:prstGeom prst="rect">
          <a:avLst/>
        </a:prstGeom>
        <a:solidFill>
          <a:srgbClr xmlns:mc="http://schemas.openxmlformats.org/markup-compatibility/2006" xmlns:a14="http://schemas.microsoft.com/office/drawing/2010/main" val="969696" mc:Ignorable="a14" a14:legacySpreadsheetColorIndex="55"/>
        </a:solidFill>
        <a:ln w="9525">
          <a:solidFill>
            <a:srgbClr xmlns:mc="http://schemas.openxmlformats.org/markup-compatibility/2006" xmlns:a14="http://schemas.microsoft.com/office/drawing/2010/main" val="333333" mc:Ignorable="a14" a14:legacySpreadsheetColorIndex="63"/>
          </a:solidFill>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FFFFFF"/>
              </a:solidFill>
              <a:latin typeface="Arial"/>
              <a:cs typeface="Arial"/>
            </a:rPr>
            <a:t>Calculation Sheet</a:t>
          </a:r>
          <a:endParaRPr lang="en-GB"/>
        </a:p>
      </xdr:txBody>
    </xdr:sp>
    <xdr:clientData/>
  </xdr:twoCellAnchor>
  <xdr:twoCellAnchor editAs="oneCell">
    <xdr:from>
      <xdr:col>12</xdr:col>
      <xdr:colOff>219075</xdr:colOff>
      <xdr:row>123</xdr:row>
      <xdr:rowOff>161925</xdr:rowOff>
    </xdr:from>
    <xdr:to>
      <xdr:col>14</xdr:col>
      <xdr:colOff>219075</xdr:colOff>
      <xdr:row>125</xdr:row>
      <xdr:rowOff>104775</xdr:rowOff>
    </xdr:to>
    <xdr:sp macro="" textlink="" fLocksText="0">
      <xdr:nvSpPr>
        <xdr:cNvPr id="171" name="Text Box 532"/>
        <xdr:cNvSpPr txBox="1">
          <a:spLocks noChangeArrowheads="1"/>
        </xdr:cNvSpPr>
      </xdr:nvSpPr>
      <xdr:spPr bwMode="auto">
        <a:xfrm>
          <a:off x="5276850" y="19640550"/>
          <a:ext cx="895350" cy="361950"/>
        </a:xfrm>
        <a:prstGeom prst="rect">
          <a:avLst/>
        </a:prstGeom>
        <a:solidFill>
          <a:srgbClr xmlns:mc="http://schemas.openxmlformats.org/markup-compatibility/2006" xmlns:a14="http://schemas.microsoft.com/office/drawing/2010/main" val="008000" mc:Ignorable="a14" a14:legacySpreadsheetColorIndex="17"/>
        </a:solidFill>
        <a:ln w="9525">
          <a:solidFill>
            <a:srgbClr xmlns:mc="http://schemas.openxmlformats.org/markup-compatibility/2006" xmlns:a14="http://schemas.microsoft.com/office/drawing/2010/main" val="333333" mc:Ignorable="a14" a14:legacySpreadsheetColorIndex="63"/>
          </a:solidFill>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FFFFFF"/>
              </a:solidFill>
              <a:latin typeface="Arial"/>
              <a:cs typeface="Arial"/>
            </a:rPr>
            <a:t>Output Sheet</a:t>
          </a:r>
          <a:endParaRPr lang="en-GB"/>
        </a:p>
      </xdr:txBody>
    </xdr:sp>
    <xdr:clientData/>
  </xdr:twoCellAnchor>
  <xdr:twoCellAnchor editAs="oneCell">
    <xdr:from>
      <xdr:col>15</xdr:col>
      <xdr:colOff>85725</xdr:colOff>
      <xdr:row>123</xdr:row>
      <xdr:rowOff>161925</xdr:rowOff>
    </xdr:from>
    <xdr:to>
      <xdr:col>17</xdr:col>
      <xdr:colOff>85725</xdr:colOff>
      <xdr:row>125</xdr:row>
      <xdr:rowOff>104775</xdr:rowOff>
    </xdr:to>
    <xdr:sp macro="" textlink="" fLocksText="0">
      <xdr:nvSpPr>
        <xdr:cNvPr id="172" name="Text Box 533"/>
        <xdr:cNvSpPr txBox="1">
          <a:spLocks noChangeArrowheads="1"/>
        </xdr:cNvSpPr>
      </xdr:nvSpPr>
      <xdr:spPr bwMode="auto">
        <a:xfrm>
          <a:off x="6486525" y="19640550"/>
          <a:ext cx="895350" cy="361950"/>
        </a:xfrm>
        <a:prstGeom prst="rect">
          <a:avLst/>
        </a:prstGeom>
        <a:solidFill>
          <a:srgbClr xmlns:mc="http://schemas.openxmlformats.org/markup-compatibility/2006" xmlns:a14="http://schemas.microsoft.com/office/drawing/2010/main" val="FF0000" mc:Ignorable="a14" a14:legacySpreadsheetColorIndex="10"/>
        </a:solidFill>
        <a:ln w="9525">
          <a:solidFill>
            <a:srgbClr xmlns:mc="http://schemas.openxmlformats.org/markup-compatibility/2006" xmlns:a14="http://schemas.microsoft.com/office/drawing/2010/main" val="333333" mc:Ignorable="a14" a14:legacySpreadsheetColorIndex="63"/>
          </a:solidFill>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FFFFFF"/>
              </a:solidFill>
              <a:latin typeface="Arial"/>
              <a:cs typeface="Arial"/>
            </a:rPr>
            <a:t>Errors Sheet</a:t>
          </a:r>
          <a:endParaRPr lang="en-GB"/>
        </a:p>
      </xdr:txBody>
    </xdr:sp>
    <xdr:clientData/>
  </xdr:twoCellAnchor>
  <xdr:twoCellAnchor editAs="oneCell">
    <xdr:from>
      <xdr:col>17</xdr:col>
      <xdr:colOff>390525</xdr:colOff>
      <xdr:row>123</xdr:row>
      <xdr:rowOff>161925</xdr:rowOff>
    </xdr:from>
    <xdr:to>
      <xdr:col>20</xdr:col>
      <xdr:colOff>9525</xdr:colOff>
      <xdr:row>125</xdr:row>
      <xdr:rowOff>104775</xdr:rowOff>
    </xdr:to>
    <xdr:sp macro="" textlink="" fLocksText="0">
      <xdr:nvSpPr>
        <xdr:cNvPr id="173" name="Text Box 534"/>
        <xdr:cNvSpPr txBox="1">
          <a:spLocks noChangeArrowheads="1"/>
        </xdr:cNvSpPr>
      </xdr:nvSpPr>
      <xdr:spPr bwMode="auto">
        <a:xfrm>
          <a:off x="7686675" y="19640550"/>
          <a:ext cx="895350" cy="361950"/>
        </a:xfrm>
        <a:prstGeom prst="rect">
          <a:avLst/>
        </a:prstGeom>
        <a:solidFill>
          <a:srgbClr xmlns:mc="http://schemas.openxmlformats.org/markup-compatibility/2006" xmlns:a14="http://schemas.microsoft.com/office/drawing/2010/main" val="0000FF" mc:Ignorable="a14" a14:legacySpreadsheetColorIndex="12"/>
        </a:solidFill>
        <a:ln w="9525">
          <a:solidFill>
            <a:srgbClr xmlns:mc="http://schemas.openxmlformats.org/markup-compatibility/2006" xmlns:a14="http://schemas.microsoft.com/office/drawing/2010/main" val="333333" mc:Ignorable="a14" a14:legacySpreadsheetColorIndex="63"/>
          </a:solidFill>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FFFFFF"/>
              </a:solidFill>
              <a:latin typeface="Arial"/>
              <a:cs typeface="Arial"/>
            </a:rPr>
            <a:t>Info Sheet</a:t>
          </a:r>
          <a:endParaRPr lang="en-GB"/>
        </a:p>
      </xdr:txBody>
    </xdr:sp>
    <xdr:clientData/>
  </xdr:twoCellAnchor>
  <xdr:twoCellAnchor editAs="oneCell">
    <xdr:from>
      <xdr:col>20</xdr:col>
      <xdr:colOff>323850</xdr:colOff>
      <xdr:row>123</xdr:row>
      <xdr:rowOff>161925</xdr:rowOff>
    </xdr:from>
    <xdr:to>
      <xdr:col>22</xdr:col>
      <xdr:colOff>323850</xdr:colOff>
      <xdr:row>125</xdr:row>
      <xdr:rowOff>104775</xdr:rowOff>
    </xdr:to>
    <xdr:sp macro="" textlink="" fLocksText="0">
      <xdr:nvSpPr>
        <xdr:cNvPr id="174" name="Text Box 535"/>
        <xdr:cNvSpPr txBox="1">
          <a:spLocks noChangeArrowheads="1"/>
        </xdr:cNvSpPr>
      </xdr:nvSpPr>
      <xdr:spPr bwMode="auto">
        <a:xfrm>
          <a:off x="8896350" y="19640550"/>
          <a:ext cx="895350" cy="3619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333333" mc:Ignorable="a14" a14:legacySpreadsheetColorIndex="63"/>
          </a:solidFill>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FFFFFF"/>
              </a:solidFill>
              <a:latin typeface="Arial"/>
              <a:cs typeface="Arial"/>
            </a:rPr>
            <a:t>Admin Sheet</a:t>
          </a:r>
          <a:endParaRPr lang="en-GB"/>
        </a:p>
      </xdr:txBody>
    </xdr:sp>
    <xdr:clientData/>
  </xdr:twoCellAnchor>
  <xdr:twoCellAnchor>
    <xdr:from>
      <xdr:col>8</xdr:col>
      <xdr:colOff>104775</xdr:colOff>
      <xdr:row>77</xdr:row>
      <xdr:rowOff>0</xdr:rowOff>
    </xdr:from>
    <xdr:to>
      <xdr:col>10</xdr:col>
      <xdr:colOff>104775</xdr:colOff>
      <xdr:row>79</xdr:row>
      <xdr:rowOff>85725</xdr:rowOff>
    </xdr:to>
    <xdr:grpSp>
      <xdr:nvGrpSpPr>
        <xdr:cNvPr id="177" name="Group 538"/>
        <xdr:cNvGrpSpPr>
          <a:grpSpLocks/>
        </xdr:cNvGrpSpPr>
      </xdr:nvGrpSpPr>
      <xdr:grpSpPr bwMode="auto">
        <a:xfrm>
          <a:off x="3402806" y="12358688"/>
          <a:ext cx="904875" cy="371475"/>
          <a:chOff x="125" y="960"/>
          <a:chExt cx="94" cy="38"/>
        </a:xfrm>
      </xdr:grpSpPr>
      <xdr:sp macro="" textlink="" fLocksText="0">
        <xdr:nvSpPr>
          <xdr:cNvPr id="178" name="Text Box 539">
            <a:hlinkClick xmlns:r="http://schemas.openxmlformats.org/officeDocument/2006/relationships" r:id="rId40" tooltip="Hyperlink to sheet"/>
          </xdr:cNvPr>
          <xdr:cNvSpPr txBox="1">
            <a:spLocks noChangeArrowheads="1" noTextEdit="1"/>
          </xdr:cNvSpPr>
        </xdr:nvSpPr>
        <xdr:spPr bwMode="auto">
          <a:xfrm>
            <a:off x="125" y="961"/>
            <a:ext cx="94" cy="37"/>
          </a:xfrm>
          <a:prstGeom prst="rect">
            <a:avLst/>
          </a:prstGeom>
          <a:solidFill>
            <a:srgbClr xmlns:mc="http://schemas.openxmlformats.org/markup-compatibility/2006" xmlns:a14="http://schemas.microsoft.com/office/drawing/2010/main" val="969696" mc:Ignorable="a14" a14:legacySpreadsheetColorIndex="55"/>
          </a:solidFill>
          <a:ln w="9525">
            <a:solidFill>
              <a:srgbClr xmlns:mc="http://schemas.openxmlformats.org/markup-compatibility/2006" xmlns:a14="http://schemas.microsoft.com/office/drawing/2010/main" val="333333" mc:Ignorable="a14" a14:legacySpreadsheetColorIndex="63"/>
            </a:solidFill>
            <a:miter lim="800000"/>
            <a:headEnd/>
            <a:tailEnd/>
          </a:ln>
        </xdr:spPr>
        <xdr:txBody>
          <a:bodyPr vertOverflow="clip" wrap="square" lIns="27432" tIns="22860" rIns="27432" bIns="22860" anchor="ctr" upright="1"/>
          <a:lstStyle/>
          <a:p>
            <a:pPr algn="ctr" rtl="0">
              <a:defRPr sz="1000"/>
            </a:pPr>
            <a:fld id="{CAAC2CFD-DA28-4B0E-A534-D7C920FD8A67}" type="TxLink">
              <a:rPr lang="en-GB" sz="1000" b="0" i="0" u="none" strike="noStrike" baseline="0">
                <a:solidFill>
                  <a:srgbClr val="FFFFFF"/>
                </a:solidFill>
                <a:latin typeface="Arial"/>
                <a:cs typeface="Arial"/>
              </a:rPr>
              <a:pPr algn="ctr" rtl="0">
                <a:defRPr sz="1000"/>
              </a:pPr>
              <a:t>Capital</a:t>
            </a:fld>
            <a:endParaRPr lang="en-GB"/>
          </a:p>
        </xdr:txBody>
      </xdr:sp>
      <xdr:sp macro="" textlink="">
        <xdr:nvSpPr>
          <xdr:cNvPr id="179" name="Rectangle 540"/>
          <xdr:cNvSpPr>
            <a:spLocks noChangeArrowheads="1"/>
          </xdr:cNvSpPr>
        </xdr:nvSpPr>
        <xdr:spPr bwMode="auto">
          <a:xfrm>
            <a:off x="188" y="960"/>
            <a:ext cx="30" cy="14"/>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80" name="Rectangle 541"/>
          <xdr:cNvSpPr>
            <a:spLocks noChangeArrowheads="1"/>
          </xdr:cNvSpPr>
        </xdr:nvSpPr>
        <xdr:spPr bwMode="auto">
          <a:xfrm>
            <a:off x="125" y="961"/>
            <a:ext cx="30" cy="14"/>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grpSp>
    <xdr:clientData/>
  </xdr:twoCellAnchor>
  <xdr:twoCellAnchor>
    <xdr:from>
      <xdr:col>6</xdr:col>
      <xdr:colOff>219075</xdr:colOff>
      <xdr:row>27</xdr:row>
      <xdr:rowOff>38100</xdr:rowOff>
    </xdr:from>
    <xdr:to>
      <xdr:col>7</xdr:col>
      <xdr:colOff>9525</xdr:colOff>
      <xdr:row>34</xdr:row>
      <xdr:rowOff>85725</xdr:rowOff>
    </xdr:to>
    <xdr:cxnSp macro="">
      <xdr:nvCxnSpPr>
        <xdr:cNvPr id="181" name="AutoShape 544"/>
        <xdr:cNvCxnSpPr>
          <a:cxnSpLocks noChangeShapeType="1"/>
          <a:stCxn id="111" idx="2"/>
          <a:endCxn id="66" idx="1"/>
        </xdr:cNvCxnSpPr>
      </xdr:nvCxnSpPr>
      <xdr:spPr bwMode="auto">
        <a:xfrm rot="16200000" flipH="1">
          <a:off x="2119313" y="4586287"/>
          <a:ext cx="1181100" cy="238125"/>
        </a:xfrm>
        <a:prstGeom prst="bentConnector2">
          <a:avLst/>
        </a:prstGeom>
        <a:noFill/>
        <a:ln w="9525">
          <a:solidFill>
            <a:srgbClr xmlns:mc="http://schemas.openxmlformats.org/markup-compatibility/2006" xmlns:a14="http://schemas.microsoft.com/office/drawing/2010/main" val="000000" mc:Ignorable="a14" a14:legacySpreadsheetColorIndex="64"/>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editAs="oneCell">
    <xdr:from>
      <xdr:col>16</xdr:col>
      <xdr:colOff>409575</xdr:colOff>
      <xdr:row>63</xdr:row>
      <xdr:rowOff>57150</xdr:rowOff>
    </xdr:from>
    <xdr:to>
      <xdr:col>18</xdr:col>
      <xdr:colOff>409575</xdr:colOff>
      <xdr:row>65</xdr:row>
      <xdr:rowOff>95249</xdr:rowOff>
    </xdr:to>
    <xdr:sp macro="" textlink="">
      <xdr:nvSpPr>
        <xdr:cNvPr id="188" name="Text Box 549">
          <a:hlinkClick xmlns:r="http://schemas.openxmlformats.org/officeDocument/2006/relationships" r:id="rId62" tooltip="Hyperlink to code list"/>
        </xdr:cNvPr>
        <xdr:cNvSpPr txBox="1">
          <a:spLocks noChangeArrowheads="1" noTextEdit="1"/>
        </xdr:cNvSpPr>
      </xdr:nvSpPr>
      <xdr:spPr bwMode="auto">
        <a:xfrm>
          <a:off x="7258050" y="10001250"/>
          <a:ext cx="895350" cy="361950"/>
        </a:xfrm>
        <a:prstGeom prst="rect">
          <a:avLst/>
        </a:prstGeom>
        <a:solidFill>
          <a:srgbClr xmlns:mc="http://schemas.openxmlformats.org/markup-compatibility/2006" xmlns:a14="http://schemas.microsoft.com/office/drawing/2010/main" val="000080" mc:Ignorable="a14" a14:legacySpreadsheetColorIndex="18"/>
        </a:solidFill>
        <a:ln w="9525">
          <a:solidFill>
            <a:srgbClr xmlns:mc="http://schemas.openxmlformats.org/markup-compatibility/2006" xmlns:a14="http://schemas.microsoft.com/office/drawing/2010/main" val="FFFFFF" mc:Ignorable="a14" a14:legacySpreadsheetColorIndex="9"/>
          </a:solidFill>
          <a:miter lim="800000"/>
          <a:headEnd/>
          <a:tailEnd/>
        </a:ln>
      </xdr:spPr>
      <xdr:txBody>
        <a:bodyPr vertOverflow="clip" wrap="square" lIns="27432" tIns="22860" rIns="27432" bIns="22860" anchor="ctr" upright="1"/>
        <a:lstStyle/>
        <a:p>
          <a:pPr algn="ctr" rtl="0">
            <a:defRPr sz="1000"/>
          </a:pPr>
          <a:fld id="{C57431F8-3B35-44AE-8EF3-AA35CEBEF204}" type="TxLink">
            <a:rPr lang="en-GB" sz="900" b="0" i="0" u="none" strike="noStrike" baseline="0">
              <a:solidFill>
                <a:srgbClr val="FFFFFF"/>
              </a:solidFill>
              <a:latin typeface="Arial"/>
              <a:cs typeface="Arial"/>
            </a:rPr>
            <a:pPr algn="ctr" rtl="0">
              <a:defRPr sz="1000"/>
            </a:pPr>
            <a:t>User Code 2</a:t>
          </a:fld>
          <a:endParaRPr lang="en-GB"/>
        </a:p>
      </xdr:txBody>
    </xdr:sp>
    <xdr:clientData/>
  </xdr:twoCellAnchor>
  <xdr:twoCellAnchor editAs="oneCell">
    <xdr:from>
      <xdr:col>16</xdr:col>
      <xdr:colOff>409575</xdr:colOff>
      <xdr:row>65</xdr:row>
      <xdr:rowOff>95250</xdr:rowOff>
    </xdr:from>
    <xdr:to>
      <xdr:col>18</xdr:col>
      <xdr:colOff>409575</xdr:colOff>
      <xdr:row>67</xdr:row>
      <xdr:rowOff>133350</xdr:rowOff>
    </xdr:to>
    <xdr:sp macro="" textlink="">
      <xdr:nvSpPr>
        <xdr:cNvPr id="189" name="Text Box 550">
          <a:hlinkClick xmlns:r="http://schemas.openxmlformats.org/officeDocument/2006/relationships" r:id="rId63" tooltip="Hyperlink to code list"/>
        </xdr:cNvPr>
        <xdr:cNvSpPr txBox="1">
          <a:spLocks noChangeArrowheads="1" noTextEdit="1"/>
        </xdr:cNvSpPr>
      </xdr:nvSpPr>
      <xdr:spPr bwMode="auto">
        <a:xfrm>
          <a:off x="7258050" y="10363200"/>
          <a:ext cx="895350" cy="361950"/>
        </a:xfrm>
        <a:prstGeom prst="rect">
          <a:avLst/>
        </a:prstGeom>
        <a:solidFill>
          <a:srgbClr xmlns:mc="http://schemas.openxmlformats.org/markup-compatibility/2006" xmlns:a14="http://schemas.microsoft.com/office/drawing/2010/main" val="000080" mc:Ignorable="a14" a14:legacySpreadsheetColorIndex="18"/>
        </a:solidFill>
        <a:ln w="9525">
          <a:solidFill>
            <a:srgbClr xmlns:mc="http://schemas.openxmlformats.org/markup-compatibility/2006" xmlns:a14="http://schemas.microsoft.com/office/drawing/2010/main" val="FFFFFF" mc:Ignorable="a14" a14:legacySpreadsheetColorIndex="9"/>
          </a:solidFill>
          <a:miter lim="800000"/>
          <a:headEnd/>
          <a:tailEnd/>
        </a:ln>
      </xdr:spPr>
      <xdr:txBody>
        <a:bodyPr vertOverflow="clip" wrap="square" lIns="27432" tIns="22860" rIns="27432" bIns="22860" anchor="ctr" upright="1"/>
        <a:lstStyle/>
        <a:p>
          <a:pPr algn="ctr" rtl="0">
            <a:defRPr sz="1000"/>
          </a:pPr>
          <a:fld id="{9809679D-8B8E-45E8-9BB3-08DE89E1AE97}" type="TxLink">
            <a:rPr lang="en-GB" sz="900" b="0" i="0" u="none" strike="noStrike" baseline="0">
              <a:solidFill>
                <a:srgbClr val="FFFFFF"/>
              </a:solidFill>
              <a:latin typeface="Arial"/>
              <a:cs typeface="Arial"/>
            </a:rPr>
            <a:pPr algn="ctr" rtl="0">
              <a:defRPr sz="1000"/>
            </a:pPr>
            <a:t>User Code 3</a:t>
          </a:fld>
          <a:endParaRPr lang="en-GB"/>
        </a:p>
      </xdr:txBody>
    </xdr:sp>
    <xdr:clientData/>
  </xdr:twoCellAnchor>
  <xdr:twoCellAnchor>
    <xdr:from>
      <xdr:col>10</xdr:col>
      <xdr:colOff>104775</xdr:colOff>
      <xdr:row>78</xdr:row>
      <xdr:rowOff>28575</xdr:rowOff>
    </xdr:from>
    <xdr:to>
      <xdr:col>11</xdr:col>
      <xdr:colOff>104775</xdr:colOff>
      <xdr:row>84</xdr:row>
      <xdr:rowOff>57150</xdr:rowOff>
    </xdr:to>
    <xdr:cxnSp macro="">
      <xdr:nvCxnSpPr>
        <xdr:cNvPr id="190" name="AutoShape 552"/>
        <xdr:cNvCxnSpPr>
          <a:cxnSpLocks noChangeShapeType="1"/>
          <a:stCxn id="178" idx="3"/>
          <a:endCxn id="139" idx="0"/>
        </xdr:cNvCxnSpPr>
      </xdr:nvCxnSpPr>
      <xdr:spPr bwMode="auto">
        <a:xfrm>
          <a:off x="4267200" y="12306300"/>
          <a:ext cx="447675" cy="800100"/>
        </a:xfrm>
        <a:prstGeom prst="bentConnector2">
          <a:avLst/>
        </a:prstGeom>
        <a:noFill/>
        <a:ln w="9525">
          <a:solidFill>
            <a:srgbClr xmlns:mc="http://schemas.openxmlformats.org/markup-compatibility/2006" xmlns:a14="http://schemas.microsoft.com/office/drawing/2010/main" val="333333" mc:Ignorable="a14" a14:legacySpreadsheetColorIndex="63"/>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9</xdr:col>
      <xdr:colOff>104775</xdr:colOff>
      <xdr:row>71</xdr:row>
      <xdr:rowOff>28575</xdr:rowOff>
    </xdr:from>
    <xdr:to>
      <xdr:col>10</xdr:col>
      <xdr:colOff>409575</xdr:colOff>
      <xdr:row>77</xdr:row>
      <xdr:rowOff>9525</xdr:rowOff>
    </xdr:to>
    <xdr:cxnSp macro="">
      <xdr:nvCxnSpPr>
        <xdr:cNvPr id="191" name="AutoShape 555"/>
        <xdr:cNvCxnSpPr>
          <a:cxnSpLocks noChangeShapeType="1"/>
          <a:stCxn id="130" idx="1"/>
          <a:endCxn id="178" idx="0"/>
        </xdr:cNvCxnSpPr>
      </xdr:nvCxnSpPr>
      <xdr:spPr bwMode="auto">
        <a:xfrm rot="10800000" flipV="1">
          <a:off x="3819525" y="11268075"/>
          <a:ext cx="752475" cy="857250"/>
        </a:xfrm>
        <a:prstGeom prst="bentConnector2">
          <a:avLst/>
        </a:prstGeom>
        <a:noFill/>
        <a:ln w="9525">
          <a:solidFill>
            <a:srgbClr xmlns:mc="http://schemas.openxmlformats.org/markup-compatibility/2006" xmlns:a14="http://schemas.microsoft.com/office/drawing/2010/main" val="333333" mc:Ignorable="a14" a14:legacySpreadsheetColorIndex="63"/>
          </a:solidFill>
          <a:miter lim="800000"/>
          <a:headEnd type="oval"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16</xdr:col>
      <xdr:colOff>200025</xdr:colOff>
      <xdr:row>76</xdr:row>
      <xdr:rowOff>152400</xdr:rowOff>
    </xdr:from>
    <xdr:to>
      <xdr:col>18</xdr:col>
      <xdr:colOff>200025</xdr:colOff>
      <xdr:row>79</xdr:row>
      <xdr:rowOff>76200</xdr:rowOff>
    </xdr:to>
    <xdr:grpSp>
      <xdr:nvGrpSpPr>
        <xdr:cNvPr id="192" name="Group 556">
          <a:hlinkClick xmlns:r="http://schemas.openxmlformats.org/officeDocument/2006/relationships" r:id="rId64"/>
        </xdr:cNvPr>
        <xdr:cNvGrpSpPr>
          <a:grpSpLocks/>
        </xdr:cNvGrpSpPr>
      </xdr:nvGrpSpPr>
      <xdr:grpSpPr bwMode="auto">
        <a:xfrm>
          <a:off x="7117556" y="12344400"/>
          <a:ext cx="904875" cy="376238"/>
          <a:chOff x="125" y="960"/>
          <a:chExt cx="94" cy="38"/>
        </a:xfrm>
      </xdr:grpSpPr>
      <xdr:sp macro="" textlink="" fLocksText="0">
        <xdr:nvSpPr>
          <xdr:cNvPr id="193" name="Text Box 557">
            <a:hlinkClick xmlns:r="http://schemas.openxmlformats.org/officeDocument/2006/relationships" r:id="rId40" tooltip="Hyperlink to sheet"/>
          </xdr:cNvPr>
          <xdr:cNvSpPr txBox="1">
            <a:spLocks noChangeArrowheads="1" noTextEdit="1"/>
          </xdr:cNvSpPr>
        </xdr:nvSpPr>
        <xdr:spPr bwMode="auto">
          <a:xfrm>
            <a:off x="125" y="961"/>
            <a:ext cx="94" cy="37"/>
          </a:xfrm>
          <a:prstGeom prst="rect">
            <a:avLst/>
          </a:prstGeom>
          <a:solidFill>
            <a:srgbClr xmlns:mc="http://schemas.openxmlformats.org/markup-compatibility/2006" xmlns:a14="http://schemas.microsoft.com/office/drawing/2010/main" val="969696" mc:Ignorable="a14" a14:legacySpreadsheetColorIndex="55"/>
          </a:solidFill>
          <a:ln w="9525">
            <a:solidFill>
              <a:srgbClr xmlns:mc="http://schemas.openxmlformats.org/markup-compatibility/2006" xmlns:a14="http://schemas.microsoft.com/office/drawing/2010/main" val="333333" mc:Ignorable="a14" a14:legacySpreadsheetColorIndex="63"/>
            </a:solidFill>
            <a:miter lim="800000"/>
            <a:headEnd/>
            <a:tailEnd/>
          </a:ln>
        </xdr:spPr>
        <xdr:txBody>
          <a:bodyPr vertOverflow="clip" wrap="square" lIns="27432" tIns="22860" rIns="27432" bIns="22860" anchor="ctr" upright="1"/>
          <a:lstStyle/>
          <a:p>
            <a:pPr algn="ctr" rtl="0">
              <a:defRPr sz="1000"/>
            </a:pPr>
            <a:fld id="{F8E73AB0-9961-4A85-A6BC-BF0C5F4971BE}" type="TxLink">
              <a:rPr lang="en-GB" sz="1000" b="0" i="0" u="none" strike="noStrike" baseline="0">
                <a:solidFill>
                  <a:srgbClr val="FFFFFF"/>
                </a:solidFill>
                <a:latin typeface="Arial"/>
                <a:cs typeface="Arial"/>
              </a:rPr>
              <a:pPr algn="ctr" rtl="0">
                <a:defRPr sz="1000"/>
              </a:pPr>
              <a:t>CoM</a:t>
            </a:fld>
            <a:endParaRPr lang="en-GB"/>
          </a:p>
        </xdr:txBody>
      </xdr:sp>
      <xdr:sp macro="" textlink="">
        <xdr:nvSpPr>
          <xdr:cNvPr id="194" name="Rectangle 558"/>
          <xdr:cNvSpPr>
            <a:spLocks noChangeArrowheads="1"/>
          </xdr:cNvSpPr>
        </xdr:nvSpPr>
        <xdr:spPr bwMode="auto">
          <a:xfrm>
            <a:off x="188" y="960"/>
            <a:ext cx="30" cy="14"/>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95" name="Rectangle 559"/>
          <xdr:cNvSpPr>
            <a:spLocks noChangeArrowheads="1"/>
          </xdr:cNvSpPr>
        </xdr:nvSpPr>
        <xdr:spPr bwMode="auto">
          <a:xfrm>
            <a:off x="125" y="961"/>
            <a:ext cx="30" cy="14"/>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grpSp>
    <xdr:clientData/>
  </xdr:twoCellAnchor>
  <xdr:twoCellAnchor>
    <xdr:from>
      <xdr:col>3</xdr:col>
      <xdr:colOff>400050</xdr:colOff>
      <xdr:row>17</xdr:row>
      <xdr:rowOff>47625</xdr:rowOff>
    </xdr:from>
    <xdr:to>
      <xdr:col>5</xdr:col>
      <xdr:colOff>219075</xdr:colOff>
      <xdr:row>17</xdr:row>
      <xdr:rowOff>47625</xdr:rowOff>
    </xdr:to>
    <xdr:cxnSp macro="">
      <xdr:nvCxnSpPr>
        <xdr:cNvPr id="201" name="AutoShape 565"/>
        <xdr:cNvCxnSpPr>
          <a:cxnSpLocks noChangeShapeType="1"/>
          <a:stCxn id="125" idx="1"/>
          <a:endCxn id="64" idx="3"/>
        </xdr:cNvCxnSpPr>
      </xdr:nvCxnSpPr>
      <xdr:spPr bwMode="auto">
        <a:xfrm rot="10800000">
          <a:off x="1428750" y="2505075"/>
          <a:ext cx="714375" cy="0"/>
        </a:xfrm>
        <a:prstGeom prst="straightConnector1">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editAs="oneCell">
    <xdr:from>
      <xdr:col>16</xdr:col>
      <xdr:colOff>409575</xdr:colOff>
      <xdr:row>67</xdr:row>
      <xdr:rowOff>133350</xdr:rowOff>
    </xdr:from>
    <xdr:to>
      <xdr:col>18</xdr:col>
      <xdr:colOff>409575</xdr:colOff>
      <xdr:row>70</xdr:row>
      <xdr:rowOff>9526</xdr:rowOff>
    </xdr:to>
    <xdr:sp macro="" textlink="">
      <xdr:nvSpPr>
        <xdr:cNvPr id="202" name="Text Box 566">
          <a:hlinkClick xmlns:r="http://schemas.openxmlformats.org/officeDocument/2006/relationships" r:id="rId63" tooltip="Hyperlink to code list"/>
        </xdr:cNvPr>
        <xdr:cNvSpPr txBox="1">
          <a:spLocks noChangeArrowheads="1" noTextEdit="1"/>
        </xdr:cNvSpPr>
      </xdr:nvSpPr>
      <xdr:spPr bwMode="auto">
        <a:xfrm>
          <a:off x="7258050" y="10725150"/>
          <a:ext cx="895350" cy="361950"/>
        </a:xfrm>
        <a:prstGeom prst="rect">
          <a:avLst/>
        </a:prstGeom>
        <a:solidFill>
          <a:srgbClr xmlns:mc="http://schemas.openxmlformats.org/markup-compatibility/2006" xmlns:a14="http://schemas.microsoft.com/office/drawing/2010/main" val="000080" mc:Ignorable="a14" a14:legacySpreadsheetColorIndex="18"/>
        </a:solidFill>
        <a:ln w="9525">
          <a:solidFill>
            <a:srgbClr xmlns:mc="http://schemas.openxmlformats.org/markup-compatibility/2006" xmlns:a14="http://schemas.microsoft.com/office/drawing/2010/main" val="FFFFFF" mc:Ignorable="a14" a14:legacySpreadsheetColorIndex="9"/>
          </a:solidFill>
          <a:miter lim="800000"/>
          <a:headEnd/>
          <a:tailEnd/>
        </a:ln>
      </xdr:spPr>
      <xdr:txBody>
        <a:bodyPr vertOverflow="clip" wrap="square" lIns="27432" tIns="22860" rIns="27432" bIns="22860" anchor="ctr" upright="1"/>
        <a:lstStyle/>
        <a:p>
          <a:pPr algn="ctr" rtl="0">
            <a:defRPr sz="1000"/>
          </a:pPr>
          <a:fld id="{43F4CFA1-1F67-4879-9A4D-EE1D505FB295}" type="TxLink">
            <a:rPr lang="en-GB" sz="900" b="0" i="0" u="none" strike="noStrike" baseline="0">
              <a:solidFill>
                <a:srgbClr val="FFFFFF"/>
              </a:solidFill>
              <a:latin typeface="Arial"/>
              <a:cs typeface="Arial"/>
            </a:rPr>
            <a:pPr algn="ctr" rtl="0">
              <a:defRPr sz="1000"/>
            </a:pPr>
            <a:t>Volumes</a:t>
          </a:fld>
          <a:endParaRPr lang="en-GB"/>
        </a:p>
      </xdr:txBody>
    </xdr:sp>
    <xdr:clientData/>
  </xdr:twoCellAnchor>
  <xdr:twoCellAnchor>
    <xdr:from>
      <xdr:col>11</xdr:col>
      <xdr:colOff>409575</xdr:colOff>
      <xdr:row>86</xdr:row>
      <xdr:rowOff>104775</xdr:rowOff>
    </xdr:from>
    <xdr:to>
      <xdr:col>18</xdr:col>
      <xdr:colOff>133350</xdr:colOff>
      <xdr:row>102</xdr:row>
      <xdr:rowOff>85725</xdr:rowOff>
    </xdr:to>
    <xdr:cxnSp macro="">
      <xdr:nvCxnSpPr>
        <xdr:cNvPr id="209" name="AutoShape 574"/>
        <xdr:cNvCxnSpPr>
          <a:cxnSpLocks noChangeShapeType="1"/>
          <a:stCxn id="140" idx="2"/>
          <a:endCxn id="154" idx="1"/>
        </xdr:cNvCxnSpPr>
      </xdr:nvCxnSpPr>
      <xdr:spPr bwMode="auto">
        <a:xfrm rot="16200000" flipH="1">
          <a:off x="5162550" y="13335000"/>
          <a:ext cx="2571750" cy="2857500"/>
        </a:xfrm>
        <a:prstGeom prst="bentConnector2">
          <a:avLst/>
        </a:prstGeom>
        <a:noFill/>
        <a:ln w="9525">
          <a:solidFill>
            <a:srgbClr xmlns:mc="http://schemas.openxmlformats.org/markup-compatibility/2006" xmlns:a14="http://schemas.microsoft.com/office/drawing/2010/main" val="333333" mc:Ignorable="a14" a14:legacySpreadsheetColorIndex="63"/>
          </a:solidFill>
          <a:miter lim="800000"/>
          <a:headEnd type="oval"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20</xdr:col>
      <xdr:colOff>200025</xdr:colOff>
      <xdr:row>85</xdr:row>
      <xdr:rowOff>85725</xdr:rowOff>
    </xdr:from>
    <xdr:to>
      <xdr:col>20</xdr:col>
      <xdr:colOff>266700</xdr:colOff>
      <xdr:row>104</xdr:row>
      <xdr:rowOff>123825</xdr:rowOff>
    </xdr:to>
    <xdr:cxnSp macro="">
      <xdr:nvCxnSpPr>
        <xdr:cNvPr id="210" name="AutoShape 575"/>
        <xdr:cNvCxnSpPr>
          <a:cxnSpLocks noChangeShapeType="1"/>
          <a:stCxn id="21" idx="3"/>
          <a:endCxn id="155" idx="3"/>
        </xdr:cNvCxnSpPr>
      </xdr:nvCxnSpPr>
      <xdr:spPr bwMode="auto">
        <a:xfrm flipH="1">
          <a:off x="8772525" y="13296900"/>
          <a:ext cx="66675" cy="3114675"/>
        </a:xfrm>
        <a:prstGeom prst="bentConnector3">
          <a:avLst>
            <a:gd name="adj1" fmla="val -342856"/>
          </a:avLst>
        </a:prstGeom>
        <a:noFill/>
        <a:ln w="9525">
          <a:solidFill>
            <a:srgbClr xmlns:mc="http://schemas.openxmlformats.org/markup-compatibility/2006" xmlns:a14="http://schemas.microsoft.com/office/drawing/2010/main" val="333333" mc:Ignorable="a14" a14:legacySpreadsheetColorIndex="63"/>
          </a:solidFill>
          <a:miter lim="800000"/>
          <a:headEnd type="oval"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5</xdr:col>
      <xdr:colOff>123825</xdr:colOff>
      <xdr:row>84</xdr:row>
      <xdr:rowOff>57150</xdr:rowOff>
    </xdr:from>
    <xdr:to>
      <xdr:col>7</xdr:col>
      <xdr:colOff>123825</xdr:colOff>
      <xdr:row>86</xdr:row>
      <xdr:rowOff>95250</xdr:rowOff>
    </xdr:to>
    <xdr:grpSp>
      <xdr:nvGrpSpPr>
        <xdr:cNvPr id="211" name="Group 577"/>
        <xdr:cNvGrpSpPr>
          <a:grpSpLocks/>
        </xdr:cNvGrpSpPr>
      </xdr:nvGrpSpPr>
      <xdr:grpSpPr bwMode="auto">
        <a:xfrm>
          <a:off x="2064544" y="13380244"/>
          <a:ext cx="904875" cy="371475"/>
          <a:chOff x="215" y="1376"/>
          <a:chExt cx="94" cy="38"/>
        </a:xfrm>
      </xdr:grpSpPr>
      <xdr:sp macro="" textlink="" fLocksText="0">
        <xdr:nvSpPr>
          <xdr:cNvPr id="212" name="Text Box 2">
            <a:hlinkClick xmlns:r="http://schemas.openxmlformats.org/officeDocument/2006/relationships" r:id="rId44" tooltip="Hyperlink to sheet"/>
          </xdr:cNvPr>
          <xdr:cNvSpPr txBox="1">
            <a:spLocks noChangeArrowheads="1" noTextEdit="1"/>
          </xdr:cNvSpPr>
        </xdr:nvSpPr>
        <xdr:spPr bwMode="auto">
          <a:xfrm>
            <a:off x="215" y="1377"/>
            <a:ext cx="94" cy="37"/>
          </a:xfrm>
          <a:prstGeom prst="rect">
            <a:avLst/>
          </a:prstGeom>
          <a:solidFill>
            <a:srgbClr xmlns:mc="http://schemas.openxmlformats.org/markup-compatibility/2006" xmlns:a14="http://schemas.microsoft.com/office/drawing/2010/main" val="969696" mc:Ignorable="a14" a14:legacySpreadsheetColorIndex="55"/>
          </a:solidFill>
          <a:ln w="9525">
            <a:solidFill>
              <a:srgbClr xmlns:mc="http://schemas.openxmlformats.org/markup-compatibility/2006" xmlns:a14="http://schemas.microsoft.com/office/drawing/2010/main" val="333333" mc:Ignorable="a14" a14:legacySpreadsheetColorIndex="63"/>
            </a:solidFill>
            <a:miter lim="800000"/>
            <a:headEnd/>
            <a:tailEnd/>
          </a:ln>
        </xdr:spPr>
        <xdr:txBody>
          <a:bodyPr vertOverflow="clip" wrap="square" lIns="27432" tIns="22860" rIns="27432" bIns="22860" anchor="ctr" upright="1"/>
          <a:lstStyle/>
          <a:p>
            <a:pPr algn="ctr" rtl="0">
              <a:defRPr sz="1000"/>
            </a:pPr>
            <a:fld id="{B1F115C9-A330-468C-A323-46873967ED4A}" type="TxLink">
              <a:rPr lang="en-GB" sz="1000" b="0" i="0" u="none" strike="noStrike" baseline="0">
                <a:solidFill>
                  <a:srgbClr val="FFFFFF"/>
                </a:solidFill>
                <a:latin typeface="Arial"/>
                <a:cs typeface="Arial"/>
              </a:rPr>
              <a:pPr algn="ctr" rtl="0">
                <a:defRPr sz="1000"/>
              </a:pPr>
              <a:t>Conversion</a:t>
            </a:fld>
            <a:endParaRPr lang="en-GB"/>
          </a:p>
        </xdr:txBody>
      </xdr:sp>
      <xdr:sp macro="" textlink="">
        <xdr:nvSpPr>
          <xdr:cNvPr id="213" name="Rectangle 477"/>
          <xdr:cNvSpPr>
            <a:spLocks noChangeArrowheads="1"/>
          </xdr:cNvSpPr>
        </xdr:nvSpPr>
        <xdr:spPr bwMode="auto">
          <a:xfrm>
            <a:off x="278" y="1376"/>
            <a:ext cx="30" cy="14"/>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214" name="Rectangle 504"/>
          <xdr:cNvSpPr>
            <a:spLocks noChangeArrowheads="1"/>
          </xdr:cNvSpPr>
        </xdr:nvSpPr>
        <xdr:spPr bwMode="auto">
          <a:xfrm>
            <a:off x="215" y="1377"/>
            <a:ext cx="30" cy="14"/>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215" name="Rectangle 576"/>
          <xdr:cNvSpPr>
            <a:spLocks noChangeArrowheads="1"/>
          </xdr:cNvSpPr>
        </xdr:nvSpPr>
        <xdr:spPr bwMode="auto">
          <a:xfrm>
            <a:off x="290" y="1402"/>
            <a:ext cx="19" cy="12"/>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grpSp>
    <xdr:clientData/>
  </xdr:twoCellAnchor>
  <xdr:twoCellAnchor>
    <xdr:from>
      <xdr:col>7</xdr:col>
      <xdr:colOff>123825</xdr:colOff>
      <xdr:row>85</xdr:row>
      <xdr:rowOff>85725</xdr:rowOff>
    </xdr:from>
    <xdr:to>
      <xdr:col>10</xdr:col>
      <xdr:colOff>409575</xdr:colOff>
      <xdr:row>85</xdr:row>
      <xdr:rowOff>85725</xdr:rowOff>
    </xdr:to>
    <xdr:cxnSp macro="">
      <xdr:nvCxnSpPr>
        <xdr:cNvPr id="216" name="AutoShape 578"/>
        <xdr:cNvCxnSpPr>
          <a:cxnSpLocks noChangeShapeType="1"/>
          <a:stCxn id="212" idx="3"/>
          <a:endCxn id="140" idx="1"/>
        </xdr:cNvCxnSpPr>
      </xdr:nvCxnSpPr>
      <xdr:spPr bwMode="auto">
        <a:xfrm>
          <a:off x="2943225" y="13296900"/>
          <a:ext cx="1628775" cy="0"/>
        </a:xfrm>
        <a:prstGeom prst="straightConnector1">
          <a:avLst/>
        </a:prstGeom>
        <a:noFill/>
        <a:ln w="9525">
          <a:solidFill>
            <a:srgbClr xmlns:mc="http://schemas.openxmlformats.org/markup-compatibility/2006" xmlns:a14="http://schemas.microsoft.com/office/drawing/2010/main" val="333333" mc:Ignorable="a14" a14:legacySpreadsheetColorIndex="63"/>
          </a:solidFill>
          <a:round/>
          <a:headEnd type="oval"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7</xdr:col>
      <xdr:colOff>114300</xdr:colOff>
      <xdr:row>78</xdr:row>
      <xdr:rowOff>28575</xdr:rowOff>
    </xdr:from>
    <xdr:to>
      <xdr:col>8</xdr:col>
      <xdr:colOff>104775</xdr:colOff>
      <xdr:row>84</xdr:row>
      <xdr:rowOff>123825</xdr:rowOff>
    </xdr:to>
    <xdr:cxnSp macro="">
      <xdr:nvCxnSpPr>
        <xdr:cNvPr id="217" name="AutoShape 579"/>
        <xdr:cNvCxnSpPr>
          <a:cxnSpLocks noChangeShapeType="1"/>
          <a:stCxn id="213" idx="3"/>
          <a:endCxn id="178" idx="1"/>
        </xdr:cNvCxnSpPr>
      </xdr:nvCxnSpPr>
      <xdr:spPr bwMode="auto">
        <a:xfrm flipV="1">
          <a:off x="2933700" y="12306300"/>
          <a:ext cx="438150" cy="866775"/>
        </a:xfrm>
        <a:prstGeom prst="bentConnector3">
          <a:avLst>
            <a:gd name="adj1" fmla="val 50000"/>
          </a:avLst>
        </a:prstGeom>
        <a:noFill/>
        <a:ln w="9525">
          <a:solidFill>
            <a:srgbClr xmlns:mc="http://schemas.openxmlformats.org/markup-compatibility/2006" xmlns:a14="http://schemas.microsoft.com/office/drawing/2010/main" val="333333" mc:Ignorable="a14" a14:legacySpreadsheetColorIndex="63"/>
          </a:solidFill>
          <a:miter lim="800000"/>
          <a:headEnd type="oval"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7</xdr:col>
      <xdr:colOff>123825</xdr:colOff>
      <xdr:row>86</xdr:row>
      <xdr:rowOff>38100</xdr:rowOff>
    </xdr:from>
    <xdr:to>
      <xdr:col>18</xdr:col>
      <xdr:colOff>133350</xdr:colOff>
      <xdr:row>100</xdr:row>
      <xdr:rowOff>38100</xdr:rowOff>
    </xdr:to>
    <xdr:cxnSp macro="">
      <xdr:nvCxnSpPr>
        <xdr:cNvPr id="218" name="AutoShape 580"/>
        <xdr:cNvCxnSpPr>
          <a:cxnSpLocks noChangeShapeType="1"/>
          <a:stCxn id="215" idx="3"/>
          <a:endCxn id="153" idx="1"/>
        </xdr:cNvCxnSpPr>
      </xdr:nvCxnSpPr>
      <xdr:spPr bwMode="auto">
        <a:xfrm>
          <a:off x="2943225" y="13411200"/>
          <a:ext cx="4933950" cy="2266950"/>
        </a:xfrm>
        <a:prstGeom prst="bentConnector3">
          <a:avLst>
            <a:gd name="adj1" fmla="val 30750"/>
          </a:avLst>
        </a:prstGeom>
        <a:noFill/>
        <a:ln w="9525">
          <a:solidFill>
            <a:srgbClr xmlns:mc="http://schemas.openxmlformats.org/markup-compatibility/2006" xmlns:a14="http://schemas.microsoft.com/office/drawing/2010/main" val="333333" mc:Ignorable="a14" a14:legacySpreadsheetColorIndex="63"/>
          </a:solidFill>
          <a:miter lim="800000"/>
          <a:headEnd type="oval"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xdr:col>
      <xdr:colOff>66675</xdr:colOff>
      <xdr:row>60</xdr:row>
      <xdr:rowOff>47625</xdr:rowOff>
    </xdr:from>
    <xdr:to>
      <xdr:col>18</xdr:col>
      <xdr:colOff>133350</xdr:colOff>
      <xdr:row>107</xdr:row>
      <xdr:rowOff>0</xdr:rowOff>
    </xdr:to>
    <xdr:cxnSp macro="">
      <xdr:nvCxnSpPr>
        <xdr:cNvPr id="219" name="AutoShape 581"/>
        <xdr:cNvCxnSpPr>
          <a:cxnSpLocks noChangeShapeType="1"/>
          <a:stCxn id="161" idx="3"/>
          <a:endCxn id="156" idx="1"/>
        </xdr:cNvCxnSpPr>
      </xdr:nvCxnSpPr>
      <xdr:spPr bwMode="auto">
        <a:xfrm>
          <a:off x="1543050" y="9505950"/>
          <a:ext cx="6334125" cy="7267575"/>
        </a:xfrm>
        <a:prstGeom prst="bentConnector3">
          <a:avLst>
            <a:gd name="adj1" fmla="val 44829"/>
          </a:avLst>
        </a:prstGeom>
        <a:noFill/>
        <a:ln w="9525">
          <a:solidFill>
            <a:srgbClr xmlns:mc="http://schemas.openxmlformats.org/markup-compatibility/2006" xmlns:a14="http://schemas.microsoft.com/office/drawing/2010/main" val="333333" mc:Ignorable="a14" a14:legacySpreadsheetColorIndex="63"/>
          </a:solidFill>
          <a:miter lim="800000"/>
          <a:headEnd type="oval"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18</xdr:col>
      <xdr:colOff>371475</xdr:colOff>
      <xdr:row>108</xdr:row>
      <xdr:rowOff>19050</xdr:rowOff>
    </xdr:from>
    <xdr:to>
      <xdr:col>19</xdr:col>
      <xdr:colOff>133350</xdr:colOff>
      <xdr:row>117</xdr:row>
      <xdr:rowOff>0</xdr:rowOff>
    </xdr:to>
    <xdr:cxnSp macro="">
      <xdr:nvCxnSpPr>
        <xdr:cNvPr id="220" name="AutoShape 582"/>
        <xdr:cNvCxnSpPr>
          <a:cxnSpLocks noChangeShapeType="1"/>
          <a:stCxn id="20" idx="0"/>
          <a:endCxn id="156" idx="2"/>
        </xdr:cNvCxnSpPr>
      </xdr:nvCxnSpPr>
      <xdr:spPr bwMode="auto">
        <a:xfrm rot="16200000">
          <a:off x="7515225" y="17554575"/>
          <a:ext cx="1409700" cy="209550"/>
        </a:xfrm>
        <a:prstGeom prst="bentConnector3">
          <a:avLst>
            <a:gd name="adj1" fmla="val 50000"/>
          </a:avLst>
        </a:prstGeom>
        <a:noFill/>
        <a:ln w="9525">
          <a:solidFill>
            <a:srgbClr xmlns:mc="http://schemas.openxmlformats.org/markup-compatibility/2006" xmlns:a14="http://schemas.microsoft.com/office/drawing/2010/main" val="333333" mc:Ignorable="a14" a14:legacySpreadsheetColorIndex="63"/>
          </a:solidFill>
          <a:miter lim="800000"/>
          <a:headEnd type="oval"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xdr:col>
      <xdr:colOff>66675</xdr:colOff>
      <xdr:row>53</xdr:row>
      <xdr:rowOff>85725</xdr:rowOff>
    </xdr:from>
    <xdr:to>
      <xdr:col>18</xdr:col>
      <xdr:colOff>133350</xdr:colOff>
      <xdr:row>107</xdr:row>
      <xdr:rowOff>0</xdr:rowOff>
    </xdr:to>
    <xdr:cxnSp macro="">
      <xdr:nvCxnSpPr>
        <xdr:cNvPr id="221" name="AutoShape 583"/>
        <xdr:cNvCxnSpPr>
          <a:cxnSpLocks noChangeShapeType="1"/>
          <a:stCxn id="158" idx="3"/>
          <a:endCxn id="156" idx="1"/>
        </xdr:cNvCxnSpPr>
      </xdr:nvCxnSpPr>
      <xdr:spPr bwMode="auto">
        <a:xfrm>
          <a:off x="1543050" y="8410575"/>
          <a:ext cx="6334125" cy="8362950"/>
        </a:xfrm>
        <a:prstGeom prst="bentConnector3">
          <a:avLst>
            <a:gd name="adj1" fmla="val 44310"/>
          </a:avLst>
        </a:prstGeom>
        <a:noFill/>
        <a:ln w="9525">
          <a:solidFill>
            <a:srgbClr xmlns:mc="http://schemas.openxmlformats.org/markup-compatibility/2006" xmlns:a14="http://schemas.microsoft.com/office/drawing/2010/main" val="333333" mc:Ignorable="a14" a14:legacySpreadsheetColorIndex="63"/>
          </a:solidFill>
          <a:miter lim="800000"/>
          <a:headEnd type="oval"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20</xdr:col>
      <xdr:colOff>120431</xdr:colOff>
      <xdr:row>15</xdr:row>
      <xdr:rowOff>98534</xdr:rowOff>
    </xdr:from>
    <xdr:to>
      <xdr:col>22</xdr:col>
      <xdr:colOff>110906</xdr:colOff>
      <xdr:row>18</xdr:row>
      <xdr:rowOff>148458</xdr:rowOff>
    </xdr:to>
    <xdr:sp macro="" textlink="">
      <xdr:nvSpPr>
        <xdr:cNvPr id="246" name="Text Box 395"/>
        <xdr:cNvSpPr txBox="1">
          <a:spLocks noChangeArrowheads="1" noTextEdit="1"/>
        </xdr:cNvSpPr>
      </xdr:nvSpPr>
      <xdr:spPr bwMode="auto">
        <a:xfrm>
          <a:off x="8714828" y="2233448"/>
          <a:ext cx="888233" cy="542596"/>
        </a:xfrm>
        <a:prstGeom prst="rect">
          <a:avLst/>
        </a:prstGeom>
        <a:solidFill>
          <a:schemeClr val="tx1">
            <a:lumMod val="95000"/>
            <a:lumOff val="5000"/>
          </a:schemeClr>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outerShdw dist="107763" dir="2700000" algn="ctr" rotWithShape="0">
            <a:srgbClr val="808080">
              <a:alpha val="50000"/>
            </a:srgbClr>
          </a:outerShdw>
        </a:effectLst>
      </xdr:spPr>
      <xdr:txBody>
        <a:bodyPr vertOverflow="clip" wrap="square" lIns="27432" tIns="22860" rIns="27432" bIns="22860" anchor="ctr" upright="1"/>
        <a:lstStyle/>
        <a:p>
          <a:pPr algn="ctr" rtl="0">
            <a:defRPr sz="1000"/>
          </a:pPr>
          <a:fld id="{41B66E52-E013-47B3-8134-E4A8D9B35030}" type="TxLink">
            <a:rPr lang="en-GB" sz="1000" b="0" i="0" u="none" strike="noStrike" baseline="0">
              <a:solidFill>
                <a:srgbClr val="FFFFFF"/>
              </a:solidFill>
              <a:latin typeface="Arial"/>
              <a:cs typeface="Arial"/>
            </a:rPr>
            <a:pPr algn="ctr" rtl="0">
              <a:defRPr sz="1000"/>
            </a:pPr>
            <a:t>Final Price</a:t>
          </a:fld>
          <a:endParaRPr lang="en-GB"/>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104775</xdr:colOff>
      <xdr:row>16</xdr:row>
      <xdr:rowOff>47625</xdr:rowOff>
    </xdr:from>
    <xdr:to>
      <xdr:col>7</xdr:col>
      <xdr:colOff>742950</xdr:colOff>
      <xdr:row>38</xdr:row>
      <xdr:rowOff>123825</xdr:rowOff>
    </xdr:to>
    <xdr:graphicFrame macro="">
      <xdr:nvGraphicFramePr>
        <xdr:cNvPr id="6"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xdr:from>
      <xdr:col>0</xdr:col>
      <xdr:colOff>200025</xdr:colOff>
      <xdr:row>35</xdr:row>
      <xdr:rowOff>37881</xdr:rowOff>
    </xdr:from>
    <xdr:to>
      <xdr:col>7</xdr:col>
      <xdr:colOff>538436</xdr:colOff>
      <xdr:row>37</xdr:row>
      <xdr:rowOff>138058</xdr:rowOff>
    </xdr:to>
    <xdr:grpSp>
      <xdr:nvGrpSpPr>
        <xdr:cNvPr id="7" name="Group 105"/>
        <xdr:cNvGrpSpPr>
          <a:grpSpLocks/>
        </xdr:cNvGrpSpPr>
      </xdr:nvGrpSpPr>
      <xdr:grpSpPr bwMode="auto">
        <a:xfrm>
          <a:off x="200025" y="5358743"/>
          <a:ext cx="5648325" cy="428625"/>
          <a:chOff x="21" y="558"/>
          <a:chExt cx="593" cy="45"/>
        </a:xfrm>
      </xdr:grpSpPr>
      <xdr:grpSp>
        <xdr:nvGrpSpPr>
          <xdr:cNvPr id="8" name="Group 95"/>
          <xdr:cNvGrpSpPr>
            <a:grpSpLocks/>
          </xdr:cNvGrpSpPr>
        </xdr:nvGrpSpPr>
        <xdr:grpSpPr bwMode="auto">
          <a:xfrm>
            <a:off x="113" y="558"/>
            <a:ext cx="136" cy="45"/>
            <a:chOff x="113" y="558"/>
            <a:chExt cx="136" cy="45"/>
          </a:xfrm>
        </xdr:grpSpPr>
        <mc:AlternateContent xmlns:mc="http://schemas.openxmlformats.org/markup-compatibility/2006">
          <mc:Choice xmlns:a14="http://schemas.microsoft.com/office/drawing/2010/main" Requires="a14">
            <xdr:sp macro="" textlink="">
              <xdr:nvSpPr>
                <xdr:cNvPr id="15362" name="Drop Down 2" hidden="1">
                  <a:extLst>
                    <a:ext uri="{63B3BB69-23CF-44E3-9099-C40C66FF867C}">
                      <a14:compatExt spid="_x0000_s15362"/>
                    </a:ext>
                  </a:extLst>
                </xdr:cNvPr>
                <xdr:cNvSpPr/>
              </xdr:nvSpPr>
              <xdr:spPr>
                <a:xfrm>
                  <a:off x="113" y="582"/>
                  <a:ext cx="136" cy="21"/>
                </a:xfrm>
                <a:prstGeom prst="rect">
                  <a:avLst/>
                </a:prstGeom>
              </xdr:spPr>
            </xdr:sp>
          </mc:Choice>
          <mc:Fallback/>
        </mc:AlternateContent>
        <xdr:sp macro="" textlink="">
          <xdr:nvSpPr>
            <xdr:cNvPr id="14" name="Text Box 80"/>
            <xdr:cNvSpPr txBox="1">
              <a:spLocks noChangeArrowheads="1"/>
            </xdr:cNvSpPr>
          </xdr:nvSpPr>
          <xdr:spPr bwMode="auto">
            <a:xfrm>
              <a:off x="114" y="558"/>
              <a:ext cx="132" cy="24"/>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0" rIns="27432" bIns="22860" anchor="b" upright="1"/>
            <a:lstStyle/>
            <a:p>
              <a:pPr algn="ctr" rtl="0">
                <a:defRPr sz="1000"/>
              </a:pPr>
              <a:r>
                <a:rPr lang="en-GB" sz="1000" b="1" i="0" u="sng" strike="noStrike" baseline="0">
                  <a:solidFill>
                    <a:srgbClr val="000000"/>
                  </a:solidFill>
                  <a:latin typeface="Arial"/>
                  <a:cs typeface="Arial"/>
                </a:rPr>
                <a:t>COST</a:t>
              </a:r>
              <a:endParaRPr lang="en-GB"/>
            </a:p>
          </xdr:txBody>
        </xdr:sp>
      </xdr:grpSp>
      <xdr:grpSp>
        <xdr:nvGrpSpPr>
          <xdr:cNvPr id="9" name="Group 94"/>
          <xdr:cNvGrpSpPr>
            <a:grpSpLocks/>
          </xdr:cNvGrpSpPr>
        </xdr:nvGrpSpPr>
        <xdr:grpSpPr bwMode="auto">
          <a:xfrm>
            <a:off x="478" y="558"/>
            <a:ext cx="136" cy="45"/>
            <a:chOff x="478" y="558"/>
            <a:chExt cx="136" cy="45"/>
          </a:xfrm>
        </xdr:grpSpPr>
        <mc:AlternateContent xmlns:mc="http://schemas.openxmlformats.org/markup-compatibility/2006">
          <mc:Choice xmlns:a14="http://schemas.microsoft.com/office/drawing/2010/main" Requires="a14">
            <xdr:sp macro="" textlink="">
              <xdr:nvSpPr>
                <xdr:cNvPr id="15363" name="Drop Down 3" hidden="1">
                  <a:extLst>
                    <a:ext uri="{63B3BB69-23CF-44E3-9099-C40C66FF867C}">
                      <a14:compatExt spid="_x0000_s15363"/>
                    </a:ext>
                  </a:extLst>
                </xdr:cNvPr>
                <xdr:cNvSpPr/>
              </xdr:nvSpPr>
              <xdr:spPr>
                <a:xfrm>
                  <a:off x="478" y="582"/>
                  <a:ext cx="136" cy="21"/>
                </a:xfrm>
                <a:prstGeom prst="rect">
                  <a:avLst/>
                </a:prstGeom>
              </xdr:spPr>
            </xdr:sp>
          </mc:Choice>
          <mc:Fallback/>
        </mc:AlternateContent>
        <xdr:sp macro="" textlink="">
          <xdr:nvSpPr>
            <xdr:cNvPr id="12" name="Text Box 82"/>
            <xdr:cNvSpPr txBox="1">
              <a:spLocks noChangeArrowheads="1"/>
            </xdr:cNvSpPr>
          </xdr:nvSpPr>
          <xdr:spPr bwMode="auto">
            <a:xfrm>
              <a:off x="478" y="558"/>
              <a:ext cx="136" cy="2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0" rIns="27432" bIns="22860" anchor="b" upright="1"/>
            <a:lstStyle/>
            <a:p>
              <a:pPr algn="ctr" rtl="0">
                <a:defRPr sz="1000"/>
              </a:pPr>
              <a:r>
                <a:rPr lang="en-GB" sz="1000" b="1" i="0" u="sng" strike="noStrike" baseline="0">
                  <a:solidFill>
                    <a:srgbClr val="000000"/>
                  </a:solidFill>
                  <a:latin typeface="Arial"/>
                  <a:cs typeface="Arial"/>
                </a:rPr>
                <a:t>PRICE</a:t>
              </a:r>
              <a:endParaRPr lang="en-GB"/>
            </a:p>
          </xdr:txBody>
        </xdr:sp>
      </xdr:grpSp>
      <mc:AlternateContent xmlns:mc="http://schemas.openxmlformats.org/markup-compatibility/2006">
        <mc:Choice xmlns:a14="http://schemas.microsoft.com/office/drawing/2010/main" Requires="a14">
          <xdr:sp macro="" textlink="">
            <xdr:nvSpPr>
              <xdr:cNvPr id="15364" name="Button 4" hidden="1">
                <a:extLst>
                  <a:ext uri="{63B3BB69-23CF-44E3-9099-C40C66FF867C}">
                    <a14:compatExt spid="_x0000_s15364"/>
                  </a:ext>
                </a:extLst>
              </xdr:cNvPr>
              <xdr:cNvSpPr/>
            </xdr:nvSpPr>
            <xdr:spPr>
              <a:xfrm>
                <a:off x="21" y="558"/>
                <a:ext cx="59" cy="44"/>
              </a:xfrm>
              <a:prstGeom prst="rect">
                <a:avLst/>
              </a:prstGeom>
            </xdr:spPr>
            <xdr:txBody>
              <a:bodyPr vertOverflow="clip" wrap="square" lIns="27432" tIns="22860" rIns="27432" bIns="22860" anchor="ctr" upright="1"/>
              <a:lstStyle/>
              <a:p>
                <a:pPr algn="ctr" rtl="0">
                  <a:defRPr sz="1000"/>
                </a:pPr>
                <a:r>
                  <a:rPr lang="en-GB" sz="900" b="0" i="0" u="none" strike="noStrike" baseline="0">
                    <a:solidFill>
                      <a:srgbClr val="000000"/>
                    </a:solidFill>
                    <a:latin typeface="Arial"/>
                    <a:cs typeface="Arial"/>
                  </a:rPr>
                  <a:t>Re-Set Graph</a:t>
                </a:r>
              </a:p>
            </xdr:txBody>
          </xdr:sp>
        </mc:Choice>
        <mc:Fallback/>
      </mc:AlternateContent>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Jack/Desktop/Modelling%20book_ja/Book1/IPM_Pricing_v1.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nstructions &amp; Notes"/>
      <sheetName val="Styles"/>
      <sheetName val="Contents"/>
      <sheetName val="Model Logic"/>
      <sheetName val="Error Checks"/>
      <sheetName val="Constants"/>
      <sheetName val="Timelines"/>
      <sheetName val="Main Input"/>
      <sheetName val="Conversion"/>
      <sheetName val="Capital"/>
      <sheetName val="Cost Plus"/>
      <sheetName val="Customer Charges"/>
      <sheetName val="Profile before CoM"/>
      <sheetName val="CoM"/>
      <sheetName val="Profile with CoM"/>
      <sheetName val="Final Price"/>
      <sheetName val="Service Prices"/>
      <sheetName val="Financial Dashboard"/>
      <sheetName val="Interface"/>
      <sheetName val="Audit"/>
      <sheetName val="Change Control"/>
      <sheetName val="End"/>
      <sheetName val="IPM_Pricing_v1.2"/>
    </sheetNames>
    <sheetDataSet>
      <sheetData sheetId="0"/>
      <sheetData sheetId="1">
        <row r="1">
          <cell r="A1" t="str">
            <v>IPM_Pricing_v1.2.xlsm</v>
          </cell>
        </row>
      </sheetData>
      <sheetData sheetId="2">
        <row r="4">
          <cell r="A4" t="str">
            <v>Styles</v>
          </cell>
        </row>
      </sheetData>
      <sheetData sheetId="3">
        <row r="4">
          <cell r="A4" t="str">
            <v>Contents</v>
          </cell>
        </row>
      </sheetData>
      <sheetData sheetId="4">
        <row r="4">
          <cell r="A4" t="str">
            <v>Model Logic</v>
          </cell>
        </row>
      </sheetData>
      <sheetData sheetId="5">
        <row r="1">
          <cell r="E1">
            <v>0</v>
          </cell>
        </row>
      </sheetData>
      <sheetData sheetId="6">
        <row r="4">
          <cell r="A4" t="str">
            <v>Constants</v>
          </cell>
        </row>
        <row r="243">
          <cell r="F243" t="str">
            <v>Contingency</v>
          </cell>
        </row>
        <row r="244">
          <cell r="F244" t="str">
            <v>Hardware</v>
          </cell>
        </row>
        <row r="245">
          <cell r="F245" t="str">
            <v>Hardware Maint</v>
          </cell>
        </row>
        <row r="246">
          <cell r="F246" t="str">
            <v>Infrastructure</v>
          </cell>
        </row>
        <row r="247">
          <cell r="F247" t="str">
            <v>Labour</v>
          </cell>
        </row>
        <row r="248">
          <cell r="F248" t="str">
            <v>Data Network</v>
          </cell>
        </row>
        <row r="249">
          <cell r="F249" t="str">
            <v>Other</v>
          </cell>
        </row>
        <row r="250">
          <cell r="F250" t="str">
            <v>Pass through</v>
          </cell>
        </row>
        <row r="251">
          <cell r="F251" t="str">
            <v>Software</v>
          </cell>
        </row>
        <row r="252">
          <cell r="F252" t="str">
            <v>Software Maint</v>
          </cell>
        </row>
        <row r="253">
          <cell r="F253" t="str">
            <v>Third Party</v>
          </cell>
        </row>
      </sheetData>
      <sheetData sheetId="7">
        <row r="4">
          <cell r="A4" t="str">
            <v>Timelines</v>
          </cell>
        </row>
        <row r="21">
          <cell r="AF21">
            <v>39722</v>
          </cell>
          <cell r="AG21">
            <v>39753</v>
          </cell>
          <cell r="AH21">
            <v>39783</v>
          </cell>
          <cell r="AI21">
            <v>39814</v>
          </cell>
          <cell r="AJ21">
            <v>39845</v>
          </cell>
          <cell r="AK21">
            <v>39873</v>
          </cell>
          <cell r="AL21">
            <v>39904</v>
          </cell>
          <cell r="AM21">
            <v>39934</v>
          </cell>
          <cell r="AN21">
            <v>39965</v>
          </cell>
          <cell r="AO21">
            <v>39995</v>
          </cell>
          <cell r="AP21">
            <v>40026</v>
          </cell>
          <cell r="AQ21">
            <v>40057</v>
          </cell>
          <cell r="AR21">
            <v>40087</v>
          </cell>
          <cell r="AS21">
            <v>40118</v>
          </cell>
          <cell r="AT21">
            <v>40148</v>
          </cell>
          <cell r="AU21">
            <v>40179</v>
          </cell>
          <cell r="AV21">
            <v>40210</v>
          </cell>
          <cell r="AW21">
            <v>40238</v>
          </cell>
          <cell r="AX21">
            <v>40269</v>
          </cell>
          <cell r="AY21">
            <v>40299</v>
          </cell>
          <cell r="AZ21">
            <v>40330</v>
          </cell>
          <cell r="BA21">
            <v>40360</v>
          </cell>
          <cell r="BB21">
            <v>40391</v>
          </cell>
          <cell r="BC21">
            <v>40422</v>
          </cell>
          <cell r="BD21">
            <v>40452</v>
          </cell>
          <cell r="BE21">
            <v>40483</v>
          </cell>
          <cell r="BF21">
            <v>40513</v>
          </cell>
          <cell r="BG21">
            <v>40544</v>
          </cell>
          <cell r="BH21">
            <v>40575</v>
          </cell>
          <cell r="BI21">
            <v>40603</v>
          </cell>
          <cell r="BJ21">
            <v>40634</v>
          </cell>
          <cell r="BK21">
            <v>40664</v>
          </cell>
          <cell r="BL21">
            <v>40695</v>
          </cell>
          <cell r="BM21">
            <v>40725</v>
          </cell>
          <cell r="BN21">
            <v>40756</v>
          </cell>
          <cell r="BO21">
            <v>40787</v>
          </cell>
          <cell r="BP21">
            <v>40817</v>
          </cell>
          <cell r="BQ21">
            <v>40848</v>
          </cell>
          <cell r="BR21">
            <v>40878</v>
          </cell>
          <cell r="BS21">
            <v>40909</v>
          </cell>
          <cell r="BT21">
            <v>40940</v>
          </cell>
          <cell r="BU21">
            <v>40969</v>
          </cell>
          <cell r="BV21">
            <v>41000</v>
          </cell>
          <cell r="BW21">
            <v>41030</v>
          </cell>
          <cell r="BX21">
            <v>41061</v>
          </cell>
          <cell r="BY21">
            <v>41091</v>
          </cell>
          <cell r="BZ21">
            <v>41122</v>
          </cell>
          <cell r="CA21">
            <v>41153</v>
          </cell>
          <cell r="CB21">
            <v>41183</v>
          </cell>
          <cell r="CC21">
            <v>41214</v>
          </cell>
          <cell r="CD21">
            <v>41244</v>
          </cell>
          <cell r="CE21">
            <v>41275</v>
          </cell>
          <cell r="CF21">
            <v>41306</v>
          </cell>
          <cell r="CG21">
            <v>41334</v>
          </cell>
          <cell r="CH21">
            <v>41365</v>
          </cell>
          <cell r="CI21">
            <v>41395</v>
          </cell>
          <cell r="CJ21">
            <v>41426</v>
          </cell>
          <cell r="CK21">
            <v>41456</v>
          </cell>
          <cell r="CL21">
            <v>41487</v>
          </cell>
          <cell r="CM21">
            <v>41518</v>
          </cell>
          <cell r="CN21">
            <v>41548</v>
          </cell>
          <cell r="CO21">
            <v>41579</v>
          </cell>
          <cell r="CP21">
            <v>41609</v>
          </cell>
          <cell r="CQ21">
            <v>41640</v>
          </cell>
          <cell r="CR21">
            <v>41671</v>
          </cell>
          <cell r="CS21">
            <v>41699</v>
          </cell>
          <cell r="CT21">
            <v>41730</v>
          </cell>
          <cell r="CU21">
            <v>41760</v>
          </cell>
          <cell r="CV21">
            <v>41791</v>
          </cell>
          <cell r="CW21">
            <v>41821</v>
          </cell>
          <cell r="CX21">
            <v>41852</v>
          </cell>
          <cell r="CY21">
            <v>41883</v>
          </cell>
          <cell r="CZ21">
            <v>41913</v>
          </cell>
          <cell r="DA21">
            <v>41944</v>
          </cell>
          <cell r="DB21">
            <v>41974</v>
          </cell>
          <cell r="DC21">
            <v>42005</v>
          </cell>
          <cell r="DD21">
            <v>42036</v>
          </cell>
          <cell r="DE21">
            <v>42064</v>
          </cell>
          <cell r="DF21">
            <v>42095</v>
          </cell>
          <cell r="DG21">
            <v>42125</v>
          </cell>
          <cell r="DH21">
            <v>42156</v>
          </cell>
          <cell r="DI21">
            <v>42186</v>
          </cell>
          <cell r="DJ21">
            <v>42217</v>
          </cell>
          <cell r="DK21">
            <v>42248</v>
          </cell>
          <cell r="DL21">
            <v>42278</v>
          </cell>
          <cell r="DM21">
            <v>42309</v>
          </cell>
          <cell r="DN21">
            <v>42339</v>
          </cell>
          <cell r="DO21">
            <v>42370</v>
          </cell>
          <cell r="DP21">
            <v>42401</v>
          </cell>
          <cell r="DQ21">
            <v>42430</v>
          </cell>
          <cell r="DR21">
            <v>42461</v>
          </cell>
          <cell r="DS21">
            <v>42491</v>
          </cell>
          <cell r="DT21">
            <v>42522</v>
          </cell>
          <cell r="DU21">
            <v>42552</v>
          </cell>
          <cell r="DV21">
            <v>42583</v>
          </cell>
          <cell r="DW21">
            <v>42614</v>
          </cell>
          <cell r="DX21">
            <v>42644</v>
          </cell>
          <cell r="DY21">
            <v>42675</v>
          </cell>
          <cell r="DZ21">
            <v>42705</v>
          </cell>
          <cell r="EA21">
            <v>42736</v>
          </cell>
          <cell r="EB21">
            <v>42767</v>
          </cell>
          <cell r="EC21">
            <v>42795</v>
          </cell>
          <cell r="ED21">
            <v>42826</v>
          </cell>
          <cell r="EE21">
            <v>42856</v>
          </cell>
          <cell r="EF21">
            <v>42887</v>
          </cell>
          <cell r="EG21">
            <v>42917</v>
          </cell>
          <cell r="EH21">
            <v>42948</v>
          </cell>
          <cell r="EI21">
            <v>42979</v>
          </cell>
          <cell r="EJ21">
            <v>43009</v>
          </cell>
          <cell r="EK21">
            <v>43040</v>
          </cell>
          <cell r="EL21">
            <v>43070</v>
          </cell>
          <cell r="EM21">
            <v>43101</v>
          </cell>
          <cell r="EN21">
            <v>43132</v>
          </cell>
          <cell r="EO21">
            <v>43160</v>
          </cell>
          <cell r="EP21">
            <v>43191</v>
          </cell>
          <cell r="EQ21">
            <v>43221</v>
          </cell>
          <cell r="ER21">
            <v>43252</v>
          </cell>
          <cell r="ES21">
            <v>43282</v>
          </cell>
          <cell r="ET21">
            <v>43313</v>
          </cell>
          <cell r="EU21">
            <v>43344</v>
          </cell>
          <cell r="EV21">
            <v>43374</v>
          </cell>
          <cell r="EW21">
            <v>43405</v>
          </cell>
          <cell r="EX21">
            <v>43435</v>
          </cell>
        </row>
      </sheetData>
      <sheetData sheetId="8">
        <row r="4">
          <cell r="A4" t="str">
            <v>Main Input</v>
          </cell>
        </row>
      </sheetData>
      <sheetData sheetId="9">
        <row r="4">
          <cell r="A4" t="str">
            <v>Conversion</v>
          </cell>
        </row>
        <row r="5">
          <cell r="AF5" t="str">
            <v>Year 0</v>
          </cell>
          <cell r="AG5" t="str">
            <v>Year 0</v>
          </cell>
          <cell r="AH5" t="str">
            <v>Year 0</v>
          </cell>
          <cell r="AI5" t="str">
            <v>Q1</v>
          </cell>
          <cell r="AJ5" t="str">
            <v>Q1</v>
          </cell>
          <cell r="AK5" t="str">
            <v>Q1</v>
          </cell>
          <cell r="AL5" t="str">
            <v>Q2</v>
          </cell>
          <cell r="AM5" t="str">
            <v>Q2</v>
          </cell>
          <cell r="AN5" t="str">
            <v>Q2</v>
          </cell>
          <cell r="AO5" t="str">
            <v>Q3</v>
          </cell>
          <cell r="AP5" t="str">
            <v>Q3</v>
          </cell>
          <cell r="AQ5" t="str">
            <v>Q3</v>
          </cell>
          <cell r="AR5" t="str">
            <v>Q4</v>
          </cell>
          <cell r="AS5" t="str">
            <v>Q4</v>
          </cell>
          <cell r="AT5" t="str">
            <v>Q4</v>
          </cell>
          <cell r="AU5" t="str">
            <v>Year 2</v>
          </cell>
          <cell r="AV5" t="str">
            <v>Year 2</v>
          </cell>
          <cell r="AW5" t="str">
            <v>Year 2</v>
          </cell>
          <cell r="AX5" t="str">
            <v>Year 2</v>
          </cell>
          <cell r="AY5" t="str">
            <v>Year 2</v>
          </cell>
          <cell r="AZ5" t="str">
            <v>Year 2</v>
          </cell>
          <cell r="BA5" t="str">
            <v>Year 2</v>
          </cell>
          <cell r="BB5" t="str">
            <v>Year 2</v>
          </cell>
          <cell r="BC5" t="str">
            <v>Year 2</v>
          </cell>
          <cell r="BD5" t="str">
            <v>Year 2</v>
          </cell>
          <cell r="BE5" t="str">
            <v>Year 2</v>
          </cell>
          <cell r="BF5" t="str">
            <v>Year 2</v>
          </cell>
          <cell r="BG5" t="str">
            <v>Year 3</v>
          </cell>
          <cell r="BH5" t="str">
            <v>Year 3</v>
          </cell>
          <cell r="BI5" t="str">
            <v>Year 3</v>
          </cell>
          <cell r="BJ5" t="str">
            <v>Year 3</v>
          </cell>
          <cell r="BK5" t="str">
            <v>Year 3</v>
          </cell>
          <cell r="BL5" t="str">
            <v>Year 3</v>
          </cell>
          <cell r="BM5" t="str">
            <v>Year 3</v>
          </cell>
          <cell r="BN5" t="str">
            <v>Year 3</v>
          </cell>
          <cell r="BO5" t="str">
            <v>Year 3</v>
          </cell>
          <cell r="BP5" t="str">
            <v>Year 3</v>
          </cell>
          <cell r="BQ5" t="str">
            <v>Year 3</v>
          </cell>
          <cell r="BR5" t="str">
            <v>Year 3</v>
          </cell>
          <cell r="BS5" t="str">
            <v>Year 4</v>
          </cell>
          <cell r="BT5" t="str">
            <v>Year 4</v>
          </cell>
          <cell r="BU5" t="str">
            <v>Year 4</v>
          </cell>
          <cell r="BV5" t="str">
            <v>Year 4</v>
          </cell>
          <cell r="BW5" t="str">
            <v>Year 4</v>
          </cell>
          <cell r="BX5" t="str">
            <v>Year 4</v>
          </cell>
          <cell r="BY5" t="str">
            <v>Year 4</v>
          </cell>
          <cell r="BZ5" t="str">
            <v>Year 4</v>
          </cell>
          <cell r="CA5" t="str">
            <v>Year 4</v>
          </cell>
          <cell r="CB5" t="str">
            <v>Year 4</v>
          </cell>
          <cell r="CC5" t="str">
            <v>Year 4</v>
          </cell>
          <cell r="CD5" t="str">
            <v>Year 4</v>
          </cell>
          <cell r="CE5" t="str">
            <v>Year 5</v>
          </cell>
          <cell r="CF5" t="str">
            <v>Year 5</v>
          </cell>
          <cell r="CG5" t="str">
            <v>Year 5</v>
          </cell>
          <cell r="CH5" t="str">
            <v>Year 5</v>
          </cell>
          <cell r="CI5" t="str">
            <v>Year 5</v>
          </cell>
          <cell r="CJ5" t="str">
            <v>Year 5</v>
          </cell>
          <cell r="CK5" t="str">
            <v>Year 5</v>
          </cell>
          <cell r="CL5" t="str">
            <v>Year 5</v>
          </cell>
          <cell r="CM5" t="str">
            <v>Year 5</v>
          </cell>
          <cell r="CN5" t="str">
            <v>Year 5</v>
          </cell>
          <cell r="CO5" t="str">
            <v>Year 5</v>
          </cell>
          <cell r="CP5" t="str">
            <v>Year 5</v>
          </cell>
          <cell r="CQ5" t="str">
            <v>Year 6</v>
          </cell>
          <cell r="CR5" t="str">
            <v>Year 6</v>
          </cell>
          <cell r="CS5" t="str">
            <v>Year 6</v>
          </cell>
          <cell r="CT5" t="str">
            <v>Year 6</v>
          </cell>
          <cell r="CU5" t="str">
            <v>Year 6</v>
          </cell>
          <cell r="CV5" t="str">
            <v>Year 6</v>
          </cell>
          <cell r="CW5" t="str">
            <v>Year 6</v>
          </cell>
          <cell r="CX5" t="str">
            <v>Year 6</v>
          </cell>
          <cell r="CY5" t="str">
            <v>Year 6</v>
          </cell>
          <cell r="CZ5" t="str">
            <v>Year 6</v>
          </cell>
          <cell r="DA5" t="str">
            <v>Year 6</v>
          </cell>
          <cell r="DB5" t="str">
            <v>Year 6</v>
          </cell>
          <cell r="DC5" t="str">
            <v>Year 7</v>
          </cell>
          <cell r="DD5" t="str">
            <v>Year 7</v>
          </cell>
          <cell r="DE5" t="str">
            <v>Year 7</v>
          </cell>
          <cell r="DF5" t="str">
            <v>Year 7</v>
          </cell>
          <cell r="DG5" t="str">
            <v>Year 7</v>
          </cell>
          <cell r="DH5" t="str">
            <v>Year 7</v>
          </cell>
          <cell r="DI5" t="str">
            <v>Year 7</v>
          </cell>
          <cell r="DJ5" t="str">
            <v>Year 7</v>
          </cell>
          <cell r="DK5" t="str">
            <v>Year 7</v>
          </cell>
          <cell r="DL5" t="str">
            <v>Year 7</v>
          </cell>
          <cell r="DM5" t="str">
            <v>Year 7</v>
          </cell>
          <cell r="DN5" t="str">
            <v>Year 7</v>
          </cell>
          <cell r="DO5" t="str">
            <v>Year 8</v>
          </cell>
          <cell r="DP5" t="str">
            <v>Year 8</v>
          </cell>
          <cell r="DQ5" t="str">
            <v>Year 8</v>
          </cell>
          <cell r="DR5" t="str">
            <v>Year 8</v>
          </cell>
          <cell r="DS5" t="str">
            <v>Year 8</v>
          </cell>
          <cell r="DT5" t="str">
            <v>Year 8</v>
          </cell>
          <cell r="DU5" t="str">
            <v>Year 8</v>
          </cell>
          <cell r="DV5" t="str">
            <v>Year 8</v>
          </cell>
          <cell r="DW5" t="str">
            <v>Year 8</v>
          </cell>
          <cell r="DX5" t="str">
            <v>Year 8</v>
          </cell>
          <cell r="DY5" t="str">
            <v>Year 8</v>
          </cell>
          <cell r="DZ5" t="str">
            <v>Year 8</v>
          </cell>
          <cell r="EA5" t="str">
            <v>Year 9</v>
          </cell>
          <cell r="EB5" t="str">
            <v>Year 9</v>
          </cell>
          <cell r="EC5" t="str">
            <v>Year 9</v>
          </cell>
          <cell r="ED5" t="str">
            <v>Year 9</v>
          </cell>
          <cell r="EE5" t="str">
            <v>Year 9</v>
          </cell>
          <cell r="EF5" t="str">
            <v>Year 9</v>
          </cell>
          <cell r="EG5" t="str">
            <v>Year 9</v>
          </cell>
          <cell r="EH5" t="str">
            <v>Year 9</v>
          </cell>
          <cell r="EI5" t="str">
            <v>Year 9</v>
          </cell>
          <cell r="EJ5" t="str">
            <v>Year 9</v>
          </cell>
          <cell r="EK5" t="str">
            <v>Year 9</v>
          </cell>
          <cell r="EL5" t="str">
            <v>Year 9</v>
          </cell>
          <cell r="EM5" t="str">
            <v>Year 10</v>
          </cell>
          <cell r="EN5" t="str">
            <v>Year 10</v>
          </cell>
          <cell r="EO5" t="str">
            <v>Year 10</v>
          </cell>
          <cell r="EP5" t="str">
            <v>Year 10</v>
          </cell>
          <cell r="EQ5" t="str">
            <v>Year 10</v>
          </cell>
          <cell r="ER5" t="str">
            <v>Year 10</v>
          </cell>
          <cell r="ES5" t="str">
            <v>Year 10</v>
          </cell>
          <cell r="ET5" t="str">
            <v>Year 10</v>
          </cell>
          <cell r="EU5" t="str">
            <v>Year 10</v>
          </cell>
          <cell r="EV5" t="str">
            <v>Year 10</v>
          </cell>
          <cell r="EW5" t="str">
            <v>Year 10</v>
          </cell>
          <cell r="EX5" t="str">
            <v>Year 10</v>
          </cell>
          <cell r="EY5">
            <v>0</v>
          </cell>
        </row>
        <row r="14">
          <cell r="C14">
            <v>0</v>
          </cell>
          <cell r="AE14">
            <v>0</v>
          </cell>
        </row>
        <row r="15">
          <cell r="C15" t="str">
            <v>Third Party</v>
          </cell>
          <cell r="AE15">
            <v>313600</v>
          </cell>
        </row>
        <row r="16">
          <cell r="C16" t="str">
            <v>Hardware</v>
          </cell>
          <cell r="AE16">
            <v>1571877.6629119997</v>
          </cell>
        </row>
        <row r="17">
          <cell r="C17" t="str">
            <v>Hardware</v>
          </cell>
          <cell r="AE17">
            <v>1726679.4452319997</v>
          </cell>
        </row>
        <row r="18">
          <cell r="C18" t="str">
            <v>Labour</v>
          </cell>
          <cell r="AE18">
            <v>79200</v>
          </cell>
        </row>
        <row r="19">
          <cell r="C19" t="str">
            <v>Labour</v>
          </cell>
          <cell r="AE19">
            <v>7280</v>
          </cell>
        </row>
        <row r="20">
          <cell r="C20" t="str">
            <v>Labour</v>
          </cell>
          <cell r="AE20">
            <v>37125</v>
          </cell>
        </row>
        <row r="21">
          <cell r="C21" t="str">
            <v>Labour</v>
          </cell>
          <cell r="AE21">
            <v>4764</v>
          </cell>
        </row>
        <row r="22">
          <cell r="C22" t="str">
            <v>Labour</v>
          </cell>
          <cell r="AE22">
            <v>3063909.8684409615</v>
          </cell>
        </row>
        <row r="23">
          <cell r="C23" t="str">
            <v>Labour</v>
          </cell>
          <cell r="AE23">
            <v>9191729.6053228863</v>
          </cell>
        </row>
        <row r="24">
          <cell r="C24" t="str">
            <v>Pass through</v>
          </cell>
          <cell r="AE24">
            <v>2296494.6767576472</v>
          </cell>
        </row>
        <row r="25">
          <cell r="C25" t="str">
            <v>Pass through</v>
          </cell>
          <cell r="AE25">
            <v>1872248.3663863405</v>
          </cell>
        </row>
        <row r="26">
          <cell r="C26" t="str">
            <v>Third Party</v>
          </cell>
          <cell r="AE26">
            <v>42298.875</v>
          </cell>
        </row>
        <row r="27">
          <cell r="C27" t="str">
            <v>Third Party</v>
          </cell>
          <cell r="AE27">
            <v>21492</v>
          </cell>
        </row>
        <row r="28">
          <cell r="C28" t="str">
            <v>Third Party</v>
          </cell>
          <cell r="AE28">
            <v>21492</v>
          </cell>
        </row>
        <row r="29">
          <cell r="C29" t="str">
            <v>Third Party</v>
          </cell>
          <cell r="AE29">
            <v>30672</v>
          </cell>
        </row>
        <row r="30">
          <cell r="C30" t="str">
            <v>Third Party</v>
          </cell>
          <cell r="AE30">
            <v>42984</v>
          </cell>
        </row>
        <row r="31">
          <cell r="C31" t="str">
            <v>Third Party</v>
          </cell>
          <cell r="AE31">
            <v>53730</v>
          </cell>
        </row>
        <row r="32">
          <cell r="C32" t="str">
            <v>Third Party</v>
          </cell>
          <cell r="AE32">
            <v>30672</v>
          </cell>
        </row>
        <row r="33">
          <cell r="C33" t="str">
            <v>Third Party</v>
          </cell>
          <cell r="AE33">
            <v>30672</v>
          </cell>
        </row>
        <row r="34">
          <cell r="C34" t="str">
            <v>Third Party</v>
          </cell>
          <cell r="AE34">
            <v>30672</v>
          </cell>
        </row>
        <row r="35">
          <cell r="C35" t="str">
            <v>Labour</v>
          </cell>
          <cell r="AE35">
            <v>42984</v>
          </cell>
        </row>
        <row r="36">
          <cell r="C36" t="str">
            <v>Labour</v>
          </cell>
          <cell r="AE36">
            <v>21778.559999999998</v>
          </cell>
        </row>
        <row r="37">
          <cell r="C37" t="str">
            <v>Labour</v>
          </cell>
          <cell r="AE37">
            <v>7307.28</v>
          </cell>
        </row>
        <row r="38">
          <cell r="C38" t="str">
            <v>Labour</v>
          </cell>
          <cell r="AE38">
            <v>24797.520000000004</v>
          </cell>
        </row>
        <row r="39">
          <cell r="C39" t="str">
            <v>Labour</v>
          </cell>
          <cell r="AE39">
            <v>24797.520000000004</v>
          </cell>
        </row>
        <row r="40">
          <cell r="C40" t="str">
            <v>Labour</v>
          </cell>
          <cell r="AE40">
            <v>24797.520000000004</v>
          </cell>
        </row>
        <row r="41">
          <cell r="C41" t="str">
            <v>Data Network</v>
          </cell>
          <cell r="AE41">
            <v>344260</v>
          </cell>
        </row>
        <row r="42">
          <cell r="C42" t="str">
            <v>Data Network</v>
          </cell>
          <cell r="AE42">
            <v>188172</v>
          </cell>
        </row>
        <row r="43">
          <cell r="C43" t="str">
            <v>Data Network</v>
          </cell>
          <cell r="AE43">
            <v>254895</v>
          </cell>
        </row>
        <row r="44">
          <cell r="C44" t="str">
            <v>Infrastructure</v>
          </cell>
          <cell r="AE44">
            <v>241500</v>
          </cell>
        </row>
        <row r="45">
          <cell r="C45" t="str">
            <v>Software</v>
          </cell>
          <cell r="AE45">
            <v>60375</v>
          </cell>
        </row>
        <row r="46">
          <cell r="C46" t="str">
            <v>Data Network</v>
          </cell>
          <cell r="AE46">
            <v>344260</v>
          </cell>
        </row>
        <row r="47">
          <cell r="C47" t="str">
            <v>Data Network</v>
          </cell>
          <cell r="AE47">
            <v>188172</v>
          </cell>
        </row>
        <row r="48">
          <cell r="C48" t="str">
            <v>Data Network</v>
          </cell>
          <cell r="AE48">
            <v>254895</v>
          </cell>
        </row>
        <row r="49">
          <cell r="C49" t="str">
            <v>Infrastructure</v>
          </cell>
          <cell r="AE49">
            <v>362250</v>
          </cell>
        </row>
        <row r="50">
          <cell r="C50" t="str">
            <v>Software</v>
          </cell>
          <cell r="AE50">
            <v>60375</v>
          </cell>
        </row>
        <row r="51">
          <cell r="C51" t="str">
            <v>Hardware</v>
          </cell>
          <cell r="AE51">
            <v>108267.73200000002</v>
          </cell>
        </row>
        <row r="52">
          <cell r="C52" t="str">
            <v>Hardware Maint</v>
          </cell>
          <cell r="AE52">
            <v>1274366.3285794372</v>
          </cell>
        </row>
        <row r="53">
          <cell r="C53" t="str">
            <v>Third Party</v>
          </cell>
          <cell r="AE53">
            <v>192480.25</v>
          </cell>
        </row>
        <row r="54">
          <cell r="C54" t="str">
            <v>Software</v>
          </cell>
          <cell r="AE54">
            <v>600000</v>
          </cell>
        </row>
        <row r="55">
          <cell r="C55" t="str">
            <v>Third Party</v>
          </cell>
          <cell r="AE55">
            <v>260038</v>
          </cell>
        </row>
        <row r="56">
          <cell r="C56" t="str">
            <v>Labour</v>
          </cell>
          <cell r="AE56">
            <v>15650</v>
          </cell>
        </row>
        <row r="57">
          <cell r="C57" t="str">
            <v>Labour</v>
          </cell>
          <cell r="AE57">
            <v>15650</v>
          </cell>
        </row>
        <row r="58">
          <cell r="C58" t="str">
            <v>Labour</v>
          </cell>
          <cell r="AE58">
            <v>15650</v>
          </cell>
        </row>
        <row r="59">
          <cell r="C59" t="str">
            <v>Labour</v>
          </cell>
          <cell r="AE59">
            <v>15650</v>
          </cell>
        </row>
        <row r="60">
          <cell r="C60" t="str">
            <v>Labour</v>
          </cell>
          <cell r="AE60">
            <v>15650</v>
          </cell>
        </row>
        <row r="61">
          <cell r="C61" t="str">
            <v>Labour</v>
          </cell>
          <cell r="AE61">
            <v>15650</v>
          </cell>
        </row>
        <row r="62">
          <cell r="C62" t="str">
            <v>Labour</v>
          </cell>
          <cell r="AE62">
            <v>15650</v>
          </cell>
        </row>
        <row r="63">
          <cell r="C63" t="str">
            <v>Labour</v>
          </cell>
          <cell r="AE63">
            <v>15650</v>
          </cell>
        </row>
        <row r="64">
          <cell r="C64" t="str">
            <v>Labour</v>
          </cell>
          <cell r="AE64">
            <v>15650</v>
          </cell>
        </row>
        <row r="65">
          <cell r="C65" t="str">
            <v>Labour</v>
          </cell>
          <cell r="AE65">
            <v>15650</v>
          </cell>
        </row>
        <row r="66">
          <cell r="C66" t="str">
            <v>Labour</v>
          </cell>
          <cell r="AE66">
            <v>15650</v>
          </cell>
        </row>
        <row r="67">
          <cell r="C67" t="str">
            <v>Labour</v>
          </cell>
          <cell r="AE67">
            <v>15650</v>
          </cell>
        </row>
        <row r="68">
          <cell r="C68" t="str">
            <v>Labour</v>
          </cell>
          <cell r="AE68">
            <v>15650</v>
          </cell>
        </row>
        <row r="69">
          <cell r="C69" t="str">
            <v>Labour</v>
          </cell>
          <cell r="AE69">
            <v>15650</v>
          </cell>
        </row>
        <row r="70">
          <cell r="C70" t="str">
            <v>Labour</v>
          </cell>
          <cell r="AE70">
            <v>14085</v>
          </cell>
        </row>
        <row r="71">
          <cell r="C71" t="str">
            <v>Labour</v>
          </cell>
          <cell r="AE71">
            <v>14085</v>
          </cell>
        </row>
        <row r="72">
          <cell r="C72" t="str">
            <v>Labour</v>
          </cell>
          <cell r="AE72">
            <v>14085</v>
          </cell>
        </row>
        <row r="73">
          <cell r="C73" t="str">
            <v>Labour</v>
          </cell>
          <cell r="AE73">
            <v>14085</v>
          </cell>
        </row>
        <row r="74">
          <cell r="C74" t="str">
            <v>Labour</v>
          </cell>
          <cell r="AE74">
            <v>17215</v>
          </cell>
        </row>
        <row r="75">
          <cell r="C75" t="str">
            <v>Labour</v>
          </cell>
          <cell r="AE75">
            <v>15650</v>
          </cell>
        </row>
        <row r="76">
          <cell r="C76" t="str">
            <v>Labour</v>
          </cell>
          <cell r="AE76">
            <v>15650</v>
          </cell>
        </row>
        <row r="77">
          <cell r="C77" t="str">
            <v>Labour</v>
          </cell>
          <cell r="AE77">
            <v>15650</v>
          </cell>
        </row>
        <row r="78">
          <cell r="C78" t="str">
            <v>Labour</v>
          </cell>
          <cell r="AE78">
            <v>15650</v>
          </cell>
        </row>
        <row r="79">
          <cell r="C79" t="str">
            <v>Third Party</v>
          </cell>
          <cell r="AE79">
            <v>45000</v>
          </cell>
        </row>
        <row r="80">
          <cell r="C80" t="str">
            <v>Third Party</v>
          </cell>
          <cell r="AE80">
            <v>45000</v>
          </cell>
        </row>
        <row r="81">
          <cell r="C81" t="str">
            <v>Third Party</v>
          </cell>
          <cell r="AE81">
            <v>45000</v>
          </cell>
        </row>
        <row r="82">
          <cell r="C82" t="str">
            <v>Labour</v>
          </cell>
          <cell r="AE82">
            <v>26605</v>
          </cell>
        </row>
        <row r="83">
          <cell r="C83" t="str">
            <v>Labour</v>
          </cell>
          <cell r="AE83">
            <v>26605</v>
          </cell>
        </row>
        <row r="84">
          <cell r="C84" t="str">
            <v>Labour</v>
          </cell>
          <cell r="AE84">
            <v>26605</v>
          </cell>
        </row>
        <row r="85">
          <cell r="C85" t="str">
            <v>Labour</v>
          </cell>
          <cell r="AE85">
            <v>26605</v>
          </cell>
        </row>
        <row r="86">
          <cell r="C86" t="str">
            <v>Labour</v>
          </cell>
          <cell r="AE86">
            <v>26605</v>
          </cell>
        </row>
        <row r="87">
          <cell r="C87" t="str">
            <v>Labour</v>
          </cell>
          <cell r="AE87">
            <v>26605</v>
          </cell>
        </row>
        <row r="88">
          <cell r="C88" t="str">
            <v>Labour</v>
          </cell>
          <cell r="AE88">
            <v>26605</v>
          </cell>
        </row>
        <row r="89">
          <cell r="C89" t="str">
            <v>Labour</v>
          </cell>
          <cell r="AE89">
            <v>26605</v>
          </cell>
        </row>
        <row r="90">
          <cell r="C90" t="str">
            <v>Labour</v>
          </cell>
          <cell r="AE90">
            <v>26605</v>
          </cell>
        </row>
        <row r="91">
          <cell r="C91" t="str">
            <v>Labour</v>
          </cell>
          <cell r="AE91">
            <v>26605</v>
          </cell>
        </row>
        <row r="92">
          <cell r="C92" t="str">
            <v>Labour</v>
          </cell>
          <cell r="AE92">
            <v>26605</v>
          </cell>
        </row>
        <row r="93">
          <cell r="C93" t="str">
            <v>Labour</v>
          </cell>
          <cell r="AE93">
            <v>26605</v>
          </cell>
        </row>
        <row r="94">
          <cell r="C94" t="str">
            <v>Labour</v>
          </cell>
          <cell r="AE94">
            <v>26605</v>
          </cell>
        </row>
        <row r="95">
          <cell r="C95" t="str">
            <v>Labour</v>
          </cell>
          <cell r="AE95">
            <v>26605</v>
          </cell>
        </row>
        <row r="96">
          <cell r="C96" t="str">
            <v>Labour</v>
          </cell>
          <cell r="AE96">
            <v>28170</v>
          </cell>
        </row>
        <row r="97">
          <cell r="C97" t="str">
            <v>Labour</v>
          </cell>
          <cell r="AE97">
            <v>28170</v>
          </cell>
        </row>
        <row r="98">
          <cell r="C98" t="str">
            <v>Labour</v>
          </cell>
          <cell r="AE98">
            <v>28170</v>
          </cell>
        </row>
        <row r="99">
          <cell r="C99" t="str">
            <v>Labour</v>
          </cell>
          <cell r="AE99">
            <v>28170</v>
          </cell>
        </row>
        <row r="100">
          <cell r="C100" t="str">
            <v>Labour</v>
          </cell>
          <cell r="AE100">
            <v>28170</v>
          </cell>
        </row>
        <row r="101">
          <cell r="C101" t="str">
            <v>Labour</v>
          </cell>
          <cell r="AE101">
            <v>28170</v>
          </cell>
        </row>
        <row r="102">
          <cell r="C102" t="str">
            <v>Labour</v>
          </cell>
          <cell r="AE102">
            <v>28170</v>
          </cell>
        </row>
        <row r="103">
          <cell r="C103" t="str">
            <v>Labour</v>
          </cell>
          <cell r="AE103">
            <v>28170</v>
          </cell>
        </row>
        <row r="104">
          <cell r="C104" t="str">
            <v>Labour</v>
          </cell>
          <cell r="AE104">
            <v>26605</v>
          </cell>
        </row>
        <row r="105">
          <cell r="C105" t="str">
            <v>Labour</v>
          </cell>
          <cell r="AE105">
            <v>26605</v>
          </cell>
        </row>
        <row r="106">
          <cell r="C106" t="str">
            <v>Labour</v>
          </cell>
          <cell r="AE106">
            <v>26605</v>
          </cell>
        </row>
        <row r="107">
          <cell r="C107" t="str">
            <v>Labour</v>
          </cell>
          <cell r="AE107">
            <v>26605</v>
          </cell>
        </row>
        <row r="108">
          <cell r="C108" t="str">
            <v>Labour</v>
          </cell>
          <cell r="AE108">
            <v>26605</v>
          </cell>
        </row>
        <row r="109">
          <cell r="C109" t="str">
            <v>Labour</v>
          </cell>
          <cell r="AE109">
            <v>26605</v>
          </cell>
        </row>
        <row r="110">
          <cell r="C110" t="str">
            <v>Labour</v>
          </cell>
          <cell r="AE110">
            <v>26605</v>
          </cell>
        </row>
        <row r="111">
          <cell r="C111" t="str">
            <v>Contingency</v>
          </cell>
          <cell r="AE111">
            <v>1999699.3057919992</v>
          </cell>
        </row>
        <row r="112">
          <cell r="C112">
            <v>0</v>
          </cell>
          <cell r="AE112">
            <v>0</v>
          </cell>
        </row>
        <row r="113">
          <cell r="C113">
            <v>0</v>
          </cell>
          <cell r="AE113">
            <v>0</v>
          </cell>
        </row>
        <row r="114">
          <cell r="C114">
            <v>0</v>
          </cell>
          <cell r="AE114">
            <v>0</v>
          </cell>
        </row>
        <row r="115">
          <cell r="AF115">
            <v>1212561.7945000001</v>
          </cell>
          <cell r="AG115">
            <v>269124.91619919933</v>
          </cell>
          <cell r="AH115">
            <v>1839712.6109375001</v>
          </cell>
          <cell r="AI115">
            <v>2730224.6109374999</v>
          </cell>
          <cell r="AJ115">
            <v>423110.61093750002</v>
          </cell>
          <cell r="AK115">
            <v>494709.61093750002</v>
          </cell>
          <cell r="AL115">
            <v>560462.04843750002</v>
          </cell>
          <cell r="AM115">
            <v>560462.04843750002</v>
          </cell>
          <cell r="AN115">
            <v>288934.54843750002</v>
          </cell>
          <cell r="AO115">
            <v>288934.54843750002</v>
          </cell>
          <cell r="AP115">
            <v>288934.54843750002</v>
          </cell>
          <cell r="AQ115">
            <v>288140.54843750002</v>
          </cell>
          <cell r="AR115">
            <v>288140.54843750002</v>
          </cell>
          <cell r="AS115">
            <v>493549.6521366993</v>
          </cell>
          <cell r="AT115">
            <v>507454.54843749997</v>
          </cell>
          <cell r="AU115">
            <v>313718.54843750002</v>
          </cell>
          <cell r="AV115">
            <v>323646.55940625007</v>
          </cell>
          <cell r="AW115">
            <v>323646.55940625007</v>
          </cell>
          <cell r="AX115">
            <v>293903.35940625001</v>
          </cell>
          <cell r="AY115">
            <v>293903.35940625001</v>
          </cell>
          <cell r="AZ115">
            <v>293903.35940625001</v>
          </cell>
          <cell r="BA115">
            <v>293903.35940625001</v>
          </cell>
          <cell r="BB115">
            <v>293903.35940625001</v>
          </cell>
          <cell r="BC115">
            <v>293903.35940625001</v>
          </cell>
          <cell r="BD115">
            <v>293903.35940625001</v>
          </cell>
          <cell r="BE115">
            <v>503420.64517943334</v>
          </cell>
          <cell r="BF115">
            <v>498821.35940625001</v>
          </cell>
          <cell r="BG115">
            <v>293903.35940625001</v>
          </cell>
          <cell r="BH115">
            <v>299781.42659437499</v>
          </cell>
          <cell r="BI115">
            <v>299781.42659437499</v>
          </cell>
          <cell r="BJ115">
            <v>299781.42659437499</v>
          </cell>
          <cell r="BK115">
            <v>299781.42659437499</v>
          </cell>
          <cell r="BL115">
            <v>299781.42659437499</v>
          </cell>
          <cell r="BM115">
            <v>299781.42659437499</v>
          </cell>
          <cell r="BN115">
            <v>299781.42659437499</v>
          </cell>
          <cell r="BO115">
            <v>299781.42659437499</v>
          </cell>
          <cell r="BP115">
            <v>299781.42659437499</v>
          </cell>
          <cell r="BQ115">
            <v>513489.05808302201</v>
          </cell>
          <cell r="BR115">
            <v>1344863.226594375</v>
          </cell>
          <cell r="BS115">
            <v>299781.42659437499</v>
          </cell>
          <cell r="BT115">
            <v>305777.05512626248</v>
          </cell>
          <cell r="BU115">
            <v>305777.05512626248</v>
          </cell>
          <cell r="BV115">
            <v>305777.05512626248</v>
          </cell>
          <cell r="BW115">
            <v>305777.05512626248</v>
          </cell>
          <cell r="BX115">
            <v>305777.05512626248</v>
          </cell>
          <cell r="BY115">
            <v>305777.05512626248</v>
          </cell>
          <cell r="BZ115">
            <v>305777.05512626248</v>
          </cell>
          <cell r="CA115">
            <v>305777.05512626248</v>
          </cell>
          <cell r="CB115">
            <v>305777.05512626248</v>
          </cell>
          <cell r="CC115">
            <v>523758.8392446824</v>
          </cell>
          <cell r="CD115">
            <v>518973.74232626247</v>
          </cell>
          <cell r="CE115">
            <v>305777.05512626248</v>
          </cell>
          <cell r="CF115">
            <v>311892.59622878773</v>
          </cell>
          <cell r="CG115">
            <v>311892.59622878773</v>
          </cell>
          <cell r="CH115">
            <v>311892.59622878773</v>
          </cell>
          <cell r="CI115">
            <v>311892.59622878773</v>
          </cell>
          <cell r="CJ115">
            <v>311892.59622878773</v>
          </cell>
          <cell r="CK115">
            <v>311892.59622878773</v>
          </cell>
          <cell r="CL115">
            <v>311892.59622878773</v>
          </cell>
          <cell r="CM115">
            <v>311892.59622878773</v>
          </cell>
          <cell r="CN115">
            <v>311892.59622878773</v>
          </cell>
          <cell r="CO115">
            <v>534234.01602957596</v>
          </cell>
          <cell r="CP115">
            <v>529353.21717278776</v>
          </cell>
          <cell r="CQ115">
            <v>311892.59622878773</v>
          </cell>
          <cell r="CR115">
            <v>318130.44815336354</v>
          </cell>
          <cell r="CS115">
            <v>318130.44815336354</v>
          </cell>
          <cell r="CT115">
            <v>0</v>
          </cell>
          <cell r="CU115">
            <v>0</v>
          </cell>
          <cell r="CV115">
            <v>0</v>
          </cell>
          <cell r="CW115">
            <v>0</v>
          </cell>
          <cell r="CX115">
            <v>0</v>
          </cell>
          <cell r="CY115">
            <v>0</v>
          </cell>
          <cell r="CZ115">
            <v>0</v>
          </cell>
          <cell r="DA115">
            <v>0</v>
          </cell>
          <cell r="DB115">
            <v>0</v>
          </cell>
          <cell r="DC115">
            <v>0</v>
          </cell>
          <cell r="DD115">
            <v>0</v>
          </cell>
          <cell r="DE115">
            <v>0</v>
          </cell>
          <cell r="DF115">
            <v>0</v>
          </cell>
          <cell r="DG115">
            <v>0</v>
          </cell>
          <cell r="DH115">
            <v>0</v>
          </cell>
          <cell r="DI115">
            <v>0</v>
          </cell>
          <cell r="DJ115">
            <v>0</v>
          </cell>
          <cell r="DK115">
            <v>0</v>
          </cell>
          <cell r="DL115">
            <v>0</v>
          </cell>
          <cell r="DM115">
            <v>0</v>
          </cell>
          <cell r="DN115">
            <v>0</v>
          </cell>
          <cell r="DO115">
            <v>0</v>
          </cell>
          <cell r="DP115">
            <v>0</v>
          </cell>
          <cell r="DQ115">
            <v>0</v>
          </cell>
          <cell r="DR115">
            <v>0</v>
          </cell>
          <cell r="DS115">
            <v>0</v>
          </cell>
          <cell r="DT115">
            <v>0</v>
          </cell>
          <cell r="DU115">
            <v>0</v>
          </cell>
          <cell r="DV115">
            <v>0</v>
          </cell>
          <cell r="DW115">
            <v>0</v>
          </cell>
          <cell r="DX115">
            <v>0</v>
          </cell>
          <cell r="DY115">
            <v>0</v>
          </cell>
          <cell r="DZ115">
            <v>0</v>
          </cell>
          <cell r="EA115">
            <v>0</v>
          </cell>
          <cell r="EB115">
            <v>0</v>
          </cell>
          <cell r="EC115">
            <v>0</v>
          </cell>
          <cell r="ED115">
            <v>0</v>
          </cell>
          <cell r="EE115">
            <v>0</v>
          </cell>
          <cell r="EF115">
            <v>0</v>
          </cell>
          <cell r="EG115">
            <v>0</v>
          </cell>
          <cell r="EH115">
            <v>0</v>
          </cell>
          <cell r="EI115">
            <v>0</v>
          </cell>
          <cell r="EJ115">
            <v>0</v>
          </cell>
          <cell r="EK115">
            <v>0</v>
          </cell>
          <cell r="EL115">
            <v>0</v>
          </cell>
          <cell r="EM115">
            <v>0</v>
          </cell>
          <cell r="EN115">
            <v>0</v>
          </cell>
          <cell r="EO115">
            <v>0</v>
          </cell>
          <cell r="EP115">
            <v>0</v>
          </cell>
          <cell r="EQ115">
            <v>0</v>
          </cell>
          <cell r="ER115">
            <v>0</v>
          </cell>
          <cell r="ES115">
            <v>0</v>
          </cell>
          <cell r="ET115">
            <v>0</v>
          </cell>
          <cell r="EU115">
            <v>0</v>
          </cell>
          <cell r="EV115">
            <v>0</v>
          </cell>
          <cell r="EW115">
            <v>0</v>
          </cell>
          <cell r="EX115">
            <v>0</v>
          </cell>
        </row>
        <row r="118">
          <cell r="AF118">
            <v>0</v>
          </cell>
          <cell r="AG118">
            <v>1212561.7945000001</v>
          </cell>
          <cell r="AH118">
            <v>269124.91619919933</v>
          </cell>
          <cell r="AI118">
            <v>1839712.6109375001</v>
          </cell>
          <cell r="AJ118">
            <v>2730224.6109374999</v>
          </cell>
          <cell r="AK118">
            <v>423110.61093750002</v>
          </cell>
          <cell r="AL118">
            <v>494709.61093750002</v>
          </cell>
          <cell r="AM118">
            <v>560462.04843750002</v>
          </cell>
          <cell r="AN118">
            <v>560462.04843750002</v>
          </cell>
          <cell r="AO118">
            <v>288934.54843750002</v>
          </cell>
          <cell r="AP118">
            <v>288934.54843750002</v>
          </cell>
          <cell r="AQ118">
            <v>288934.54843750002</v>
          </cell>
          <cell r="AR118">
            <v>288140.54843750002</v>
          </cell>
          <cell r="AS118">
            <v>288140.54843750002</v>
          </cell>
          <cell r="AT118">
            <v>493549.6521366993</v>
          </cell>
          <cell r="AU118">
            <v>507454.54843749997</v>
          </cell>
          <cell r="AV118">
            <v>313718.54843750002</v>
          </cell>
          <cell r="AW118">
            <v>323646.55940625007</v>
          </cell>
          <cell r="AX118">
            <v>323646.55940625007</v>
          </cell>
          <cell r="AY118">
            <v>293903.35940625001</v>
          </cell>
          <cell r="AZ118">
            <v>293903.35940625001</v>
          </cell>
          <cell r="BA118">
            <v>293903.35940625001</v>
          </cell>
          <cell r="BB118">
            <v>293903.35940625001</v>
          </cell>
          <cell r="BC118">
            <v>293903.35940625001</v>
          </cell>
          <cell r="BD118">
            <v>293903.35940625001</v>
          </cell>
          <cell r="BE118">
            <v>293903.35940625001</v>
          </cell>
          <cell r="BF118">
            <v>503420.64517943334</v>
          </cell>
          <cell r="BG118">
            <v>498821.35940625001</v>
          </cell>
          <cell r="BH118">
            <v>293903.35940625001</v>
          </cell>
          <cell r="BI118">
            <v>299781.42659437499</v>
          </cell>
          <cell r="BJ118">
            <v>299781.42659437499</v>
          </cell>
          <cell r="BK118">
            <v>299781.42659437499</v>
          </cell>
          <cell r="BL118">
            <v>299781.42659437499</v>
          </cell>
          <cell r="BM118">
            <v>299781.42659437499</v>
          </cell>
          <cell r="BN118">
            <v>299781.42659437499</v>
          </cell>
          <cell r="BO118">
            <v>299781.42659437499</v>
          </cell>
          <cell r="BP118">
            <v>299781.42659437499</v>
          </cell>
          <cell r="BQ118">
            <v>299781.42659437499</v>
          </cell>
          <cell r="BR118">
            <v>513489.05808302201</v>
          </cell>
          <cell r="BS118">
            <v>1344863.226594375</v>
          </cell>
          <cell r="BT118">
            <v>299781.42659437499</v>
          </cell>
          <cell r="BU118">
            <v>305777.05512626248</v>
          </cell>
          <cell r="BV118">
            <v>305777.05512626248</v>
          </cell>
          <cell r="BW118">
            <v>305777.05512626248</v>
          </cell>
          <cell r="BX118">
            <v>305777.05512626248</v>
          </cell>
          <cell r="BY118">
            <v>305777.05512626248</v>
          </cell>
          <cell r="BZ118">
            <v>305777.05512626248</v>
          </cell>
          <cell r="CA118">
            <v>305777.05512626248</v>
          </cell>
          <cell r="CB118">
            <v>305777.05512626248</v>
          </cell>
          <cell r="CC118">
            <v>305777.05512626248</v>
          </cell>
          <cell r="CD118">
            <v>523758.8392446824</v>
          </cell>
          <cell r="CE118">
            <v>518973.74232626247</v>
          </cell>
          <cell r="CF118">
            <v>305777.05512626248</v>
          </cell>
          <cell r="CG118">
            <v>311892.59622878773</v>
          </cell>
          <cell r="CH118">
            <v>311892.59622878773</v>
          </cell>
          <cell r="CI118">
            <v>311892.59622878773</v>
          </cell>
          <cell r="CJ118">
            <v>311892.59622878773</v>
          </cell>
          <cell r="CK118">
            <v>311892.59622878773</v>
          </cell>
          <cell r="CL118">
            <v>311892.59622878773</v>
          </cell>
          <cell r="CM118">
            <v>311892.59622878773</v>
          </cell>
          <cell r="CN118">
            <v>311892.59622878773</v>
          </cell>
          <cell r="CO118">
            <v>311892.59622878773</v>
          </cell>
          <cell r="CP118">
            <v>534234.01602957596</v>
          </cell>
          <cell r="CQ118">
            <v>529353.21717278776</v>
          </cell>
          <cell r="CR118">
            <v>311892.59622878773</v>
          </cell>
          <cell r="CS118">
            <v>318130.44815336354</v>
          </cell>
          <cell r="CT118">
            <v>318130.44815336354</v>
          </cell>
          <cell r="CU118">
            <v>0</v>
          </cell>
          <cell r="CV118">
            <v>0</v>
          </cell>
          <cell r="CW118">
            <v>0</v>
          </cell>
          <cell r="CX118">
            <v>0</v>
          </cell>
          <cell r="CY118">
            <v>0</v>
          </cell>
          <cell r="CZ118">
            <v>0</v>
          </cell>
          <cell r="DA118">
            <v>0</v>
          </cell>
          <cell r="DB118">
            <v>0</v>
          </cell>
          <cell r="DC118">
            <v>0</v>
          </cell>
          <cell r="DD118">
            <v>0</v>
          </cell>
          <cell r="DE118">
            <v>0</v>
          </cell>
          <cell r="DF118">
            <v>0</v>
          </cell>
          <cell r="DG118">
            <v>0</v>
          </cell>
          <cell r="DH118">
            <v>0</v>
          </cell>
          <cell r="DI118">
            <v>0</v>
          </cell>
          <cell r="DJ118">
            <v>0</v>
          </cell>
          <cell r="DK118">
            <v>0</v>
          </cell>
          <cell r="DL118">
            <v>0</v>
          </cell>
          <cell r="DM118">
            <v>0</v>
          </cell>
          <cell r="DN118">
            <v>0</v>
          </cell>
          <cell r="DO118">
            <v>0</v>
          </cell>
          <cell r="DP118">
            <v>0</v>
          </cell>
          <cell r="DQ118">
            <v>0</v>
          </cell>
          <cell r="DR118">
            <v>0</v>
          </cell>
          <cell r="DS118">
            <v>0</v>
          </cell>
          <cell r="DT118">
            <v>0</v>
          </cell>
          <cell r="DU118">
            <v>0</v>
          </cell>
          <cell r="DV118">
            <v>0</v>
          </cell>
          <cell r="DW118">
            <v>0</v>
          </cell>
          <cell r="DX118">
            <v>0</v>
          </cell>
          <cell r="DY118">
            <v>0</v>
          </cell>
          <cell r="DZ118">
            <v>0</v>
          </cell>
          <cell r="EA118">
            <v>0</v>
          </cell>
          <cell r="EB118">
            <v>0</v>
          </cell>
          <cell r="EC118">
            <v>0</v>
          </cell>
          <cell r="ED118">
            <v>0</v>
          </cell>
          <cell r="EE118">
            <v>0</v>
          </cell>
          <cell r="EF118">
            <v>0</v>
          </cell>
          <cell r="EG118">
            <v>0</v>
          </cell>
          <cell r="EH118">
            <v>0</v>
          </cell>
          <cell r="EI118">
            <v>0</v>
          </cell>
          <cell r="EJ118">
            <v>0</v>
          </cell>
          <cell r="EK118">
            <v>0</v>
          </cell>
          <cell r="EL118">
            <v>0</v>
          </cell>
          <cell r="EM118">
            <v>0</v>
          </cell>
          <cell r="EN118">
            <v>0</v>
          </cell>
          <cell r="EO118">
            <v>0</v>
          </cell>
          <cell r="EP118">
            <v>0</v>
          </cell>
          <cell r="EQ118">
            <v>0</v>
          </cell>
          <cell r="ER118">
            <v>0</v>
          </cell>
          <cell r="ES118">
            <v>0</v>
          </cell>
          <cell r="ET118">
            <v>0</v>
          </cell>
          <cell r="EU118">
            <v>0</v>
          </cell>
          <cell r="EV118">
            <v>0</v>
          </cell>
          <cell r="EW118">
            <v>0</v>
          </cell>
          <cell r="EX118">
            <v>0</v>
          </cell>
        </row>
      </sheetData>
      <sheetData sheetId="10">
        <row r="4">
          <cell r="A4" t="str">
            <v>Capital</v>
          </cell>
        </row>
        <row r="5">
          <cell r="AF5" t="str">
            <v>Year 0</v>
          </cell>
          <cell r="AG5" t="str">
            <v>Year 0</v>
          </cell>
          <cell r="AH5" t="str">
            <v>Year 0</v>
          </cell>
          <cell r="AI5" t="str">
            <v>Q1</v>
          </cell>
          <cell r="AJ5" t="str">
            <v>Q1</v>
          </cell>
          <cell r="AK5" t="str">
            <v>Q1</v>
          </cell>
          <cell r="AL5" t="str">
            <v>Q2</v>
          </cell>
          <cell r="AM5" t="str">
            <v>Q2</v>
          </cell>
          <cell r="AN5" t="str">
            <v>Q2</v>
          </cell>
          <cell r="AO5" t="str">
            <v>Q3</v>
          </cell>
          <cell r="AP5" t="str">
            <v>Q3</v>
          </cell>
          <cell r="AQ5" t="str">
            <v>Q3</v>
          </cell>
          <cell r="AR5" t="str">
            <v>Q4</v>
          </cell>
          <cell r="AS5" t="str">
            <v>Q4</v>
          </cell>
          <cell r="AT5" t="str">
            <v>Q4</v>
          </cell>
          <cell r="AU5" t="str">
            <v>Year 2</v>
          </cell>
          <cell r="AV5" t="str">
            <v>Year 2</v>
          </cell>
          <cell r="AW5" t="str">
            <v>Year 2</v>
          </cell>
          <cell r="AX5" t="str">
            <v>Year 2</v>
          </cell>
          <cell r="AY5" t="str">
            <v>Year 2</v>
          </cell>
          <cell r="AZ5" t="str">
            <v>Year 2</v>
          </cell>
          <cell r="BA5" t="str">
            <v>Year 2</v>
          </cell>
          <cell r="BB5" t="str">
            <v>Year 2</v>
          </cell>
          <cell r="BC5" t="str">
            <v>Year 2</v>
          </cell>
          <cell r="BD5" t="str">
            <v>Year 2</v>
          </cell>
          <cell r="BE5" t="str">
            <v>Year 2</v>
          </cell>
          <cell r="BF5" t="str">
            <v>Year 2</v>
          </cell>
          <cell r="BG5" t="str">
            <v>Year 3</v>
          </cell>
          <cell r="BH5" t="str">
            <v>Year 3</v>
          </cell>
          <cell r="BI5" t="str">
            <v>Year 3</v>
          </cell>
          <cell r="BJ5" t="str">
            <v>Year 3</v>
          </cell>
          <cell r="BK5" t="str">
            <v>Year 3</v>
          </cell>
          <cell r="BL5" t="str">
            <v>Year 3</v>
          </cell>
          <cell r="BM5" t="str">
            <v>Year 3</v>
          </cell>
          <cell r="BN5" t="str">
            <v>Year 3</v>
          </cell>
          <cell r="BO5" t="str">
            <v>Year 3</v>
          </cell>
          <cell r="BP5" t="str">
            <v>Year 3</v>
          </cell>
          <cell r="BQ5" t="str">
            <v>Year 3</v>
          </cell>
          <cell r="BR5" t="str">
            <v>Year 3</v>
          </cell>
          <cell r="BS5" t="str">
            <v>Year 4</v>
          </cell>
          <cell r="BT5" t="str">
            <v>Year 4</v>
          </cell>
          <cell r="BU5" t="str">
            <v>Year 4</v>
          </cell>
          <cell r="BV5" t="str">
            <v>Year 4</v>
          </cell>
          <cell r="BW5" t="str">
            <v>Year 4</v>
          </cell>
          <cell r="BX5" t="str">
            <v>Year 4</v>
          </cell>
          <cell r="BY5" t="str">
            <v>Year 4</v>
          </cell>
          <cell r="BZ5" t="str">
            <v>Year 4</v>
          </cell>
          <cell r="CA5" t="str">
            <v>Year 4</v>
          </cell>
          <cell r="CB5" t="str">
            <v>Year 4</v>
          </cell>
          <cell r="CC5" t="str">
            <v>Year 4</v>
          </cell>
          <cell r="CD5" t="str">
            <v>Year 4</v>
          </cell>
          <cell r="CE5" t="str">
            <v>Year 5</v>
          </cell>
          <cell r="CF5" t="str">
            <v>Year 5</v>
          </cell>
          <cell r="CG5" t="str">
            <v>Year 5</v>
          </cell>
          <cell r="CH5" t="str">
            <v>Year 5</v>
          </cell>
          <cell r="CI5" t="str">
            <v>Year 5</v>
          </cell>
          <cell r="CJ5" t="str">
            <v>Year 5</v>
          </cell>
          <cell r="CK5" t="str">
            <v>Year 5</v>
          </cell>
          <cell r="CL5" t="str">
            <v>Year 5</v>
          </cell>
          <cell r="CM5" t="str">
            <v>Year 5</v>
          </cell>
          <cell r="CN5" t="str">
            <v>Year 5</v>
          </cell>
          <cell r="CO5" t="str">
            <v>Year 5</v>
          </cell>
          <cell r="CP5" t="str">
            <v>Year 5</v>
          </cell>
          <cell r="CQ5" t="str">
            <v>Year 6</v>
          </cell>
          <cell r="CR5" t="str">
            <v>Year 6</v>
          </cell>
          <cell r="CS5" t="str">
            <v>Year 6</v>
          </cell>
          <cell r="CT5" t="str">
            <v>Year 6</v>
          </cell>
          <cell r="CU5" t="str">
            <v>Year 6</v>
          </cell>
          <cell r="CV5" t="str">
            <v>Year 6</v>
          </cell>
          <cell r="CW5" t="str">
            <v>Year 6</v>
          </cell>
          <cell r="CX5" t="str">
            <v>Year 6</v>
          </cell>
          <cell r="CY5" t="str">
            <v>Year 6</v>
          </cell>
          <cell r="CZ5" t="str">
            <v>Year 6</v>
          </cell>
          <cell r="DA5" t="str">
            <v>Year 6</v>
          </cell>
          <cell r="DB5" t="str">
            <v>Year 6</v>
          </cell>
          <cell r="DC5" t="str">
            <v>Year 7</v>
          </cell>
          <cell r="DD5" t="str">
            <v>Year 7</v>
          </cell>
          <cell r="DE5" t="str">
            <v>Year 7</v>
          </cell>
          <cell r="DF5" t="str">
            <v>Year 7</v>
          </cell>
          <cell r="DG5" t="str">
            <v>Year 7</v>
          </cell>
          <cell r="DH5" t="str">
            <v>Year 7</v>
          </cell>
          <cell r="DI5" t="str">
            <v>Year 7</v>
          </cell>
          <cell r="DJ5" t="str">
            <v>Year 7</v>
          </cell>
          <cell r="DK5" t="str">
            <v>Year 7</v>
          </cell>
          <cell r="DL5" t="str">
            <v>Year 7</v>
          </cell>
          <cell r="DM5" t="str">
            <v>Year 7</v>
          </cell>
          <cell r="DN5" t="str">
            <v>Year 7</v>
          </cell>
          <cell r="DO5" t="str">
            <v>Year 8</v>
          </cell>
          <cell r="DP5" t="str">
            <v>Year 8</v>
          </cell>
          <cell r="DQ5" t="str">
            <v>Year 8</v>
          </cell>
          <cell r="DR5" t="str">
            <v>Year 8</v>
          </cell>
          <cell r="DS5" t="str">
            <v>Year 8</v>
          </cell>
          <cell r="DT5" t="str">
            <v>Year 8</v>
          </cell>
          <cell r="DU5" t="str">
            <v>Year 8</v>
          </cell>
          <cell r="DV5" t="str">
            <v>Year 8</v>
          </cell>
          <cell r="DW5" t="str">
            <v>Year 8</v>
          </cell>
          <cell r="DX5" t="str">
            <v>Year 8</v>
          </cell>
          <cell r="DY5" t="str">
            <v>Year 8</v>
          </cell>
          <cell r="DZ5" t="str">
            <v>Year 8</v>
          </cell>
          <cell r="EA5" t="str">
            <v>Year 9</v>
          </cell>
          <cell r="EB5" t="str">
            <v>Year 9</v>
          </cell>
          <cell r="EC5" t="str">
            <v>Year 9</v>
          </cell>
          <cell r="ED5" t="str">
            <v>Year 9</v>
          </cell>
          <cell r="EE5" t="str">
            <v>Year 9</v>
          </cell>
          <cell r="EF5" t="str">
            <v>Year 9</v>
          </cell>
          <cell r="EG5" t="str">
            <v>Year 9</v>
          </cell>
          <cell r="EH5" t="str">
            <v>Year 9</v>
          </cell>
          <cell r="EI5" t="str">
            <v>Year 9</v>
          </cell>
          <cell r="EJ5" t="str">
            <v>Year 9</v>
          </cell>
          <cell r="EK5" t="str">
            <v>Year 9</v>
          </cell>
          <cell r="EL5" t="str">
            <v>Year 9</v>
          </cell>
          <cell r="EM5" t="str">
            <v>Year 10</v>
          </cell>
          <cell r="EN5" t="str">
            <v>Year 10</v>
          </cell>
          <cell r="EO5" t="str">
            <v>Year 10</v>
          </cell>
          <cell r="EP5" t="str">
            <v>Year 10</v>
          </cell>
          <cell r="EQ5" t="str">
            <v>Year 10</v>
          </cell>
          <cell r="ER5" t="str">
            <v>Year 10</v>
          </cell>
          <cell r="ES5" t="str">
            <v>Year 10</v>
          </cell>
          <cell r="ET5" t="str">
            <v>Year 10</v>
          </cell>
          <cell r="EU5" t="str">
            <v>Year 10</v>
          </cell>
          <cell r="EV5" t="str">
            <v>Year 10</v>
          </cell>
          <cell r="EW5" t="str">
            <v>Year 10</v>
          </cell>
          <cell r="EX5" t="str">
            <v>Year 10</v>
          </cell>
          <cell r="EY5">
            <v>0</v>
          </cell>
        </row>
      </sheetData>
      <sheetData sheetId="11">
        <row r="4">
          <cell r="A4" t="str">
            <v>Cost Plus</v>
          </cell>
        </row>
        <row r="5">
          <cell r="AF5" t="str">
            <v>Year 0</v>
          </cell>
          <cell r="AG5" t="str">
            <v>Year 0</v>
          </cell>
          <cell r="AH5" t="str">
            <v>Year 0</v>
          </cell>
          <cell r="AI5" t="str">
            <v>Q1</v>
          </cell>
          <cell r="AJ5" t="str">
            <v>Q1</v>
          </cell>
          <cell r="AK5" t="str">
            <v>Q1</v>
          </cell>
          <cell r="AL5" t="str">
            <v>Q2</v>
          </cell>
          <cell r="AM5" t="str">
            <v>Q2</v>
          </cell>
          <cell r="AN5" t="str">
            <v>Q2</v>
          </cell>
          <cell r="AO5" t="str">
            <v>Q3</v>
          </cell>
          <cell r="AP5" t="str">
            <v>Q3</v>
          </cell>
          <cell r="AQ5" t="str">
            <v>Q3</v>
          </cell>
          <cell r="AR5" t="str">
            <v>Q4</v>
          </cell>
          <cell r="AS5" t="str">
            <v>Q4</v>
          </cell>
          <cell r="AT5" t="str">
            <v>Q4</v>
          </cell>
          <cell r="AU5" t="str">
            <v>Year 2</v>
          </cell>
          <cell r="AV5" t="str">
            <v>Year 2</v>
          </cell>
          <cell r="AW5" t="str">
            <v>Year 2</v>
          </cell>
          <cell r="AX5" t="str">
            <v>Year 2</v>
          </cell>
          <cell r="AY5" t="str">
            <v>Year 2</v>
          </cell>
          <cell r="AZ5" t="str">
            <v>Year 2</v>
          </cell>
          <cell r="BA5" t="str">
            <v>Year 2</v>
          </cell>
          <cell r="BB5" t="str">
            <v>Year 2</v>
          </cell>
          <cell r="BC5" t="str">
            <v>Year 2</v>
          </cell>
          <cell r="BD5" t="str">
            <v>Year 2</v>
          </cell>
          <cell r="BE5" t="str">
            <v>Year 2</v>
          </cell>
          <cell r="BF5" t="str">
            <v>Year 2</v>
          </cell>
          <cell r="BG5" t="str">
            <v>Year 3</v>
          </cell>
          <cell r="BH5" t="str">
            <v>Year 3</v>
          </cell>
          <cell r="BI5" t="str">
            <v>Year 3</v>
          </cell>
          <cell r="BJ5" t="str">
            <v>Year 3</v>
          </cell>
          <cell r="BK5" t="str">
            <v>Year 3</v>
          </cell>
          <cell r="BL5" t="str">
            <v>Year 3</v>
          </cell>
          <cell r="BM5" t="str">
            <v>Year 3</v>
          </cell>
          <cell r="BN5" t="str">
            <v>Year 3</v>
          </cell>
          <cell r="BO5" t="str">
            <v>Year 3</v>
          </cell>
          <cell r="BP5" t="str">
            <v>Year 3</v>
          </cell>
          <cell r="BQ5" t="str">
            <v>Year 3</v>
          </cell>
          <cell r="BR5" t="str">
            <v>Year 3</v>
          </cell>
          <cell r="BS5" t="str">
            <v>Year 4</v>
          </cell>
          <cell r="BT5" t="str">
            <v>Year 4</v>
          </cell>
          <cell r="BU5" t="str">
            <v>Year 4</v>
          </cell>
          <cell r="BV5" t="str">
            <v>Year 4</v>
          </cell>
          <cell r="BW5" t="str">
            <v>Year 4</v>
          </cell>
          <cell r="BX5" t="str">
            <v>Year 4</v>
          </cell>
          <cell r="BY5" t="str">
            <v>Year 4</v>
          </cell>
          <cell r="BZ5" t="str">
            <v>Year 4</v>
          </cell>
          <cell r="CA5" t="str">
            <v>Year 4</v>
          </cell>
          <cell r="CB5" t="str">
            <v>Year 4</v>
          </cell>
          <cell r="CC5" t="str">
            <v>Year 4</v>
          </cell>
          <cell r="CD5" t="str">
            <v>Year 4</v>
          </cell>
          <cell r="CE5" t="str">
            <v>Year 5</v>
          </cell>
          <cell r="CF5" t="str">
            <v>Year 5</v>
          </cell>
          <cell r="CG5" t="str">
            <v>Year 5</v>
          </cell>
          <cell r="CH5" t="str">
            <v>Year 5</v>
          </cell>
          <cell r="CI5" t="str">
            <v>Year 5</v>
          </cell>
          <cell r="CJ5" t="str">
            <v>Year 5</v>
          </cell>
          <cell r="CK5" t="str">
            <v>Year 5</v>
          </cell>
          <cell r="CL5" t="str">
            <v>Year 5</v>
          </cell>
          <cell r="CM5" t="str">
            <v>Year 5</v>
          </cell>
          <cell r="CN5" t="str">
            <v>Year 5</v>
          </cell>
          <cell r="CO5" t="str">
            <v>Year 5</v>
          </cell>
          <cell r="CP5" t="str">
            <v>Year 5</v>
          </cell>
          <cell r="CQ5" t="str">
            <v>Year 6</v>
          </cell>
          <cell r="CR5" t="str">
            <v>Year 6</v>
          </cell>
          <cell r="CS5" t="str">
            <v>Year 6</v>
          </cell>
          <cell r="CT5" t="str">
            <v>Year 6</v>
          </cell>
          <cell r="CU5" t="str">
            <v>Year 6</v>
          </cell>
          <cell r="CV5" t="str">
            <v>Year 6</v>
          </cell>
          <cell r="CW5" t="str">
            <v>Year 6</v>
          </cell>
          <cell r="CX5" t="str">
            <v>Year 6</v>
          </cell>
          <cell r="CY5" t="str">
            <v>Year 6</v>
          </cell>
          <cell r="CZ5" t="str">
            <v>Year 6</v>
          </cell>
          <cell r="DA5" t="str">
            <v>Year 6</v>
          </cell>
          <cell r="DB5" t="str">
            <v>Year 6</v>
          </cell>
          <cell r="DC5" t="str">
            <v>Year 7</v>
          </cell>
          <cell r="DD5" t="str">
            <v>Year 7</v>
          </cell>
          <cell r="DE5" t="str">
            <v>Year 7</v>
          </cell>
          <cell r="DF5" t="str">
            <v>Year 7</v>
          </cell>
          <cell r="DG5" t="str">
            <v>Year 7</v>
          </cell>
          <cell r="DH5" t="str">
            <v>Year 7</v>
          </cell>
          <cell r="DI5" t="str">
            <v>Year 7</v>
          </cell>
          <cell r="DJ5" t="str">
            <v>Year 7</v>
          </cell>
          <cell r="DK5" t="str">
            <v>Year 7</v>
          </cell>
          <cell r="DL5" t="str">
            <v>Year 7</v>
          </cell>
          <cell r="DM5" t="str">
            <v>Year 7</v>
          </cell>
          <cell r="DN5" t="str">
            <v>Year 7</v>
          </cell>
          <cell r="DO5" t="str">
            <v>Year 8</v>
          </cell>
          <cell r="DP5" t="str">
            <v>Year 8</v>
          </cell>
          <cell r="DQ5" t="str">
            <v>Year 8</v>
          </cell>
          <cell r="DR5" t="str">
            <v>Year 8</v>
          </cell>
          <cell r="DS5" t="str">
            <v>Year 8</v>
          </cell>
          <cell r="DT5" t="str">
            <v>Year 8</v>
          </cell>
          <cell r="DU5" t="str">
            <v>Year 8</v>
          </cell>
          <cell r="DV5" t="str">
            <v>Year 8</v>
          </cell>
          <cell r="DW5" t="str">
            <v>Year 8</v>
          </cell>
          <cell r="DX5" t="str">
            <v>Year 8</v>
          </cell>
          <cell r="DY5" t="str">
            <v>Year 8</v>
          </cell>
          <cell r="DZ5" t="str">
            <v>Year 8</v>
          </cell>
          <cell r="EA5" t="str">
            <v>Year 9</v>
          </cell>
          <cell r="EB5" t="str">
            <v>Year 9</v>
          </cell>
          <cell r="EC5" t="str">
            <v>Year 9</v>
          </cell>
          <cell r="ED5" t="str">
            <v>Year 9</v>
          </cell>
          <cell r="EE5" t="str">
            <v>Year 9</v>
          </cell>
          <cell r="EF5" t="str">
            <v>Year 9</v>
          </cell>
          <cell r="EG5" t="str">
            <v>Year 9</v>
          </cell>
          <cell r="EH5" t="str">
            <v>Year 9</v>
          </cell>
          <cell r="EI5" t="str">
            <v>Year 9</v>
          </cell>
          <cell r="EJ5" t="str">
            <v>Year 9</v>
          </cell>
          <cell r="EK5" t="str">
            <v>Year 9</v>
          </cell>
          <cell r="EL5" t="str">
            <v>Year 9</v>
          </cell>
          <cell r="EM5" t="str">
            <v>Year 10</v>
          </cell>
          <cell r="EN5" t="str">
            <v>Year 10</v>
          </cell>
          <cell r="EO5" t="str">
            <v>Year 10</v>
          </cell>
          <cell r="EP5" t="str">
            <v>Year 10</v>
          </cell>
          <cell r="EQ5" t="str">
            <v>Year 10</v>
          </cell>
          <cell r="ER5" t="str">
            <v>Year 10</v>
          </cell>
          <cell r="ES5" t="str">
            <v>Year 10</v>
          </cell>
          <cell r="ET5" t="str">
            <v>Year 10</v>
          </cell>
          <cell r="EU5" t="str">
            <v>Year 10</v>
          </cell>
          <cell r="EV5" t="str">
            <v>Year 10</v>
          </cell>
          <cell r="EW5" t="str">
            <v>Year 10</v>
          </cell>
          <cell r="EX5" t="str">
            <v>Year 10</v>
          </cell>
          <cell r="EY5">
            <v>0</v>
          </cell>
        </row>
        <row r="115">
          <cell r="AF115">
            <v>1554566.4032051282</v>
          </cell>
          <cell r="AG115">
            <v>345031.94384512736</v>
          </cell>
          <cell r="AH115">
            <v>2358605.9114583312</v>
          </cell>
          <cell r="AI115">
            <v>3500287.9627403817</v>
          </cell>
          <cell r="AJ115">
            <v>542449.50120192231</v>
          </cell>
          <cell r="AK115">
            <v>634243.09094551241</v>
          </cell>
          <cell r="AL115">
            <v>718541.08774038404</v>
          </cell>
          <cell r="AM115">
            <v>718541.08774038404</v>
          </cell>
          <cell r="AN115">
            <v>370428.90825320513</v>
          </cell>
          <cell r="AO115">
            <v>370428.90825320513</v>
          </cell>
          <cell r="AP115">
            <v>370428.90825320513</v>
          </cell>
          <cell r="AQ115">
            <v>369410.95953525638</v>
          </cell>
          <cell r="AR115">
            <v>369410.95953525638</v>
          </cell>
          <cell r="AS115">
            <v>632755.96427781973</v>
          </cell>
          <cell r="AT115">
            <v>650582.75440705114</v>
          </cell>
          <cell r="AU115">
            <v>402203.26722756401</v>
          </cell>
          <cell r="AV115">
            <v>414931.48641826928</v>
          </cell>
          <cell r="AW115">
            <v>414931.48641826928</v>
          </cell>
          <cell r="AX115">
            <v>376799.1787259616</v>
          </cell>
          <cell r="AY115">
            <v>376799.1787259616</v>
          </cell>
          <cell r="AZ115">
            <v>376799.1787259616</v>
          </cell>
          <cell r="BA115">
            <v>376799.1787259616</v>
          </cell>
          <cell r="BB115">
            <v>376799.1787259616</v>
          </cell>
          <cell r="BC115">
            <v>376799.1787259616</v>
          </cell>
          <cell r="BD115">
            <v>376799.1787259616</v>
          </cell>
          <cell r="BE115">
            <v>645411.0835633761</v>
          </cell>
          <cell r="BF115">
            <v>639514.56334134622</v>
          </cell>
          <cell r="BG115">
            <v>376799.1787259616</v>
          </cell>
          <cell r="BH115">
            <v>384335.16230048076</v>
          </cell>
          <cell r="BI115">
            <v>384335.16230048076</v>
          </cell>
          <cell r="BJ115">
            <v>384335.16230048076</v>
          </cell>
          <cell r="BK115">
            <v>384335.16230048076</v>
          </cell>
          <cell r="BL115">
            <v>384335.16230048076</v>
          </cell>
          <cell r="BM115">
            <v>384335.16230048076</v>
          </cell>
          <cell r="BN115">
            <v>384335.16230048076</v>
          </cell>
          <cell r="BO115">
            <v>384335.16230048076</v>
          </cell>
          <cell r="BP115">
            <v>384335.16230048076</v>
          </cell>
          <cell r="BQ115">
            <v>658319.30523464351</v>
          </cell>
          <cell r="BR115">
            <v>1426439.5212748395</v>
          </cell>
          <cell r="BS115">
            <v>384335.16230048076</v>
          </cell>
          <cell r="BT115">
            <v>392021.86554649036</v>
          </cell>
          <cell r="BU115">
            <v>392021.86554649036</v>
          </cell>
          <cell r="BV115">
            <v>392021.86554649036</v>
          </cell>
          <cell r="BW115">
            <v>392021.86554649036</v>
          </cell>
          <cell r="BX115">
            <v>392021.86554649036</v>
          </cell>
          <cell r="BY115">
            <v>392021.86554649036</v>
          </cell>
          <cell r="BZ115">
            <v>392021.86554649036</v>
          </cell>
          <cell r="CA115">
            <v>392021.86554649036</v>
          </cell>
          <cell r="CB115">
            <v>392021.86554649036</v>
          </cell>
          <cell r="CC115">
            <v>671485.69133933634</v>
          </cell>
          <cell r="CD115">
            <v>513501.45939264417</v>
          </cell>
          <cell r="CE115">
            <v>392021.86554649036</v>
          </cell>
          <cell r="CF115">
            <v>399862.30285742017</v>
          </cell>
          <cell r="CG115">
            <v>399862.30285742017</v>
          </cell>
          <cell r="CH115">
            <v>399862.30285742017</v>
          </cell>
          <cell r="CI115">
            <v>399862.30285742017</v>
          </cell>
          <cell r="CJ115">
            <v>399862.30285742017</v>
          </cell>
          <cell r="CK115">
            <v>399862.30285742017</v>
          </cell>
          <cell r="CL115">
            <v>399862.30285742017</v>
          </cell>
          <cell r="CM115">
            <v>399862.30285742017</v>
          </cell>
          <cell r="CN115">
            <v>399862.30285742017</v>
          </cell>
          <cell r="CO115">
            <v>684915.40516612306</v>
          </cell>
          <cell r="CP115">
            <v>430839.59928818943</v>
          </cell>
          <cell r="CQ115">
            <v>399862.30285742017</v>
          </cell>
          <cell r="CR115">
            <v>407859.54891456856</v>
          </cell>
          <cell r="CS115">
            <v>407859.54891456856</v>
          </cell>
          <cell r="CT115">
            <v>0</v>
          </cell>
          <cell r="CU115">
            <v>0</v>
          </cell>
          <cell r="CV115">
            <v>0</v>
          </cell>
          <cell r="CW115">
            <v>0</v>
          </cell>
          <cell r="CX115">
            <v>0</v>
          </cell>
          <cell r="CY115">
            <v>0</v>
          </cell>
          <cell r="CZ115">
            <v>0</v>
          </cell>
          <cell r="DA115">
            <v>0</v>
          </cell>
          <cell r="DB115">
            <v>0</v>
          </cell>
          <cell r="DC115">
            <v>0</v>
          </cell>
          <cell r="DD115">
            <v>0</v>
          </cell>
          <cell r="DE115">
            <v>0</v>
          </cell>
          <cell r="DF115">
            <v>0</v>
          </cell>
          <cell r="DG115">
            <v>0</v>
          </cell>
          <cell r="DH115">
            <v>0</v>
          </cell>
          <cell r="DI115">
            <v>0</v>
          </cell>
          <cell r="DJ115">
            <v>0</v>
          </cell>
          <cell r="DK115">
            <v>0</v>
          </cell>
          <cell r="DL115">
            <v>0</v>
          </cell>
          <cell r="DM115">
            <v>0</v>
          </cell>
          <cell r="DN115">
            <v>0</v>
          </cell>
          <cell r="DO115">
            <v>0</v>
          </cell>
          <cell r="DP115">
            <v>0</v>
          </cell>
          <cell r="DQ115">
            <v>0</v>
          </cell>
          <cell r="DR115">
            <v>0</v>
          </cell>
          <cell r="DS115">
            <v>0</v>
          </cell>
          <cell r="DT115">
            <v>0</v>
          </cell>
          <cell r="DU115">
            <v>0</v>
          </cell>
          <cell r="DV115">
            <v>0</v>
          </cell>
          <cell r="DW115">
            <v>0</v>
          </cell>
          <cell r="DX115">
            <v>0</v>
          </cell>
          <cell r="DY115">
            <v>0</v>
          </cell>
          <cell r="DZ115">
            <v>0</v>
          </cell>
          <cell r="EA115">
            <v>0</v>
          </cell>
          <cell r="EB115">
            <v>0</v>
          </cell>
          <cell r="EC115">
            <v>0</v>
          </cell>
          <cell r="ED115">
            <v>0</v>
          </cell>
          <cell r="EE115">
            <v>0</v>
          </cell>
          <cell r="EF115">
            <v>0</v>
          </cell>
          <cell r="EG115">
            <v>0</v>
          </cell>
          <cell r="EH115">
            <v>0</v>
          </cell>
          <cell r="EI115">
            <v>0</v>
          </cell>
          <cell r="EJ115">
            <v>0</v>
          </cell>
          <cell r="EK115">
            <v>0</v>
          </cell>
          <cell r="EL115">
            <v>0</v>
          </cell>
          <cell r="EM115">
            <v>0</v>
          </cell>
          <cell r="EN115">
            <v>0</v>
          </cell>
          <cell r="EO115">
            <v>0</v>
          </cell>
          <cell r="EP115">
            <v>0</v>
          </cell>
          <cell r="EQ115">
            <v>0</v>
          </cell>
          <cell r="ER115">
            <v>0</v>
          </cell>
          <cell r="ES115">
            <v>0</v>
          </cell>
          <cell r="ET115">
            <v>0</v>
          </cell>
          <cell r="EU115">
            <v>0</v>
          </cell>
          <cell r="EV115">
            <v>0</v>
          </cell>
          <cell r="EW115">
            <v>0</v>
          </cell>
          <cell r="EX115">
            <v>0</v>
          </cell>
        </row>
      </sheetData>
      <sheetData sheetId="12">
        <row r="4">
          <cell r="A4" t="str">
            <v>Customer Charges</v>
          </cell>
        </row>
      </sheetData>
      <sheetData sheetId="13">
        <row r="4">
          <cell r="A4" t="str">
            <v>Profile before CoM</v>
          </cell>
        </row>
        <row r="5">
          <cell r="AF5" t="str">
            <v>Year 0</v>
          </cell>
          <cell r="AG5" t="str">
            <v>Year 0</v>
          </cell>
          <cell r="AH5" t="str">
            <v>Year 0</v>
          </cell>
          <cell r="AI5" t="str">
            <v>Q1</v>
          </cell>
          <cell r="AJ5" t="str">
            <v>Q1</v>
          </cell>
          <cell r="AK5" t="str">
            <v>Q1</v>
          </cell>
          <cell r="AL5" t="str">
            <v>Q2</v>
          </cell>
          <cell r="AM5" t="str">
            <v>Q2</v>
          </cell>
          <cell r="AN5" t="str">
            <v>Q2</v>
          </cell>
          <cell r="AO5" t="str">
            <v>Q3</v>
          </cell>
          <cell r="AP5" t="str">
            <v>Q3</v>
          </cell>
          <cell r="AQ5" t="str">
            <v>Q3</v>
          </cell>
          <cell r="AR5" t="str">
            <v>Q4</v>
          </cell>
          <cell r="AS5" t="str">
            <v>Q4</v>
          </cell>
          <cell r="AT5" t="str">
            <v>Q4</v>
          </cell>
          <cell r="AU5" t="str">
            <v>Year 2</v>
          </cell>
          <cell r="AV5" t="str">
            <v>Year 2</v>
          </cell>
          <cell r="AW5" t="str">
            <v>Year 2</v>
          </cell>
          <cell r="AX5" t="str">
            <v>Year 2</v>
          </cell>
          <cell r="AY5" t="str">
            <v>Year 2</v>
          </cell>
          <cell r="AZ5" t="str">
            <v>Year 2</v>
          </cell>
          <cell r="BA5" t="str">
            <v>Year 2</v>
          </cell>
          <cell r="BB5" t="str">
            <v>Year 2</v>
          </cell>
          <cell r="BC5" t="str">
            <v>Year 2</v>
          </cell>
          <cell r="BD5" t="str">
            <v>Year 2</v>
          </cell>
          <cell r="BE5" t="str">
            <v>Year 2</v>
          </cell>
          <cell r="BF5" t="str">
            <v>Year 2</v>
          </cell>
          <cell r="BG5" t="str">
            <v>Year 3</v>
          </cell>
          <cell r="BH5" t="str">
            <v>Year 3</v>
          </cell>
          <cell r="BI5" t="str">
            <v>Year 3</v>
          </cell>
          <cell r="BJ5" t="str">
            <v>Year 3</v>
          </cell>
          <cell r="BK5" t="str">
            <v>Year 3</v>
          </cell>
          <cell r="BL5" t="str">
            <v>Year 3</v>
          </cell>
          <cell r="BM5" t="str">
            <v>Year 3</v>
          </cell>
          <cell r="BN5" t="str">
            <v>Year 3</v>
          </cell>
          <cell r="BO5" t="str">
            <v>Year 3</v>
          </cell>
          <cell r="BP5" t="str">
            <v>Year 3</v>
          </cell>
          <cell r="BQ5" t="str">
            <v>Year 3</v>
          </cell>
          <cell r="BR5" t="str">
            <v>Year 3</v>
          </cell>
          <cell r="BS5" t="str">
            <v>Year 4</v>
          </cell>
          <cell r="BT5" t="str">
            <v>Year 4</v>
          </cell>
          <cell r="BU5" t="str">
            <v>Year 4</v>
          </cell>
          <cell r="BV5" t="str">
            <v>Year 4</v>
          </cell>
          <cell r="BW5" t="str">
            <v>Year 4</v>
          </cell>
          <cell r="BX5" t="str">
            <v>Year 4</v>
          </cell>
          <cell r="BY5" t="str">
            <v>Year 4</v>
          </cell>
          <cell r="BZ5" t="str">
            <v>Year 4</v>
          </cell>
          <cell r="CA5" t="str">
            <v>Year 4</v>
          </cell>
          <cell r="CB5" t="str">
            <v>Year 4</v>
          </cell>
          <cell r="CC5" t="str">
            <v>Year 4</v>
          </cell>
          <cell r="CD5" t="str">
            <v>Year 4</v>
          </cell>
          <cell r="CE5" t="str">
            <v>Year 5</v>
          </cell>
          <cell r="CF5" t="str">
            <v>Year 5</v>
          </cell>
          <cell r="CG5" t="str">
            <v>Year 5</v>
          </cell>
          <cell r="CH5" t="str">
            <v>Year 5</v>
          </cell>
          <cell r="CI5" t="str">
            <v>Year 5</v>
          </cell>
          <cell r="CJ5" t="str">
            <v>Year 5</v>
          </cell>
          <cell r="CK5" t="str">
            <v>Year 5</v>
          </cell>
          <cell r="CL5" t="str">
            <v>Year 5</v>
          </cell>
          <cell r="CM5" t="str">
            <v>Year 5</v>
          </cell>
          <cell r="CN5" t="str">
            <v>Year 5</v>
          </cell>
          <cell r="CO5" t="str">
            <v>Year 5</v>
          </cell>
          <cell r="CP5" t="str">
            <v>Year 5</v>
          </cell>
          <cell r="CQ5" t="str">
            <v>Year 6</v>
          </cell>
          <cell r="CR5" t="str">
            <v>Year 6</v>
          </cell>
          <cell r="CS5" t="str">
            <v>Year 6</v>
          </cell>
          <cell r="CT5" t="str">
            <v>Year 6</v>
          </cell>
          <cell r="CU5" t="str">
            <v>Year 6</v>
          </cell>
          <cell r="CV5" t="str">
            <v>Year 6</v>
          </cell>
          <cell r="CW5" t="str">
            <v>Year 6</v>
          </cell>
          <cell r="CX5" t="str">
            <v>Year 6</v>
          </cell>
          <cell r="CY5" t="str">
            <v>Year 6</v>
          </cell>
          <cell r="CZ5" t="str">
            <v>Year 6</v>
          </cell>
          <cell r="DA5" t="str">
            <v>Year 6</v>
          </cell>
          <cell r="DB5" t="str">
            <v>Year 6</v>
          </cell>
          <cell r="DC5" t="str">
            <v>Year 7</v>
          </cell>
          <cell r="DD5" t="str">
            <v>Year 7</v>
          </cell>
          <cell r="DE5" t="str">
            <v>Year 7</v>
          </cell>
          <cell r="DF5" t="str">
            <v>Year 7</v>
          </cell>
          <cell r="DG5" t="str">
            <v>Year 7</v>
          </cell>
          <cell r="DH5" t="str">
            <v>Year 7</v>
          </cell>
          <cell r="DI5" t="str">
            <v>Year 7</v>
          </cell>
          <cell r="DJ5" t="str">
            <v>Year 7</v>
          </cell>
          <cell r="DK5" t="str">
            <v>Year 7</v>
          </cell>
          <cell r="DL5" t="str">
            <v>Year 7</v>
          </cell>
          <cell r="DM5" t="str">
            <v>Year 7</v>
          </cell>
          <cell r="DN5" t="str">
            <v>Year 7</v>
          </cell>
          <cell r="DO5" t="str">
            <v>Year 8</v>
          </cell>
          <cell r="DP5" t="str">
            <v>Year 8</v>
          </cell>
          <cell r="DQ5" t="str">
            <v>Year 8</v>
          </cell>
          <cell r="DR5" t="str">
            <v>Year 8</v>
          </cell>
          <cell r="DS5" t="str">
            <v>Year 8</v>
          </cell>
          <cell r="DT5" t="str">
            <v>Year 8</v>
          </cell>
          <cell r="DU5" t="str">
            <v>Year 8</v>
          </cell>
          <cell r="DV5" t="str">
            <v>Year 8</v>
          </cell>
          <cell r="DW5" t="str">
            <v>Year 8</v>
          </cell>
          <cell r="DX5" t="str">
            <v>Year 8</v>
          </cell>
          <cell r="DY5" t="str">
            <v>Year 8</v>
          </cell>
          <cell r="DZ5" t="str">
            <v>Year 8</v>
          </cell>
          <cell r="EA5" t="str">
            <v>Year 9</v>
          </cell>
          <cell r="EB5" t="str">
            <v>Year 9</v>
          </cell>
          <cell r="EC5" t="str">
            <v>Year 9</v>
          </cell>
          <cell r="ED5" t="str">
            <v>Year 9</v>
          </cell>
          <cell r="EE5" t="str">
            <v>Year 9</v>
          </cell>
          <cell r="EF5" t="str">
            <v>Year 9</v>
          </cell>
          <cell r="EG5" t="str">
            <v>Year 9</v>
          </cell>
          <cell r="EH5" t="str">
            <v>Year 9</v>
          </cell>
          <cell r="EI5" t="str">
            <v>Year 9</v>
          </cell>
          <cell r="EJ5" t="str">
            <v>Year 9</v>
          </cell>
          <cell r="EK5" t="str">
            <v>Year 9</v>
          </cell>
          <cell r="EL5" t="str">
            <v>Year 9</v>
          </cell>
          <cell r="EM5" t="str">
            <v>Year 10</v>
          </cell>
          <cell r="EN5" t="str">
            <v>Year 10</v>
          </cell>
          <cell r="EO5" t="str">
            <v>Year 10</v>
          </cell>
          <cell r="EP5" t="str">
            <v>Year 10</v>
          </cell>
          <cell r="EQ5" t="str">
            <v>Year 10</v>
          </cell>
          <cell r="ER5" t="str">
            <v>Year 10</v>
          </cell>
          <cell r="ES5" t="str">
            <v>Year 10</v>
          </cell>
          <cell r="ET5" t="str">
            <v>Year 10</v>
          </cell>
          <cell r="EU5" t="str">
            <v>Year 10</v>
          </cell>
          <cell r="EV5" t="str">
            <v>Year 10</v>
          </cell>
          <cell r="EW5" t="str">
            <v>Year 10</v>
          </cell>
          <cell r="EX5" t="str">
            <v>Year 10</v>
          </cell>
          <cell r="EY5">
            <v>0</v>
          </cell>
        </row>
        <row r="115">
          <cell r="AF115">
            <v>0</v>
          </cell>
          <cell r="AG115">
            <v>49553.36538461539</v>
          </cell>
          <cell r="AH115">
            <v>499166.96031168418</v>
          </cell>
          <cell r="AI115">
            <v>3384989.3341097618</v>
          </cell>
          <cell r="AJ115">
            <v>437356.00077642762</v>
          </cell>
          <cell r="AK115">
            <v>1774901.6998950155</v>
          </cell>
          <cell r="AL115">
            <v>429074.18987899151</v>
          </cell>
          <cell r="AM115">
            <v>786420.34372514533</v>
          </cell>
          <cell r="AN115">
            <v>1148916.0428437339</v>
          </cell>
          <cell r="AO115">
            <v>395228.03603283758</v>
          </cell>
          <cell r="AP115">
            <v>395228.03603283758</v>
          </cell>
          <cell r="AQ115">
            <v>634750.65822835092</v>
          </cell>
          <cell r="AR115">
            <v>394210.08731488895</v>
          </cell>
          <cell r="AS115">
            <v>394210.08731488988</v>
          </cell>
          <cell r="AT115">
            <v>667916.81207450433</v>
          </cell>
          <cell r="AU115">
            <v>427376.24116104282</v>
          </cell>
          <cell r="AV115">
            <v>428145.47193027381</v>
          </cell>
          <cell r="AW115">
            <v>671893.25045591441</v>
          </cell>
          <cell r="AX115">
            <v>394979.31808411947</v>
          </cell>
          <cell r="AY115">
            <v>394979.31808411999</v>
          </cell>
          <cell r="AZ115">
            <v>640330.70041584922</v>
          </cell>
          <cell r="BA115">
            <v>394979.31808411999</v>
          </cell>
          <cell r="BB115">
            <v>394979.31808411999</v>
          </cell>
          <cell r="BC115">
            <v>640330.70041584945</v>
          </cell>
          <cell r="BD115">
            <v>394979.31808412075</v>
          </cell>
          <cell r="BE115">
            <v>394979.31808411947</v>
          </cell>
          <cell r="BF115">
            <v>640330.70041585003</v>
          </cell>
          <cell r="BG115">
            <v>391421.83259558596</v>
          </cell>
          <cell r="BH115">
            <v>392206.44798020227</v>
          </cell>
          <cell r="BI115">
            <v>640829.18207635591</v>
          </cell>
          <cell r="BJ115">
            <v>392206.44798020227</v>
          </cell>
          <cell r="BK115">
            <v>392206.44798020227</v>
          </cell>
          <cell r="BL115">
            <v>642464.85795856791</v>
          </cell>
          <cell r="BM115">
            <v>392206.44798020151</v>
          </cell>
          <cell r="BN115">
            <v>392206.44798020227</v>
          </cell>
          <cell r="BO115">
            <v>642464.85795856756</v>
          </cell>
          <cell r="BP115">
            <v>392206.44798020227</v>
          </cell>
          <cell r="BQ115">
            <v>392206.44798020227</v>
          </cell>
          <cell r="BR115">
            <v>642464.85795856814</v>
          </cell>
          <cell r="BS115">
            <v>388648.96249166876</v>
          </cell>
          <cell r="BT115">
            <v>389449.27018397563</v>
          </cell>
          <cell r="BU115">
            <v>643044.45896205236</v>
          </cell>
          <cell r="BV115">
            <v>389449.27018397563</v>
          </cell>
          <cell r="BW115">
            <v>389449.27018397563</v>
          </cell>
          <cell r="BX115">
            <v>644712.84836190823</v>
          </cell>
          <cell r="BY115">
            <v>389449.27018397563</v>
          </cell>
          <cell r="BZ115">
            <v>389449.27018397622</v>
          </cell>
          <cell r="CA115">
            <v>644712.84836190881</v>
          </cell>
          <cell r="CB115">
            <v>389449.27018397563</v>
          </cell>
          <cell r="CC115">
            <v>389449.27018397563</v>
          </cell>
          <cell r="CD115">
            <v>644712.84836190823</v>
          </cell>
          <cell r="CE115">
            <v>385891.78469544213</v>
          </cell>
          <cell r="CF115">
            <v>386708.09854159679</v>
          </cell>
          <cell r="CG115">
            <v>645375.19109523471</v>
          </cell>
          <cell r="CH115">
            <v>386708.09854159679</v>
          </cell>
          <cell r="CI115">
            <v>386708.09854159597</v>
          </cell>
          <cell r="CJ115">
            <v>647076.94828308921</v>
          </cell>
          <cell r="CK115">
            <v>386708.09854159679</v>
          </cell>
          <cell r="CL115">
            <v>386708.09854159597</v>
          </cell>
          <cell r="CM115">
            <v>647076.94828308863</v>
          </cell>
          <cell r="CN115">
            <v>386708.09854159597</v>
          </cell>
          <cell r="CO115">
            <v>386708.09854159679</v>
          </cell>
          <cell r="CP115">
            <v>647076.94828308793</v>
          </cell>
          <cell r="CQ115">
            <v>383150.61305306328</v>
          </cell>
          <cell r="CR115">
            <v>383983.25317613955</v>
          </cell>
          <cell r="CS115">
            <v>647823.68758085172</v>
          </cell>
          <cell r="CT115">
            <v>0</v>
          </cell>
          <cell r="CU115">
            <v>0</v>
          </cell>
          <cell r="CV115">
            <v>0</v>
          </cell>
          <cell r="CW115">
            <v>0</v>
          </cell>
          <cell r="CX115">
            <v>0</v>
          </cell>
          <cell r="CY115">
            <v>0</v>
          </cell>
          <cell r="CZ115">
            <v>0</v>
          </cell>
          <cell r="DA115">
            <v>0</v>
          </cell>
          <cell r="DB115">
            <v>0</v>
          </cell>
          <cell r="DC115">
            <v>0</v>
          </cell>
          <cell r="DD115">
            <v>0</v>
          </cell>
          <cell r="DE115">
            <v>0</v>
          </cell>
          <cell r="DF115">
            <v>0</v>
          </cell>
          <cell r="DG115">
            <v>0</v>
          </cell>
          <cell r="DH115">
            <v>0</v>
          </cell>
          <cell r="DI115">
            <v>0</v>
          </cell>
          <cell r="DJ115">
            <v>0</v>
          </cell>
          <cell r="DK115">
            <v>0</v>
          </cell>
          <cell r="DL115">
            <v>0</v>
          </cell>
          <cell r="DM115">
            <v>0</v>
          </cell>
          <cell r="DN115">
            <v>0</v>
          </cell>
          <cell r="DO115">
            <v>0</v>
          </cell>
          <cell r="DP115">
            <v>0</v>
          </cell>
          <cell r="DQ115">
            <v>0</v>
          </cell>
          <cell r="DR115">
            <v>0</v>
          </cell>
          <cell r="DS115">
            <v>0</v>
          </cell>
          <cell r="DT115">
            <v>0</v>
          </cell>
          <cell r="DU115">
            <v>0</v>
          </cell>
          <cell r="DV115">
            <v>0</v>
          </cell>
          <cell r="DW115">
            <v>0</v>
          </cell>
          <cell r="DX115">
            <v>0</v>
          </cell>
          <cell r="DY115">
            <v>0</v>
          </cell>
          <cell r="DZ115">
            <v>0</v>
          </cell>
          <cell r="EA115">
            <v>0</v>
          </cell>
          <cell r="EB115">
            <v>0</v>
          </cell>
          <cell r="EC115">
            <v>0</v>
          </cell>
          <cell r="ED115">
            <v>0</v>
          </cell>
          <cell r="EE115">
            <v>0</v>
          </cell>
          <cell r="EF115">
            <v>0</v>
          </cell>
          <cell r="EG115">
            <v>0</v>
          </cell>
          <cell r="EH115">
            <v>0</v>
          </cell>
          <cell r="EI115">
            <v>0</v>
          </cell>
          <cell r="EJ115">
            <v>0</v>
          </cell>
          <cell r="EK115">
            <v>0</v>
          </cell>
          <cell r="EL115">
            <v>0</v>
          </cell>
          <cell r="EM115">
            <v>0</v>
          </cell>
          <cell r="EN115">
            <v>0</v>
          </cell>
          <cell r="EO115">
            <v>0</v>
          </cell>
          <cell r="EP115">
            <v>0</v>
          </cell>
          <cell r="EQ115">
            <v>0</v>
          </cell>
          <cell r="ER115">
            <v>0</v>
          </cell>
          <cell r="ES115">
            <v>0</v>
          </cell>
          <cell r="ET115">
            <v>0</v>
          </cell>
          <cell r="EU115">
            <v>0</v>
          </cell>
          <cell r="EV115">
            <v>0</v>
          </cell>
          <cell r="EW115">
            <v>0</v>
          </cell>
          <cell r="EX115">
            <v>0</v>
          </cell>
        </row>
      </sheetData>
      <sheetData sheetId="14">
        <row r="4">
          <cell r="A4" t="str">
            <v>CoM</v>
          </cell>
        </row>
      </sheetData>
      <sheetData sheetId="15">
        <row r="4">
          <cell r="A4" t="str">
            <v>Profile with CoM</v>
          </cell>
        </row>
        <row r="5">
          <cell r="AF5" t="str">
            <v>Year 0</v>
          </cell>
          <cell r="AG5" t="str">
            <v>Year 0</v>
          </cell>
          <cell r="AH5" t="str">
            <v>Year 0</v>
          </cell>
          <cell r="AI5" t="str">
            <v>Q1</v>
          </cell>
          <cell r="AJ5" t="str">
            <v>Q1</v>
          </cell>
          <cell r="AK5" t="str">
            <v>Q1</v>
          </cell>
          <cell r="AL5" t="str">
            <v>Q2</v>
          </cell>
          <cell r="AM5" t="str">
            <v>Q2</v>
          </cell>
          <cell r="AN5" t="str">
            <v>Q2</v>
          </cell>
          <cell r="AO5" t="str">
            <v>Q3</v>
          </cell>
          <cell r="AP5" t="str">
            <v>Q3</v>
          </cell>
          <cell r="AQ5" t="str">
            <v>Q3</v>
          </cell>
          <cell r="AR5" t="str">
            <v>Q4</v>
          </cell>
          <cell r="AS5" t="str">
            <v>Q4</v>
          </cell>
          <cell r="AT5" t="str">
            <v>Q4</v>
          </cell>
          <cell r="AU5" t="str">
            <v>Year 2</v>
          </cell>
          <cell r="AV5" t="str">
            <v>Year 2</v>
          </cell>
          <cell r="AW5" t="str">
            <v>Year 2</v>
          </cell>
          <cell r="AX5" t="str">
            <v>Year 2</v>
          </cell>
          <cell r="AY5" t="str">
            <v>Year 2</v>
          </cell>
          <cell r="AZ5" t="str">
            <v>Year 2</v>
          </cell>
          <cell r="BA5" t="str">
            <v>Year 2</v>
          </cell>
          <cell r="BB5" t="str">
            <v>Year 2</v>
          </cell>
          <cell r="BC5" t="str">
            <v>Year 2</v>
          </cell>
          <cell r="BD5" t="str">
            <v>Year 2</v>
          </cell>
          <cell r="BE5" t="str">
            <v>Year 2</v>
          </cell>
          <cell r="BF5" t="str">
            <v>Year 2</v>
          </cell>
          <cell r="BG5" t="str">
            <v>Year 3</v>
          </cell>
          <cell r="BH5" t="str">
            <v>Year 3</v>
          </cell>
          <cell r="BI5" t="str">
            <v>Year 3</v>
          </cell>
          <cell r="BJ5" t="str">
            <v>Year 3</v>
          </cell>
          <cell r="BK5" t="str">
            <v>Year 3</v>
          </cell>
          <cell r="BL5" t="str">
            <v>Year 3</v>
          </cell>
          <cell r="BM5" t="str">
            <v>Year 3</v>
          </cell>
          <cell r="BN5" t="str">
            <v>Year 3</v>
          </cell>
          <cell r="BO5" t="str">
            <v>Year 3</v>
          </cell>
          <cell r="BP5" t="str">
            <v>Year 3</v>
          </cell>
          <cell r="BQ5" t="str">
            <v>Year 3</v>
          </cell>
          <cell r="BR5" t="str">
            <v>Year 3</v>
          </cell>
          <cell r="BS5" t="str">
            <v>Year 4</v>
          </cell>
          <cell r="BT5" t="str">
            <v>Year 4</v>
          </cell>
          <cell r="BU5" t="str">
            <v>Year 4</v>
          </cell>
          <cell r="BV5" t="str">
            <v>Year 4</v>
          </cell>
          <cell r="BW5" t="str">
            <v>Year 4</v>
          </cell>
          <cell r="BX5" t="str">
            <v>Year 4</v>
          </cell>
          <cell r="BY5" t="str">
            <v>Year 4</v>
          </cell>
          <cell r="BZ5" t="str">
            <v>Year 4</v>
          </cell>
          <cell r="CA5" t="str">
            <v>Year 4</v>
          </cell>
          <cell r="CB5" t="str">
            <v>Year 4</v>
          </cell>
          <cell r="CC5" t="str">
            <v>Year 4</v>
          </cell>
          <cell r="CD5" t="str">
            <v>Year 4</v>
          </cell>
          <cell r="CE5" t="str">
            <v>Year 5</v>
          </cell>
          <cell r="CF5" t="str">
            <v>Year 5</v>
          </cell>
          <cell r="CG5" t="str">
            <v>Year 5</v>
          </cell>
          <cell r="CH5" t="str">
            <v>Year 5</v>
          </cell>
          <cell r="CI5" t="str">
            <v>Year 5</v>
          </cell>
          <cell r="CJ5" t="str">
            <v>Year 5</v>
          </cell>
          <cell r="CK5" t="str">
            <v>Year 5</v>
          </cell>
          <cell r="CL5" t="str">
            <v>Year 5</v>
          </cell>
          <cell r="CM5" t="str">
            <v>Year 5</v>
          </cell>
          <cell r="CN5" t="str">
            <v>Year 5</v>
          </cell>
          <cell r="CO5" t="str">
            <v>Year 5</v>
          </cell>
          <cell r="CP5" t="str">
            <v>Year 5</v>
          </cell>
          <cell r="CQ5" t="str">
            <v>Year 6</v>
          </cell>
          <cell r="CR5" t="str">
            <v>Year 6</v>
          </cell>
          <cell r="CS5" t="str">
            <v>Year 6</v>
          </cell>
          <cell r="CT5" t="str">
            <v>Year 6</v>
          </cell>
          <cell r="CU5" t="str">
            <v>Year 6</v>
          </cell>
          <cell r="CV5" t="str">
            <v>Year 6</v>
          </cell>
          <cell r="CW5" t="str">
            <v>Year 6</v>
          </cell>
          <cell r="CX5" t="str">
            <v>Year 6</v>
          </cell>
          <cell r="CY5" t="str">
            <v>Year 6</v>
          </cell>
          <cell r="CZ5" t="str">
            <v>Year 6</v>
          </cell>
          <cell r="DA5" t="str">
            <v>Year 6</v>
          </cell>
          <cell r="DB5" t="str">
            <v>Year 6</v>
          </cell>
          <cell r="DC5" t="str">
            <v>Year 7</v>
          </cell>
          <cell r="DD5" t="str">
            <v>Year 7</v>
          </cell>
          <cell r="DE5" t="str">
            <v>Year 7</v>
          </cell>
          <cell r="DF5" t="str">
            <v>Year 7</v>
          </cell>
          <cell r="DG5" t="str">
            <v>Year 7</v>
          </cell>
          <cell r="DH5" t="str">
            <v>Year 7</v>
          </cell>
          <cell r="DI5" t="str">
            <v>Year 7</v>
          </cell>
          <cell r="DJ5" t="str">
            <v>Year 7</v>
          </cell>
          <cell r="DK5" t="str">
            <v>Year 7</v>
          </cell>
          <cell r="DL5" t="str">
            <v>Year 7</v>
          </cell>
          <cell r="DM5" t="str">
            <v>Year 7</v>
          </cell>
          <cell r="DN5" t="str">
            <v>Year 7</v>
          </cell>
          <cell r="DO5" t="str">
            <v>Year 8</v>
          </cell>
          <cell r="DP5" t="str">
            <v>Year 8</v>
          </cell>
          <cell r="DQ5" t="str">
            <v>Year 8</v>
          </cell>
          <cell r="DR5" t="str">
            <v>Year 8</v>
          </cell>
          <cell r="DS5" t="str">
            <v>Year 8</v>
          </cell>
          <cell r="DT5" t="str">
            <v>Year 8</v>
          </cell>
          <cell r="DU5" t="str">
            <v>Year 8</v>
          </cell>
          <cell r="DV5" t="str">
            <v>Year 8</v>
          </cell>
          <cell r="DW5" t="str">
            <v>Year 8</v>
          </cell>
          <cell r="DX5" t="str">
            <v>Year 8</v>
          </cell>
          <cell r="DY5" t="str">
            <v>Year 8</v>
          </cell>
          <cell r="DZ5" t="str">
            <v>Year 8</v>
          </cell>
          <cell r="EA5" t="str">
            <v>Year 9</v>
          </cell>
          <cell r="EB5" t="str">
            <v>Year 9</v>
          </cell>
          <cell r="EC5" t="str">
            <v>Year 9</v>
          </cell>
          <cell r="ED5" t="str">
            <v>Year 9</v>
          </cell>
          <cell r="EE5" t="str">
            <v>Year 9</v>
          </cell>
          <cell r="EF5" t="str">
            <v>Year 9</v>
          </cell>
          <cell r="EG5" t="str">
            <v>Year 9</v>
          </cell>
          <cell r="EH5" t="str">
            <v>Year 9</v>
          </cell>
          <cell r="EI5" t="str">
            <v>Year 9</v>
          </cell>
          <cell r="EJ5" t="str">
            <v>Year 9</v>
          </cell>
          <cell r="EK5" t="str">
            <v>Year 9</v>
          </cell>
          <cell r="EL5" t="str">
            <v>Year 9</v>
          </cell>
          <cell r="EM5" t="str">
            <v>Year 10</v>
          </cell>
          <cell r="EN5" t="str">
            <v>Year 10</v>
          </cell>
          <cell r="EO5" t="str">
            <v>Year 10</v>
          </cell>
          <cell r="EP5" t="str">
            <v>Year 10</v>
          </cell>
          <cell r="EQ5" t="str">
            <v>Year 10</v>
          </cell>
          <cell r="ER5" t="str">
            <v>Year 10</v>
          </cell>
          <cell r="ES5" t="str">
            <v>Year 10</v>
          </cell>
          <cell r="ET5" t="str">
            <v>Year 10</v>
          </cell>
          <cell r="EU5" t="str">
            <v>Year 10</v>
          </cell>
          <cell r="EV5" t="str">
            <v>Year 10</v>
          </cell>
          <cell r="EW5" t="str">
            <v>Year 10</v>
          </cell>
          <cell r="EX5" t="str">
            <v>Year 10</v>
          </cell>
          <cell r="EY5">
            <v>0</v>
          </cell>
        </row>
        <row r="115">
          <cell r="AF115">
            <v>0</v>
          </cell>
          <cell r="AG115">
            <v>51763.140849771356</v>
          </cell>
          <cell r="AH115">
            <v>521426.73809573153</v>
          </cell>
          <cell r="AI115">
            <v>3535939.0490740798</v>
          </cell>
          <cell r="AJ115">
            <v>456859.38975017698</v>
          </cell>
          <cell r="AK115">
            <v>1854051.4044418116</v>
          </cell>
          <cell r="AL115">
            <v>448208.26099942927</v>
          </cell>
          <cell r="AM115">
            <v>821489.85650949576</v>
          </cell>
          <cell r="AN115">
            <v>1200150.6353541447</v>
          </cell>
          <cell r="AO115">
            <v>412852.77676211816</v>
          </cell>
          <cell r="AP115">
            <v>412852.77676211816</v>
          </cell>
          <cell r="AQ115">
            <v>663056.63543409109</v>
          </cell>
          <cell r="AR115">
            <v>411789.43378922332</v>
          </cell>
          <cell r="AS115">
            <v>411789.43378922419</v>
          </cell>
          <cell r="AT115">
            <v>697701.7958517248</v>
          </cell>
          <cell r="AU115">
            <v>446434.59420685761</v>
          </cell>
          <cell r="AV115">
            <v>447238.12793952413</v>
          </cell>
          <cell r="AW115">
            <v>701855.55893965589</v>
          </cell>
          <cell r="AX115">
            <v>412592.96752188925</v>
          </cell>
          <cell r="AY115">
            <v>412592.96752188983</v>
          </cell>
          <cell r="AZ115">
            <v>668885.51319965266</v>
          </cell>
          <cell r="BA115">
            <v>412592.96752188983</v>
          </cell>
          <cell r="BB115">
            <v>412592.96752188983</v>
          </cell>
          <cell r="BC115">
            <v>668885.51319965289</v>
          </cell>
          <cell r="BD115">
            <v>412592.96752189036</v>
          </cell>
          <cell r="BE115">
            <v>412592.96752188925</v>
          </cell>
          <cell r="BF115">
            <v>668885.51319965394</v>
          </cell>
          <cell r="BG115">
            <v>408876.84005033004</v>
          </cell>
          <cell r="BH115">
            <v>409696.44445765042</v>
          </cell>
          <cell r="BI115">
            <v>669406.22407778457</v>
          </cell>
          <cell r="BJ115">
            <v>409696.44445765042</v>
          </cell>
          <cell r="BK115">
            <v>409696.44445765042</v>
          </cell>
          <cell r="BL115">
            <v>671114.84104897</v>
          </cell>
          <cell r="BM115">
            <v>409696.44445764972</v>
          </cell>
          <cell r="BN115">
            <v>409696.44445765042</v>
          </cell>
          <cell r="BO115">
            <v>671114.84104896977</v>
          </cell>
          <cell r="BP115">
            <v>409696.44445765042</v>
          </cell>
          <cell r="BQ115">
            <v>409696.44445765042</v>
          </cell>
          <cell r="BR115">
            <v>671114.84104897035</v>
          </cell>
          <cell r="BS115">
            <v>405980.31698609114</v>
          </cell>
          <cell r="BT115">
            <v>406816.31348155637</v>
          </cell>
          <cell r="BU115">
            <v>671720.28869409324</v>
          </cell>
          <cell r="BV115">
            <v>406816.31348155637</v>
          </cell>
          <cell r="BW115">
            <v>406816.31348155637</v>
          </cell>
          <cell r="BX115">
            <v>673463.07800470223</v>
          </cell>
          <cell r="BY115">
            <v>406816.31348155637</v>
          </cell>
          <cell r="BZ115">
            <v>406816.31348155712</v>
          </cell>
          <cell r="CA115">
            <v>673463.07800470281</v>
          </cell>
          <cell r="CB115">
            <v>406816.31348155637</v>
          </cell>
          <cell r="CC115">
            <v>406816.31348155637</v>
          </cell>
          <cell r="CD115">
            <v>673463.07800470223</v>
          </cell>
          <cell r="CE115">
            <v>403100.18600999727</v>
          </cell>
          <cell r="CF115">
            <v>403952.90243537305</v>
          </cell>
          <cell r="CG115">
            <v>674154.95715216035</v>
          </cell>
          <cell r="CH115">
            <v>403952.90243537305</v>
          </cell>
          <cell r="CI115">
            <v>403952.90243537223</v>
          </cell>
          <cell r="CJ115">
            <v>675932.60224898334</v>
          </cell>
          <cell r="CK115">
            <v>403952.90243537305</v>
          </cell>
          <cell r="CL115">
            <v>403952.90243537223</v>
          </cell>
          <cell r="CM115">
            <v>675932.60224898276</v>
          </cell>
          <cell r="CN115">
            <v>403952.90243537223</v>
          </cell>
          <cell r="CO115">
            <v>403952.90243537305</v>
          </cell>
          <cell r="CP115">
            <v>675932.60224898183</v>
          </cell>
          <cell r="CQ115">
            <v>400236.77496381401</v>
          </cell>
          <cell r="CR115">
            <v>401106.54571769614</v>
          </cell>
          <cell r="CS115">
            <v>676712.64152882074</v>
          </cell>
          <cell r="CT115">
            <v>0</v>
          </cell>
          <cell r="CU115">
            <v>0</v>
          </cell>
          <cell r="CV115">
            <v>0</v>
          </cell>
          <cell r="CW115">
            <v>0</v>
          </cell>
          <cell r="CX115">
            <v>0</v>
          </cell>
          <cell r="CY115">
            <v>0</v>
          </cell>
          <cell r="CZ115">
            <v>0</v>
          </cell>
          <cell r="DA115">
            <v>0</v>
          </cell>
          <cell r="DB115">
            <v>0</v>
          </cell>
          <cell r="DC115">
            <v>0</v>
          </cell>
          <cell r="DD115">
            <v>0</v>
          </cell>
          <cell r="DE115">
            <v>0</v>
          </cell>
          <cell r="DF115">
            <v>0</v>
          </cell>
          <cell r="DG115">
            <v>0</v>
          </cell>
          <cell r="DH115">
            <v>0</v>
          </cell>
          <cell r="DI115">
            <v>0</v>
          </cell>
          <cell r="DJ115">
            <v>0</v>
          </cell>
          <cell r="DK115">
            <v>0</v>
          </cell>
          <cell r="DL115">
            <v>0</v>
          </cell>
          <cell r="DM115">
            <v>0</v>
          </cell>
          <cell r="DN115">
            <v>0</v>
          </cell>
          <cell r="DO115">
            <v>0</v>
          </cell>
          <cell r="DP115">
            <v>0</v>
          </cell>
          <cell r="DQ115">
            <v>0</v>
          </cell>
          <cell r="DR115">
            <v>0</v>
          </cell>
          <cell r="DS115">
            <v>0</v>
          </cell>
          <cell r="DT115">
            <v>0</v>
          </cell>
          <cell r="DU115">
            <v>0</v>
          </cell>
          <cell r="DV115">
            <v>0</v>
          </cell>
          <cell r="DW115">
            <v>0</v>
          </cell>
          <cell r="DX115">
            <v>0</v>
          </cell>
          <cell r="DY115">
            <v>0</v>
          </cell>
          <cell r="DZ115">
            <v>0</v>
          </cell>
          <cell r="EA115">
            <v>0</v>
          </cell>
          <cell r="EB115">
            <v>0</v>
          </cell>
          <cell r="EC115">
            <v>0</v>
          </cell>
          <cell r="ED115">
            <v>0</v>
          </cell>
          <cell r="EE115">
            <v>0</v>
          </cell>
          <cell r="EF115">
            <v>0</v>
          </cell>
          <cell r="EG115">
            <v>0</v>
          </cell>
          <cell r="EH115">
            <v>0</v>
          </cell>
          <cell r="EI115">
            <v>0</v>
          </cell>
          <cell r="EJ115">
            <v>0</v>
          </cell>
          <cell r="EK115">
            <v>0</v>
          </cell>
          <cell r="EL115">
            <v>0</v>
          </cell>
          <cell r="EM115">
            <v>0</v>
          </cell>
          <cell r="EN115">
            <v>0</v>
          </cell>
          <cell r="EO115">
            <v>0</v>
          </cell>
          <cell r="EP115">
            <v>0</v>
          </cell>
          <cell r="EQ115">
            <v>0</v>
          </cell>
          <cell r="ER115">
            <v>0</v>
          </cell>
          <cell r="ES115">
            <v>0</v>
          </cell>
          <cell r="ET115">
            <v>0</v>
          </cell>
          <cell r="EU115">
            <v>0</v>
          </cell>
          <cell r="EV115">
            <v>0</v>
          </cell>
          <cell r="EW115">
            <v>0</v>
          </cell>
          <cell r="EX115">
            <v>0</v>
          </cell>
        </row>
      </sheetData>
      <sheetData sheetId="16">
        <row r="115">
          <cell r="AF115">
            <v>0</v>
          </cell>
          <cell r="AG115">
            <v>51763.140849771356</v>
          </cell>
          <cell r="AH115">
            <v>521426.73809573153</v>
          </cell>
          <cell r="AI115">
            <v>3535939.0490740798</v>
          </cell>
          <cell r="AJ115">
            <v>456859.38975017698</v>
          </cell>
          <cell r="AK115">
            <v>1854051.4044418116</v>
          </cell>
          <cell r="AL115">
            <v>448208.26099942927</v>
          </cell>
          <cell r="AM115">
            <v>821489.85650949576</v>
          </cell>
          <cell r="AN115">
            <v>1200150.6353541447</v>
          </cell>
          <cell r="AO115">
            <v>412852.77676211816</v>
          </cell>
          <cell r="AP115">
            <v>412852.77676211816</v>
          </cell>
          <cell r="AQ115">
            <v>663056.63543409109</v>
          </cell>
          <cell r="AR115">
            <v>411789.43378922332</v>
          </cell>
          <cell r="AS115">
            <v>411789.43378922419</v>
          </cell>
          <cell r="AT115">
            <v>697701.7958517248</v>
          </cell>
          <cell r="AU115">
            <v>446434.59420685761</v>
          </cell>
          <cell r="AV115">
            <v>447238.12793952413</v>
          </cell>
          <cell r="AW115">
            <v>701855.55893965589</v>
          </cell>
          <cell r="AX115">
            <v>412592.96752188925</v>
          </cell>
          <cell r="AY115">
            <v>412592.96752188983</v>
          </cell>
          <cell r="AZ115">
            <v>668885.51319965266</v>
          </cell>
          <cell r="BA115">
            <v>412592.96752188983</v>
          </cell>
          <cell r="BB115">
            <v>412592.96752188983</v>
          </cell>
          <cell r="BC115">
            <v>668885.51319965289</v>
          </cell>
          <cell r="BD115">
            <v>412592.96752189036</v>
          </cell>
          <cell r="BE115">
            <v>412592.96752188925</v>
          </cell>
          <cell r="BF115">
            <v>668885.51319965394</v>
          </cell>
          <cell r="BG115">
            <v>408876.84005033004</v>
          </cell>
          <cell r="BH115">
            <v>409696.44445765042</v>
          </cell>
          <cell r="BI115">
            <v>669406.22407778457</v>
          </cell>
          <cell r="BJ115">
            <v>409696.44445765042</v>
          </cell>
          <cell r="BK115">
            <v>409696.44445765042</v>
          </cell>
          <cell r="BL115">
            <v>671114.84104897</v>
          </cell>
          <cell r="BM115">
            <v>409696.44445764972</v>
          </cell>
          <cell r="BN115">
            <v>409696.44445765042</v>
          </cell>
          <cell r="BO115">
            <v>671114.84104896977</v>
          </cell>
          <cell r="BP115">
            <v>409696.44445765042</v>
          </cell>
          <cell r="BQ115">
            <v>409696.44445765042</v>
          </cell>
          <cell r="BR115">
            <v>671114.84104897035</v>
          </cell>
          <cell r="BS115">
            <v>405980.31698609114</v>
          </cell>
          <cell r="BT115">
            <v>406816.31348155637</v>
          </cell>
          <cell r="BU115">
            <v>671720.28869409324</v>
          </cell>
          <cell r="BV115">
            <v>406816.31348155637</v>
          </cell>
          <cell r="BW115">
            <v>406816.31348155637</v>
          </cell>
          <cell r="BX115">
            <v>673463.07800470223</v>
          </cell>
          <cell r="BY115">
            <v>406816.31348155637</v>
          </cell>
          <cell r="BZ115">
            <v>406816.31348155712</v>
          </cell>
          <cell r="CA115">
            <v>673463.07800470281</v>
          </cell>
          <cell r="CB115">
            <v>406816.31348155637</v>
          </cell>
          <cell r="CC115">
            <v>406816.31348155637</v>
          </cell>
          <cell r="CD115">
            <v>673463.07800470223</v>
          </cell>
          <cell r="CE115">
            <v>403100.18600999727</v>
          </cell>
          <cell r="CF115">
            <v>403952.90243537305</v>
          </cell>
          <cell r="CG115">
            <v>674154.95715216035</v>
          </cell>
          <cell r="CH115">
            <v>403952.90243537305</v>
          </cell>
          <cell r="CI115">
            <v>403952.90243537223</v>
          </cell>
          <cell r="CJ115">
            <v>675932.60224898334</v>
          </cell>
          <cell r="CK115">
            <v>403952.90243537305</v>
          </cell>
          <cell r="CL115">
            <v>403952.90243537223</v>
          </cell>
          <cell r="CM115">
            <v>675932.60224898276</v>
          </cell>
          <cell r="CN115">
            <v>403952.90243537223</v>
          </cell>
          <cell r="CO115">
            <v>403952.90243537305</v>
          </cell>
          <cell r="CP115">
            <v>675932.60224898183</v>
          </cell>
          <cell r="CQ115">
            <v>400236.77496381401</v>
          </cell>
          <cell r="CR115">
            <v>401106.54571769614</v>
          </cell>
          <cell r="CS115">
            <v>676712.64152882074</v>
          </cell>
          <cell r="CT115">
            <v>0</v>
          </cell>
          <cell r="CU115">
            <v>0</v>
          </cell>
          <cell r="CV115">
            <v>0</v>
          </cell>
          <cell r="CW115">
            <v>0</v>
          </cell>
          <cell r="CX115">
            <v>0</v>
          </cell>
          <cell r="CY115">
            <v>0</v>
          </cell>
          <cell r="CZ115">
            <v>0</v>
          </cell>
          <cell r="DA115">
            <v>0</v>
          </cell>
          <cell r="DB115">
            <v>0</v>
          </cell>
          <cell r="DC115">
            <v>0</v>
          </cell>
          <cell r="DD115">
            <v>0</v>
          </cell>
          <cell r="DE115">
            <v>0</v>
          </cell>
          <cell r="DF115">
            <v>0</v>
          </cell>
          <cell r="DG115">
            <v>0</v>
          </cell>
          <cell r="DH115">
            <v>0</v>
          </cell>
          <cell r="DI115">
            <v>0</v>
          </cell>
          <cell r="DJ115">
            <v>0</v>
          </cell>
          <cell r="DK115">
            <v>0</v>
          </cell>
          <cell r="DL115">
            <v>0</v>
          </cell>
          <cell r="DM115">
            <v>0</v>
          </cell>
          <cell r="DN115">
            <v>0</v>
          </cell>
          <cell r="DO115">
            <v>0</v>
          </cell>
          <cell r="DP115">
            <v>0</v>
          </cell>
          <cell r="DQ115">
            <v>0</v>
          </cell>
          <cell r="DR115">
            <v>0</v>
          </cell>
          <cell r="DS115">
            <v>0</v>
          </cell>
          <cell r="DT115">
            <v>0</v>
          </cell>
          <cell r="DU115">
            <v>0</v>
          </cell>
          <cell r="DV115">
            <v>0</v>
          </cell>
          <cell r="DW115">
            <v>0</v>
          </cell>
          <cell r="DX115">
            <v>0</v>
          </cell>
          <cell r="DY115">
            <v>0</v>
          </cell>
          <cell r="DZ115">
            <v>0</v>
          </cell>
          <cell r="EA115">
            <v>0</v>
          </cell>
          <cell r="EB115">
            <v>0</v>
          </cell>
          <cell r="EC115">
            <v>0</v>
          </cell>
          <cell r="ED115">
            <v>0</v>
          </cell>
          <cell r="EE115">
            <v>0</v>
          </cell>
          <cell r="EF115">
            <v>0</v>
          </cell>
          <cell r="EG115">
            <v>0</v>
          </cell>
          <cell r="EH115">
            <v>0</v>
          </cell>
          <cell r="EI115">
            <v>0</v>
          </cell>
          <cell r="EJ115">
            <v>0</v>
          </cell>
          <cell r="EK115">
            <v>0</v>
          </cell>
          <cell r="EL115">
            <v>0</v>
          </cell>
          <cell r="EM115">
            <v>0</v>
          </cell>
          <cell r="EN115">
            <v>0</v>
          </cell>
          <cell r="EO115">
            <v>0</v>
          </cell>
          <cell r="EP115">
            <v>0</v>
          </cell>
          <cell r="EQ115">
            <v>0</v>
          </cell>
          <cell r="ER115">
            <v>0</v>
          </cell>
          <cell r="ES115">
            <v>0</v>
          </cell>
          <cell r="ET115">
            <v>0</v>
          </cell>
          <cell r="EU115">
            <v>0</v>
          </cell>
          <cell r="EV115">
            <v>0</v>
          </cell>
          <cell r="EW115">
            <v>0</v>
          </cell>
          <cell r="EX115">
            <v>0</v>
          </cell>
        </row>
      </sheetData>
      <sheetData sheetId="17">
        <row r="4">
          <cell r="A4" t="str">
            <v>Service Prices</v>
          </cell>
        </row>
      </sheetData>
      <sheetData sheetId="18"/>
      <sheetData sheetId="19">
        <row r="4">
          <cell r="A4" t="str">
            <v>Interface</v>
          </cell>
        </row>
      </sheetData>
      <sheetData sheetId="20">
        <row r="4">
          <cell r="A4" t="str">
            <v>Audit</v>
          </cell>
        </row>
        <row r="13">
          <cell r="D13">
            <v>0</v>
          </cell>
        </row>
      </sheetData>
      <sheetData sheetId="21">
        <row r="4">
          <cell r="A4" t="str">
            <v>Change Control</v>
          </cell>
        </row>
      </sheetData>
      <sheetData sheetId="22"/>
      <sheetData sheetId="23"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mailto:js@models.net"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4.xml"/><Relationship Id="rId1" Type="http://schemas.openxmlformats.org/officeDocument/2006/relationships/printerSettings" Target="../printerSettings/printerSettings10.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O28"/>
  <sheetViews>
    <sheetView showGridLines="0" tabSelected="1" workbookViewId="0">
      <selection activeCell="G10" sqref="G10"/>
    </sheetView>
  </sheetViews>
  <sheetFormatPr defaultColWidth="0" defaultRowHeight="15" zeroHeight="1"/>
  <cols>
    <col min="1" max="1" width="6.42578125" customWidth="1"/>
    <col min="2" max="2" width="14.28515625" customWidth="1"/>
    <col min="3" max="3" width="12.140625" customWidth="1"/>
    <col min="4" max="4" width="13.5703125" customWidth="1"/>
    <col min="5" max="5" width="16.85546875" customWidth="1"/>
    <col min="6" max="6" width="12.28515625" customWidth="1"/>
    <col min="7" max="7" width="16.42578125" customWidth="1"/>
    <col min="8" max="8" width="45.140625" customWidth="1"/>
    <col min="9" max="9" width="11" customWidth="1"/>
    <col min="10" max="10" width="10.85546875" customWidth="1"/>
    <col min="11" max="11" width="12.5703125" customWidth="1"/>
    <col min="12" max="12" width="9.140625" customWidth="1"/>
    <col min="13" max="13" width="20.5703125" customWidth="1"/>
    <col min="14" max="14" width="4.85546875" customWidth="1"/>
    <col min="15" max="15" width="6" customWidth="1"/>
    <col min="16" max="16384" width="9.140625" hidden="1"/>
  </cols>
  <sheetData>
    <row r="1" spans="1:13">
      <c r="A1" s="1" t="s">
        <v>0</v>
      </c>
      <c r="B1" s="1"/>
      <c r="C1" s="1"/>
      <c r="D1" s="1"/>
      <c r="E1" s="1"/>
      <c r="F1" s="1"/>
      <c r="G1" s="1"/>
      <c r="H1" s="1"/>
      <c r="I1" s="1"/>
      <c r="J1" s="1"/>
      <c r="K1" s="1"/>
      <c r="L1" s="1"/>
      <c r="M1" s="1"/>
    </row>
    <row r="2" spans="1:13">
      <c r="A2" s="2" t="s">
        <v>1</v>
      </c>
    </row>
    <row r="3" spans="1:13"/>
    <row r="4" spans="1:13"/>
    <row r="5" spans="1:13">
      <c r="A5" s="3"/>
      <c r="B5" s="3" t="s">
        <v>2</v>
      </c>
      <c r="C5" s="3"/>
      <c r="D5" s="3"/>
      <c r="E5" s="3"/>
      <c r="F5" s="3"/>
      <c r="G5" s="3"/>
      <c r="H5" s="3"/>
      <c r="I5" s="3"/>
      <c r="J5" s="3"/>
      <c r="K5" s="3"/>
      <c r="L5" s="3"/>
      <c r="M5" s="3"/>
    </row>
    <row r="6" spans="1:13"/>
    <row r="7" spans="1:13" ht="26.25">
      <c r="B7" s="4" t="s">
        <v>6</v>
      </c>
      <c r="C7" s="4" t="s">
        <v>7</v>
      </c>
      <c r="D7" s="5" t="s">
        <v>3</v>
      </c>
      <c r="E7" s="5" t="s">
        <v>4</v>
      </c>
      <c r="F7" s="5" t="s">
        <v>5</v>
      </c>
      <c r="G7" s="5" t="s">
        <v>8</v>
      </c>
      <c r="H7" s="5" t="s">
        <v>21</v>
      </c>
      <c r="I7" s="6" t="s">
        <v>9</v>
      </c>
      <c r="J7" s="6" t="s">
        <v>10</v>
      </c>
      <c r="K7" s="6" t="s">
        <v>12</v>
      </c>
      <c r="L7" s="5" t="s">
        <v>11</v>
      </c>
      <c r="M7" s="5" t="s">
        <v>13</v>
      </c>
    </row>
    <row r="8" spans="1:13" ht="51">
      <c r="B8" s="7" t="s">
        <v>24</v>
      </c>
      <c r="C8" s="7" t="s">
        <v>15</v>
      </c>
      <c r="D8" s="9" t="s">
        <v>17</v>
      </c>
      <c r="E8" s="9" t="s">
        <v>16</v>
      </c>
      <c r="F8" s="9" t="s">
        <v>22</v>
      </c>
      <c r="G8" s="9" t="s">
        <v>18</v>
      </c>
      <c r="H8" s="9" t="s">
        <v>23</v>
      </c>
      <c r="I8" s="10" t="s">
        <v>415</v>
      </c>
      <c r="J8" s="10" t="s">
        <v>416</v>
      </c>
      <c r="K8" s="7"/>
      <c r="L8" s="9" t="s">
        <v>19</v>
      </c>
      <c r="M8" s="9" t="s">
        <v>20</v>
      </c>
    </row>
    <row r="9" spans="1:13">
      <c r="B9" s="7"/>
      <c r="C9" s="7"/>
      <c r="D9" s="7"/>
      <c r="E9" s="7"/>
      <c r="F9" s="7"/>
      <c r="G9" s="7"/>
      <c r="H9" s="7"/>
      <c r="I9" s="7"/>
      <c r="J9" s="7"/>
      <c r="K9" s="7"/>
      <c r="L9" s="7"/>
      <c r="M9" s="7"/>
    </row>
    <row r="10" spans="1:13">
      <c r="B10" s="7"/>
      <c r="C10" s="7"/>
      <c r="D10" s="7"/>
      <c r="E10" s="7"/>
      <c r="F10" s="7"/>
      <c r="G10" s="7"/>
      <c r="H10" s="7"/>
      <c r="I10" s="7"/>
      <c r="J10" s="7"/>
      <c r="K10" s="7"/>
      <c r="L10" s="7"/>
      <c r="M10" s="7"/>
    </row>
    <row r="11" spans="1:13">
      <c r="B11" s="7"/>
      <c r="C11" s="7"/>
      <c r="D11" s="7"/>
      <c r="E11" s="7"/>
      <c r="F11" s="7"/>
      <c r="G11" s="7"/>
      <c r="H11" s="7"/>
      <c r="I11" s="7"/>
      <c r="J11" s="7"/>
      <c r="K11" s="7"/>
      <c r="L11" s="7"/>
      <c r="M11" s="7"/>
    </row>
    <row r="12" spans="1:13">
      <c r="B12" s="7"/>
      <c r="C12" s="7"/>
      <c r="D12" s="7"/>
      <c r="E12" s="7"/>
      <c r="F12" s="7"/>
      <c r="G12" s="7"/>
      <c r="H12" s="7"/>
      <c r="I12" s="7"/>
      <c r="J12" s="7"/>
      <c r="K12" s="7"/>
      <c r="L12" s="7"/>
      <c r="M12" s="7"/>
    </row>
    <row r="13" spans="1:13">
      <c r="B13" s="7"/>
      <c r="C13" s="7"/>
      <c r="D13" s="7"/>
      <c r="E13" s="7"/>
      <c r="F13" s="7"/>
      <c r="G13" s="7"/>
      <c r="H13" s="7"/>
      <c r="I13" s="7"/>
      <c r="J13" s="7"/>
      <c r="K13" s="7"/>
      <c r="L13" s="7"/>
      <c r="M13" s="7"/>
    </row>
    <row r="14" spans="1:13">
      <c r="B14" s="7"/>
      <c r="C14" s="7"/>
      <c r="D14" s="7"/>
      <c r="E14" s="7"/>
      <c r="F14" s="7"/>
      <c r="G14" s="7"/>
      <c r="H14" s="7"/>
      <c r="I14" s="7"/>
      <c r="J14" s="7"/>
      <c r="K14" s="7"/>
      <c r="L14" s="7"/>
      <c r="M14" s="7"/>
    </row>
    <row r="15" spans="1:13">
      <c r="B15" s="7"/>
      <c r="C15" s="7"/>
      <c r="D15" s="7"/>
      <c r="E15" s="7"/>
      <c r="F15" s="7"/>
      <c r="G15" s="7"/>
      <c r="H15" s="7"/>
      <c r="I15" s="7"/>
      <c r="J15" s="7"/>
      <c r="K15" s="7"/>
      <c r="L15" s="7"/>
      <c r="M15" s="7"/>
    </row>
    <row r="16" spans="1:13">
      <c r="B16" s="7"/>
      <c r="C16" s="7"/>
      <c r="D16" s="7"/>
      <c r="E16" s="7"/>
      <c r="F16" s="7"/>
      <c r="G16" s="7"/>
      <c r="H16" s="7"/>
      <c r="I16" s="7"/>
      <c r="J16" s="7"/>
      <c r="K16" s="7"/>
      <c r="L16" s="7"/>
      <c r="M16" s="7"/>
    </row>
    <row r="17" spans="1:13">
      <c r="B17" s="7"/>
      <c r="C17" s="7"/>
      <c r="D17" s="7"/>
      <c r="E17" s="7"/>
      <c r="F17" s="7"/>
      <c r="G17" s="7"/>
      <c r="H17" s="7"/>
      <c r="I17" s="7"/>
      <c r="J17" s="7"/>
      <c r="K17" s="7"/>
      <c r="L17" s="7"/>
      <c r="M17" s="7"/>
    </row>
    <row r="18" spans="1:13">
      <c r="B18" s="7"/>
      <c r="C18" s="7"/>
      <c r="D18" s="7"/>
      <c r="E18" s="7"/>
      <c r="F18" s="7"/>
      <c r="G18" s="7"/>
      <c r="H18" s="7"/>
      <c r="I18" s="7"/>
      <c r="J18" s="7"/>
      <c r="K18" s="7"/>
      <c r="L18" s="7"/>
      <c r="M18" s="7"/>
    </row>
    <row r="19" spans="1:13">
      <c r="B19" s="7"/>
      <c r="C19" s="7"/>
      <c r="D19" s="7"/>
      <c r="E19" s="7"/>
      <c r="F19" s="7"/>
      <c r="G19" s="7"/>
      <c r="H19" s="7"/>
      <c r="I19" s="7"/>
      <c r="J19" s="7"/>
      <c r="K19" s="7"/>
      <c r="L19" s="7"/>
      <c r="M19" s="7"/>
    </row>
    <row r="20" spans="1:13">
      <c r="B20" s="7"/>
      <c r="C20" s="7"/>
      <c r="D20" s="7"/>
      <c r="E20" s="7"/>
      <c r="F20" s="7"/>
      <c r="G20" s="7"/>
      <c r="H20" s="7"/>
      <c r="I20" s="7"/>
      <c r="J20" s="7"/>
      <c r="K20" s="7"/>
      <c r="L20" s="7"/>
      <c r="M20" s="7"/>
    </row>
    <row r="21" spans="1:13">
      <c r="B21" s="7"/>
      <c r="C21" s="7"/>
      <c r="D21" s="7"/>
      <c r="E21" s="7"/>
      <c r="F21" s="7"/>
      <c r="G21" s="7"/>
      <c r="H21" s="7"/>
      <c r="I21" s="7"/>
      <c r="J21" s="7"/>
      <c r="K21" s="7"/>
      <c r="L21" s="7"/>
      <c r="M21" s="7"/>
    </row>
    <row r="22" spans="1:13">
      <c r="B22" s="7"/>
      <c r="C22" s="7"/>
      <c r="D22" s="7"/>
      <c r="E22" s="7"/>
      <c r="F22" s="7"/>
      <c r="G22" s="7"/>
      <c r="H22" s="7"/>
      <c r="I22" s="7"/>
      <c r="J22" s="7"/>
      <c r="K22" s="7"/>
      <c r="L22" s="7"/>
      <c r="M22" s="7"/>
    </row>
    <row r="23" spans="1:13">
      <c r="B23" s="7"/>
      <c r="C23" s="7"/>
      <c r="D23" s="7"/>
      <c r="E23" s="7"/>
      <c r="F23" s="7"/>
      <c r="G23" s="7"/>
      <c r="H23" s="7"/>
      <c r="I23" s="7"/>
      <c r="J23" s="7"/>
      <c r="K23" s="7"/>
      <c r="L23" s="7"/>
      <c r="M23" s="7"/>
    </row>
    <row r="24" spans="1:13">
      <c r="B24" s="7"/>
      <c r="C24" s="7"/>
      <c r="D24" s="7"/>
      <c r="E24" s="7"/>
      <c r="F24" s="7"/>
      <c r="G24" s="7"/>
      <c r="H24" s="7"/>
      <c r="I24" s="7"/>
      <c r="J24" s="7"/>
      <c r="K24" s="7"/>
      <c r="L24" s="7"/>
      <c r="M24" s="7"/>
    </row>
    <row r="25" spans="1:13"/>
    <row r="26" spans="1:13">
      <c r="A26" s="8"/>
      <c r="B26" s="8" t="s">
        <v>14</v>
      </c>
      <c r="C26" s="8"/>
      <c r="D26" s="8"/>
      <c r="E26" s="8"/>
      <c r="F26" s="8"/>
      <c r="G26" s="8"/>
      <c r="H26" s="8"/>
      <c r="I26" s="8"/>
      <c r="J26" s="8"/>
      <c r="K26" s="8"/>
      <c r="L26" s="8"/>
      <c r="M26" s="8"/>
    </row>
    <row r="27" spans="1:13"/>
    <row r="28" spans="1:13"/>
  </sheetData>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O28"/>
  <sheetViews>
    <sheetView showGridLines="0" workbookViewId="0">
      <selection sqref="A1:XFD1048576"/>
    </sheetView>
  </sheetViews>
  <sheetFormatPr defaultColWidth="0" defaultRowHeight="15" customHeight="1" zeroHeight="1"/>
  <cols>
    <col min="1" max="1" width="6.42578125" customWidth="1"/>
    <col min="2" max="2" width="14.28515625" customWidth="1"/>
    <col min="3" max="3" width="12.140625" customWidth="1"/>
    <col min="4" max="4" width="4.85546875" customWidth="1"/>
    <col min="5" max="5" width="6" customWidth="1"/>
    <col min="6" max="15" width="0" hidden="1" customWidth="1"/>
    <col min="16" max="16384" width="9.140625" hidden="1"/>
  </cols>
  <sheetData>
    <row r="1" spans="1:3">
      <c r="A1" s="1" t="s">
        <v>0</v>
      </c>
      <c r="B1" s="1"/>
      <c r="C1" s="1"/>
    </row>
    <row r="2" spans="1:3">
      <c r="A2" s="2" t="s">
        <v>1</v>
      </c>
    </row>
    <row r="3" spans="1:3"/>
    <row r="4" spans="1:3"/>
    <row r="5" spans="1:3">
      <c r="A5" s="3"/>
      <c r="B5" s="3" t="s">
        <v>2</v>
      </c>
      <c r="C5" s="3"/>
    </row>
    <row r="6" spans="1:3"/>
    <row r="7" spans="1:3" ht="26.25">
      <c r="B7" s="4" t="s">
        <v>6</v>
      </c>
      <c r="C7" s="4" t="s">
        <v>7</v>
      </c>
    </row>
    <row r="8" spans="1:3">
      <c r="B8" s="7" t="s">
        <v>24</v>
      </c>
      <c r="C8" s="7" t="s">
        <v>15</v>
      </c>
    </row>
    <row r="9" spans="1:3">
      <c r="B9" s="7"/>
      <c r="C9" s="7"/>
    </row>
    <row r="10" spans="1:3">
      <c r="B10" s="7"/>
      <c r="C10" s="7"/>
    </row>
    <row r="11" spans="1:3">
      <c r="B11" s="7"/>
      <c r="C11" s="7"/>
    </row>
    <row r="12" spans="1:3">
      <c r="B12" s="7"/>
      <c r="C12" s="7"/>
    </row>
    <row r="13" spans="1:3">
      <c r="B13" s="7"/>
      <c r="C13" s="7"/>
    </row>
    <row r="14" spans="1:3"/>
    <row r="15" spans="1:3">
      <c r="A15" s="8"/>
      <c r="B15" s="8" t="s">
        <v>14</v>
      </c>
      <c r="C15" s="8"/>
    </row>
    <row r="16" spans="1:3"/>
    <row r="17"/>
    <row r="18" ht="15" customHeight="1"/>
    <row r="19" ht="15" customHeight="1"/>
    <row r="20" ht="15" customHeight="1"/>
    <row r="21" ht="15" customHeight="1"/>
    <row r="22" ht="15" customHeight="1"/>
    <row r="23" ht="15" customHeight="1"/>
    <row r="24" ht="15" customHeight="1"/>
    <row r="25" ht="15" customHeight="1"/>
    <row r="26" ht="15" customHeight="1"/>
    <row r="27" ht="15" customHeight="1"/>
    <row r="28" ht="15" customHeight="1"/>
  </sheetData>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O29"/>
  <sheetViews>
    <sheetView showGridLines="0" workbookViewId="0">
      <selection activeCell="N21" sqref="N21"/>
    </sheetView>
  </sheetViews>
  <sheetFormatPr defaultColWidth="0" defaultRowHeight="15" customHeight="1" zeroHeight="1"/>
  <cols>
    <col min="1" max="1" width="6.42578125" customWidth="1"/>
    <col min="2" max="2" width="14.28515625" customWidth="1"/>
    <col min="3" max="3" width="8.7109375" bestFit="1" customWidth="1"/>
    <col min="4" max="4" width="13.5703125" customWidth="1"/>
    <col min="5" max="5" width="16.85546875" customWidth="1"/>
    <col min="6" max="6" width="12.28515625" customWidth="1"/>
    <col min="7" max="7" width="16.42578125" customWidth="1"/>
    <col min="8" max="8" width="45.140625" customWidth="1"/>
    <col min="9" max="9" width="11" customWidth="1"/>
    <col min="10" max="10" width="10.85546875" customWidth="1"/>
    <col min="11" max="11" width="12.5703125" customWidth="1"/>
    <col min="12" max="12" width="9.140625" customWidth="1"/>
    <col min="13" max="13" width="20.5703125" customWidth="1"/>
    <col min="14" max="14" width="4.85546875" customWidth="1"/>
    <col min="15" max="15" width="6" customWidth="1"/>
    <col min="16" max="16384" width="9.140625" hidden="1"/>
  </cols>
  <sheetData>
    <row r="1" spans="1:13">
      <c r="A1" s="1" t="s">
        <v>0</v>
      </c>
      <c r="B1" s="1"/>
      <c r="C1" s="1"/>
      <c r="D1" s="1"/>
      <c r="E1" s="1"/>
      <c r="F1" s="1"/>
      <c r="G1" s="1"/>
      <c r="H1" s="1"/>
      <c r="I1" s="1"/>
      <c r="J1" s="1"/>
      <c r="K1" s="1"/>
      <c r="L1" s="1"/>
      <c r="M1" s="1"/>
    </row>
    <row r="2" spans="1:13">
      <c r="A2" s="2" t="s">
        <v>1</v>
      </c>
    </row>
    <row r="3" spans="1:13"/>
    <row r="4" spans="1:13"/>
    <row r="5" spans="1:13">
      <c r="A5" s="3"/>
      <c r="B5" s="3" t="s">
        <v>2</v>
      </c>
      <c r="C5" s="3"/>
      <c r="D5" s="3"/>
      <c r="E5" s="3"/>
      <c r="F5" s="3"/>
      <c r="G5" s="3"/>
      <c r="H5" s="3"/>
      <c r="I5" s="3"/>
      <c r="J5" s="3"/>
      <c r="K5" s="3"/>
      <c r="L5" s="3"/>
      <c r="M5" s="3"/>
    </row>
    <row r="6" spans="1:13"/>
    <row r="7" spans="1:13" ht="26.25">
      <c r="B7" s="4" t="s">
        <v>6</v>
      </c>
      <c r="C7" s="4" t="s">
        <v>7</v>
      </c>
      <c r="D7" s="5" t="s">
        <v>3</v>
      </c>
      <c r="E7" s="5" t="s">
        <v>4</v>
      </c>
      <c r="F7" s="5" t="s">
        <v>5</v>
      </c>
      <c r="G7" s="5" t="s">
        <v>8</v>
      </c>
      <c r="H7" s="5" t="s">
        <v>21</v>
      </c>
      <c r="I7" s="6" t="s">
        <v>9</v>
      </c>
      <c r="J7" s="6" t="s">
        <v>10</v>
      </c>
      <c r="K7" s="6" t="s">
        <v>12</v>
      </c>
      <c r="L7" s="5" t="s">
        <v>11</v>
      </c>
      <c r="M7" s="5" t="s">
        <v>13</v>
      </c>
    </row>
    <row r="8" spans="1:13" ht="51">
      <c r="B8" s="7" t="s">
        <v>24</v>
      </c>
      <c r="C8" s="7">
        <v>1.02</v>
      </c>
      <c r="D8" s="9" t="s">
        <v>17</v>
      </c>
      <c r="E8" s="9" t="s">
        <v>16</v>
      </c>
      <c r="F8" s="9" t="s">
        <v>22</v>
      </c>
      <c r="G8" s="9" t="s">
        <v>18</v>
      </c>
      <c r="H8" s="9" t="s">
        <v>420</v>
      </c>
      <c r="I8" s="10" t="s">
        <v>415</v>
      </c>
      <c r="J8" s="10" t="s">
        <v>416</v>
      </c>
      <c r="K8" s="7"/>
      <c r="L8" s="9" t="s">
        <v>19</v>
      </c>
      <c r="M8" s="9" t="s">
        <v>20</v>
      </c>
    </row>
    <row r="9" spans="1:13" ht="51">
      <c r="B9" s="7" t="s">
        <v>28</v>
      </c>
      <c r="C9" s="7">
        <v>1.02</v>
      </c>
      <c r="D9" s="9" t="s">
        <v>17</v>
      </c>
      <c r="E9" s="9" t="s">
        <v>16</v>
      </c>
      <c r="F9" s="9" t="s">
        <v>22</v>
      </c>
      <c r="G9" s="9" t="s">
        <v>18</v>
      </c>
      <c r="H9" s="9" t="s">
        <v>421</v>
      </c>
      <c r="I9" s="10" t="s">
        <v>417</v>
      </c>
      <c r="J9" s="10" t="s">
        <v>416</v>
      </c>
      <c r="K9" s="7"/>
      <c r="L9" s="9" t="s">
        <v>19</v>
      </c>
      <c r="M9" s="9" t="s">
        <v>30</v>
      </c>
    </row>
    <row r="10" spans="1:13" ht="51">
      <c r="B10" s="7" t="s">
        <v>29</v>
      </c>
      <c r="C10" s="7">
        <v>1.08</v>
      </c>
      <c r="D10" s="9" t="s">
        <v>25</v>
      </c>
      <c r="E10" s="9" t="s">
        <v>16</v>
      </c>
      <c r="F10" s="9" t="s">
        <v>22</v>
      </c>
      <c r="G10" s="9" t="s">
        <v>422</v>
      </c>
      <c r="H10" s="9" t="s">
        <v>26</v>
      </c>
      <c r="I10" s="10" t="s">
        <v>418</v>
      </c>
      <c r="J10" s="10" t="s">
        <v>419</v>
      </c>
      <c r="K10" s="7"/>
      <c r="L10" s="9" t="s">
        <v>27</v>
      </c>
      <c r="M10" s="9"/>
    </row>
    <row r="11" spans="1:13">
      <c r="B11" s="7"/>
      <c r="C11" s="7"/>
      <c r="D11" s="7"/>
      <c r="E11" s="7"/>
      <c r="F11" s="7"/>
      <c r="G11" s="7"/>
      <c r="H11" s="7"/>
      <c r="I11" s="7"/>
      <c r="J11" s="7"/>
      <c r="K11" s="7"/>
      <c r="L11" s="7"/>
      <c r="M11" s="7"/>
    </row>
    <row r="12" spans="1:13">
      <c r="B12" s="7"/>
      <c r="C12" s="7"/>
      <c r="D12" s="7"/>
      <c r="E12" s="7"/>
      <c r="F12" s="7"/>
      <c r="G12" s="7"/>
      <c r="H12" s="7"/>
      <c r="I12" s="7"/>
      <c r="J12" s="7"/>
      <c r="K12" s="7"/>
      <c r="L12" s="7"/>
      <c r="M12" s="7"/>
    </row>
    <row r="13" spans="1:13">
      <c r="B13" s="7"/>
      <c r="C13" s="7"/>
      <c r="D13" s="7"/>
      <c r="E13" s="7"/>
      <c r="F13" s="7"/>
      <c r="G13" s="7"/>
      <c r="H13" s="7"/>
      <c r="I13" s="7"/>
      <c r="J13" s="7"/>
      <c r="K13" s="7"/>
      <c r="L13" s="7"/>
      <c r="M13" s="7"/>
    </row>
    <row r="14" spans="1:13">
      <c r="B14" s="7"/>
      <c r="C14" s="7"/>
      <c r="D14" s="7"/>
      <c r="E14" s="7"/>
      <c r="F14" s="7"/>
      <c r="G14" s="7"/>
      <c r="H14" s="7"/>
      <c r="I14" s="7"/>
      <c r="J14" s="7"/>
      <c r="K14" s="7"/>
      <c r="L14" s="7"/>
      <c r="M14" s="7"/>
    </row>
    <row r="15" spans="1:13">
      <c r="B15" s="7"/>
      <c r="C15" s="7"/>
      <c r="D15" s="7"/>
      <c r="E15" s="7"/>
      <c r="F15" s="7"/>
      <c r="G15" s="7"/>
      <c r="H15" s="7"/>
      <c r="I15" s="7"/>
      <c r="J15" s="7"/>
      <c r="K15" s="7"/>
      <c r="L15" s="7"/>
      <c r="M15" s="7"/>
    </row>
    <row r="16" spans="1:13">
      <c r="B16" s="7"/>
      <c r="C16" s="7"/>
      <c r="D16" s="7"/>
      <c r="E16" s="7"/>
      <c r="F16" s="7"/>
      <c r="G16" s="7"/>
      <c r="H16" s="7"/>
      <c r="I16" s="7"/>
      <c r="J16" s="7"/>
      <c r="K16" s="7"/>
      <c r="L16" s="7"/>
      <c r="M16" s="7"/>
    </row>
    <row r="17" spans="1:13"/>
    <row r="18" spans="1:13">
      <c r="A18" s="8"/>
      <c r="B18" s="8" t="s">
        <v>14</v>
      </c>
      <c r="C18" s="8"/>
      <c r="D18" s="8"/>
      <c r="E18" s="8"/>
      <c r="F18" s="8"/>
      <c r="G18" s="8"/>
      <c r="H18" s="8"/>
      <c r="I18" s="8"/>
      <c r="J18" s="8"/>
      <c r="K18" s="8"/>
      <c r="L18" s="8"/>
      <c r="M18" s="8"/>
    </row>
    <row r="19" spans="1:13"/>
    <row r="20" spans="1:13"/>
    <row r="21" spans="1:13" ht="15" customHeight="1"/>
    <row r="22" spans="1:13" ht="15" customHeight="1"/>
    <row r="23" spans="1:13" ht="15" customHeight="1"/>
    <row r="24" spans="1:13" ht="15" customHeight="1"/>
    <row r="25" spans="1:13" ht="15" customHeight="1"/>
    <row r="26" spans="1:13" ht="15" customHeight="1"/>
    <row r="27" spans="1:13" ht="15" customHeight="1"/>
    <row r="28" spans="1:13" ht="15" customHeight="1"/>
    <row r="29" spans="1:13" ht="15" customHeight="1"/>
  </sheetData>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P39"/>
  <sheetViews>
    <sheetView showGridLines="0" zoomScale="90" zoomScaleNormal="90" workbookViewId="0">
      <selection activeCell="U39" sqref="U39"/>
    </sheetView>
  </sheetViews>
  <sheetFormatPr defaultRowHeight="12.75"/>
  <cols>
    <col min="1" max="1" width="13.42578125" style="12" customWidth="1"/>
    <col min="2" max="2" width="13.5703125" style="12" customWidth="1"/>
    <col min="3" max="3" width="9.140625" style="12"/>
    <col min="4" max="4" width="13.5703125" style="12" customWidth="1"/>
    <col min="5" max="5" width="21.28515625" style="12" customWidth="1"/>
    <col min="6" max="9" width="9.140625" style="12"/>
    <col min="10" max="10" width="3.28515625" style="12" customWidth="1"/>
    <col min="11" max="16384" width="9.140625" style="12"/>
  </cols>
  <sheetData>
    <row r="1" spans="1:16">
      <c r="A1" s="11" t="s">
        <v>31</v>
      </c>
      <c r="B1" s="11"/>
      <c r="C1" s="11"/>
      <c r="D1" s="11"/>
      <c r="E1" s="11"/>
      <c r="F1" s="11"/>
      <c r="G1" s="11"/>
      <c r="H1" s="11"/>
      <c r="I1" s="11"/>
      <c r="J1" s="11"/>
      <c r="K1" s="11"/>
      <c r="L1" s="11"/>
      <c r="M1" s="11"/>
      <c r="N1" s="11"/>
      <c r="O1" s="11"/>
      <c r="P1" s="11"/>
    </row>
    <row r="2" spans="1:16" ht="15">
      <c r="C2" s="13" t="s">
        <v>32</v>
      </c>
    </row>
    <row r="5" spans="1:16" ht="15">
      <c r="A5" s="29" t="s">
        <v>57</v>
      </c>
      <c r="B5" s="29" t="s">
        <v>56</v>
      </c>
      <c r="E5" s="14" t="s">
        <v>33</v>
      </c>
      <c r="F5" s="14">
        <v>41609</v>
      </c>
      <c r="G5" s="14">
        <v>41974</v>
      </c>
      <c r="H5" s="14">
        <v>42339</v>
      </c>
      <c r="I5" s="14">
        <v>42370</v>
      </c>
    </row>
    <row r="6" spans="1:16">
      <c r="A6" s="15"/>
      <c r="B6" s="15"/>
      <c r="C6" s="16" t="s">
        <v>34</v>
      </c>
      <c r="D6" s="15"/>
      <c r="E6" s="15"/>
      <c r="F6" s="15"/>
      <c r="G6" s="15"/>
      <c r="H6" s="15"/>
      <c r="I6" s="15"/>
      <c r="J6" s="15"/>
      <c r="K6" s="15"/>
      <c r="L6" s="15"/>
      <c r="M6" s="15"/>
      <c r="N6" s="15"/>
      <c r="O6" s="15"/>
      <c r="P6" s="15"/>
    </row>
    <row r="7" spans="1:16">
      <c r="A7" s="17" t="s">
        <v>24</v>
      </c>
      <c r="B7" s="17">
        <v>1.01</v>
      </c>
      <c r="D7" s="12" t="s">
        <v>35</v>
      </c>
      <c r="E7" s="18"/>
      <c r="F7" s="19">
        <v>14.217000000000001</v>
      </c>
      <c r="G7" s="19">
        <v>14.217000000000001</v>
      </c>
      <c r="H7" s="19">
        <v>15</v>
      </c>
      <c r="I7" s="19">
        <v>15</v>
      </c>
    </row>
    <row r="8" spans="1:16">
      <c r="A8" s="17"/>
      <c r="B8" s="17">
        <v>1.02</v>
      </c>
      <c r="D8" s="12" t="s">
        <v>423</v>
      </c>
      <c r="E8" s="18"/>
      <c r="F8" s="20">
        <v>2850</v>
      </c>
      <c r="G8" s="20">
        <v>2900</v>
      </c>
      <c r="H8" s="20">
        <v>2740</v>
      </c>
      <c r="I8" s="20">
        <v>2695</v>
      </c>
    </row>
    <row r="9" spans="1:16">
      <c r="A9" s="17"/>
      <c r="B9" s="17">
        <v>1.03</v>
      </c>
      <c r="D9" s="12" t="s">
        <v>424</v>
      </c>
      <c r="E9" s="18"/>
      <c r="F9" s="20">
        <v>9</v>
      </c>
      <c r="G9" s="20">
        <v>15</v>
      </c>
      <c r="H9" s="20">
        <v>9</v>
      </c>
      <c r="I9" s="20">
        <v>6</v>
      </c>
    </row>
    <row r="10" spans="1:16">
      <c r="A10" s="17"/>
      <c r="B10" s="17">
        <v>1.04</v>
      </c>
      <c r="D10" s="12" t="s">
        <v>36</v>
      </c>
      <c r="E10" s="18"/>
      <c r="F10" s="21">
        <v>5.2300000000000003E-3</v>
      </c>
      <c r="G10" s="21">
        <v>5.0000000000000001E-3</v>
      </c>
      <c r="H10" s="21">
        <v>5.0000000000000001E-3</v>
      </c>
      <c r="I10" s="21">
        <v>5.0000000000000001E-3</v>
      </c>
    </row>
    <row r="11" spans="1:16" ht="15">
      <c r="A11" s="17"/>
      <c r="B11" s="17"/>
      <c r="E11" s="22"/>
      <c r="F11" s="22"/>
      <c r="G11" s="22"/>
      <c r="H11" s="22"/>
      <c r="I11" s="22"/>
    </row>
    <row r="12" spans="1:16" ht="15">
      <c r="A12" s="17"/>
      <c r="B12" s="17">
        <v>2.0099999999999998</v>
      </c>
      <c r="D12" s="12" t="s">
        <v>425</v>
      </c>
      <c r="E12" s="22"/>
      <c r="F12" s="20">
        <v>605</v>
      </c>
      <c r="G12" s="20">
        <v>420</v>
      </c>
      <c r="H12" s="20">
        <v>500</v>
      </c>
      <c r="I12" s="20">
        <v>500</v>
      </c>
    </row>
    <row r="13" spans="1:16" ht="15">
      <c r="A13" s="17"/>
      <c r="B13" s="17">
        <v>2.02</v>
      </c>
      <c r="D13" s="12" t="s">
        <v>426</v>
      </c>
      <c r="E13" s="22"/>
      <c r="F13" s="20">
        <v>500</v>
      </c>
      <c r="G13" s="20">
        <v>500</v>
      </c>
      <c r="H13" s="20">
        <v>100</v>
      </c>
      <c r="I13" s="20">
        <v>200</v>
      </c>
    </row>
    <row r="14" spans="1:16" ht="15">
      <c r="A14" s="17"/>
      <c r="B14" s="17">
        <v>2.0299999999999998</v>
      </c>
      <c r="D14" s="12" t="s">
        <v>427</v>
      </c>
      <c r="E14" s="22"/>
      <c r="F14" s="20">
        <v>2000</v>
      </c>
      <c r="G14" s="20">
        <v>2000</v>
      </c>
      <c r="H14" s="20">
        <v>2000</v>
      </c>
      <c r="I14" s="20">
        <v>2000</v>
      </c>
    </row>
    <row r="15" spans="1:16" ht="15">
      <c r="A15" s="17"/>
      <c r="B15" s="17"/>
      <c r="E15" s="22"/>
      <c r="F15" s="22"/>
      <c r="G15" s="22"/>
      <c r="H15" s="22"/>
      <c r="I15" s="22"/>
    </row>
    <row r="16" spans="1:16">
      <c r="A16" s="17"/>
      <c r="B16" s="17">
        <v>2.04</v>
      </c>
      <c r="D16" s="12" t="s">
        <v>37</v>
      </c>
      <c r="F16" s="19">
        <v>10</v>
      </c>
      <c r="G16" s="19">
        <v>10</v>
      </c>
      <c r="H16" s="19">
        <v>10</v>
      </c>
      <c r="I16" s="19">
        <v>10</v>
      </c>
    </row>
    <row r="17" spans="1:16">
      <c r="A17" s="17"/>
      <c r="B17" s="17">
        <v>2.0499999999999998</v>
      </c>
      <c r="D17" s="12" t="s">
        <v>38</v>
      </c>
      <c r="F17" s="19">
        <v>12</v>
      </c>
      <c r="G17" s="19">
        <v>12</v>
      </c>
      <c r="H17" s="19">
        <v>12</v>
      </c>
      <c r="I17" s="19">
        <v>12</v>
      </c>
    </row>
    <row r="18" spans="1:16">
      <c r="A18" s="17"/>
      <c r="B18" s="17">
        <v>2.06</v>
      </c>
      <c r="D18" s="12" t="s">
        <v>39</v>
      </c>
      <c r="F18" s="19">
        <v>9.1</v>
      </c>
      <c r="G18" s="19">
        <v>9.1</v>
      </c>
      <c r="H18" s="19">
        <v>9.1</v>
      </c>
      <c r="I18" s="19">
        <v>9.1</v>
      </c>
    </row>
    <row r="19" spans="1:16" ht="15">
      <c r="A19" s="17"/>
      <c r="B19" s="17"/>
      <c r="E19" s="22"/>
      <c r="F19" s="22"/>
      <c r="G19" s="22"/>
      <c r="H19" s="22"/>
      <c r="I19" s="22"/>
    </row>
    <row r="20" spans="1:16" ht="15">
      <c r="A20" s="17"/>
      <c r="B20" s="17">
        <v>2.08</v>
      </c>
      <c r="D20" s="12" t="s">
        <v>428</v>
      </c>
      <c r="E20" s="22"/>
      <c r="F20" s="19">
        <v>8.5</v>
      </c>
      <c r="G20" s="19">
        <v>8.7550000000000008</v>
      </c>
      <c r="H20" s="19">
        <v>9.0176500000000015</v>
      </c>
      <c r="I20" s="19">
        <v>9.2881795000000018</v>
      </c>
    </row>
    <row r="21" spans="1:16" ht="15">
      <c r="A21" s="17"/>
      <c r="B21" s="17">
        <v>2.09</v>
      </c>
      <c r="D21" s="12" t="s">
        <v>429</v>
      </c>
      <c r="E21" s="22"/>
      <c r="F21" s="20">
        <v>710</v>
      </c>
      <c r="G21" s="20">
        <v>740</v>
      </c>
      <c r="H21" s="20">
        <v>650</v>
      </c>
      <c r="I21" s="20">
        <v>641</v>
      </c>
    </row>
    <row r="22" spans="1:16" ht="15">
      <c r="A22" s="17"/>
      <c r="B22" s="17"/>
      <c r="E22" s="22"/>
      <c r="F22" s="22"/>
      <c r="G22" s="22"/>
      <c r="H22" s="22"/>
      <c r="I22" s="22"/>
    </row>
    <row r="23" spans="1:16">
      <c r="A23" s="15"/>
      <c r="B23" s="15"/>
      <c r="C23" s="16" t="s">
        <v>40</v>
      </c>
      <c r="D23" s="15"/>
      <c r="E23" s="15"/>
      <c r="F23" s="15"/>
      <c r="G23" s="15"/>
      <c r="H23" s="15"/>
      <c r="I23" s="15"/>
      <c r="J23" s="15"/>
      <c r="K23" s="15"/>
      <c r="L23" s="15"/>
      <c r="M23" s="15"/>
      <c r="N23" s="15"/>
      <c r="O23" s="15"/>
      <c r="P23" s="15"/>
    </row>
    <row r="24" spans="1:16">
      <c r="A24" s="17"/>
      <c r="B24" s="17" t="s">
        <v>41</v>
      </c>
      <c r="D24" s="12" t="s">
        <v>35</v>
      </c>
      <c r="F24" s="23">
        <f>F7*F8</f>
        <v>40518.450000000004</v>
      </c>
      <c r="G24" s="23">
        <f>G7*G8</f>
        <v>41229.300000000003</v>
      </c>
      <c r="H24" s="23">
        <f>H7*H8</f>
        <v>41100</v>
      </c>
      <c r="I24" s="23">
        <f>I7*I8</f>
        <v>40425</v>
      </c>
      <c r="K24" s="24" t="s">
        <v>437</v>
      </c>
    </row>
    <row r="25" spans="1:16">
      <c r="A25" s="17"/>
      <c r="B25" s="17"/>
      <c r="K25" s="24"/>
    </row>
    <row r="26" spans="1:16">
      <c r="A26" s="17"/>
      <c r="B26" s="17" t="s">
        <v>42</v>
      </c>
      <c r="D26" s="12" t="s">
        <v>43</v>
      </c>
      <c r="F26" s="23">
        <f>F7*F9</f>
        <v>127.953</v>
      </c>
      <c r="G26" s="23">
        <f>G7*G9</f>
        <v>213.255</v>
      </c>
      <c r="H26" s="23">
        <f>H7*H9</f>
        <v>135</v>
      </c>
      <c r="I26" s="23">
        <f>I7*I9</f>
        <v>90</v>
      </c>
      <c r="K26" s="24" t="s">
        <v>44</v>
      </c>
    </row>
    <row r="27" spans="1:16">
      <c r="A27" s="17"/>
      <c r="B27" s="17"/>
      <c r="K27" s="24"/>
    </row>
    <row r="28" spans="1:16">
      <c r="A28" s="17"/>
      <c r="B28" s="17" t="s">
        <v>45</v>
      </c>
      <c r="D28" s="12" t="s">
        <v>432</v>
      </c>
      <c r="F28" s="23">
        <f>F7*F8*F10</f>
        <v>211.91149350000003</v>
      </c>
      <c r="G28" s="23">
        <f>G7*G8*G10</f>
        <v>206.14650000000003</v>
      </c>
      <c r="H28" s="23">
        <f>H7*H8*H10</f>
        <v>205.5</v>
      </c>
      <c r="I28" s="23">
        <f>I7*I8*I10</f>
        <v>202.125</v>
      </c>
      <c r="K28" s="24" t="s">
        <v>433</v>
      </c>
    </row>
    <row r="29" spans="1:16">
      <c r="A29" s="17"/>
      <c r="B29" s="17"/>
    </row>
    <row r="30" spans="1:16">
      <c r="A30" s="15"/>
      <c r="B30" s="15"/>
      <c r="C30" s="16" t="s">
        <v>46</v>
      </c>
      <c r="D30" s="15"/>
      <c r="E30" s="15"/>
      <c r="F30" s="15"/>
      <c r="G30" s="15"/>
      <c r="H30" s="15"/>
      <c r="I30" s="15"/>
      <c r="J30" s="15"/>
      <c r="K30" s="15"/>
      <c r="L30" s="15"/>
      <c r="M30" s="15"/>
      <c r="N30" s="15"/>
      <c r="O30" s="15"/>
      <c r="P30" s="15"/>
    </row>
    <row r="31" spans="1:16">
      <c r="A31" s="17"/>
      <c r="B31" s="17"/>
      <c r="D31" s="25" t="s">
        <v>47</v>
      </c>
    </row>
    <row r="32" spans="1:16">
      <c r="A32" s="17"/>
      <c r="B32" s="17" t="s">
        <v>48</v>
      </c>
      <c r="D32" s="26" t="s">
        <v>49</v>
      </c>
      <c r="F32" s="23">
        <f>F12*F16</f>
        <v>6050</v>
      </c>
      <c r="G32" s="23">
        <f>G12*G16</f>
        <v>4200</v>
      </c>
      <c r="H32" s="23">
        <f>H12*H16</f>
        <v>5000</v>
      </c>
      <c r="I32" s="23">
        <f>I12*I16</f>
        <v>5000</v>
      </c>
      <c r="K32" s="24" t="s">
        <v>434</v>
      </c>
    </row>
    <row r="33" spans="1:11">
      <c r="A33" s="17"/>
      <c r="B33" s="17" t="s">
        <v>50</v>
      </c>
      <c r="D33" s="26" t="s">
        <v>51</v>
      </c>
      <c r="F33" s="23">
        <f t="shared" ref="F33:I34" si="0">F13*F17</f>
        <v>6000</v>
      </c>
      <c r="G33" s="23">
        <f t="shared" si="0"/>
        <v>6000</v>
      </c>
      <c r="H33" s="23">
        <f t="shared" si="0"/>
        <v>1200</v>
      </c>
      <c r="I33" s="23">
        <f t="shared" si="0"/>
        <v>2400</v>
      </c>
      <c r="K33" s="24" t="s">
        <v>435</v>
      </c>
    </row>
    <row r="34" spans="1:11">
      <c r="A34" s="17"/>
      <c r="B34" s="17" t="s">
        <v>52</v>
      </c>
      <c r="D34" s="26" t="s">
        <v>53</v>
      </c>
      <c r="F34" s="23">
        <f t="shared" si="0"/>
        <v>18200</v>
      </c>
      <c r="G34" s="23">
        <f t="shared" si="0"/>
        <v>18200</v>
      </c>
      <c r="H34" s="23">
        <f t="shared" si="0"/>
        <v>18200</v>
      </c>
      <c r="I34" s="23">
        <f t="shared" si="0"/>
        <v>18200</v>
      </c>
      <c r="K34" s="24" t="s">
        <v>436</v>
      </c>
    </row>
    <row r="35" spans="1:11">
      <c r="A35" s="17"/>
      <c r="B35" s="17"/>
      <c r="D35" s="27" t="s">
        <v>54</v>
      </c>
      <c r="F35" s="28">
        <f>SUM(F32:F34)</f>
        <v>30250</v>
      </c>
      <c r="G35" s="28">
        <f>SUM(G32:G34)</f>
        <v>28400</v>
      </c>
      <c r="H35" s="28">
        <f>SUM(H32:H34)</f>
        <v>24400</v>
      </c>
      <c r="I35" s="28">
        <f>SUM(I32:I34)</f>
        <v>25600</v>
      </c>
    </row>
    <row r="36" spans="1:11">
      <c r="A36" s="17"/>
      <c r="B36" s="17"/>
      <c r="K36" s="24"/>
    </row>
    <row r="37" spans="1:11">
      <c r="A37" s="17"/>
      <c r="B37" s="17"/>
      <c r="D37" s="25" t="s">
        <v>438</v>
      </c>
      <c r="K37" s="24"/>
    </row>
    <row r="38" spans="1:11">
      <c r="A38" s="17"/>
      <c r="B38" s="17" t="s">
        <v>55</v>
      </c>
      <c r="D38" s="12" t="s">
        <v>430</v>
      </c>
      <c r="F38" s="23">
        <f>F20*F21</f>
        <v>6035</v>
      </c>
      <c r="G38" s="23">
        <f>G20*G21</f>
        <v>6478.7000000000007</v>
      </c>
      <c r="H38" s="23">
        <f>H20*H21</f>
        <v>5861.4725000000008</v>
      </c>
      <c r="I38" s="23">
        <f>I20*I21</f>
        <v>5953.723059500001</v>
      </c>
      <c r="K38" s="24" t="s">
        <v>431</v>
      </c>
    </row>
    <row r="39" spans="1:11">
      <c r="A39" s="17"/>
      <c r="B39" s="17"/>
    </row>
  </sheetData>
  <pageMargins left="0.7" right="0.7" top="0.75" bottom="0.75" header="0.3" footer="0.3"/>
  <pageSetup paperSize="9" orientation="portrait" horizontalDpi="200" verticalDpi="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B1:J55"/>
  <sheetViews>
    <sheetView showGridLines="0" zoomScale="88" zoomScaleNormal="88" workbookViewId="0">
      <selection activeCell="IW41" sqref="IW41"/>
    </sheetView>
  </sheetViews>
  <sheetFormatPr defaultColWidth="0" defaultRowHeight="11.25" customHeight="1" zeroHeight="1"/>
  <cols>
    <col min="1" max="1" width="3.7109375" style="30" customWidth="1"/>
    <col min="2" max="2" width="3.42578125" style="30" customWidth="1"/>
    <col min="3" max="3" width="38.28515625" style="30" customWidth="1"/>
    <col min="4" max="4" width="41" style="30" customWidth="1"/>
    <col min="5" max="5" width="3.42578125" style="30" customWidth="1"/>
    <col min="6" max="6" width="2.85546875" style="30" customWidth="1"/>
    <col min="7" max="7" width="4.140625" style="30" customWidth="1"/>
    <col min="8" max="8" width="36.42578125" style="30" customWidth="1"/>
    <col min="9" max="9" width="4.140625" style="30" customWidth="1"/>
    <col min="10" max="11" width="9.140625" style="30" customWidth="1"/>
    <col min="12" max="256" width="0" style="30" hidden="1"/>
    <col min="257" max="257" width="3.7109375" style="30" customWidth="1"/>
    <col min="258" max="258" width="3.42578125" style="30" customWidth="1"/>
    <col min="259" max="259" width="38.28515625" style="30" customWidth="1"/>
    <col min="260" max="260" width="41" style="30" customWidth="1"/>
    <col min="261" max="261" width="3.42578125" style="30" customWidth="1"/>
    <col min="262" max="262" width="2.85546875" style="30" customWidth="1"/>
    <col min="263" max="263" width="4.140625" style="30" customWidth="1"/>
    <col min="264" max="264" width="36.42578125" style="30" customWidth="1"/>
    <col min="265" max="265" width="4.140625" style="30" customWidth="1"/>
    <col min="266" max="267" width="9.140625" style="30" customWidth="1"/>
    <col min="268" max="512" width="0" style="30" hidden="1"/>
    <col min="513" max="513" width="3.7109375" style="30" customWidth="1"/>
    <col min="514" max="514" width="3.42578125" style="30" customWidth="1"/>
    <col min="515" max="515" width="38.28515625" style="30" customWidth="1"/>
    <col min="516" max="516" width="41" style="30" customWidth="1"/>
    <col min="517" max="517" width="3.42578125" style="30" customWidth="1"/>
    <col min="518" max="518" width="2.85546875" style="30" customWidth="1"/>
    <col min="519" max="519" width="4.140625" style="30" customWidth="1"/>
    <col min="520" max="520" width="36.42578125" style="30" customWidth="1"/>
    <col min="521" max="521" width="4.140625" style="30" customWidth="1"/>
    <col min="522" max="523" width="9.140625" style="30" customWidth="1"/>
    <col min="524" max="768" width="0" style="30" hidden="1"/>
    <col min="769" max="769" width="3.7109375" style="30" customWidth="1"/>
    <col min="770" max="770" width="3.42578125" style="30" customWidth="1"/>
    <col min="771" max="771" width="38.28515625" style="30" customWidth="1"/>
    <col min="772" max="772" width="41" style="30" customWidth="1"/>
    <col min="773" max="773" width="3.42578125" style="30" customWidth="1"/>
    <col min="774" max="774" width="2.85546875" style="30" customWidth="1"/>
    <col min="775" max="775" width="4.140625" style="30" customWidth="1"/>
    <col min="776" max="776" width="36.42578125" style="30" customWidth="1"/>
    <col min="777" max="777" width="4.140625" style="30" customWidth="1"/>
    <col min="778" max="779" width="9.140625" style="30" customWidth="1"/>
    <col min="780" max="1024" width="0" style="30" hidden="1"/>
    <col min="1025" max="1025" width="3.7109375" style="30" customWidth="1"/>
    <col min="1026" max="1026" width="3.42578125" style="30" customWidth="1"/>
    <col min="1027" max="1027" width="38.28515625" style="30" customWidth="1"/>
    <col min="1028" max="1028" width="41" style="30" customWidth="1"/>
    <col min="1029" max="1029" width="3.42578125" style="30" customWidth="1"/>
    <col min="1030" max="1030" width="2.85546875" style="30" customWidth="1"/>
    <col min="1031" max="1031" width="4.140625" style="30" customWidth="1"/>
    <col min="1032" max="1032" width="36.42578125" style="30" customWidth="1"/>
    <col min="1033" max="1033" width="4.140625" style="30" customWidth="1"/>
    <col min="1034" max="1035" width="9.140625" style="30" customWidth="1"/>
    <col min="1036" max="1280" width="0" style="30" hidden="1"/>
    <col min="1281" max="1281" width="3.7109375" style="30" customWidth="1"/>
    <col min="1282" max="1282" width="3.42578125" style="30" customWidth="1"/>
    <col min="1283" max="1283" width="38.28515625" style="30" customWidth="1"/>
    <col min="1284" max="1284" width="41" style="30" customWidth="1"/>
    <col min="1285" max="1285" width="3.42578125" style="30" customWidth="1"/>
    <col min="1286" max="1286" width="2.85546875" style="30" customWidth="1"/>
    <col min="1287" max="1287" width="4.140625" style="30" customWidth="1"/>
    <col min="1288" max="1288" width="36.42578125" style="30" customWidth="1"/>
    <col min="1289" max="1289" width="4.140625" style="30" customWidth="1"/>
    <col min="1290" max="1291" width="9.140625" style="30" customWidth="1"/>
    <col min="1292" max="1536" width="0" style="30" hidden="1"/>
    <col min="1537" max="1537" width="3.7109375" style="30" customWidth="1"/>
    <col min="1538" max="1538" width="3.42578125" style="30" customWidth="1"/>
    <col min="1539" max="1539" width="38.28515625" style="30" customWidth="1"/>
    <col min="1540" max="1540" width="41" style="30" customWidth="1"/>
    <col min="1541" max="1541" width="3.42578125" style="30" customWidth="1"/>
    <col min="1542" max="1542" width="2.85546875" style="30" customWidth="1"/>
    <col min="1543" max="1543" width="4.140625" style="30" customWidth="1"/>
    <col min="1544" max="1544" width="36.42578125" style="30" customWidth="1"/>
    <col min="1545" max="1545" width="4.140625" style="30" customWidth="1"/>
    <col min="1546" max="1547" width="9.140625" style="30" customWidth="1"/>
    <col min="1548" max="1792" width="0" style="30" hidden="1"/>
    <col min="1793" max="1793" width="3.7109375" style="30" customWidth="1"/>
    <col min="1794" max="1794" width="3.42578125" style="30" customWidth="1"/>
    <col min="1795" max="1795" width="38.28515625" style="30" customWidth="1"/>
    <col min="1796" max="1796" width="41" style="30" customWidth="1"/>
    <col min="1797" max="1797" width="3.42578125" style="30" customWidth="1"/>
    <col min="1798" max="1798" width="2.85546875" style="30" customWidth="1"/>
    <col min="1799" max="1799" width="4.140625" style="30" customWidth="1"/>
    <col min="1800" max="1800" width="36.42578125" style="30" customWidth="1"/>
    <col min="1801" max="1801" width="4.140625" style="30" customWidth="1"/>
    <col min="1802" max="1803" width="9.140625" style="30" customWidth="1"/>
    <col min="1804" max="2048" width="0" style="30" hidden="1"/>
    <col min="2049" max="2049" width="3.7109375" style="30" customWidth="1"/>
    <col min="2050" max="2050" width="3.42578125" style="30" customWidth="1"/>
    <col min="2051" max="2051" width="38.28515625" style="30" customWidth="1"/>
    <col min="2052" max="2052" width="41" style="30" customWidth="1"/>
    <col min="2053" max="2053" width="3.42578125" style="30" customWidth="1"/>
    <col min="2054" max="2054" width="2.85546875" style="30" customWidth="1"/>
    <col min="2055" max="2055" width="4.140625" style="30" customWidth="1"/>
    <col min="2056" max="2056" width="36.42578125" style="30" customWidth="1"/>
    <col min="2057" max="2057" width="4.140625" style="30" customWidth="1"/>
    <col min="2058" max="2059" width="9.140625" style="30" customWidth="1"/>
    <col min="2060" max="2304" width="0" style="30" hidden="1"/>
    <col min="2305" max="2305" width="3.7109375" style="30" customWidth="1"/>
    <col min="2306" max="2306" width="3.42578125" style="30" customWidth="1"/>
    <col min="2307" max="2307" width="38.28515625" style="30" customWidth="1"/>
    <col min="2308" max="2308" width="41" style="30" customWidth="1"/>
    <col min="2309" max="2309" width="3.42578125" style="30" customWidth="1"/>
    <col min="2310" max="2310" width="2.85546875" style="30" customWidth="1"/>
    <col min="2311" max="2311" width="4.140625" style="30" customWidth="1"/>
    <col min="2312" max="2312" width="36.42578125" style="30" customWidth="1"/>
    <col min="2313" max="2313" width="4.140625" style="30" customWidth="1"/>
    <col min="2314" max="2315" width="9.140625" style="30" customWidth="1"/>
    <col min="2316" max="2560" width="0" style="30" hidden="1"/>
    <col min="2561" max="2561" width="3.7109375" style="30" customWidth="1"/>
    <col min="2562" max="2562" width="3.42578125" style="30" customWidth="1"/>
    <col min="2563" max="2563" width="38.28515625" style="30" customWidth="1"/>
    <col min="2564" max="2564" width="41" style="30" customWidth="1"/>
    <col min="2565" max="2565" width="3.42578125" style="30" customWidth="1"/>
    <col min="2566" max="2566" width="2.85546875" style="30" customWidth="1"/>
    <col min="2567" max="2567" width="4.140625" style="30" customWidth="1"/>
    <col min="2568" max="2568" width="36.42578125" style="30" customWidth="1"/>
    <col min="2569" max="2569" width="4.140625" style="30" customWidth="1"/>
    <col min="2570" max="2571" width="9.140625" style="30" customWidth="1"/>
    <col min="2572" max="2816" width="0" style="30" hidden="1"/>
    <col min="2817" max="2817" width="3.7109375" style="30" customWidth="1"/>
    <col min="2818" max="2818" width="3.42578125" style="30" customWidth="1"/>
    <col min="2819" max="2819" width="38.28515625" style="30" customWidth="1"/>
    <col min="2820" max="2820" width="41" style="30" customWidth="1"/>
    <col min="2821" max="2821" width="3.42578125" style="30" customWidth="1"/>
    <col min="2822" max="2822" width="2.85546875" style="30" customWidth="1"/>
    <col min="2823" max="2823" width="4.140625" style="30" customWidth="1"/>
    <col min="2824" max="2824" width="36.42578125" style="30" customWidth="1"/>
    <col min="2825" max="2825" width="4.140625" style="30" customWidth="1"/>
    <col min="2826" max="2827" width="9.140625" style="30" customWidth="1"/>
    <col min="2828" max="3072" width="0" style="30" hidden="1"/>
    <col min="3073" max="3073" width="3.7109375" style="30" customWidth="1"/>
    <col min="3074" max="3074" width="3.42578125" style="30" customWidth="1"/>
    <col min="3075" max="3075" width="38.28515625" style="30" customWidth="1"/>
    <col min="3076" max="3076" width="41" style="30" customWidth="1"/>
    <col min="3077" max="3077" width="3.42578125" style="30" customWidth="1"/>
    <col min="3078" max="3078" width="2.85546875" style="30" customWidth="1"/>
    <col min="3079" max="3079" width="4.140625" style="30" customWidth="1"/>
    <col min="3080" max="3080" width="36.42578125" style="30" customWidth="1"/>
    <col min="3081" max="3081" width="4.140625" style="30" customWidth="1"/>
    <col min="3082" max="3083" width="9.140625" style="30" customWidth="1"/>
    <col min="3084" max="3328" width="0" style="30" hidden="1"/>
    <col min="3329" max="3329" width="3.7109375" style="30" customWidth="1"/>
    <col min="3330" max="3330" width="3.42578125" style="30" customWidth="1"/>
    <col min="3331" max="3331" width="38.28515625" style="30" customWidth="1"/>
    <col min="3332" max="3332" width="41" style="30" customWidth="1"/>
    <col min="3333" max="3333" width="3.42578125" style="30" customWidth="1"/>
    <col min="3334" max="3334" width="2.85546875" style="30" customWidth="1"/>
    <col min="3335" max="3335" width="4.140625" style="30" customWidth="1"/>
    <col min="3336" max="3336" width="36.42578125" style="30" customWidth="1"/>
    <col min="3337" max="3337" width="4.140625" style="30" customWidth="1"/>
    <col min="3338" max="3339" width="9.140625" style="30" customWidth="1"/>
    <col min="3340" max="3584" width="0" style="30" hidden="1"/>
    <col min="3585" max="3585" width="3.7109375" style="30" customWidth="1"/>
    <col min="3586" max="3586" width="3.42578125" style="30" customWidth="1"/>
    <col min="3587" max="3587" width="38.28515625" style="30" customWidth="1"/>
    <col min="3588" max="3588" width="41" style="30" customWidth="1"/>
    <col min="3589" max="3589" width="3.42578125" style="30" customWidth="1"/>
    <col min="3590" max="3590" width="2.85546875" style="30" customWidth="1"/>
    <col min="3591" max="3591" width="4.140625" style="30" customWidth="1"/>
    <col min="3592" max="3592" width="36.42578125" style="30" customWidth="1"/>
    <col min="3593" max="3593" width="4.140625" style="30" customWidth="1"/>
    <col min="3594" max="3595" width="9.140625" style="30" customWidth="1"/>
    <col min="3596" max="3840" width="0" style="30" hidden="1"/>
    <col min="3841" max="3841" width="3.7109375" style="30" customWidth="1"/>
    <col min="3842" max="3842" width="3.42578125" style="30" customWidth="1"/>
    <col min="3843" max="3843" width="38.28515625" style="30" customWidth="1"/>
    <col min="3844" max="3844" width="41" style="30" customWidth="1"/>
    <col min="3845" max="3845" width="3.42578125" style="30" customWidth="1"/>
    <col min="3846" max="3846" width="2.85546875" style="30" customWidth="1"/>
    <col min="3847" max="3847" width="4.140625" style="30" customWidth="1"/>
    <col min="3848" max="3848" width="36.42578125" style="30" customWidth="1"/>
    <col min="3849" max="3849" width="4.140625" style="30" customWidth="1"/>
    <col min="3850" max="3851" width="9.140625" style="30" customWidth="1"/>
    <col min="3852" max="4096" width="0" style="30" hidden="1"/>
    <col min="4097" max="4097" width="3.7109375" style="30" customWidth="1"/>
    <col min="4098" max="4098" width="3.42578125" style="30" customWidth="1"/>
    <col min="4099" max="4099" width="38.28515625" style="30" customWidth="1"/>
    <col min="4100" max="4100" width="41" style="30" customWidth="1"/>
    <col min="4101" max="4101" width="3.42578125" style="30" customWidth="1"/>
    <col min="4102" max="4102" width="2.85546875" style="30" customWidth="1"/>
    <col min="4103" max="4103" width="4.140625" style="30" customWidth="1"/>
    <col min="4104" max="4104" width="36.42578125" style="30" customWidth="1"/>
    <col min="4105" max="4105" width="4.140625" style="30" customWidth="1"/>
    <col min="4106" max="4107" width="9.140625" style="30" customWidth="1"/>
    <col min="4108" max="4352" width="0" style="30" hidden="1"/>
    <col min="4353" max="4353" width="3.7109375" style="30" customWidth="1"/>
    <col min="4354" max="4354" width="3.42578125" style="30" customWidth="1"/>
    <col min="4355" max="4355" width="38.28515625" style="30" customWidth="1"/>
    <col min="4356" max="4356" width="41" style="30" customWidth="1"/>
    <col min="4357" max="4357" width="3.42578125" style="30" customWidth="1"/>
    <col min="4358" max="4358" width="2.85546875" style="30" customWidth="1"/>
    <col min="4359" max="4359" width="4.140625" style="30" customWidth="1"/>
    <col min="4360" max="4360" width="36.42578125" style="30" customWidth="1"/>
    <col min="4361" max="4361" width="4.140625" style="30" customWidth="1"/>
    <col min="4362" max="4363" width="9.140625" style="30" customWidth="1"/>
    <col min="4364" max="4608" width="0" style="30" hidden="1"/>
    <col min="4609" max="4609" width="3.7109375" style="30" customWidth="1"/>
    <col min="4610" max="4610" width="3.42578125" style="30" customWidth="1"/>
    <col min="4611" max="4611" width="38.28515625" style="30" customWidth="1"/>
    <col min="4612" max="4612" width="41" style="30" customWidth="1"/>
    <col min="4613" max="4613" width="3.42578125" style="30" customWidth="1"/>
    <col min="4614" max="4614" width="2.85546875" style="30" customWidth="1"/>
    <col min="4615" max="4615" width="4.140625" style="30" customWidth="1"/>
    <col min="4616" max="4616" width="36.42578125" style="30" customWidth="1"/>
    <col min="4617" max="4617" width="4.140625" style="30" customWidth="1"/>
    <col min="4618" max="4619" width="9.140625" style="30" customWidth="1"/>
    <col min="4620" max="4864" width="0" style="30" hidden="1"/>
    <col min="4865" max="4865" width="3.7109375" style="30" customWidth="1"/>
    <col min="4866" max="4866" width="3.42578125" style="30" customWidth="1"/>
    <col min="4867" max="4867" width="38.28515625" style="30" customWidth="1"/>
    <col min="4868" max="4868" width="41" style="30" customWidth="1"/>
    <col min="4869" max="4869" width="3.42578125" style="30" customWidth="1"/>
    <col min="4870" max="4870" width="2.85546875" style="30" customWidth="1"/>
    <col min="4871" max="4871" width="4.140625" style="30" customWidth="1"/>
    <col min="4872" max="4872" width="36.42578125" style="30" customWidth="1"/>
    <col min="4873" max="4873" width="4.140625" style="30" customWidth="1"/>
    <col min="4874" max="4875" width="9.140625" style="30" customWidth="1"/>
    <col min="4876" max="5120" width="0" style="30" hidden="1"/>
    <col min="5121" max="5121" width="3.7109375" style="30" customWidth="1"/>
    <col min="5122" max="5122" width="3.42578125" style="30" customWidth="1"/>
    <col min="5123" max="5123" width="38.28515625" style="30" customWidth="1"/>
    <col min="5124" max="5124" width="41" style="30" customWidth="1"/>
    <col min="5125" max="5125" width="3.42578125" style="30" customWidth="1"/>
    <col min="5126" max="5126" width="2.85546875" style="30" customWidth="1"/>
    <col min="5127" max="5127" width="4.140625" style="30" customWidth="1"/>
    <col min="5128" max="5128" width="36.42578125" style="30" customWidth="1"/>
    <col min="5129" max="5129" width="4.140625" style="30" customWidth="1"/>
    <col min="5130" max="5131" width="9.140625" style="30" customWidth="1"/>
    <col min="5132" max="5376" width="0" style="30" hidden="1"/>
    <col min="5377" max="5377" width="3.7109375" style="30" customWidth="1"/>
    <col min="5378" max="5378" width="3.42578125" style="30" customWidth="1"/>
    <col min="5379" max="5379" width="38.28515625" style="30" customWidth="1"/>
    <col min="5380" max="5380" width="41" style="30" customWidth="1"/>
    <col min="5381" max="5381" width="3.42578125" style="30" customWidth="1"/>
    <col min="5382" max="5382" width="2.85546875" style="30" customWidth="1"/>
    <col min="5383" max="5383" width="4.140625" style="30" customWidth="1"/>
    <col min="5384" max="5384" width="36.42578125" style="30" customWidth="1"/>
    <col min="5385" max="5385" width="4.140625" style="30" customWidth="1"/>
    <col min="5386" max="5387" width="9.140625" style="30" customWidth="1"/>
    <col min="5388" max="5632" width="0" style="30" hidden="1"/>
    <col min="5633" max="5633" width="3.7109375" style="30" customWidth="1"/>
    <col min="5634" max="5634" width="3.42578125" style="30" customWidth="1"/>
    <col min="5635" max="5635" width="38.28515625" style="30" customWidth="1"/>
    <col min="5636" max="5636" width="41" style="30" customWidth="1"/>
    <col min="5637" max="5637" width="3.42578125" style="30" customWidth="1"/>
    <col min="5638" max="5638" width="2.85546875" style="30" customWidth="1"/>
    <col min="5639" max="5639" width="4.140625" style="30" customWidth="1"/>
    <col min="5640" max="5640" width="36.42578125" style="30" customWidth="1"/>
    <col min="5641" max="5641" width="4.140625" style="30" customWidth="1"/>
    <col min="5642" max="5643" width="9.140625" style="30" customWidth="1"/>
    <col min="5644" max="5888" width="0" style="30" hidden="1"/>
    <col min="5889" max="5889" width="3.7109375" style="30" customWidth="1"/>
    <col min="5890" max="5890" width="3.42578125" style="30" customWidth="1"/>
    <col min="5891" max="5891" width="38.28515625" style="30" customWidth="1"/>
    <col min="5892" max="5892" width="41" style="30" customWidth="1"/>
    <col min="5893" max="5893" width="3.42578125" style="30" customWidth="1"/>
    <col min="5894" max="5894" width="2.85546875" style="30" customWidth="1"/>
    <col min="5895" max="5895" width="4.140625" style="30" customWidth="1"/>
    <col min="5896" max="5896" width="36.42578125" style="30" customWidth="1"/>
    <col min="5897" max="5897" width="4.140625" style="30" customWidth="1"/>
    <col min="5898" max="5899" width="9.140625" style="30" customWidth="1"/>
    <col min="5900" max="6144" width="0" style="30" hidden="1"/>
    <col min="6145" max="6145" width="3.7109375" style="30" customWidth="1"/>
    <col min="6146" max="6146" width="3.42578125" style="30" customWidth="1"/>
    <col min="6147" max="6147" width="38.28515625" style="30" customWidth="1"/>
    <col min="6148" max="6148" width="41" style="30" customWidth="1"/>
    <col min="6149" max="6149" width="3.42578125" style="30" customWidth="1"/>
    <col min="6150" max="6150" width="2.85546875" style="30" customWidth="1"/>
    <col min="6151" max="6151" width="4.140625" style="30" customWidth="1"/>
    <col min="6152" max="6152" width="36.42578125" style="30" customWidth="1"/>
    <col min="6153" max="6153" width="4.140625" style="30" customWidth="1"/>
    <col min="6154" max="6155" width="9.140625" style="30" customWidth="1"/>
    <col min="6156" max="6400" width="0" style="30" hidden="1"/>
    <col min="6401" max="6401" width="3.7109375" style="30" customWidth="1"/>
    <col min="6402" max="6402" width="3.42578125" style="30" customWidth="1"/>
    <col min="6403" max="6403" width="38.28515625" style="30" customWidth="1"/>
    <col min="6404" max="6404" width="41" style="30" customWidth="1"/>
    <col min="6405" max="6405" width="3.42578125" style="30" customWidth="1"/>
    <col min="6406" max="6406" width="2.85546875" style="30" customWidth="1"/>
    <col min="6407" max="6407" width="4.140625" style="30" customWidth="1"/>
    <col min="6408" max="6408" width="36.42578125" style="30" customWidth="1"/>
    <col min="6409" max="6409" width="4.140625" style="30" customWidth="1"/>
    <col min="6410" max="6411" width="9.140625" style="30" customWidth="1"/>
    <col min="6412" max="6656" width="0" style="30" hidden="1"/>
    <col min="6657" max="6657" width="3.7109375" style="30" customWidth="1"/>
    <col min="6658" max="6658" width="3.42578125" style="30" customWidth="1"/>
    <col min="6659" max="6659" width="38.28515625" style="30" customWidth="1"/>
    <col min="6660" max="6660" width="41" style="30" customWidth="1"/>
    <col min="6661" max="6661" width="3.42578125" style="30" customWidth="1"/>
    <col min="6662" max="6662" width="2.85546875" style="30" customWidth="1"/>
    <col min="6663" max="6663" width="4.140625" style="30" customWidth="1"/>
    <col min="6664" max="6664" width="36.42578125" style="30" customWidth="1"/>
    <col min="6665" max="6665" width="4.140625" style="30" customWidth="1"/>
    <col min="6666" max="6667" width="9.140625" style="30" customWidth="1"/>
    <col min="6668" max="6912" width="0" style="30" hidden="1"/>
    <col min="6913" max="6913" width="3.7109375" style="30" customWidth="1"/>
    <col min="6914" max="6914" width="3.42578125" style="30" customWidth="1"/>
    <col min="6915" max="6915" width="38.28515625" style="30" customWidth="1"/>
    <col min="6916" max="6916" width="41" style="30" customWidth="1"/>
    <col min="6917" max="6917" width="3.42578125" style="30" customWidth="1"/>
    <col min="6918" max="6918" width="2.85546875" style="30" customWidth="1"/>
    <col min="6919" max="6919" width="4.140625" style="30" customWidth="1"/>
    <col min="6920" max="6920" width="36.42578125" style="30" customWidth="1"/>
    <col min="6921" max="6921" width="4.140625" style="30" customWidth="1"/>
    <col min="6922" max="6923" width="9.140625" style="30" customWidth="1"/>
    <col min="6924" max="7168" width="0" style="30" hidden="1"/>
    <col min="7169" max="7169" width="3.7109375" style="30" customWidth="1"/>
    <col min="7170" max="7170" width="3.42578125" style="30" customWidth="1"/>
    <col min="7171" max="7171" width="38.28515625" style="30" customWidth="1"/>
    <col min="7172" max="7172" width="41" style="30" customWidth="1"/>
    <col min="7173" max="7173" width="3.42578125" style="30" customWidth="1"/>
    <col min="7174" max="7174" width="2.85546875" style="30" customWidth="1"/>
    <col min="7175" max="7175" width="4.140625" style="30" customWidth="1"/>
    <col min="7176" max="7176" width="36.42578125" style="30" customWidth="1"/>
    <col min="7177" max="7177" width="4.140625" style="30" customWidth="1"/>
    <col min="7178" max="7179" width="9.140625" style="30" customWidth="1"/>
    <col min="7180" max="7424" width="0" style="30" hidden="1"/>
    <col min="7425" max="7425" width="3.7109375" style="30" customWidth="1"/>
    <col min="7426" max="7426" width="3.42578125" style="30" customWidth="1"/>
    <col min="7427" max="7427" width="38.28515625" style="30" customWidth="1"/>
    <col min="7428" max="7428" width="41" style="30" customWidth="1"/>
    <col min="7429" max="7429" width="3.42578125" style="30" customWidth="1"/>
    <col min="7430" max="7430" width="2.85546875" style="30" customWidth="1"/>
    <col min="7431" max="7431" width="4.140625" style="30" customWidth="1"/>
    <col min="7432" max="7432" width="36.42578125" style="30" customWidth="1"/>
    <col min="7433" max="7433" width="4.140625" style="30" customWidth="1"/>
    <col min="7434" max="7435" width="9.140625" style="30" customWidth="1"/>
    <col min="7436" max="7680" width="0" style="30" hidden="1"/>
    <col min="7681" max="7681" width="3.7109375" style="30" customWidth="1"/>
    <col min="7682" max="7682" width="3.42578125" style="30" customWidth="1"/>
    <col min="7683" max="7683" width="38.28515625" style="30" customWidth="1"/>
    <col min="7684" max="7684" width="41" style="30" customWidth="1"/>
    <col min="7685" max="7685" width="3.42578125" style="30" customWidth="1"/>
    <col min="7686" max="7686" width="2.85546875" style="30" customWidth="1"/>
    <col min="7687" max="7687" width="4.140625" style="30" customWidth="1"/>
    <col min="7688" max="7688" width="36.42578125" style="30" customWidth="1"/>
    <col min="7689" max="7689" width="4.140625" style="30" customWidth="1"/>
    <col min="7690" max="7691" width="9.140625" style="30" customWidth="1"/>
    <col min="7692" max="7936" width="0" style="30" hidden="1"/>
    <col min="7937" max="7937" width="3.7109375" style="30" customWidth="1"/>
    <col min="7938" max="7938" width="3.42578125" style="30" customWidth="1"/>
    <col min="7939" max="7939" width="38.28515625" style="30" customWidth="1"/>
    <col min="7940" max="7940" width="41" style="30" customWidth="1"/>
    <col min="7941" max="7941" width="3.42578125" style="30" customWidth="1"/>
    <col min="7942" max="7942" width="2.85546875" style="30" customWidth="1"/>
    <col min="7943" max="7943" width="4.140625" style="30" customWidth="1"/>
    <col min="7944" max="7944" width="36.42578125" style="30" customWidth="1"/>
    <col min="7945" max="7945" width="4.140625" style="30" customWidth="1"/>
    <col min="7946" max="7947" width="9.140625" style="30" customWidth="1"/>
    <col min="7948" max="8192" width="0" style="30" hidden="1"/>
    <col min="8193" max="8193" width="3.7109375" style="30" customWidth="1"/>
    <col min="8194" max="8194" width="3.42578125" style="30" customWidth="1"/>
    <col min="8195" max="8195" width="38.28515625" style="30" customWidth="1"/>
    <col min="8196" max="8196" width="41" style="30" customWidth="1"/>
    <col min="8197" max="8197" width="3.42578125" style="30" customWidth="1"/>
    <col min="8198" max="8198" width="2.85546875" style="30" customWidth="1"/>
    <col min="8199" max="8199" width="4.140625" style="30" customWidth="1"/>
    <col min="8200" max="8200" width="36.42578125" style="30" customWidth="1"/>
    <col min="8201" max="8201" width="4.140625" style="30" customWidth="1"/>
    <col min="8202" max="8203" width="9.140625" style="30" customWidth="1"/>
    <col min="8204" max="8448" width="0" style="30" hidden="1"/>
    <col min="8449" max="8449" width="3.7109375" style="30" customWidth="1"/>
    <col min="8450" max="8450" width="3.42578125" style="30" customWidth="1"/>
    <col min="8451" max="8451" width="38.28515625" style="30" customWidth="1"/>
    <col min="8452" max="8452" width="41" style="30" customWidth="1"/>
    <col min="8453" max="8453" width="3.42578125" style="30" customWidth="1"/>
    <col min="8454" max="8454" width="2.85546875" style="30" customWidth="1"/>
    <col min="8455" max="8455" width="4.140625" style="30" customWidth="1"/>
    <col min="8456" max="8456" width="36.42578125" style="30" customWidth="1"/>
    <col min="8457" max="8457" width="4.140625" style="30" customWidth="1"/>
    <col min="8458" max="8459" width="9.140625" style="30" customWidth="1"/>
    <col min="8460" max="8704" width="0" style="30" hidden="1"/>
    <col min="8705" max="8705" width="3.7109375" style="30" customWidth="1"/>
    <col min="8706" max="8706" width="3.42578125" style="30" customWidth="1"/>
    <col min="8707" max="8707" width="38.28515625" style="30" customWidth="1"/>
    <col min="8708" max="8708" width="41" style="30" customWidth="1"/>
    <col min="8709" max="8709" width="3.42578125" style="30" customWidth="1"/>
    <col min="8710" max="8710" width="2.85546875" style="30" customWidth="1"/>
    <col min="8711" max="8711" width="4.140625" style="30" customWidth="1"/>
    <col min="8712" max="8712" width="36.42578125" style="30" customWidth="1"/>
    <col min="8713" max="8713" width="4.140625" style="30" customWidth="1"/>
    <col min="8714" max="8715" width="9.140625" style="30" customWidth="1"/>
    <col min="8716" max="8960" width="0" style="30" hidden="1"/>
    <col min="8961" max="8961" width="3.7109375" style="30" customWidth="1"/>
    <col min="8962" max="8962" width="3.42578125" style="30" customWidth="1"/>
    <col min="8963" max="8963" width="38.28515625" style="30" customWidth="1"/>
    <col min="8964" max="8964" width="41" style="30" customWidth="1"/>
    <col min="8965" max="8965" width="3.42578125" style="30" customWidth="1"/>
    <col min="8966" max="8966" width="2.85546875" style="30" customWidth="1"/>
    <col min="8967" max="8967" width="4.140625" style="30" customWidth="1"/>
    <col min="8968" max="8968" width="36.42578125" style="30" customWidth="1"/>
    <col min="8969" max="8969" width="4.140625" style="30" customWidth="1"/>
    <col min="8970" max="8971" width="9.140625" style="30" customWidth="1"/>
    <col min="8972" max="9216" width="0" style="30" hidden="1"/>
    <col min="9217" max="9217" width="3.7109375" style="30" customWidth="1"/>
    <col min="9218" max="9218" width="3.42578125" style="30" customWidth="1"/>
    <col min="9219" max="9219" width="38.28515625" style="30" customWidth="1"/>
    <col min="9220" max="9220" width="41" style="30" customWidth="1"/>
    <col min="9221" max="9221" width="3.42578125" style="30" customWidth="1"/>
    <col min="9222" max="9222" width="2.85546875" style="30" customWidth="1"/>
    <col min="9223" max="9223" width="4.140625" style="30" customWidth="1"/>
    <col min="9224" max="9224" width="36.42578125" style="30" customWidth="1"/>
    <col min="9225" max="9225" width="4.140625" style="30" customWidth="1"/>
    <col min="9226" max="9227" width="9.140625" style="30" customWidth="1"/>
    <col min="9228" max="9472" width="0" style="30" hidden="1"/>
    <col min="9473" max="9473" width="3.7109375" style="30" customWidth="1"/>
    <col min="9474" max="9474" width="3.42578125" style="30" customWidth="1"/>
    <col min="9475" max="9475" width="38.28515625" style="30" customWidth="1"/>
    <col min="9476" max="9476" width="41" style="30" customWidth="1"/>
    <col min="9477" max="9477" width="3.42578125" style="30" customWidth="1"/>
    <col min="9478" max="9478" width="2.85546875" style="30" customWidth="1"/>
    <col min="9479" max="9479" width="4.140625" style="30" customWidth="1"/>
    <col min="9480" max="9480" width="36.42578125" style="30" customWidth="1"/>
    <col min="9481" max="9481" width="4.140625" style="30" customWidth="1"/>
    <col min="9482" max="9483" width="9.140625" style="30" customWidth="1"/>
    <col min="9484" max="9728" width="0" style="30" hidden="1"/>
    <col min="9729" max="9729" width="3.7109375" style="30" customWidth="1"/>
    <col min="9730" max="9730" width="3.42578125" style="30" customWidth="1"/>
    <col min="9731" max="9731" width="38.28515625" style="30" customWidth="1"/>
    <col min="9732" max="9732" width="41" style="30" customWidth="1"/>
    <col min="9733" max="9733" width="3.42578125" style="30" customWidth="1"/>
    <col min="9734" max="9734" width="2.85546875" style="30" customWidth="1"/>
    <col min="9735" max="9735" width="4.140625" style="30" customWidth="1"/>
    <col min="9736" max="9736" width="36.42578125" style="30" customWidth="1"/>
    <col min="9737" max="9737" width="4.140625" style="30" customWidth="1"/>
    <col min="9738" max="9739" width="9.140625" style="30" customWidth="1"/>
    <col min="9740" max="9984" width="0" style="30" hidden="1"/>
    <col min="9985" max="9985" width="3.7109375" style="30" customWidth="1"/>
    <col min="9986" max="9986" width="3.42578125" style="30" customWidth="1"/>
    <col min="9987" max="9987" width="38.28515625" style="30" customWidth="1"/>
    <col min="9988" max="9988" width="41" style="30" customWidth="1"/>
    <col min="9989" max="9989" width="3.42578125" style="30" customWidth="1"/>
    <col min="9990" max="9990" width="2.85546875" style="30" customWidth="1"/>
    <col min="9991" max="9991" width="4.140625" style="30" customWidth="1"/>
    <col min="9992" max="9992" width="36.42578125" style="30" customWidth="1"/>
    <col min="9993" max="9993" width="4.140625" style="30" customWidth="1"/>
    <col min="9994" max="9995" width="9.140625" style="30" customWidth="1"/>
    <col min="9996" max="10240" width="0" style="30" hidden="1"/>
    <col min="10241" max="10241" width="3.7109375" style="30" customWidth="1"/>
    <col min="10242" max="10242" width="3.42578125" style="30" customWidth="1"/>
    <col min="10243" max="10243" width="38.28515625" style="30" customWidth="1"/>
    <col min="10244" max="10244" width="41" style="30" customWidth="1"/>
    <col min="10245" max="10245" width="3.42578125" style="30" customWidth="1"/>
    <col min="10246" max="10246" width="2.85546875" style="30" customWidth="1"/>
    <col min="10247" max="10247" width="4.140625" style="30" customWidth="1"/>
    <col min="10248" max="10248" width="36.42578125" style="30" customWidth="1"/>
    <col min="10249" max="10249" width="4.140625" style="30" customWidth="1"/>
    <col min="10250" max="10251" width="9.140625" style="30" customWidth="1"/>
    <col min="10252" max="10496" width="0" style="30" hidden="1"/>
    <col min="10497" max="10497" width="3.7109375" style="30" customWidth="1"/>
    <col min="10498" max="10498" width="3.42578125" style="30" customWidth="1"/>
    <col min="10499" max="10499" width="38.28515625" style="30" customWidth="1"/>
    <col min="10500" max="10500" width="41" style="30" customWidth="1"/>
    <col min="10501" max="10501" width="3.42578125" style="30" customWidth="1"/>
    <col min="10502" max="10502" width="2.85546875" style="30" customWidth="1"/>
    <col min="10503" max="10503" width="4.140625" style="30" customWidth="1"/>
    <col min="10504" max="10504" width="36.42578125" style="30" customWidth="1"/>
    <col min="10505" max="10505" width="4.140625" style="30" customWidth="1"/>
    <col min="10506" max="10507" width="9.140625" style="30" customWidth="1"/>
    <col min="10508" max="10752" width="0" style="30" hidden="1"/>
    <col min="10753" max="10753" width="3.7109375" style="30" customWidth="1"/>
    <col min="10754" max="10754" width="3.42578125" style="30" customWidth="1"/>
    <col min="10755" max="10755" width="38.28515625" style="30" customWidth="1"/>
    <col min="10756" max="10756" width="41" style="30" customWidth="1"/>
    <col min="10757" max="10757" width="3.42578125" style="30" customWidth="1"/>
    <col min="10758" max="10758" width="2.85546875" style="30" customWidth="1"/>
    <col min="10759" max="10759" width="4.140625" style="30" customWidth="1"/>
    <col min="10760" max="10760" width="36.42578125" style="30" customWidth="1"/>
    <col min="10761" max="10761" width="4.140625" style="30" customWidth="1"/>
    <col min="10762" max="10763" width="9.140625" style="30" customWidth="1"/>
    <col min="10764" max="11008" width="0" style="30" hidden="1"/>
    <col min="11009" max="11009" width="3.7109375" style="30" customWidth="1"/>
    <col min="11010" max="11010" width="3.42578125" style="30" customWidth="1"/>
    <col min="11011" max="11011" width="38.28515625" style="30" customWidth="1"/>
    <col min="11012" max="11012" width="41" style="30" customWidth="1"/>
    <col min="11013" max="11013" width="3.42578125" style="30" customWidth="1"/>
    <col min="11014" max="11014" width="2.85546875" style="30" customWidth="1"/>
    <col min="11015" max="11015" width="4.140625" style="30" customWidth="1"/>
    <col min="11016" max="11016" width="36.42578125" style="30" customWidth="1"/>
    <col min="11017" max="11017" width="4.140625" style="30" customWidth="1"/>
    <col min="11018" max="11019" width="9.140625" style="30" customWidth="1"/>
    <col min="11020" max="11264" width="0" style="30" hidden="1"/>
    <col min="11265" max="11265" width="3.7109375" style="30" customWidth="1"/>
    <col min="11266" max="11266" width="3.42578125" style="30" customWidth="1"/>
    <col min="11267" max="11267" width="38.28515625" style="30" customWidth="1"/>
    <col min="11268" max="11268" width="41" style="30" customWidth="1"/>
    <col min="11269" max="11269" width="3.42578125" style="30" customWidth="1"/>
    <col min="11270" max="11270" width="2.85546875" style="30" customWidth="1"/>
    <col min="11271" max="11271" width="4.140625" style="30" customWidth="1"/>
    <col min="11272" max="11272" width="36.42578125" style="30" customWidth="1"/>
    <col min="11273" max="11273" width="4.140625" style="30" customWidth="1"/>
    <col min="11274" max="11275" width="9.140625" style="30" customWidth="1"/>
    <col min="11276" max="11520" width="0" style="30" hidden="1"/>
    <col min="11521" max="11521" width="3.7109375" style="30" customWidth="1"/>
    <col min="11522" max="11522" width="3.42578125" style="30" customWidth="1"/>
    <col min="11523" max="11523" width="38.28515625" style="30" customWidth="1"/>
    <col min="11524" max="11524" width="41" style="30" customWidth="1"/>
    <col min="11525" max="11525" width="3.42578125" style="30" customWidth="1"/>
    <col min="11526" max="11526" width="2.85546875" style="30" customWidth="1"/>
    <col min="11527" max="11527" width="4.140625" style="30" customWidth="1"/>
    <col min="11528" max="11528" width="36.42578125" style="30" customWidth="1"/>
    <col min="11529" max="11529" width="4.140625" style="30" customWidth="1"/>
    <col min="11530" max="11531" width="9.140625" style="30" customWidth="1"/>
    <col min="11532" max="11776" width="0" style="30" hidden="1"/>
    <col min="11777" max="11777" width="3.7109375" style="30" customWidth="1"/>
    <col min="11778" max="11778" width="3.42578125" style="30" customWidth="1"/>
    <col min="11779" max="11779" width="38.28515625" style="30" customWidth="1"/>
    <col min="11780" max="11780" width="41" style="30" customWidth="1"/>
    <col min="11781" max="11781" width="3.42578125" style="30" customWidth="1"/>
    <col min="11782" max="11782" width="2.85546875" style="30" customWidth="1"/>
    <col min="11783" max="11783" width="4.140625" style="30" customWidth="1"/>
    <col min="11784" max="11784" width="36.42578125" style="30" customWidth="1"/>
    <col min="11785" max="11785" width="4.140625" style="30" customWidth="1"/>
    <col min="11786" max="11787" width="9.140625" style="30" customWidth="1"/>
    <col min="11788" max="12032" width="0" style="30" hidden="1"/>
    <col min="12033" max="12033" width="3.7109375" style="30" customWidth="1"/>
    <col min="12034" max="12034" width="3.42578125" style="30" customWidth="1"/>
    <col min="12035" max="12035" width="38.28515625" style="30" customWidth="1"/>
    <col min="12036" max="12036" width="41" style="30" customWidth="1"/>
    <col min="12037" max="12037" width="3.42578125" style="30" customWidth="1"/>
    <col min="12038" max="12038" width="2.85546875" style="30" customWidth="1"/>
    <col min="12039" max="12039" width="4.140625" style="30" customWidth="1"/>
    <col min="12040" max="12040" width="36.42578125" style="30" customWidth="1"/>
    <col min="12041" max="12041" width="4.140625" style="30" customWidth="1"/>
    <col min="12042" max="12043" width="9.140625" style="30" customWidth="1"/>
    <col min="12044" max="12288" width="0" style="30" hidden="1"/>
    <col min="12289" max="12289" width="3.7109375" style="30" customWidth="1"/>
    <col min="12290" max="12290" width="3.42578125" style="30" customWidth="1"/>
    <col min="12291" max="12291" width="38.28515625" style="30" customWidth="1"/>
    <col min="12292" max="12292" width="41" style="30" customWidth="1"/>
    <col min="12293" max="12293" width="3.42578125" style="30" customWidth="1"/>
    <col min="12294" max="12294" width="2.85546875" style="30" customWidth="1"/>
    <col min="12295" max="12295" width="4.140625" style="30" customWidth="1"/>
    <col min="12296" max="12296" width="36.42578125" style="30" customWidth="1"/>
    <col min="12297" max="12297" width="4.140625" style="30" customWidth="1"/>
    <col min="12298" max="12299" width="9.140625" style="30" customWidth="1"/>
    <col min="12300" max="12544" width="0" style="30" hidden="1"/>
    <col min="12545" max="12545" width="3.7109375" style="30" customWidth="1"/>
    <col min="12546" max="12546" width="3.42578125" style="30" customWidth="1"/>
    <col min="12547" max="12547" width="38.28515625" style="30" customWidth="1"/>
    <col min="12548" max="12548" width="41" style="30" customWidth="1"/>
    <col min="12549" max="12549" width="3.42578125" style="30" customWidth="1"/>
    <col min="12550" max="12550" width="2.85546875" style="30" customWidth="1"/>
    <col min="12551" max="12551" width="4.140625" style="30" customWidth="1"/>
    <col min="12552" max="12552" width="36.42578125" style="30" customWidth="1"/>
    <col min="12553" max="12553" width="4.140625" style="30" customWidth="1"/>
    <col min="12554" max="12555" width="9.140625" style="30" customWidth="1"/>
    <col min="12556" max="12800" width="0" style="30" hidden="1"/>
    <col min="12801" max="12801" width="3.7109375" style="30" customWidth="1"/>
    <col min="12802" max="12802" width="3.42578125" style="30" customWidth="1"/>
    <col min="12803" max="12803" width="38.28515625" style="30" customWidth="1"/>
    <col min="12804" max="12804" width="41" style="30" customWidth="1"/>
    <col min="12805" max="12805" width="3.42578125" style="30" customWidth="1"/>
    <col min="12806" max="12806" width="2.85546875" style="30" customWidth="1"/>
    <col min="12807" max="12807" width="4.140625" style="30" customWidth="1"/>
    <col min="12808" max="12808" width="36.42578125" style="30" customWidth="1"/>
    <col min="12809" max="12809" width="4.140625" style="30" customWidth="1"/>
    <col min="12810" max="12811" width="9.140625" style="30" customWidth="1"/>
    <col min="12812" max="13056" width="0" style="30" hidden="1"/>
    <col min="13057" max="13057" width="3.7109375" style="30" customWidth="1"/>
    <col min="13058" max="13058" width="3.42578125" style="30" customWidth="1"/>
    <col min="13059" max="13059" width="38.28515625" style="30" customWidth="1"/>
    <col min="13060" max="13060" width="41" style="30" customWidth="1"/>
    <col min="13061" max="13061" width="3.42578125" style="30" customWidth="1"/>
    <col min="13062" max="13062" width="2.85546875" style="30" customWidth="1"/>
    <col min="13063" max="13063" width="4.140625" style="30" customWidth="1"/>
    <col min="13064" max="13064" width="36.42578125" style="30" customWidth="1"/>
    <col min="13065" max="13065" width="4.140625" style="30" customWidth="1"/>
    <col min="13066" max="13067" width="9.140625" style="30" customWidth="1"/>
    <col min="13068" max="13312" width="0" style="30" hidden="1"/>
    <col min="13313" max="13313" width="3.7109375" style="30" customWidth="1"/>
    <col min="13314" max="13314" width="3.42578125" style="30" customWidth="1"/>
    <col min="13315" max="13315" width="38.28515625" style="30" customWidth="1"/>
    <col min="13316" max="13316" width="41" style="30" customWidth="1"/>
    <col min="13317" max="13317" width="3.42578125" style="30" customWidth="1"/>
    <col min="13318" max="13318" width="2.85546875" style="30" customWidth="1"/>
    <col min="13319" max="13319" width="4.140625" style="30" customWidth="1"/>
    <col min="13320" max="13320" width="36.42578125" style="30" customWidth="1"/>
    <col min="13321" max="13321" width="4.140625" style="30" customWidth="1"/>
    <col min="13322" max="13323" width="9.140625" style="30" customWidth="1"/>
    <col min="13324" max="13568" width="0" style="30" hidden="1"/>
    <col min="13569" max="13569" width="3.7109375" style="30" customWidth="1"/>
    <col min="13570" max="13570" width="3.42578125" style="30" customWidth="1"/>
    <col min="13571" max="13571" width="38.28515625" style="30" customWidth="1"/>
    <col min="13572" max="13572" width="41" style="30" customWidth="1"/>
    <col min="13573" max="13573" width="3.42578125" style="30" customWidth="1"/>
    <col min="13574" max="13574" width="2.85546875" style="30" customWidth="1"/>
    <col min="13575" max="13575" width="4.140625" style="30" customWidth="1"/>
    <col min="13576" max="13576" width="36.42578125" style="30" customWidth="1"/>
    <col min="13577" max="13577" width="4.140625" style="30" customWidth="1"/>
    <col min="13578" max="13579" width="9.140625" style="30" customWidth="1"/>
    <col min="13580" max="13824" width="0" style="30" hidden="1"/>
    <col min="13825" max="13825" width="3.7109375" style="30" customWidth="1"/>
    <col min="13826" max="13826" width="3.42578125" style="30" customWidth="1"/>
    <col min="13827" max="13827" width="38.28515625" style="30" customWidth="1"/>
    <col min="13828" max="13828" width="41" style="30" customWidth="1"/>
    <col min="13829" max="13829" width="3.42578125" style="30" customWidth="1"/>
    <col min="13830" max="13830" width="2.85546875" style="30" customWidth="1"/>
    <col min="13831" max="13831" width="4.140625" style="30" customWidth="1"/>
    <col min="13832" max="13832" width="36.42578125" style="30" customWidth="1"/>
    <col min="13833" max="13833" width="4.140625" style="30" customWidth="1"/>
    <col min="13834" max="13835" width="9.140625" style="30" customWidth="1"/>
    <col min="13836" max="14080" width="0" style="30" hidden="1"/>
    <col min="14081" max="14081" width="3.7109375" style="30" customWidth="1"/>
    <col min="14082" max="14082" width="3.42578125" style="30" customWidth="1"/>
    <col min="14083" max="14083" width="38.28515625" style="30" customWidth="1"/>
    <col min="14084" max="14084" width="41" style="30" customWidth="1"/>
    <col min="14085" max="14085" width="3.42578125" style="30" customWidth="1"/>
    <col min="14086" max="14086" width="2.85546875" style="30" customWidth="1"/>
    <col min="14087" max="14087" width="4.140625" style="30" customWidth="1"/>
    <col min="14088" max="14088" width="36.42578125" style="30" customWidth="1"/>
    <col min="14089" max="14089" width="4.140625" style="30" customWidth="1"/>
    <col min="14090" max="14091" width="9.140625" style="30" customWidth="1"/>
    <col min="14092" max="14336" width="0" style="30" hidden="1"/>
    <col min="14337" max="14337" width="3.7109375" style="30" customWidth="1"/>
    <col min="14338" max="14338" width="3.42578125" style="30" customWidth="1"/>
    <col min="14339" max="14339" width="38.28515625" style="30" customWidth="1"/>
    <col min="14340" max="14340" width="41" style="30" customWidth="1"/>
    <col min="14341" max="14341" width="3.42578125" style="30" customWidth="1"/>
    <col min="14342" max="14342" width="2.85546875" style="30" customWidth="1"/>
    <col min="14343" max="14343" width="4.140625" style="30" customWidth="1"/>
    <col min="14344" max="14344" width="36.42578125" style="30" customWidth="1"/>
    <col min="14345" max="14345" width="4.140625" style="30" customWidth="1"/>
    <col min="14346" max="14347" width="9.140625" style="30" customWidth="1"/>
    <col min="14348" max="14592" width="0" style="30" hidden="1"/>
    <col min="14593" max="14593" width="3.7109375" style="30" customWidth="1"/>
    <col min="14594" max="14594" width="3.42578125" style="30" customWidth="1"/>
    <col min="14595" max="14595" width="38.28515625" style="30" customWidth="1"/>
    <col min="14596" max="14596" width="41" style="30" customWidth="1"/>
    <col min="14597" max="14597" width="3.42578125" style="30" customWidth="1"/>
    <col min="14598" max="14598" width="2.85546875" style="30" customWidth="1"/>
    <col min="14599" max="14599" width="4.140625" style="30" customWidth="1"/>
    <col min="14600" max="14600" width="36.42578125" style="30" customWidth="1"/>
    <col min="14601" max="14601" width="4.140625" style="30" customWidth="1"/>
    <col min="14602" max="14603" width="9.140625" style="30" customWidth="1"/>
    <col min="14604" max="14848" width="0" style="30" hidden="1"/>
    <col min="14849" max="14849" width="3.7109375" style="30" customWidth="1"/>
    <col min="14850" max="14850" width="3.42578125" style="30" customWidth="1"/>
    <col min="14851" max="14851" width="38.28515625" style="30" customWidth="1"/>
    <col min="14852" max="14852" width="41" style="30" customWidth="1"/>
    <col min="14853" max="14853" width="3.42578125" style="30" customWidth="1"/>
    <col min="14854" max="14854" width="2.85546875" style="30" customWidth="1"/>
    <col min="14855" max="14855" width="4.140625" style="30" customWidth="1"/>
    <col min="14856" max="14856" width="36.42578125" style="30" customWidth="1"/>
    <col min="14857" max="14857" width="4.140625" style="30" customWidth="1"/>
    <col min="14858" max="14859" width="9.140625" style="30" customWidth="1"/>
    <col min="14860" max="15104" width="0" style="30" hidden="1"/>
    <col min="15105" max="15105" width="3.7109375" style="30" customWidth="1"/>
    <col min="15106" max="15106" width="3.42578125" style="30" customWidth="1"/>
    <col min="15107" max="15107" width="38.28515625" style="30" customWidth="1"/>
    <col min="15108" max="15108" width="41" style="30" customWidth="1"/>
    <col min="15109" max="15109" width="3.42578125" style="30" customWidth="1"/>
    <col min="15110" max="15110" width="2.85546875" style="30" customWidth="1"/>
    <col min="15111" max="15111" width="4.140625" style="30" customWidth="1"/>
    <col min="15112" max="15112" width="36.42578125" style="30" customWidth="1"/>
    <col min="15113" max="15113" width="4.140625" style="30" customWidth="1"/>
    <col min="15114" max="15115" width="9.140625" style="30" customWidth="1"/>
    <col min="15116" max="15360" width="0" style="30" hidden="1"/>
    <col min="15361" max="15361" width="3.7109375" style="30" customWidth="1"/>
    <col min="15362" max="15362" width="3.42578125" style="30" customWidth="1"/>
    <col min="15363" max="15363" width="38.28515625" style="30" customWidth="1"/>
    <col min="15364" max="15364" width="41" style="30" customWidth="1"/>
    <col min="15365" max="15365" width="3.42578125" style="30" customWidth="1"/>
    <col min="15366" max="15366" width="2.85546875" style="30" customWidth="1"/>
    <col min="15367" max="15367" width="4.140625" style="30" customWidth="1"/>
    <col min="15368" max="15368" width="36.42578125" style="30" customWidth="1"/>
    <col min="15369" max="15369" width="4.140625" style="30" customWidth="1"/>
    <col min="15370" max="15371" width="9.140625" style="30" customWidth="1"/>
    <col min="15372" max="15616" width="0" style="30" hidden="1"/>
    <col min="15617" max="15617" width="3.7109375" style="30" customWidth="1"/>
    <col min="15618" max="15618" width="3.42578125" style="30" customWidth="1"/>
    <col min="15619" max="15619" width="38.28515625" style="30" customWidth="1"/>
    <col min="15620" max="15620" width="41" style="30" customWidth="1"/>
    <col min="15621" max="15621" width="3.42578125" style="30" customWidth="1"/>
    <col min="15622" max="15622" width="2.85546875" style="30" customWidth="1"/>
    <col min="15623" max="15623" width="4.140625" style="30" customWidth="1"/>
    <col min="15624" max="15624" width="36.42578125" style="30" customWidth="1"/>
    <col min="15625" max="15625" width="4.140625" style="30" customWidth="1"/>
    <col min="15626" max="15627" width="9.140625" style="30" customWidth="1"/>
    <col min="15628" max="15872" width="0" style="30" hidden="1"/>
    <col min="15873" max="15873" width="3.7109375" style="30" customWidth="1"/>
    <col min="15874" max="15874" width="3.42578125" style="30" customWidth="1"/>
    <col min="15875" max="15875" width="38.28515625" style="30" customWidth="1"/>
    <col min="15876" max="15876" width="41" style="30" customWidth="1"/>
    <col min="15877" max="15877" width="3.42578125" style="30" customWidth="1"/>
    <col min="15878" max="15878" width="2.85546875" style="30" customWidth="1"/>
    <col min="15879" max="15879" width="4.140625" style="30" customWidth="1"/>
    <col min="15880" max="15880" width="36.42578125" style="30" customWidth="1"/>
    <col min="15881" max="15881" width="4.140625" style="30" customWidth="1"/>
    <col min="15882" max="15883" width="9.140625" style="30" customWidth="1"/>
    <col min="15884" max="16128" width="0" style="30" hidden="1"/>
    <col min="16129" max="16129" width="3.7109375" style="30" customWidth="1"/>
    <col min="16130" max="16130" width="3.42578125" style="30" customWidth="1"/>
    <col min="16131" max="16131" width="38.28515625" style="30" customWidth="1"/>
    <col min="16132" max="16132" width="41" style="30" customWidth="1"/>
    <col min="16133" max="16133" width="3.42578125" style="30" customWidth="1"/>
    <col min="16134" max="16134" width="2.85546875" style="30" customWidth="1"/>
    <col min="16135" max="16135" width="4.140625" style="30" customWidth="1"/>
    <col min="16136" max="16136" width="36.42578125" style="30" customWidth="1"/>
    <col min="16137" max="16137" width="4.140625" style="30" customWidth="1"/>
    <col min="16138" max="16139" width="9.140625" style="30" customWidth="1"/>
    <col min="16140" max="16384" width="0" style="30" hidden="1"/>
  </cols>
  <sheetData>
    <row r="1" spans="2:10"/>
    <row r="2" spans="2:10" ht="12" thickBot="1"/>
    <row r="3" spans="2:10" ht="18">
      <c r="B3" s="31"/>
      <c r="C3" s="32" t="s">
        <v>58</v>
      </c>
    </row>
    <row r="4" spans="2:10">
      <c r="B4" s="33"/>
      <c r="C4" s="34"/>
    </row>
    <row r="5" spans="2:10" ht="12" thickBot="1">
      <c r="B5" s="35"/>
      <c r="C5" s="36"/>
    </row>
    <row r="6" spans="2:10" ht="12" thickBot="1"/>
    <row r="7" spans="2:10">
      <c r="B7" s="31"/>
      <c r="C7" s="37"/>
      <c r="D7" s="38"/>
      <c r="E7" s="39"/>
      <c r="F7" s="39"/>
      <c r="G7" s="31"/>
      <c r="H7" s="37"/>
      <c r="I7" s="38"/>
      <c r="J7" s="40"/>
    </row>
    <row r="8" spans="2:10">
      <c r="B8" s="33"/>
      <c r="C8" s="39"/>
      <c r="D8" s="34"/>
      <c r="E8" s="39"/>
      <c r="F8" s="39"/>
      <c r="G8" s="33"/>
      <c r="H8" s="39"/>
      <c r="I8" s="34"/>
    </row>
    <row r="9" spans="2:10" ht="12.75">
      <c r="B9" s="33"/>
      <c r="C9" s="39"/>
      <c r="D9" s="34"/>
      <c r="E9" s="39"/>
      <c r="F9" s="39"/>
      <c r="G9" s="33"/>
      <c r="H9" s="41" t="s">
        <v>59</v>
      </c>
      <c r="I9" s="34"/>
    </row>
    <row r="10" spans="2:10" ht="12.75">
      <c r="B10" s="33"/>
      <c r="C10" s="42" t="s">
        <v>60</v>
      </c>
      <c r="D10" s="34"/>
      <c r="E10" s="39"/>
      <c r="F10" s="39"/>
      <c r="G10" s="33"/>
      <c r="H10" s="227" t="s">
        <v>440</v>
      </c>
      <c r="I10" s="34"/>
    </row>
    <row r="11" spans="2:10" ht="12.75">
      <c r="B11" s="33"/>
      <c r="C11" s="43" t="s">
        <v>61</v>
      </c>
      <c r="D11" s="44" t="str">
        <f>C3</f>
        <v>No Such Company</v>
      </c>
      <c r="E11" s="39"/>
      <c r="F11" s="39"/>
      <c r="G11" s="33"/>
      <c r="H11" s="228"/>
      <c r="I11" s="34"/>
    </row>
    <row r="12" spans="2:10" ht="12.75">
      <c r="B12" s="33"/>
      <c r="C12" s="43" t="s">
        <v>62</v>
      </c>
      <c r="D12" s="44" t="s">
        <v>73</v>
      </c>
      <c r="E12" s="39"/>
      <c r="F12" s="39"/>
      <c r="G12" s="33"/>
      <c r="H12" s="228"/>
      <c r="I12" s="34"/>
    </row>
    <row r="13" spans="2:10" ht="12.75">
      <c r="B13" s="33"/>
      <c r="C13" s="43" t="s">
        <v>63</v>
      </c>
      <c r="D13" s="44" t="s">
        <v>249</v>
      </c>
      <c r="E13" s="39"/>
      <c r="F13" s="39"/>
      <c r="G13" s="33"/>
      <c r="H13" s="228"/>
      <c r="I13" s="34"/>
    </row>
    <row r="14" spans="2:10" ht="12.75">
      <c r="B14" s="33"/>
      <c r="C14" s="45"/>
      <c r="D14" s="34"/>
      <c r="E14" s="39"/>
      <c r="F14" s="39"/>
      <c r="G14" s="33"/>
      <c r="H14" s="228"/>
      <c r="I14" s="34"/>
    </row>
    <row r="15" spans="2:10" ht="12.75">
      <c r="B15" s="33"/>
      <c r="C15" s="46"/>
      <c r="D15" s="34"/>
      <c r="E15" s="39"/>
      <c r="F15" s="39"/>
      <c r="G15" s="33"/>
      <c r="H15" s="228"/>
      <c r="I15" s="34"/>
    </row>
    <row r="16" spans="2:10" ht="12.75">
      <c r="B16" s="33"/>
      <c r="C16" s="47" t="s">
        <v>64</v>
      </c>
      <c r="D16" s="34"/>
      <c r="E16" s="39"/>
      <c r="F16" s="39"/>
      <c r="G16" s="33"/>
      <c r="H16" s="228"/>
      <c r="I16" s="34"/>
    </row>
    <row r="17" spans="2:9" ht="12.75">
      <c r="B17" s="33"/>
      <c r="C17" s="43" t="s">
        <v>8</v>
      </c>
      <c r="D17" s="44" t="s">
        <v>72</v>
      </c>
      <c r="E17" s="39"/>
      <c r="F17" s="39"/>
      <c r="G17" s="33"/>
      <c r="H17" s="228"/>
      <c r="I17" s="34"/>
    </row>
    <row r="18" spans="2:9" ht="12.75">
      <c r="B18" s="33"/>
      <c r="C18" s="43" t="s">
        <v>65</v>
      </c>
      <c r="D18" s="52" t="s">
        <v>74</v>
      </c>
      <c r="E18" s="39"/>
      <c r="F18" s="39"/>
      <c r="G18" s="33"/>
      <c r="H18" s="228"/>
      <c r="I18" s="34"/>
    </row>
    <row r="19" spans="2:9" ht="12.75">
      <c r="B19" s="33"/>
      <c r="C19" s="43" t="s">
        <v>66</v>
      </c>
      <c r="D19" s="52" t="s">
        <v>75</v>
      </c>
      <c r="E19" s="39"/>
      <c r="F19" s="39"/>
      <c r="G19" s="33"/>
      <c r="H19" s="228"/>
      <c r="I19" s="34"/>
    </row>
    <row r="20" spans="2:9" ht="12.75">
      <c r="B20" s="33"/>
      <c r="C20" s="43"/>
      <c r="D20" s="52"/>
      <c r="E20" s="39"/>
      <c r="F20" s="39"/>
      <c r="G20" s="33"/>
      <c r="H20" s="228"/>
      <c r="I20" s="34"/>
    </row>
    <row r="21" spans="2:9" ht="12.75">
      <c r="B21" s="33"/>
      <c r="C21" s="47" t="s">
        <v>439</v>
      </c>
      <c r="D21" s="34"/>
      <c r="E21" s="39"/>
      <c r="F21" s="39"/>
      <c r="G21" s="33"/>
      <c r="H21" s="229"/>
      <c r="I21" s="34"/>
    </row>
    <row r="22" spans="2:9" ht="12.75">
      <c r="B22" s="33"/>
      <c r="C22" s="43" t="s">
        <v>8</v>
      </c>
      <c r="D22" s="44" t="s">
        <v>72</v>
      </c>
      <c r="E22" s="39"/>
      <c r="F22" s="39"/>
      <c r="G22" s="33"/>
      <c r="H22" s="229"/>
      <c r="I22" s="34"/>
    </row>
    <row r="23" spans="2:9" ht="12.75">
      <c r="B23" s="33"/>
      <c r="C23" s="43" t="s">
        <v>65</v>
      </c>
      <c r="D23" s="52" t="s">
        <v>74</v>
      </c>
      <c r="E23" s="39"/>
      <c r="F23" s="39"/>
      <c r="G23" s="33"/>
      <c r="H23" s="229"/>
      <c r="I23" s="34"/>
    </row>
    <row r="24" spans="2:9" ht="12.75">
      <c r="B24" s="33"/>
      <c r="C24" s="43" t="s">
        <v>66</v>
      </c>
      <c r="D24" s="52" t="s">
        <v>75</v>
      </c>
      <c r="E24" s="39"/>
      <c r="F24" s="39"/>
      <c r="G24" s="33"/>
      <c r="H24" s="229"/>
      <c r="I24" s="34"/>
    </row>
    <row r="25" spans="2:9" ht="12.75">
      <c r="B25" s="33"/>
      <c r="C25" s="45"/>
      <c r="D25" s="34"/>
      <c r="E25" s="39"/>
      <c r="F25" s="39"/>
      <c r="G25" s="33"/>
      <c r="H25" s="229"/>
      <c r="I25" s="34"/>
    </row>
    <row r="26" spans="2:9" ht="12.75">
      <c r="B26" s="33"/>
      <c r="C26" s="47" t="s">
        <v>67</v>
      </c>
      <c r="D26" s="34"/>
      <c r="E26" s="39"/>
      <c r="F26" s="39"/>
      <c r="G26" s="33"/>
      <c r="H26" s="229"/>
      <c r="I26" s="34"/>
    </row>
    <row r="27" spans="2:9" ht="12.75">
      <c r="B27" s="33"/>
      <c r="C27" s="43" t="s">
        <v>8</v>
      </c>
      <c r="D27" s="44" t="s">
        <v>72</v>
      </c>
      <c r="E27" s="39"/>
      <c r="F27" s="39"/>
      <c r="G27" s="33"/>
      <c r="H27" s="229"/>
      <c r="I27" s="34"/>
    </row>
    <row r="28" spans="2:9" ht="12.75">
      <c r="B28" s="33"/>
      <c r="C28" s="43" t="s">
        <v>65</v>
      </c>
      <c r="D28" s="52" t="s">
        <v>74</v>
      </c>
      <c r="E28" s="39"/>
      <c r="F28" s="39"/>
      <c r="G28" s="33"/>
      <c r="H28" s="229"/>
      <c r="I28" s="34"/>
    </row>
    <row r="29" spans="2:9" ht="12.75">
      <c r="B29" s="33"/>
      <c r="C29" s="43" t="s">
        <v>66</v>
      </c>
      <c r="D29" s="52" t="s">
        <v>75</v>
      </c>
      <c r="E29" s="39"/>
      <c r="F29" s="39"/>
      <c r="G29" s="33"/>
      <c r="H29" s="229"/>
      <c r="I29" s="34"/>
    </row>
    <row r="30" spans="2:9" ht="12.75">
      <c r="B30" s="33"/>
      <c r="C30" s="48" t="s">
        <v>68</v>
      </c>
      <c r="D30" s="34"/>
      <c r="E30" s="39"/>
      <c r="F30" s="39"/>
      <c r="G30" s="33"/>
      <c r="H30" s="229"/>
      <c r="I30" s="34"/>
    </row>
    <row r="31" spans="2:9" ht="12.75">
      <c r="B31" s="33"/>
      <c r="C31" s="47" t="s">
        <v>69</v>
      </c>
      <c r="D31" s="34"/>
      <c r="E31" s="39"/>
      <c r="F31" s="39"/>
      <c r="G31" s="33"/>
      <c r="H31" s="230"/>
      <c r="I31" s="34"/>
    </row>
    <row r="32" spans="2:9" ht="15">
      <c r="B32" s="33"/>
      <c r="C32" s="49" t="s">
        <v>70</v>
      </c>
      <c r="D32" s="44" t="s">
        <v>76</v>
      </c>
      <c r="E32" s="39"/>
      <c r="F32" s="39"/>
      <c r="G32" s="33"/>
      <c r="H32" s="50"/>
      <c r="I32" s="34"/>
    </row>
    <row r="33" spans="2:9">
      <c r="B33" s="33"/>
      <c r="C33" s="39"/>
      <c r="D33" s="34"/>
      <c r="E33" s="39"/>
      <c r="F33" s="39"/>
      <c r="G33" s="33"/>
      <c r="H33" s="39"/>
      <c r="I33" s="34"/>
    </row>
    <row r="34" spans="2:9" ht="12" thickBot="1">
      <c r="B34" s="35"/>
      <c r="C34" s="51"/>
      <c r="D34" s="36"/>
      <c r="E34" s="39"/>
      <c r="F34" s="39"/>
      <c r="G34" s="35"/>
      <c r="H34" s="51"/>
      <c r="I34" s="36"/>
    </row>
    <row r="35" spans="2:9"/>
    <row r="36" spans="2:9" ht="12.75">
      <c r="H36" s="53"/>
      <c r="I36" s="54" t="s">
        <v>71</v>
      </c>
    </row>
    <row r="37" spans="2:9"/>
    <row r="38" spans="2:9"/>
    <row r="39" spans="2:9"/>
    <row r="40" spans="2:9"/>
    <row r="41" spans="2:9"/>
    <row r="42" spans="2:9"/>
    <row r="43" spans="2:9"/>
    <row r="44" spans="2:9"/>
    <row r="45" spans="2:9"/>
    <row r="46" spans="2:9"/>
    <row r="47" spans="2:9"/>
    <row r="48" spans="2:9"/>
    <row r="49"/>
    <row r="50"/>
    <row r="51"/>
    <row r="52"/>
    <row r="53"/>
    <row r="54"/>
    <row r="55"/>
  </sheetData>
  <mergeCells count="1">
    <mergeCell ref="H10:H31"/>
  </mergeCells>
  <pageMargins left="0.75" right="0.75" top="1" bottom="1" header="0.5" footer="0.5"/>
  <pageSetup paperSize="9" scale="96" orientation="landscape"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O31"/>
  <sheetViews>
    <sheetView showGridLines="0" workbookViewId="0">
      <selection activeCell="H31" sqref="H31"/>
    </sheetView>
  </sheetViews>
  <sheetFormatPr defaultColWidth="0" defaultRowHeight="15" customHeight="1" zeroHeight="1"/>
  <cols>
    <col min="1" max="1" width="6.42578125" customWidth="1"/>
    <col min="2" max="2" width="24.7109375" customWidth="1"/>
    <col min="3" max="3" width="15.140625" customWidth="1"/>
    <col min="4" max="4" width="14.42578125" customWidth="1"/>
    <col min="5" max="5" width="16.85546875" customWidth="1"/>
    <col min="6" max="6" width="12.28515625" customWidth="1"/>
    <col min="7" max="7" width="4.85546875" customWidth="1"/>
    <col min="8" max="8" width="6" customWidth="1"/>
    <col min="9" max="15" width="0" hidden="1" customWidth="1"/>
    <col min="16" max="16384" width="9.140625" hidden="1"/>
  </cols>
  <sheetData>
    <row r="1" spans="1:6">
      <c r="A1" s="1" t="s">
        <v>0</v>
      </c>
      <c r="B1" s="1"/>
      <c r="C1" s="1"/>
      <c r="D1" s="1"/>
      <c r="E1" s="1"/>
      <c r="F1" s="1"/>
    </row>
    <row r="2" spans="1:6">
      <c r="A2" s="2" t="s">
        <v>77</v>
      </c>
    </row>
    <row r="3" spans="1:6"/>
    <row r="4" spans="1:6"/>
    <row r="5" spans="1:6">
      <c r="A5" s="3"/>
      <c r="B5" s="16" t="s">
        <v>78</v>
      </c>
      <c r="C5" s="3"/>
      <c r="D5" s="3"/>
      <c r="E5" s="3"/>
      <c r="F5" s="3"/>
    </row>
    <row r="6" spans="1:6"/>
    <row r="7" spans="1:6">
      <c r="B7" s="57" t="s">
        <v>441</v>
      </c>
      <c r="C7" s="59" t="s">
        <v>88</v>
      </c>
    </row>
    <row r="8" spans="1:6" ht="15" customHeight="1">
      <c r="B8" s="57" t="s">
        <v>80</v>
      </c>
      <c r="C8" s="60">
        <v>3.01</v>
      </c>
    </row>
    <row r="9" spans="1:6" ht="15" customHeight="1">
      <c r="B9" s="57" t="s">
        <v>442</v>
      </c>
      <c r="C9" s="61" t="s">
        <v>89</v>
      </c>
    </row>
    <row r="10" spans="1:6" ht="15" customHeight="1">
      <c r="B10" s="57" t="s">
        <v>90</v>
      </c>
      <c r="C10" s="59" t="s">
        <v>91</v>
      </c>
    </row>
    <row r="11" spans="1:6" ht="15" customHeight="1">
      <c r="B11" s="57" t="s">
        <v>66</v>
      </c>
      <c r="C11" s="62" t="s">
        <v>92</v>
      </c>
    </row>
    <row r="12" spans="1:6" ht="15" customHeight="1">
      <c r="A12" s="3"/>
      <c r="B12" s="16" t="s">
        <v>81</v>
      </c>
      <c r="C12" s="3"/>
      <c r="D12" s="3"/>
      <c r="E12" s="3"/>
      <c r="F12" s="3"/>
    </row>
    <row r="13" spans="1:6" ht="15" customHeight="1"/>
    <row r="14" spans="1:6" ht="15" customHeight="1">
      <c r="B14" s="56" t="s">
        <v>79</v>
      </c>
      <c r="C14" s="56" t="s">
        <v>82</v>
      </c>
      <c r="D14" s="56" t="s">
        <v>83</v>
      </c>
      <c r="E14" s="56" t="s">
        <v>84</v>
      </c>
    </row>
    <row r="15" spans="1:6" ht="15" customHeight="1">
      <c r="B15" s="59" t="s">
        <v>88</v>
      </c>
      <c r="C15" s="60">
        <v>1</v>
      </c>
      <c r="D15" s="224">
        <v>41368</v>
      </c>
      <c r="E15" s="58" t="s">
        <v>93</v>
      </c>
    </row>
    <row r="16" spans="1:6" ht="15" customHeight="1">
      <c r="B16" s="59" t="s">
        <v>88</v>
      </c>
      <c r="C16" s="60">
        <v>1.25</v>
      </c>
      <c r="D16" s="225" t="s">
        <v>444</v>
      </c>
      <c r="E16" s="58" t="s">
        <v>93</v>
      </c>
    </row>
    <row r="17" spans="1:6" ht="15" customHeight="1">
      <c r="B17" s="59" t="s">
        <v>88</v>
      </c>
      <c r="C17" s="60">
        <v>2</v>
      </c>
      <c r="D17" s="225" t="s">
        <v>445</v>
      </c>
      <c r="E17" s="58" t="s">
        <v>93</v>
      </c>
    </row>
    <row r="18" spans="1:6" ht="15" customHeight="1">
      <c r="B18" s="59" t="s">
        <v>88</v>
      </c>
      <c r="C18" s="60">
        <v>3.01</v>
      </c>
      <c r="D18" s="224">
        <v>41462</v>
      </c>
      <c r="E18" s="58" t="s">
        <v>93</v>
      </c>
    </row>
    <row r="19" spans="1:6" ht="15" customHeight="1">
      <c r="B19" s="59" t="s">
        <v>88</v>
      </c>
      <c r="C19" s="60">
        <v>3.01</v>
      </c>
      <c r="D19" s="224">
        <v>41493</v>
      </c>
      <c r="E19" s="58" t="s">
        <v>94</v>
      </c>
    </row>
    <row r="20" spans="1:6" ht="15" customHeight="1">
      <c r="B20" s="55"/>
      <c r="C20" s="55"/>
      <c r="D20" s="55"/>
      <c r="E20" s="55"/>
    </row>
    <row r="21" spans="1:6" ht="15" customHeight="1">
      <c r="B21" s="55"/>
      <c r="C21" s="55"/>
      <c r="D21" s="55"/>
      <c r="E21" s="55"/>
    </row>
    <row r="22" spans="1:6" ht="15" customHeight="1">
      <c r="B22" s="55"/>
      <c r="C22" s="55"/>
      <c r="D22" s="55"/>
      <c r="E22" s="55"/>
    </row>
    <row r="23" spans="1:6" ht="15" customHeight="1">
      <c r="A23" s="3"/>
      <c r="B23" s="16" t="s">
        <v>85</v>
      </c>
      <c r="C23" s="3"/>
      <c r="D23" s="3"/>
      <c r="E23" s="3"/>
      <c r="F23" s="3"/>
    </row>
    <row r="24" spans="1:6" ht="15" customHeight="1"/>
    <row r="25" spans="1:6" ht="15" customHeight="1">
      <c r="B25" s="56" t="s">
        <v>86</v>
      </c>
      <c r="C25" s="56" t="s">
        <v>82</v>
      </c>
      <c r="D25" s="56" t="s">
        <v>87</v>
      </c>
    </row>
    <row r="26" spans="1:6" ht="15" customHeight="1">
      <c r="B26" s="59" t="s">
        <v>95</v>
      </c>
      <c r="C26" s="60">
        <v>1</v>
      </c>
      <c r="D26" s="226" t="s">
        <v>446</v>
      </c>
    </row>
    <row r="27" spans="1:6" ht="15" customHeight="1">
      <c r="B27" s="59" t="s">
        <v>96</v>
      </c>
      <c r="C27" s="60">
        <v>3.01</v>
      </c>
      <c r="D27" s="226">
        <v>41462</v>
      </c>
    </row>
    <row r="28" spans="1:6" ht="15" customHeight="1">
      <c r="B28" s="59" t="s">
        <v>443</v>
      </c>
      <c r="C28" s="60">
        <v>3.2</v>
      </c>
      <c r="D28" s="226" t="s">
        <v>447</v>
      </c>
    </row>
    <row r="29" spans="1:6" ht="15" customHeight="1"/>
    <row r="30" spans="1:6" ht="15" customHeight="1"/>
    <row r="31" spans="1:6" ht="15" customHeight="1"/>
  </sheetData>
  <hyperlinks>
    <hyperlink ref="C11" r:id="rId1"/>
  </hyperlinks>
  <pageMargins left="0.7" right="0.7" top="0.75" bottom="0.75" header="0.3" footer="0.3"/>
  <pageSetup paperSize="9" orientation="portrait"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autoPageBreaks="0" fitToPage="1"/>
  </sheetPr>
  <dimension ref="A1:M888"/>
  <sheetViews>
    <sheetView showGridLines="0" zoomScale="80" zoomScaleNormal="80" workbookViewId="0">
      <pane ySplit="9" topLeftCell="A10" activePane="bottomLeft" state="frozen"/>
      <selection pane="bottomLeft" activeCell="M37" sqref="M37"/>
    </sheetView>
  </sheetViews>
  <sheetFormatPr defaultColWidth="0" defaultRowHeight="12.75" customHeight="1" zeroHeight="1"/>
  <cols>
    <col min="1" max="1" width="30.85546875" style="64" customWidth="1"/>
    <col min="2" max="2" width="21.140625" style="64" customWidth="1"/>
    <col min="3" max="3" width="13.28515625" style="64" customWidth="1"/>
    <col min="4" max="13" width="9.140625" style="64" customWidth="1"/>
    <col min="14" max="16384" width="0" style="64" hidden="1"/>
  </cols>
  <sheetData>
    <row r="1" spans="1:13" ht="15">
      <c r="A1" s="1" t="s">
        <v>0</v>
      </c>
      <c r="B1" s="63"/>
      <c r="C1" s="63"/>
      <c r="D1" s="63"/>
      <c r="E1" s="63"/>
      <c r="F1" s="63"/>
      <c r="G1" s="63"/>
      <c r="H1" s="63"/>
      <c r="I1" s="63"/>
      <c r="J1" s="63"/>
      <c r="K1" s="63"/>
      <c r="L1" s="63"/>
      <c r="M1" s="63"/>
    </row>
    <row r="2" spans="1:13" ht="15">
      <c r="A2" s="2" t="s">
        <v>77</v>
      </c>
      <c r="B2" s="65"/>
      <c r="C2" s="65"/>
      <c r="D2" s="65"/>
      <c r="E2" s="65"/>
      <c r="F2" s="65"/>
      <c r="G2" s="65"/>
      <c r="H2" s="65"/>
      <c r="I2" s="65"/>
      <c r="J2" s="65"/>
      <c r="K2" s="65"/>
      <c r="L2" s="65"/>
      <c r="M2" s="65"/>
    </row>
    <row r="3" spans="1:13">
      <c r="A3" s="65"/>
      <c r="B3" s="65"/>
      <c r="C3" s="65"/>
      <c r="D3" s="65"/>
      <c r="E3" s="65"/>
      <c r="F3" s="65"/>
      <c r="G3" s="65"/>
      <c r="H3" s="65"/>
      <c r="I3" s="65"/>
      <c r="J3" s="65"/>
      <c r="K3" s="65"/>
      <c r="L3" s="65"/>
      <c r="M3" s="65"/>
    </row>
    <row r="4" spans="1:13" ht="12" customHeight="1">
      <c r="A4" s="65"/>
      <c r="B4" s="65"/>
      <c r="C4" s="65"/>
      <c r="D4" s="65"/>
      <c r="E4" s="65"/>
      <c r="F4" s="65"/>
      <c r="G4" s="65"/>
      <c r="H4" s="65"/>
      <c r="I4" s="65"/>
      <c r="J4" s="65"/>
      <c r="K4" s="65"/>
      <c r="L4" s="65"/>
      <c r="M4" s="65"/>
    </row>
    <row r="5" spans="1:13">
      <c r="A5" s="65"/>
      <c r="B5" s="65"/>
      <c r="C5" s="65"/>
      <c r="D5" s="65"/>
      <c r="E5" s="65"/>
      <c r="F5" s="65"/>
      <c r="G5" s="65"/>
      <c r="H5" s="65"/>
      <c r="I5" s="65"/>
      <c r="J5" s="65"/>
      <c r="K5" s="65"/>
      <c r="L5" s="65"/>
      <c r="M5" s="65"/>
    </row>
    <row r="6" spans="1:13">
      <c r="A6" s="65"/>
      <c r="B6" s="65"/>
      <c r="C6" s="65"/>
      <c r="D6" s="65"/>
      <c r="E6" s="65"/>
      <c r="F6" s="65"/>
      <c r="G6" s="65"/>
      <c r="H6" s="65"/>
      <c r="I6" s="65"/>
      <c r="J6" s="65"/>
      <c r="K6" s="65"/>
      <c r="L6" s="65"/>
      <c r="M6" s="65"/>
    </row>
    <row r="7" spans="1:13">
      <c r="A7" s="65"/>
      <c r="B7" s="65"/>
      <c r="C7" s="67"/>
      <c r="D7" s="65"/>
      <c r="E7" s="65"/>
      <c r="F7" s="65"/>
      <c r="G7" s="65"/>
      <c r="H7" s="65"/>
      <c r="I7" s="65"/>
      <c r="J7" s="65"/>
      <c r="K7" s="65"/>
      <c r="L7" s="65"/>
      <c r="M7" s="65"/>
    </row>
    <row r="8" spans="1:13" hidden="1">
      <c r="A8" s="65"/>
      <c r="B8" s="65"/>
      <c r="C8" s="65"/>
      <c r="D8" s="65"/>
      <c r="E8" s="65"/>
      <c r="F8" s="65"/>
      <c r="G8" s="65"/>
      <c r="H8" s="65"/>
      <c r="I8" s="65"/>
      <c r="J8" s="65"/>
      <c r="K8" s="65"/>
      <c r="L8" s="65"/>
      <c r="M8" s="65"/>
    </row>
    <row r="9" spans="1:13" hidden="1">
      <c r="A9" s="65"/>
      <c r="B9" s="65"/>
      <c r="C9" s="65"/>
      <c r="D9" s="65"/>
      <c r="E9" s="65"/>
      <c r="F9" s="65"/>
      <c r="G9" s="65"/>
      <c r="H9" s="65"/>
      <c r="I9" s="65"/>
      <c r="J9" s="65"/>
      <c r="K9" s="65"/>
      <c r="L9" s="65"/>
      <c r="M9" s="65"/>
    </row>
    <row r="10" spans="1:13">
      <c r="A10" s="68" t="s">
        <v>217</v>
      </c>
      <c r="B10" s="69"/>
      <c r="C10" s="69"/>
      <c r="D10" s="69"/>
      <c r="E10" s="69"/>
      <c r="F10" s="69"/>
      <c r="G10" s="69"/>
      <c r="H10" s="69"/>
      <c r="I10" s="69"/>
      <c r="J10" s="69"/>
      <c r="K10" s="69"/>
      <c r="L10" s="69"/>
      <c r="M10" s="70"/>
    </row>
    <row r="11" spans="1:13">
      <c r="A11" s="71"/>
      <c r="B11" s="65"/>
      <c r="C11" s="65"/>
      <c r="D11" s="65"/>
      <c r="E11" s="65"/>
      <c r="F11" s="65"/>
      <c r="G11" s="65"/>
      <c r="H11" s="65"/>
      <c r="I11" s="65"/>
      <c r="J11" s="65"/>
      <c r="K11" s="65"/>
      <c r="L11" s="65"/>
      <c r="M11" s="65"/>
    </row>
    <row r="12" spans="1:13" ht="46.5" customHeight="1">
      <c r="A12" s="71"/>
      <c r="B12" s="235" t="s">
        <v>448</v>
      </c>
      <c r="C12" s="236"/>
      <c r="D12" s="236"/>
      <c r="E12" s="236"/>
      <c r="F12" s="236"/>
      <c r="G12" s="236"/>
      <c r="H12" s="236"/>
      <c r="I12" s="236"/>
      <c r="J12" s="236"/>
      <c r="K12" s="65"/>
      <c r="L12" s="65"/>
      <c r="M12" s="65"/>
    </row>
    <row r="13" spans="1:13" ht="30" customHeight="1">
      <c r="A13" s="71"/>
      <c r="B13" s="231"/>
      <c r="C13" s="232"/>
      <c r="D13" s="232"/>
      <c r="E13" s="232"/>
      <c r="F13" s="232"/>
      <c r="G13" s="232"/>
      <c r="H13" s="232"/>
      <c r="I13" s="232"/>
      <c r="J13" s="232"/>
      <c r="K13" s="65"/>
      <c r="L13" s="65"/>
      <c r="M13" s="65"/>
    </row>
    <row r="14" spans="1:13" ht="27" customHeight="1">
      <c r="A14" s="71"/>
      <c r="B14" s="231"/>
      <c r="C14" s="232"/>
      <c r="D14" s="232"/>
      <c r="E14" s="232"/>
      <c r="F14" s="232"/>
      <c r="G14" s="232"/>
      <c r="H14" s="232"/>
      <c r="I14" s="232"/>
      <c r="J14" s="232"/>
      <c r="K14" s="65"/>
      <c r="L14" s="65"/>
      <c r="M14" s="65"/>
    </row>
    <row r="15" spans="1:13" ht="27" customHeight="1">
      <c r="A15" s="71"/>
      <c r="B15" s="231"/>
      <c r="C15" s="232"/>
      <c r="D15" s="232"/>
      <c r="E15" s="232"/>
      <c r="F15" s="232"/>
      <c r="G15" s="232"/>
      <c r="H15" s="232"/>
      <c r="I15" s="232"/>
      <c r="J15" s="232"/>
      <c r="K15" s="65"/>
      <c r="L15" s="65"/>
      <c r="M15" s="65"/>
    </row>
    <row r="16" spans="1:13" ht="27" customHeight="1">
      <c r="A16" s="71"/>
      <c r="B16" s="231"/>
      <c r="C16" s="232"/>
      <c r="D16" s="232"/>
      <c r="E16" s="232"/>
      <c r="F16" s="232"/>
      <c r="G16" s="232"/>
      <c r="H16" s="232"/>
      <c r="I16" s="232"/>
      <c r="J16" s="232"/>
      <c r="K16" s="65"/>
      <c r="L16" s="65"/>
      <c r="M16" s="65"/>
    </row>
    <row r="17" spans="1:13" ht="27" customHeight="1">
      <c r="A17" s="71"/>
      <c r="B17" s="231"/>
      <c r="C17" s="232"/>
      <c r="D17" s="232"/>
      <c r="E17" s="232"/>
      <c r="F17" s="232"/>
      <c r="G17" s="232"/>
      <c r="H17" s="232"/>
      <c r="I17" s="232"/>
      <c r="J17" s="232"/>
      <c r="K17" s="65"/>
      <c r="L17" s="65"/>
      <c r="M17" s="65"/>
    </row>
    <row r="18" spans="1:13" ht="27" customHeight="1">
      <c r="A18" s="71"/>
      <c r="B18" s="231"/>
      <c r="C18" s="232"/>
      <c r="D18" s="232"/>
      <c r="E18" s="232"/>
      <c r="F18" s="232"/>
      <c r="G18" s="232"/>
      <c r="H18" s="232"/>
      <c r="I18" s="232"/>
      <c r="J18" s="232"/>
      <c r="K18" s="65"/>
      <c r="L18" s="65"/>
      <c r="M18" s="65"/>
    </row>
    <row r="19" spans="1:13" ht="27" customHeight="1">
      <c r="A19" s="71"/>
      <c r="B19" s="231"/>
      <c r="C19" s="232"/>
      <c r="D19" s="232"/>
      <c r="E19" s="232"/>
      <c r="F19" s="232"/>
      <c r="G19" s="232"/>
      <c r="H19" s="232"/>
      <c r="I19" s="232"/>
      <c r="J19" s="232"/>
      <c r="K19" s="65"/>
      <c r="L19" s="65"/>
      <c r="M19" s="65"/>
    </row>
    <row r="20" spans="1:13">
      <c r="A20" s="71"/>
      <c r="B20" s="231"/>
      <c r="C20" s="232"/>
      <c r="D20" s="232"/>
      <c r="E20" s="232"/>
      <c r="F20" s="232"/>
      <c r="G20" s="232"/>
      <c r="H20" s="232"/>
      <c r="I20" s="232"/>
      <c r="J20" s="232"/>
      <c r="K20" s="65"/>
      <c r="L20" s="65"/>
      <c r="M20" s="65"/>
    </row>
    <row r="21" spans="1:13">
      <c r="A21" s="71"/>
      <c r="B21" s="65"/>
      <c r="C21" s="65"/>
      <c r="D21" s="65"/>
      <c r="E21" s="65"/>
      <c r="F21" s="65"/>
      <c r="G21" s="65"/>
      <c r="H21" s="65"/>
      <c r="I21" s="65"/>
      <c r="J21" s="65"/>
      <c r="K21" s="65"/>
      <c r="L21" s="65"/>
      <c r="M21" s="65"/>
    </row>
    <row r="22" spans="1:13">
      <c r="A22" s="71"/>
      <c r="B22" s="65"/>
      <c r="C22" s="65"/>
      <c r="D22" s="65"/>
      <c r="E22" s="65"/>
      <c r="F22" s="65"/>
      <c r="G22" s="65"/>
      <c r="H22" s="65"/>
      <c r="I22" s="65"/>
      <c r="J22" s="65"/>
      <c r="K22" s="65"/>
      <c r="L22" s="65"/>
      <c r="M22" s="65"/>
    </row>
    <row r="23" spans="1:13">
      <c r="A23" s="71"/>
      <c r="B23" s="65"/>
      <c r="C23" s="65"/>
      <c r="D23" s="65"/>
      <c r="E23" s="65"/>
      <c r="F23" s="65"/>
      <c r="G23" s="65"/>
      <c r="H23" s="65"/>
      <c r="I23" s="65"/>
      <c r="J23" s="65"/>
      <c r="K23" s="65"/>
      <c r="L23" s="65"/>
      <c r="M23" s="65"/>
    </row>
    <row r="24" spans="1:13">
      <c r="A24" s="68" t="s">
        <v>97</v>
      </c>
      <c r="B24" s="69"/>
      <c r="C24" s="69"/>
      <c r="D24" s="69"/>
      <c r="E24" s="69"/>
      <c r="F24" s="69"/>
      <c r="G24" s="69"/>
      <c r="H24" s="69"/>
      <c r="I24" s="69"/>
      <c r="J24" s="69"/>
      <c r="K24" s="69"/>
      <c r="L24" s="69"/>
      <c r="M24" s="70"/>
    </row>
    <row r="25" spans="1:13">
      <c r="A25" s="71"/>
      <c r="B25" s="65"/>
      <c r="C25" s="65"/>
      <c r="D25" s="65"/>
      <c r="E25" s="65"/>
      <c r="F25" s="65"/>
      <c r="G25" s="65"/>
      <c r="H25" s="65"/>
      <c r="I25" s="65"/>
      <c r="J25" s="65"/>
      <c r="K25" s="65"/>
      <c r="L25" s="65"/>
      <c r="M25" s="65"/>
    </row>
    <row r="26" spans="1:13">
      <c r="B26" s="73" t="s">
        <v>98</v>
      </c>
      <c r="C26" s="65"/>
      <c r="D26" s="65"/>
      <c r="E26" s="65"/>
      <c r="F26" s="65"/>
      <c r="G26" s="65"/>
      <c r="H26" s="65"/>
      <c r="I26" s="65"/>
      <c r="J26" s="65"/>
      <c r="K26" s="65"/>
      <c r="L26" s="65"/>
      <c r="M26" s="65"/>
    </row>
    <row r="27" spans="1:13">
      <c r="A27" s="74" t="s">
        <v>99</v>
      </c>
      <c r="B27" s="75" t="s">
        <v>287</v>
      </c>
      <c r="C27" s="231" t="s">
        <v>100</v>
      </c>
      <c r="D27" s="234"/>
      <c r="E27" s="234"/>
      <c r="F27" s="234"/>
      <c r="G27" s="234"/>
      <c r="H27" s="234"/>
      <c r="I27" s="234"/>
      <c r="J27" s="234"/>
      <c r="K27" s="65"/>
      <c r="L27" s="65"/>
      <c r="M27" s="65"/>
    </row>
    <row r="28" spans="1:13">
      <c r="B28" s="75" t="s">
        <v>137</v>
      </c>
      <c r="C28" s="231" t="s">
        <v>101</v>
      </c>
      <c r="D28" s="234"/>
      <c r="E28" s="234"/>
      <c r="F28" s="234"/>
      <c r="G28" s="234"/>
      <c r="H28" s="234"/>
      <c r="I28" s="234"/>
      <c r="J28" s="234"/>
      <c r="K28" s="65"/>
      <c r="L28" s="65"/>
      <c r="M28" s="65"/>
    </row>
    <row r="29" spans="1:13" ht="26.25" customHeight="1">
      <c r="B29" s="75" t="s">
        <v>251</v>
      </c>
      <c r="C29" s="231" t="s">
        <v>102</v>
      </c>
      <c r="D29" s="234"/>
      <c r="E29" s="234"/>
      <c r="F29" s="234"/>
      <c r="G29" s="234"/>
      <c r="H29" s="234"/>
      <c r="I29" s="234"/>
      <c r="J29" s="234"/>
      <c r="K29" s="65"/>
      <c r="L29" s="65"/>
      <c r="M29" s="65"/>
    </row>
    <row r="30" spans="1:13">
      <c r="K30" s="65"/>
      <c r="L30" s="65"/>
      <c r="M30" s="65"/>
    </row>
    <row r="31" spans="1:13">
      <c r="B31" s="76"/>
      <c r="C31" s="231"/>
      <c r="D31" s="234"/>
      <c r="E31" s="234"/>
      <c r="F31" s="234"/>
      <c r="G31" s="234"/>
      <c r="H31" s="234"/>
      <c r="I31" s="234"/>
      <c r="J31" s="234"/>
      <c r="K31" s="65"/>
      <c r="L31" s="65"/>
      <c r="M31" s="65"/>
    </row>
    <row r="32" spans="1:13">
      <c r="A32" s="74" t="s">
        <v>103</v>
      </c>
      <c r="B32" s="75" t="s">
        <v>270</v>
      </c>
      <c r="C32" s="231" t="s">
        <v>396</v>
      </c>
      <c r="D32" s="234"/>
      <c r="E32" s="234"/>
      <c r="F32" s="234"/>
      <c r="G32" s="234"/>
      <c r="H32" s="234"/>
      <c r="I32" s="234"/>
      <c r="J32" s="234"/>
      <c r="K32" s="65"/>
      <c r="L32" s="65"/>
      <c r="M32" s="65"/>
    </row>
    <row r="33" spans="1:13">
      <c r="A33" s="71"/>
      <c r="B33" s="75" t="s">
        <v>203</v>
      </c>
      <c r="C33" s="231" t="s">
        <v>104</v>
      </c>
      <c r="D33" s="234"/>
      <c r="E33" s="234"/>
      <c r="F33" s="234"/>
      <c r="G33" s="234"/>
      <c r="H33" s="234"/>
      <c r="I33" s="234"/>
      <c r="J33" s="234"/>
      <c r="K33" s="65"/>
      <c r="L33" s="65"/>
      <c r="M33" s="65"/>
    </row>
    <row r="34" spans="1:13">
      <c r="A34" s="71"/>
      <c r="K34" s="65"/>
      <c r="L34" s="65"/>
      <c r="M34" s="65"/>
    </row>
    <row r="35" spans="1:13">
      <c r="A35" s="74" t="s">
        <v>105</v>
      </c>
      <c r="B35" s="75" t="s">
        <v>213</v>
      </c>
      <c r="C35" s="231" t="s">
        <v>106</v>
      </c>
      <c r="D35" s="234"/>
      <c r="E35" s="234"/>
      <c r="F35" s="234"/>
      <c r="G35" s="234"/>
      <c r="H35" s="234"/>
      <c r="I35" s="234"/>
      <c r="J35" s="234"/>
      <c r="K35" s="65"/>
      <c r="L35" s="65"/>
      <c r="M35" s="65"/>
    </row>
    <row r="36" spans="1:13">
      <c r="A36" s="71"/>
      <c r="B36" s="75" t="s">
        <v>77</v>
      </c>
      <c r="C36" s="231" t="s">
        <v>107</v>
      </c>
      <c r="D36" s="234"/>
      <c r="E36" s="234"/>
      <c r="F36" s="234"/>
      <c r="G36" s="234"/>
      <c r="H36" s="234"/>
      <c r="I36" s="234"/>
      <c r="J36" s="234"/>
      <c r="K36" s="65"/>
      <c r="L36" s="65"/>
      <c r="M36" s="65"/>
    </row>
    <row r="37" spans="1:13">
      <c r="A37" s="71"/>
      <c r="B37" s="65"/>
      <c r="C37" s="65"/>
      <c r="D37" s="65"/>
      <c r="E37" s="65"/>
      <c r="F37" s="65"/>
      <c r="G37" s="65"/>
      <c r="H37" s="65"/>
      <c r="I37" s="65"/>
      <c r="J37" s="65"/>
      <c r="K37" s="65"/>
      <c r="L37" s="65"/>
      <c r="M37" s="65"/>
    </row>
    <row r="38" spans="1:13">
      <c r="A38" s="68" t="s">
        <v>287</v>
      </c>
      <c r="B38" s="69"/>
      <c r="C38" s="69"/>
      <c r="D38" s="69"/>
      <c r="E38" s="69"/>
      <c r="F38" s="69"/>
      <c r="G38" s="69"/>
      <c r="H38" s="69"/>
      <c r="I38" s="69"/>
      <c r="J38" s="69"/>
      <c r="K38" s="69"/>
      <c r="L38" s="69"/>
      <c r="M38" s="70"/>
    </row>
    <row r="39" spans="1:13">
      <c r="A39" s="66"/>
      <c r="B39" s="65"/>
      <c r="C39" s="65"/>
      <c r="D39" s="65"/>
      <c r="E39" s="65"/>
      <c r="F39" s="65"/>
      <c r="G39" s="65"/>
      <c r="H39" s="65"/>
      <c r="I39" s="65"/>
      <c r="J39" s="65"/>
      <c r="K39" s="65"/>
      <c r="L39" s="65"/>
      <c r="M39" s="65"/>
    </row>
    <row r="40" spans="1:13">
      <c r="A40" s="72" t="s">
        <v>108</v>
      </c>
      <c r="B40" s="231" t="s">
        <v>288</v>
      </c>
      <c r="C40" s="232"/>
      <c r="D40" s="232"/>
      <c r="E40" s="232"/>
      <c r="F40" s="232"/>
      <c r="G40" s="232"/>
      <c r="H40" s="232"/>
      <c r="I40" s="232"/>
      <c r="J40" s="232"/>
      <c r="K40" s="65"/>
      <c r="L40" s="65"/>
      <c r="M40" s="65"/>
    </row>
    <row r="41" spans="1:13">
      <c r="A41" s="72"/>
      <c r="B41" s="231" t="s">
        <v>257</v>
      </c>
      <c r="C41" s="232"/>
      <c r="D41" s="232"/>
      <c r="E41" s="232"/>
      <c r="F41" s="232"/>
      <c r="G41" s="232"/>
      <c r="H41" s="232"/>
      <c r="I41" s="232"/>
      <c r="J41" s="232"/>
      <c r="K41" s="65"/>
      <c r="L41" s="65"/>
      <c r="M41" s="65"/>
    </row>
    <row r="42" spans="1:13" ht="26.25" customHeight="1">
      <c r="A42" s="72"/>
      <c r="B42" s="231" t="s">
        <v>397</v>
      </c>
      <c r="C42" s="232"/>
      <c r="D42" s="232"/>
      <c r="E42" s="232"/>
      <c r="F42" s="232"/>
      <c r="G42" s="232"/>
      <c r="H42" s="232"/>
      <c r="I42" s="232"/>
      <c r="J42" s="232"/>
      <c r="K42" s="65"/>
      <c r="L42" s="65"/>
      <c r="M42" s="65"/>
    </row>
    <row r="43" spans="1:13" ht="81" customHeight="1">
      <c r="A43" s="72"/>
      <c r="B43" s="231" t="s">
        <v>109</v>
      </c>
      <c r="C43" s="232"/>
      <c r="D43" s="232"/>
      <c r="E43" s="232"/>
      <c r="F43" s="232"/>
      <c r="G43" s="232"/>
      <c r="H43" s="232"/>
      <c r="I43" s="232"/>
      <c r="J43" s="232"/>
      <c r="K43" s="65"/>
      <c r="L43" s="65"/>
      <c r="M43" s="65"/>
    </row>
    <row r="44" spans="1:13" ht="30" customHeight="1">
      <c r="A44" s="72"/>
      <c r="B44" s="231" t="s">
        <v>398</v>
      </c>
      <c r="C44" s="232"/>
      <c r="D44" s="232"/>
      <c r="E44" s="232"/>
      <c r="F44" s="232"/>
      <c r="G44" s="232"/>
      <c r="H44" s="232"/>
      <c r="I44" s="232"/>
      <c r="J44" s="232"/>
      <c r="K44" s="65"/>
      <c r="L44" s="65"/>
      <c r="M44" s="65"/>
    </row>
    <row r="45" spans="1:13">
      <c r="A45" s="72"/>
      <c r="B45" s="231"/>
      <c r="C45" s="232"/>
      <c r="D45" s="232"/>
      <c r="E45" s="232"/>
      <c r="F45" s="232"/>
      <c r="G45" s="232"/>
      <c r="H45" s="232"/>
      <c r="I45" s="232"/>
      <c r="J45" s="232"/>
      <c r="K45" s="65"/>
      <c r="L45" s="65"/>
      <c r="M45" s="65"/>
    </row>
    <row r="46" spans="1:13" ht="30" customHeight="1">
      <c r="A46" s="72" t="s">
        <v>304</v>
      </c>
      <c r="B46" s="231" t="str">
        <f>"Essential code list for the Accounting Module. Users must NOT amend these codes."</f>
        <v>Essential code list for the Accounting Module. Users must NOT amend these codes.</v>
      </c>
      <c r="C46" s="232"/>
      <c r="D46" s="232"/>
      <c r="E46" s="232"/>
      <c r="F46" s="232"/>
      <c r="G46" s="232"/>
      <c r="H46" s="232"/>
      <c r="I46" s="232"/>
      <c r="J46" s="232"/>
      <c r="K46" s="65"/>
      <c r="L46" s="65"/>
      <c r="M46" s="65"/>
    </row>
    <row r="47" spans="1:13" ht="30.75" customHeight="1">
      <c r="A47" s="72"/>
      <c r="B47" s="231" t="s">
        <v>258</v>
      </c>
      <c r="C47" s="232"/>
      <c r="D47" s="232"/>
      <c r="E47" s="232"/>
      <c r="F47" s="232"/>
      <c r="G47" s="232"/>
      <c r="H47" s="232"/>
      <c r="I47" s="232"/>
      <c r="J47" s="232"/>
      <c r="K47" s="65"/>
      <c r="L47" s="65"/>
      <c r="M47" s="65"/>
    </row>
    <row r="48" spans="1:13" ht="30.75" customHeight="1">
      <c r="A48" s="72"/>
      <c r="B48" s="231" t="s">
        <v>339</v>
      </c>
      <c r="C48" s="232"/>
      <c r="D48" s="232"/>
      <c r="E48" s="232"/>
      <c r="F48" s="232"/>
      <c r="G48" s="232"/>
      <c r="H48" s="232"/>
      <c r="I48" s="232"/>
      <c r="J48" s="232"/>
      <c r="K48" s="65"/>
      <c r="L48" s="65"/>
      <c r="M48" s="65"/>
    </row>
    <row r="49" spans="1:13">
      <c r="A49" s="72"/>
      <c r="B49" s="231"/>
      <c r="C49" s="232"/>
      <c r="D49" s="232"/>
      <c r="E49" s="232"/>
      <c r="F49" s="232"/>
      <c r="G49" s="232"/>
      <c r="H49" s="232"/>
      <c r="I49" s="232"/>
      <c r="J49" s="232"/>
      <c r="K49" s="65"/>
      <c r="L49" s="65"/>
      <c r="M49" s="65"/>
    </row>
    <row r="50" spans="1:13">
      <c r="A50" s="72" t="s">
        <v>294</v>
      </c>
      <c r="B50" s="231" t="s">
        <v>110</v>
      </c>
      <c r="C50" s="232"/>
      <c r="D50" s="232"/>
      <c r="E50" s="232"/>
      <c r="F50" s="232"/>
      <c r="G50" s="232"/>
      <c r="H50" s="232"/>
      <c r="I50" s="232"/>
      <c r="J50" s="232"/>
      <c r="K50" s="65"/>
      <c r="L50" s="65"/>
      <c r="M50" s="65"/>
    </row>
    <row r="51" spans="1:13">
      <c r="A51" s="72"/>
      <c r="B51" s="231" t="s">
        <v>259</v>
      </c>
      <c r="C51" s="232"/>
      <c r="D51" s="232"/>
      <c r="E51" s="232"/>
      <c r="F51" s="232"/>
      <c r="G51" s="232"/>
      <c r="H51" s="232"/>
      <c r="I51" s="232"/>
      <c r="J51" s="232"/>
      <c r="K51" s="65"/>
      <c r="L51" s="65"/>
      <c r="M51" s="65"/>
    </row>
    <row r="52" spans="1:13" ht="29.25" customHeight="1">
      <c r="A52" s="72"/>
      <c r="B52" s="231" t="s">
        <v>111</v>
      </c>
      <c r="C52" s="232"/>
      <c r="D52" s="232"/>
      <c r="E52" s="232"/>
      <c r="F52" s="232"/>
      <c r="G52" s="232"/>
      <c r="H52" s="232"/>
      <c r="I52" s="232"/>
      <c r="J52" s="232"/>
      <c r="K52" s="65"/>
      <c r="L52" s="65"/>
      <c r="M52" s="65"/>
    </row>
    <row r="53" spans="1:13">
      <c r="A53" s="72"/>
      <c r="B53" s="231"/>
      <c r="C53" s="232"/>
      <c r="D53" s="232"/>
      <c r="E53" s="232"/>
      <c r="F53" s="232"/>
      <c r="G53" s="232"/>
      <c r="H53" s="232"/>
      <c r="I53" s="232"/>
      <c r="J53" s="232"/>
      <c r="K53" s="65"/>
      <c r="L53" s="65"/>
      <c r="M53" s="65"/>
    </row>
    <row r="54" spans="1:13" ht="42.75" customHeight="1">
      <c r="A54" s="72" t="s">
        <v>306</v>
      </c>
      <c r="B54" s="231" t="s">
        <v>260</v>
      </c>
      <c r="C54" s="232"/>
      <c r="D54" s="232"/>
      <c r="E54" s="232"/>
      <c r="F54" s="232"/>
      <c r="G54" s="232"/>
      <c r="H54" s="232"/>
      <c r="I54" s="232"/>
      <c r="J54" s="232"/>
      <c r="K54" s="65"/>
      <c r="L54" s="65"/>
      <c r="M54" s="65"/>
    </row>
    <row r="55" spans="1:13">
      <c r="A55" s="72"/>
      <c r="B55" s="231" t="s">
        <v>284</v>
      </c>
      <c r="C55" s="232"/>
      <c r="D55" s="232"/>
      <c r="E55" s="232"/>
      <c r="F55" s="232"/>
      <c r="G55" s="232"/>
      <c r="H55" s="232"/>
      <c r="I55" s="232"/>
      <c r="J55" s="232"/>
      <c r="K55" s="65"/>
      <c r="L55" s="65"/>
      <c r="M55" s="65"/>
    </row>
    <row r="56" spans="1:13">
      <c r="A56" s="72"/>
      <c r="B56" s="231"/>
      <c r="C56" s="232"/>
      <c r="D56" s="232"/>
      <c r="E56" s="232"/>
      <c r="F56" s="232"/>
      <c r="G56" s="232"/>
      <c r="H56" s="232"/>
      <c r="I56" s="232"/>
      <c r="J56" s="232"/>
      <c r="K56" s="65"/>
      <c r="L56" s="65"/>
      <c r="M56" s="65"/>
    </row>
    <row r="57" spans="1:13">
      <c r="A57" s="72" t="s">
        <v>307</v>
      </c>
      <c r="B57" s="231" t="s">
        <v>335</v>
      </c>
      <c r="C57" s="232"/>
      <c r="D57" s="232"/>
      <c r="E57" s="232"/>
      <c r="F57" s="232"/>
      <c r="G57" s="232"/>
      <c r="H57" s="232"/>
      <c r="I57" s="232"/>
      <c r="J57" s="232"/>
      <c r="K57" s="65"/>
      <c r="L57" s="65"/>
      <c r="M57" s="65"/>
    </row>
    <row r="58" spans="1:13">
      <c r="A58" s="72"/>
      <c r="B58" s="231"/>
      <c r="C58" s="232"/>
      <c r="D58" s="232"/>
      <c r="E58" s="232"/>
      <c r="F58" s="232"/>
      <c r="G58" s="232"/>
      <c r="H58" s="232"/>
      <c r="I58" s="232"/>
      <c r="J58" s="232"/>
      <c r="K58" s="65"/>
      <c r="L58" s="65"/>
      <c r="M58" s="65"/>
    </row>
    <row r="59" spans="1:13" ht="34.5" customHeight="1">
      <c r="A59" s="72" t="s">
        <v>305</v>
      </c>
      <c r="B59" s="231" t="s">
        <v>399</v>
      </c>
      <c r="C59" s="232"/>
      <c r="D59" s="232"/>
      <c r="E59" s="232"/>
      <c r="F59" s="232"/>
      <c r="G59" s="232"/>
      <c r="H59" s="232"/>
      <c r="I59" s="232"/>
      <c r="J59" s="232"/>
      <c r="K59" s="65"/>
      <c r="L59" s="65"/>
      <c r="M59" s="65"/>
    </row>
    <row r="60" spans="1:13">
      <c r="A60" s="72"/>
      <c r="B60" s="231"/>
      <c r="C60" s="232"/>
      <c r="D60" s="232"/>
      <c r="E60" s="232"/>
      <c r="F60" s="232"/>
      <c r="G60" s="232"/>
      <c r="H60" s="232"/>
      <c r="I60" s="232"/>
      <c r="J60" s="232"/>
      <c r="K60" s="65"/>
      <c r="L60" s="65"/>
      <c r="M60" s="65"/>
    </row>
    <row r="61" spans="1:13" ht="29.25" customHeight="1">
      <c r="A61" s="72" t="s">
        <v>311</v>
      </c>
      <c r="B61" s="231" t="s">
        <v>112</v>
      </c>
      <c r="C61" s="232"/>
      <c r="D61" s="232"/>
      <c r="E61" s="232"/>
      <c r="F61" s="232"/>
      <c r="G61" s="232"/>
      <c r="H61" s="232"/>
      <c r="I61" s="232"/>
      <c r="J61" s="232"/>
      <c r="K61" s="65"/>
      <c r="L61" s="65"/>
      <c r="M61" s="65"/>
    </row>
    <row r="62" spans="1:13">
      <c r="A62" s="72"/>
      <c r="B62" s="231" t="s">
        <v>261</v>
      </c>
      <c r="C62" s="232"/>
      <c r="D62" s="232"/>
      <c r="E62" s="232"/>
      <c r="F62" s="232"/>
      <c r="G62" s="232"/>
      <c r="H62" s="232"/>
      <c r="I62" s="232"/>
      <c r="J62" s="232"/>
      <c r="K62" s="65"/>
      <c r="L62" s="65"/>
      <c r="M62" s="65"/>
    </row>
    <row r="63" spans="1:13">
      <c r="A63" s="72"/>
      <c r="B63" s="231"/>
      <c r="C63" s="232"/>
      <c r="D63" s="232"/>
      <c r="E63" s="232"/>
      <c r="F63" s="232"/>
      <c r="G63" s="232"/>
      <c r="H63" s="232"/>
      <c r="I63" s="232"/>
      <c r="J63" s="232"/>
      <c r="K63" s="65"/>
      <c r="L63" s="65"/>
      <c r="M63" s="65"/>
    </row>
    <row r="64" spans="1:13" ht="42.75" customHeight="1">
      <c r="A64" s="72" t="s">
        <v>308</v>
      </c>
      <c r="B64" s="231" t="s">
        <v>285</v>
      </c>
      <c r="C64" s="232"/>
      <c r="D64" s="232"/>
      <c r="E64" s="232"/>
      <c r="F64" s="232"/>
      <c r="G64" s="232"/>
      <c r="H64" s="232"/>
      <c r="I64" s="232"/>
      <c r="J64" s="232"/>
      <c r="K64" s="65"/>
      <c r="L64" s="65"/>
      <c r="M64" s="65"/>
    </row>
    <row r="65" spans="1:13" ht="16.5" customHeight="1">
      <c r="A65" s="72"/>
      <c r="B65" s="231" t="s">
        <v>259</v>
      </c>
      <c r="C65" s="232"/>
      <c r="D65" s="232"/>
      <c r="E65" s="232"/>
      <c r="F65" s="232"/>
      <c r="G65" s="232"/>
      <c r="H65" s="232"/>
      <c r="I65" s="232"/>
      <c r="J65" s="232"/>
      <c r="K65" s="65"/>
      <c r="L65" s="65"/>
      <c r="M65" s="65"/>
    </row>
    <row r="66" spans="1:13">
      <c r="A66" s="72"/>
      <c r="B66" s="231"/>
      <c r="C66" s="232"/>
      <c r="D66" s="232"/>
      <c r="E66" s="232"/>
      <c r="F66" s="232"/>
      <c r="G66" s="232"/>
      <c r="H66" s="232"/>
      <c r="I66" s="232"/>
      <c r="J66" s="232"/>
      <c r="K66" s="65"/>
      <c r="L66" s="65"/>
      <c r="M66" s="65"/>
    </row>
    <row r="67" spans="1:13" ht="31.5" customHeight="1">
      <c r="A67" s="72" t="s">
        <v>312</v>
      </c>
      <c r="B67" s="231" t="s">
        <v>113</v>
      </c>
      <c r="C67" s="232"/>
      <c r="D67" s="232"/>
      <c r="E67" s="232"/>
      <c r="F67" s="232"/>
      <c r="G67" s="232"/>
      <c r="H67" s="232"/>
      <c r="I67" s="232"/>
      <c r="J67" s="232"/>
      <c r="K67" s="65"/>
      <c r="L67" s="65"/>
      <c r="M67" s="65"/>
    </row>
    <row r="68" spans="1:13" ht="12.75" customHeight="1">
      <c r="A68" s="72"/>
      <c r="B68" s="231" t="s">
        <v>259</v>
      </c>
      <c r="C68" s="232"/>
      <c r="D68" s="232"/>
      <c r="E68" s="232"/>
      <c r="F68" s="232"/>
      <c r="G68" s="232"/>
      <c r="H68" s="232"/>
      <c r="I68" s="232"/>
      <c r="J68" s="232"/>
      <c r="K68" s="65"/>
      <c r="L68" s="65"/>
      <c r="M68" s="65"/>
    </row>
    <row r="69" spans="1:13">
      <c r="A69" s="72"/>
      <c r="B69" s="231"/>
      <c r="C69" s="232"/>
      <c r="D69" s="232"/>
      <c r="E69" s="232"/>
      <c r="F69" s="232"/>
      <c r="G69" s="232"/>
      <c r="H69" s="232"/>
      <c r="I69" s="232"/>
      <c r="J69" s="232"/>
      <c r="K69" s="65"/>
      <c r="L69" s="65"/>
      <c r="M69" s="65"/>
    </row>
    <row r="70" spans="1:13" ht="30.75" customHeight="1">
      <c r="A70" s="72" t="s">
        <v>298</v>
      </c>
      <c r="B70" s="231" t="s">
        <v>114</v>
      </c>
      <c r="C70" s="232"/>
      <c r="D70" s="232"/>
      <c r="E70" s="232"/>
      <c r="F70" s="232"/>
      <c r="G70" s="232"/>
      <c r="H70" s="232"/>
      <c r="I70" s="232"/>
      <c r="J70" s="232"/>
      <c r="K70" s="65"/>
      <c r="L70" s="65"/>
      <c r="M70" s="65"/>
    </row>
    <row r="71" spans="1:13" ht="12.75" customHeight="1">
      <c r="A71" s="72"/>
      <c r="B71" s="231" t="s">
        <v>261</v>
      </c>
      <c r="C71" s="232"/>
      <c r="D71" s="232"/>
      <c r="E71" s="232"/>
      <c r="F71" s="232"/>
      <c r="G71" s="232"/>
      <c r="H71" s="232"/>
      <c r="I71" s="232"/>
      <c r="J71" s="232"/>
      <c r="K71" s="65"/>
      <c r="L71" s="65"/>
      <c r="M71" s="65"/>
    </row>
    <row r="72" spans="1:13">
      <c r="A72" s="72"/>
      <c r="B72" s="231"/>
      <c r="C72" s="232"/>
      <c r="D72" s="232"/>
      <c r="E72" s="232"/>
      <c r="F72" s="232"/>
      <c r="G72" s="232"/>
      <c r="H72" s="232"/>
      <c r="I72" s="232"/>
      <c r="J72" s="232"/>
      <c r="K72" s="65"/>
      <c r="L72" s="65"/>
      <c r="M72" s="65"/>
    </row>
    <row r="73" spans="1:13" ht="33" customHeight="1">
      <c r="A73" s="72" t="s">
        <v>184</v>
      </c>
      <c r="B73" s="231" t="s">
        <v>115</v>
      </c>
      <c r="C73" s="232"/>
      <c r="D73" s="232"/>
      <c r="E73" s="232"/>
      <c r="F73" s="232"/>
      <c r="G73" s="232"/>
      <c r="H73" s="232"/>
      <c r="I73" s="232"/>
      <c r="J73" s="232"/>
      <c r="K73" s="65"/>
      <c r="L73" s="65"/>
      <c r="M73" s="65"/>
    </row>
    <row r="74" spans="1:13">
      <c r="A74" s="72"/>
      <c r="B74" s="231" t="s">
        <v>340</v>
      </c>
      <c r="C74" s="232"/>
      <c r="D74" s="232"/>
      <c r="E74" s="232"/>
      <c r="F74" s="232"/>
      <c r="G74" s="232"/>
      <c r="H74" s="232"/>
      <c r="I74" s="232"/>
      <c r="J74" s="232"/>
      <c r="K74" s="65"/>
      <c r="L74" s="65"/>
      <c r="M74" s="65"/>
    </row>
    <row r="75" spans="1:13">
      <c r="A75" s="72"/>
      <c r="B75" s="231" t="s">
        <v>341</v>
      </c>
      <c r="C75" s="232"/>
      <c r="D75" s="232"/>
      <c r="E75" s="232"/>
      <c r="F75" s="232"/>
      <c r="G75" s="232"/>
      <c r="H75" s="232"/>
      <c r="I75" s="232"/>
      <c r="J75" s="232"/>
      <c r="K75" s="65"/>
      <c r="L75" s="65"/>
      <c r="M75" s="65"/>
    </row>
    <row r="76" spans="1:13">
      <c r="A76" s="72"/>
      <c r="B76" s="231"/>
      <c r="C76" s="232"/>
      <c r="D76" s="232"/>
      <c r="E76" s="232"/>
      <c r="F76" s="232"/>
      <c r="G76" s="232"/>
      <c r="H76" s="232"/>
      <c r="I76" s="232"/>
      <c r="J76" s="232"/>
      <c r="K76" s="65"/>
      <c r="L76" s="65"/>
      <c r="M76" s="65"/>
    </row>
    <row r="77" spans="1:13" ht="30" customHeight="1">
      <c r="A77" s="72" t="s">
        <v>309</v>
      </c>
      <c r="B77" s="231" t="s">
        <v>116</v>
      </c>
      <c r="C77" s="232"/>
      <c r="D77" s="232"/>
      <c r="E77" s="232"/>
      <c r="F77" s="232"/>
      <c r="G77" s="232"/>
      <c r="H77" s="232"/>
      <c r="I77" s="232"/>
      <c r="J77" s="232"/>
      <c r="K77" s="65"/>
      <c r="L77" s="65"/>
      <c r="M77" s="65"/>
    </row>
    <row r="78" spans="1:13" ht="12.75" customHeight="1">
      <c r="A78" s="72"/>
      <c r="B78" s="231" t="s">
        <v>261</v>
      </c>
      <c r="C78" s="232"/>
      <c r="D78" s="232"/>
      <c r="E78" s="232"/>
      <c r="F78" s="232"/>
      <c r="G78" s="232"/>
      <c r="H78" s="232"/>
      <c r="I78" s="232"/>
      <c r="J78" s="232"/>
      <c r="K78" s="65"/>
      <c r="L78" s="65"/>
      <c r="M78" s="65"/>
    </row>
    <row r="79" spans="1:13">
      <c r="A79" s="72"/>
      <c r="B79" s="231"/>
      <c r="C79" s="232"/>
      <c r="D79" s="232"/>
      <c r="E79" s="232"/>
      <c r="F79" s="232"/>
      <c r="G79" s="232"/>
      <c r="H79" s="232"/>
      <c r="I79" s="232"/>
      <c r="J79" s="232"/>
      <c r="K79" s="65"/>
      <c r="L79" s="65"/>
      <c r="M79" s="65"/>
    </row>
    <row r="80" spans="1:13" ht="27.75" customHeight="1">
      <c r="A80" s="72" t="s">
        <v>310</v>
      </c>
      <c r="B80" s="231" t="s">
        <v>117</v>
      </c>
      <c r="C80" s="232"/>
      <c r="D80" s="232"/>
      <c r="E80" s="232"/>
      <c r="F80" s="232"/>
      <c r="G80" s="232"/>
      <c r="H80" s="232"/>
      <c r="I80" s="232"/>
      <c r="J80" s="232"/>
      <c r="K80" s="65"/>
      <c r="L80" s="65"/>
      <c r="M80" s="65"/>
    </row>
    <row r="81" spans="1:13">
      <c r="A81" s="72"/>
      <c r="B81" s="231" t="s">
        <v>259</v>
      </c>
      <c r="C81" s="232"/>
      <c r="D81" s="232"/>
      <c r="E81" s="232"/>
      <c r="F81" s="232"/>
      <c r="G81" s="232"/>
      <c r="H81" s="232"/>
      <c r="I81" s="232"/>
      <c r="J81" s="232"/>
      <c r="K81" s="65"/>
      <c r="L81" s="65"/>
      <c r="M81" s="65"/>
    </row>
    <row r="82" spans="1:13" ht="27" customHeight="1">
      <c r="A82" s="72"/>
      <c r="B82" s="231" t="s">
        <v>111</v>
      </c>
      <c r="C82" s="232"/>
      <c r="D82" s="232"/>
      <c r="E82" s="232"/>
      <c r="F82" s="232"/>
      <c r="G82" s="232"/>
      <c r="H82" s="232"/>
      <c r="I82" s="232"/>
      <c r="J82" s="232"/>
      <c r="K82" s="65"/>
      <c r="L82" s="65"/>
      <c r="M82" s="65"/>
    </row>
    <row r="83" spans="1:13">
      <c r="A83" s="72"/>
      <c r="B83" s="231"/>
      <c r="C83" s="232"/>
      <c r="D83" s="232"/>
      <c r="E83" s="232"/>
      <c r="F83" s="232"/>
      <c r="G83" s="232"/>
      <c r="H83" s="232"/>
      <c r="I83" s="232"/>
      <c r="J83" s="232"/>
      <c r="K83" s="65"/>
      <c r="L83" s="65"/>
      <c r="M83" s="65"/>
    </row>
    <row r="84" spans="1:13" ht="32.25" customHeight="1">
      <c r="A84" s="72" t="s">
        <v>320</v>
      </c>
      <c r="B84" s="231" t="s">
        <v>256</v>
      </c>
      <c r="C84" s="232"/>
      <c r="D84" s="232"/>
      <c r="E84" s="232"/>
      <c r="F84" s="232"/>
      <c r="G84" s="232"/>
      <c r="H84" s="232"/>
      <c r="I84" s="232"/>
      <c r="J84" s="232"/>
      <c r="K84" s="65"/>
      <c r="L84" s="65"/>
      <c r="M84" s="65"/>
    </row>
    <row r="85" spans="1:13" ht="30" customHeight="1">
      <c r="A85" s="72"/>
      <c r="B85" s="231" t="s">
        <v>252</v>
      </c>
      <c r="C85" s="232"/>
      <c r="D85" s="232"/>
      <c r="E85" s="232"/>
      <c r="F85" s="232"/>
      <c r="G85" s="232"/>
      <c r="H85" s="232"/>
      <c r="I85" s="232"/>
      <c r="J85" s="232"/>
      <c r="K85" s="65"/>
      <c r="L85" s="65"/>
      <c r="M85" s="65"/>
    </row>
    <row r="86" spans="1:13">
      <c r="A86" s="72"/>
      <c r="B86" s="231"/>
      <c r="C86" s="232"/>
      <c r="D86" s="232"/>
      <c r="E86" s="232"/>
      <c r="F86" s="232"/>
      <c r="G86" s="232"/>
      <c r="H86" s="232"/>
      <c r="I86" s="232"/>
      <c r="J86" s="232"/>
      <c r="K86" s="65"/>
      <c r="L86" s="65"/>
      <c r="M86" s="65"/>
    </row>
    <row r="87" spans="1:13">
      <c r="A87" s="72" t="s">
        <v>330</v>
      </c>
      <c r="B87" s="231" t="s">
        <v>118</v>
      </c>
      <c r="C87" s="232"/>
      <c r="D87" s="232"/>
      <c r="E87" s="232"/>
      <c r="F87" s="232"/>
      <c r="G87" s="232"/>
      <c r="H87" s="232"/>
      <c r="I87" s="232"/>
      <c r="J87" s="232"/>
      <c r="K87" s="65"/>
      <c r="L87" s="65"/>
      <c r="M87" s="65"/>
    </row>
    <row r="88" spans="1:13" ht="47.25" customHeight="1">
      <c r="A88" s="72"/>
      <c r="B88" s="231" t="s">
        <v>253</v>
      </c>
      <c r="C88" s="232"/>
      <c r="D88" s="232"/>
      <c r="E88" s="232"/>
      <c r="F88" s="232"/>
      <c r="G88" s="232"/>
      <c r="H88" s="232"/>
      <c r="I88" s="232"/>
      <c r="J88" s="232"/>
      <c r="K88" s="65"/>
      <c r="L88" s="65"/>
      <c r="M88" s="65"/>
    </row>
    <row r="89" spans="1:13">
      <c r="A89" s="72"/>
      <c r="B89" s="231"/>
      <c r="C89" s="232"/>
      <c r="D89" s="232"/>
      <c r="E89" s="232"/>
      <c r="F89" s="232"/>
      <c r="G89" s="232"/>
      <c r="H89" s="232"/>
      <c r="I89" s="232"/>
      <c r="J89" s="232"/>
      <c r="K89" s="65"/>
      <c r="L89" s="65"/>
      <c r="M89" s="65"/>
    </row>
    <row r="90" spans="1:13" ht="30" customHeight="1">
      <c r="A90" s="72" t="s">
        <v>295</v>
      </c>
      <c r="B90" s="231" t="s">
        <v>400</v>
      </c>
      <c r="C90" s="232"/>
      <c r="D90" s="232"/>
      <c r="E90" s="232"/>
      <c r="F90" s="232"/>
      <c r="G90" s="232"/>
      <c r="H90" s="232"/>
      <c r="I90" s="232"/>
      <c r="J90" s="232"/>
      <c r="K90" s="65"/>
      <c r="L90" s="65"/>
      <c r="M90" s="65"/>
    </row>
    <row r="91" spans="1:13">
      <c r="A91" s="72"/>
      <c r="B91" s="231" t="s">
        <v>119</v>
      </c>
      <c r="C91" s="232"/>
      <c r="D91" s="232"/>
      <c r="E91" s="232"/>
      <c r="F91" s="232"/>
      <c r="G91" s="232"/>
      <c r="H91" s="232"/>
      <c r="I91" s="232"/>
      <c r="J91" s="232"/>
      <c r="K91" s="65"/>
      <c r="L91" s="65"/>
      <c r="M91" s="65"/>
    </row>
    <row r="92" spans="1:13">
      <c r="A92" s="72"/>
      <c r="B92" s="231" t="s">
        <v>280</v>
      </c>
      <c r="C92" s="232"/>
      <c r="D92" s="232"/>
      <c r="E92" s="232"/>
      <c r="F92" s="232"/>
      <c r="G92" s="232"/>
      <c r="H92" s="232"/>
      <c r="I92" s="232"/>
      <c r="J92" s="232"/>
      <c r="K92" s="65"/>
      <c r="L92" s="65"/>
      <c r="M92" s="65"/>
    </row>
    <row r="93" spans="1:13">
      <c r="A93" s="72"/>
      <c r="B93" s="231" t="s">
        <v>296</v>
      </c>
      <c r="C93" s="232"/>
      <c r="D93" s="232"/>
      <c r="E93" s="232"/>
      <c r="F93" s="232"/>
      <c r="G93" s="232"/>
      <c r="H93" s="232"/>
      <c r="I93" s="232"/>
      <c r="J93" s="232"/>
      <c r="K93" s="65"/>
      <c r="L93" s="65"/>
      <c r="M93" s="65"/>
    </row>
    <row r="94" spans="1:13">
      <c r="A94" s="72"/>
      <c r="B94" s="231" t="s">
        <v>120</v>
      </c>
      <c r="C94" s="232"/>
      <c r="D94" s="232"/>
      <c r="E94" s="232"/>
      <c r="F94" s="232"/>
      <c r="G94" s="232"/>
      <c r="H94" s="232"/>
      <c r="I94" s="232"/>
      <c r="J94" s="232"/>
      <c r="K94" s="65"/>
      <c r="L94" s="65"/>
      <c r="M94" s="65"/>
    </row>
    <row r="95" spans="1:13">
      <c r="A95" s="72"/>
      <c r="B95" s="231" t="s">
        <v>342</v>
      </c>
      <c r="C95" s="232"/>
      <c r="D95" s="232"/>
      <c r="E95" s="232"/>
      <c r="F95" s="232"/>
      <c r="G95" s="232"/>
      <c r="H95" s="232"/>
      <c r="I95" s="232"/>
      <c r="J95" s="232"/>
      <c r="K95" s="65"/>
      <c r="L95" s="65"/>
      <c r="M95" s="65"/>
    </row>
    <row r="96" spans="1:13">
      <c r="A96" s="72"/>
      <c r="B96" s="231" t="s">
        <v>131</v>
      </c>
      <c r="C96" s="232"/>
      <c r="D96" s="232"/>
      <c r="E96" s="232"/>
      <c r="F96" s="232"/>
      <c r="G96" s="232"/>
      <c r="H96" s="232"/>
      <c r="I96" s="232"/>
      <c r="J96" s="232"/>
      <c r="K96" s="65"/>
      <c r="L96" s="65"/>
      <c r="M96" s="65"/>
    </row>
    <row r="97" spans="1:13" ht="30.75" customHeight="1">
      <c r="A97" s="72"/>
      <c r="B97" s="231" t="s">
        <v>111</v>
      </c>
      <c r="C97" s="232"/>
      <c r="D97" s="232"/>
      <c r="E97" s="232"/>
      <c r="F97" s="232"/>
      <c r="G97" s="232"/>
      <c r="H97" s="232"/>
      <c r="I97" s="232"/>
      <c r="J97" s="232"/>
      <c r="K97" s="65"/>
      <c r="L97" s="65"/>
      <c r="M97" s="65"/>
    </row>
    <row r="98" spans="1:13" ht="32.25" customHeight="1">
      <c r="A98" s="72"/>
      <c r="B98" s="231" t="s">
        <v>343</v>
      </c>
      <c r="C98" s="232"/>
      <c r="D98" s="232"/>
      <c r="E98" s="232"/>
      <c r="F98" s="232"/>
      <c r="G98" s="232"/>
      <c r="H98" s="232"/>
      <c r="I98" s="232"/>
      <c r="J98" s="232"/>
      <c r="K98" s="65"/>
      <c r="L98" s="65"/>
      <c r="M98" s="65"/>
    </row>
    <row r="99" spans="1:13" ht="28.5" customHeight="1">
      <c r="A99" s="72"/>
      <c r="B99" s="231" t="s">
        <v>254</v>
      </c>
      <c r="C99" s="232"/>
      <c r="D99" s="232"/>
      <c r="E99" s="232"/>
      <c r="F99" s="232"/>
      <c r="G99" s="232"/>
      <c r="H99" s="232"/>
      <c r="I99" s="232"/>
      <c r="J99" s="232"/>
      <c r="K99" s="65"/>
      <c r="L99" s="65"/>
      <c r="M99" s="65"/>
    </row>
    <row r="100" spans="1:13" ht="42.75" customHeight="1">
      <c r="A100" s="72"/>
      <c r="B100" s="231" t="s">
        <v>401</v>
      </c>
      <c r="C100" s="232"/>
      <c r="D100" s="232"/>
      <c r="E100" s="232"/>
      <c r="F100" s="232"/>
      <c r="G100" s="232"/>
      <c r="H100" s="232"/>
      <c r="I100" s="232"/>
      <c r="J100" s="232"/>
      <c r="K100" s="65"/>
      <c r="L100" s="65"/>
      <c r="M100" s="65"/>
    </row>
    <row r="101" spans="1:13">
      <c r="A101" s="72"/>
      <c r="B101" s="231" t="s">
        <v>297</v>
      </c>
      <c r="C101" s="232"/>
      <c r="D101" s="232"/>
      <c r="E101" s="232"/>
      <c r="F101" s="232"/>
      <c r="G101" s="232"/>
      <c r="H101" s="232"/>
      <c r="I101" s="232"/>
      <c r="J101" s="232"/>
      <c r="K101" s="65"/>
      <c r="L101" s="65"/>
      <c r="M101" s="65"/>
    </row>
    <row r="102" spans="1:13">
      <c r="A102" s="72"/>
      <c r="B102" s="231" t="s">
        <v>299</v>
      </c>
      <c r="C102" s="232"/>
      <c r="D102" s="232"/>
      <c r="E102" s="232"/>
      <c r="F102" s="232"/>
      <c r="G102" s="232"/>
      <c r="H102" s="232"/>
      <c r="I102" s="232"/>
      <c r="J102" s="232"/>
      <c r="K102" s="65"/>
      <c r="L102" s="65"/>
      <c r="M102" s="65"/>
    </row>
    <row r="103" spans="1:13">
      <c r="A103" s="72"/>
      <c r="B103" s="231" t="s">
        <v>300</v>
      </c>
      <c r="C103" s="232"/>
      <c r="D103" s="232"/>
      <c r="E103" s="232"/>
      <c r="F103" s="232"/>
      <c r="G103" s="232"/>
      <c r="H103" s="232"/>
      <c r="I103" s="232"/>
      <c r="J103" s="232"/>
      <c r="K103" s="65"/>
      <c r="L103" s="65"/>
      <c r="M103" s="65"/>
    </row>
    <row r="104" spans="1:13">
      <c r="A104" s="72"/>
      <c r="B104" s="231" t="s">
        <v>301</v>
      </c>
      <c r="C104" s="232"/>
      <c r="D104" s="232"/>
      <c r="E104" s="232"/>
      <c r="F104" s="232"/>
      <c r="G104" s="232"/>
      <c r="H104" s="232"/>
      <c r="I104" s="232"/>
      <c r="J104" s="232"/>
      <c r="K104" s="65"/>
      <c r="L104" s="65"/>
      <c r="M104" s="65"/>
    </row>
    <row r="105" spans="1:13">
      <c r="A105" s="72"/>
      <c r="B105" s="231" t="s">
        <v>302</v>
      </c>
      <c r="C105" s="232"/>
      <c r="D105" s="232"/>
      <c r="E105" s="232"/>
      <c r="F105" s="232"/>
      <c r="G105" s="232"/>
      <c r="H105" s="232"/>
      <c r="I105" s="232"/>
      <c r="J105" s="232"/>
      <c r="K105" s="65"/>
      <c r="L105" s="65"/>
      <c r="M105" s="65"/>
    </row>
    <row r="106" spans="1:13">
      <c r="A106" s="72"/>
      <c r="B106" s="231"/>
      <c r="C106" s="232"/>
      <c r="D106" s="232"/>
      <c r="E106" s="232"/>
      <c r="F106" s="232"/>
      <c r="G106" s="232"/>
      <c r="H106" s="232"/>
      <c r="I106" s="232"/>
      <c r="J106" s="232"/>
      <c r="K106" s="65"/>
      <c r="L106" s="65"/>
      <c r="M106" s="65"/>
    </row>
    <row r="107" spans="1:13">
      <c r="A107" s="72" t="s">
        <v>303</v>
      </c>
      <c r="B107" s="231" t="s">
        <v>121</v>
      </c>
      <c r="C107" s="232"/>
      <c r="D107" s="232"/>
      <c r="E107" s="232"/>
      <c r="F107" s="232"/>
      <c r="G107" s="232"/>
      <c r="H107" s="232"/>
      <c r="I107" s="232"/>
      <c r="J107" s="232"/>
      <c r="K107" s="65"/>
      <c r="L107" s="65"/>
      <c r="M107" s="65"/>
    </row>
    <row r="108" spans="1:13" ht="26.25" customHeight="1">
      <c r="A108" s="72"/>
      <c r="B108" s="231" t="s">
        <v>122</v>
      </c>
      <c r="C108" s="232"/>
      <c r="D108" s="232"/>
      <c r="E108" s="232"/>
      <c r="F108" s="232"/>
      <c r="G108" s="232"/>
      <c r="H108" s="232"/>
      <c r="I108" s="232"/>
      <c r="J108" s="232"/>
      <c r="K108" s="65"/>
      <c r="L108" s="65"/>
      <c r="M108" s="65"/>
    </row>
    <row r="109" spans="1:13">
      <c r="A109" s="72"/>
      <c r="B109" s="231" t="s">
        <v>131</v>
      </c>
      <c r="C109" s="232"/>
      <c r="D109" s="232"/>
      <c r="E109" s="232"/>
      <c r="F109" s="232"/>
      <c r="G109" s="232"/>
      <c r="H109" s="232"/>
      <c r="I109" s="232"/>
      <c r="J109" s="232"/>
      <c r="K109" s="65"/>
      <c r="L109" s="65"/>
      <c r="M109" s="65"/>
    </row>
    <row r="110" spans="1:13" ht="30" customHeight="1">
      <c r="A110" s="72"/>
      <c r="B110" s="231" t="s">
        <v>262</v>
      </c>
      <c r="C110" s="232"/>
      <c r="D110" s="232"/>
      <c r="E110" s="232"/>
      <c r="F110" s="232"/>
      <c r="G110" s="232"/>
      <c r="H110" s="232"/>
      <c r="I110" s="232"/>
      <c r="J110" s="232"/>
      <c r="K110" s="65"/>
      <c r="L110" s="65"/>
      <c r="M110" s="65"/>
    </row>
    <row r="111" spans="1:13">
      <c r="A111" s="72"/>
      <c r="B111" s="231"/>
      <c r="C111" s="232"/>
      <c r="D111" s="232"/>
      <c r="E111" s="232"/>
      <c r="F111" s="232"/>
      <c r="G111" s="232"/>
      <c r="H111" s="232"/>
      <c r="I111" s="232"/>
      <c r="J111" s="232"/>
      <c r="K111" s="65"/>
      <c r="L111" s="65"/>
      <c r="M111" s="65"/>
    </row>
    <row r="112" spans="1:13">
      <c r="A112" s="72" t="s">
        <v>313</v>
      </c>
      <c r="B112" s="231" t="s">
        <v>123</v>
      </c>
      <c r="C112" s="232"/>
      <c r="D112" s="232"/>
      <c r="E112" s="232"/>
      <c r="F112" s="232"/>
      <c r="G112" s="232"/>
      <c r="H112" s="232"/>
      <c r="I112" s="232"/>
      <c r="J112" s="232"/>
      <c r="K112" s="65"/>
      <c r="L112" s="65"/>
      <c r="M112" s="65"/>
    </row>
    <row r="113" spans="1:13">
      <c r="A113" s="72"/>
      <c r="B113" s="231"/>
      <c r="C113" s="232"/>
      <c r="D113" s="232"/>
      <c r="E113" s="232"/>
      <c r="F113" s="232"/>
      <c r="G113" s="232"/>
      <c r="H113" s="232"/>
      <c r="I113" s="232"/>
      <c r="J113" s="232"/>
      <c r="K113" s="65"/>
      <c r="L113" s="65"/>
      <c r="M113" s="65"/>
    </row>
    <row r="114" spans="1:13" ht="29.25" customHeight="1">
      <c r="A114" s="72" t="s">
        <v>332</v>
      </c>
      <c r="B114" s="231" t="s">
        <v>124</v>
      </c>
      <c r="C114" s="232"/>
      <c r="D114" s="232"/>
      <c r="E114" s="232"/>
      <c r="F114" s="232"/>
      <c r="G114" s="232"/>
      <c r="H114" s="232"/>
      <c r="I114" s="232"/>
      <c r="J114" s="232"/>
      <c r="K114" s="65"/>
      <c r="L114" s="65"/>
      <c r="M114" s="65"/>
    </row>
    <row r="115" spans="1:13">
      <c r="A115" s="72"/>
      <c r="B115" s="231" t="s">
        <v>125</v>
      </c>
      <c r="C115" s="232"/>
      <c r="D115" s="232"/>
      <c r="E115" s="232"/>
      <c r="F115" s="232"/>
      <c r="G115" s="232"/>
      <c r="H115" s="232"/>
      <c r="I115" s="232"/>
      <c r="J115" s="232"/>
      <c r="K115" s="65"/>
      <c r="L115" s="65"/>
      <c r="M115" s="65"/>
    </row>
    <row r="116" spans="1:13">
      <c r="A116" s="72"/>
      <c r="B116" s="231" t="s">
        <v>131</v>
      </c>
      <c r="C116" s="232"/>
      <c r="D116" s="232"/>
      <c r="E116" s="232"/>
      <c r="F116" s="232"/>
      <c r="G116" s="232"/>
      <c r="H116" s="232"/>
      <c r="I116" s="232"/>
      <c r="J116" s="232"/>
      <c r="K116" s="65"/>
      <c r="L116" s="65"/>
      <c r="M116" s="65"/>
    </row>
    <row r="117" spans="1:13">
      <c r="A117" s="72"/>
      <c r="B117" s="231" t="s">
        <v>271</v>
      </c>
      <c r="C117" s="232"/>
      <c r="D117" s="232"/>
      <c r="E117" s="232"/>
      <c r="F117" s="232"/>
      <c r="G117" s="232"/>
      <c r="H117" s="232"/>
      <c r="I117" s="232"/>
      <c r="J117" s="232"/>
      <c r="K117" s="65"/>
      <c r="L117" s="65"/>
      <c r="M117" s="65"/>
    </row>
    <row r="118" spans="1:13">
      <c r="A118" s="72"/>
      <c r="B118" s="231"/>
      <c r="C118" s="232"/>
      <c r="D118" s="232"/>
      <c r="E118" s="232"/>
      <c r="F118" s="232"/>
      <c r="G118" s="232"/>
      <c r="H118" s="232"/>
      <c r="I118" s="232"/>
      <c r="J118" s="232"/>
      <c r="K118" s="65"/>
      <c r="L118" s="65"/>
      <c r="M118" s="65"/>
    </row>
    <row r="119" spans="1:13" ht="30" customHeight="1">
      <c r="A119" s="72" t="s">
        <v>314</v>
      </c>
      <c r="B119" s="231" t="s">
        <v>402</v>
      </c>
      <c r="C119" s="232"/>
      <c r="D119" s="232"/>
      <c r="E119" s="232"/>
      <c r="F119" s="232"/>
      <c r="G119" s="232"/>
      <c r="H119" s="232"/>
      <c r="I119" s="232"/>
      <c r="J119" s="232"/>
      <c r="K119" s="65"/>
      <c r="L119" s="65"/>
      <c r="M119" s="65"/>
    </row>
    <row r="120" spans="1:13" ht="30" customHeight="1">
      <c r="A120" s="72"/>
      <c r="B120" s="231" t="s">
        <v>126</v>
      </c>
      <c r="C120" s="232"/>
      <c r="D120" s="232"/>
      <c r="E120" s="232"/>
      <c r="F120" s="232"/>
      <c r="G120" s="232"/>
      <c r="H120" s="232"/>
      <c r="I120" s="232"/>
      <c r="J120" s="232"/>
      <c r="K120" s="65"/>
      <c r="L120" s="65"/>
      <c r="M120" s="65"/>
    </row>
    <row r="121" spans="1:13">
      <c r="A121" s="72"/>
      <c r="B121" s="231" t="s">
        <v>131</v>
      </c>
      <c r="C121" s="232"/>
      <c r="D121" s="232"/>
      <c r="E121" s="232"/>
      <c r="F121" s="232"/>
      <c r="G121" s="232"/>
      <c r="H121" s="232"/>
      <c r="I121" s="232"/>
      <c r="J121" s="232"/>
      <c r="K121" s="65"/>
      <c r="L121" s="65"/>
      <c r="M121" s="65"/>
    </row>
    <row r="122" spans="1:13" ht="27.75" customHeight="1">
      <c r="A122" s="72"/>
      <c r="B122" s="231" t="s">
        <v>263</v>
      </c>
      <c r="C122" s="232"/>
      <c r="D122" s="232"/>
      <c r="E122" s="232"/>
      <c r="F122" s="232"/>
      <c r="G122" s="232"/>
      <c r="H122" s="232"/>
      <c r="I122" s="232"/>
      <c r="J122" s="232"/>
      <c r="K122" s="65"/>
      <c r="L122" s="65"/>
      <c r="M122" s="65"/>
    </row>
    <row r="123" spans="1:13">
      <c r="A123" s="72"/>
      <c r="B123" s="231" t="s">
        <v>279</v>
      </c>
      <c r="C123" s="232"/>
      <c r="D123" s="232"/>
      <c r="E123" s="232"/>
      <c r="F123" s="232"/>
      <c r="G123" s="232"/>
      <c r="H123" s="232"/>
      <c r="I123" s="232"/>
      <c r="J123" s="232"/>
      <c r="K123" s="65"/>
      <c r="L123" s="65"/>
      <c r="M123" s="65"/>
    </row>
    <row r="124" spans="1:13">
      <c r="A124" s="72"/>
      <c r="B124" s="231"/>
      <c r="C124" s="232"/>
      <c r="D124" s="232"/>
      <c r="E124" s="232"/>
      <c r="F124" s="232"/>
      <c r="G124" s="232"/>
      <c r="H124" s="232"/>
      <c r="I124" s="232"/>
      <c r="J124" s="232"/>
      <c r="K124" s="65"/>
      <c r="L124" s="65"/>
      <c r="M124" s="65"/>
    </row>
    <row r="125" spans="1:13">
      <c r="A125" s="72" t="s">
        <v>315</v>
      </c>
      <c r="B125" s="231" t="s">
        <v>127</v>
      </c>
      <c r="C125" s="232"/>
      <c r="D125" s="232"/>
      <c r="E125" s="232"/>
      <c r="F125" s="232"/>
      <c r="G125" s="232"/>
      <c r="H125" s="232"/>
      <c r="I125" s="232"/>
      <c r="J125" s="232"/>
      <c r="K125" s="65"/>
      <c r="L125" s="65"/>
      <c r="M125" s="65"/>
    </row>
    <row r="126" spans="1:13">
      <c r="A126" s="72"/>
      <c r="B126" s="231" t="s">
        <v>403</v>
      </c>
      <c r="C126" s="232"/>
      <c r="D126" s="232"/>
      <c r="E126" s="232"/>
      <c r="F126" s="232"/>
      <c r="G126" s="232"/>
      <c r="H126" s="232"/>
      <c r="I126" s="232"/>
      <c r="J126" s="232"/>
      <c r="K126" s="65"/>
      <c r="L126" s="65"/>
      <c r="M126" s="65"/>
    </row>
    <row r="127" spans="1:13">
      <c r="A127" s="72"/>
      <c r="B127" s="231" t="s">
        <v>131</v>
      </c>
      <c r="C127" s="232"/>
      <c r="D127" s="232"/>
      <c r="E127" s="232"/>
      <c r="F127" s="232"/>
      <c r="G127" s="232"/>
      <c r="H127" s="232"/>
      <c r="I127" s="232"/>
      <c r="J127" s="232"/>
      <c r="K127" s="65"/>
      <c r="L127" s="65"/>
      <c r="M127" s="65"/>
    </row>
    <row r="128" spans="1:13">
      <c r="A128" s="72"/>
      <c r="B128" s="231" t="s">
        <v>264</v>
      </c>
      <c r="C128" s="232"/>
      <c r="D128" s="232"/>
      <c r="E128" s="232"/>
      <c r="F128" s="232"/>
      <c r="G128" s="232"/>
      <c r="H128" s="232"/>
      <c r="I128" s="232"/>
      <c r="J128" s="232"/>
      <c r="K128" s="65"/>
      <c r="L128" s="65"/>
      <c r="M128" s="65"/>
    </row>
    <row r="129" spans="1:13">
      <c r="A129" s="72"/>
      <c r="B129" s="231" t="s">
        <v>275</v>
      </c>
      <c r="C129" s="232"/>
      <c r="D129" s="232"/>
      <c r="E129" s="232"/>
      <c r="F129" s="232"/>
      <c r="G129" s="232"/>
      <c r="H129" s="232"/>
      <c r="I129" s="232"/>
      <c r="J129" s="232"/>
      <c r="K129" s="65"/>
      <c r="L129" s="65"/>
      <c r="M129" s="65"/>
    </row>
    <row r="130" spans="1:13">
      <c r="A130" s="72"/>
      <c r="B130" s="231"/>
      <c r="C130" s="232"/>
      <c r="D130" s="232"/>
      <c r="E130" s="232"/>
      <c r="F130" s="232"/>
      <c r="G130" s="232"/>
      <c r="H130" s="232"/>
      <c r="I130" s="232"/>
      <c r="J130" s="232"/>
      <c r="K130" s="65"/>
      <c r="L130" s="65"/>
      <c r="M130" s="65"/>
    </row>
    <row r="131" spans="1:13">
      <c r="A131" s="72" t="s">
        <v>316</v>
      </c>
      <c r="B131" s="231" t="s">
        <v>404</v>
      </c>
      <c r="C131" s="232"/>
      <c r="D131" s="232"/>
      <c r="E131" s="232"/>
      <c r="F131" s="232"/>
      <c r="G131" s="232"/>
      <c r="H131" s="232"/>
      <c r="I131" s="232"/>
      <c r="J131" s="232"/>
      <c r="K131" s="65"/>
      <c r="L131" s="65"/>
      <c r="M131" s="65"/>
    </row>
    <row r="132" spans="1:13">
      <c r="A132" s="72"/>
      <c r="B132" s="231"/>
      <c r="C132" s="232"/>
      <c r="D132" s="232"/>
      <c r="E132" s="232"/>
      <c r="F132" s="232"/>
      <c r="G132" s="232"/>
      <c r="H132" s="232"/>
      <c r="I132" s="232"/>
      <c r="J132" s="232"/>
      <c r="K132" s="65"/>
      <c r="L132" s="65"/>
      <c r="M132" s="65"/>
    </row>
    <row r="133" spans="1:13" ht="30" customHeight="1">
      <c r="A133" s="72" t="s">
        <v>318</v>
      </c>
      <c r="B133" s="231" t="s">
        <v>128</v>
      </c>
      <c r="C133" s="232"/>
      <c r="D133" s="232"/>
      <c r="E133" s="232"/>
      <c r="F133" s="232"/>
      <c r="G133" s="232"/>
      <c r="H133" s="232"/>
      <c r="I133" s="232"/>
      <c r="J133" s="232"/>
      <c r="K133" s="65"/>
      <c r="L133" s="65"/>
      <c r="M133" s="65"/>
    </row>
    <row r="134" spans="1:13">
      <c r="A134" s="72"/>
      <c r="B134" s="231" t="s">
        <v>131</v>
      </c>
      <c r="C134" s="232"/>
      <c r="D134" s="232"/>
      <c r="E134" s="232"/>
      <c r="F134" s="232"/>
      <c r="G134" s="232"/>
      <c r="H134" s="232"/>
      <c r="I134" s="232"/>
      <c r="J134" s="232"/>
      <c r="K134" s="65"/>
      <c r="L134" s="65"/>
      <c r="M134" s="65"/>
    </row>
    <row r="135" spans="1:13">
      <c r="A135" s="72"/>
      <c r="B135" s="231" t="s">
        <v>129</v>
      </c>
      <c r="C135" s="232"/>
      <c r="D135" s="232"/>
      <c r="E135" s="232"/>
      <c r="F135" s="232"/>
      <c r="G135" s="232"/>
      <c r="H135" s="232"/>
      <c r="I135" s="232"/>
      <c r="J135" s="232"/>
      <c r="K135" s="65"/>
      <c r="L135" s="65"/>
      <c r="M135" s="65"/>
    </row>
    <row r="136" spans="1:13">
      <c r="A136" s="72"/>
      <c r="B136" s="231"/>
      <c r="C136" s="232"/>
      <c r="D136" s="232"/>
      <c r="E136" s="232"/>
      <c r="F136" s="232"/>
      <c r="G136" s="232"/>
      <c r="H136" s="232"/>
      <c r="I136" s="232"/>
      <c r="J136" s="232"/>
      <c r="K136" s="65"/>
      <c r="L136" s="65"/>
      <c r="M136" s="65"/>
    </row>
    <row r="137" spans="1:13">
      <c r="A137" s="72" t="s">
        <v>321</v>
      </c>
      <c r="B137" s="231" t="s">
        <v>130</v>
      </c>
      <c r="C137" s="232"/>
      <c r="D137" s="232"/>
      <c r="E137" s="232"/>
      <c r="F137" s="232"/>
      <c r="G137" s="232"/>
      <c r="H137" s="232"/>
      <c r="I137" s="232"/>
      <c r="J137" s="232"/>
      <c r="K137" s="65"/>
      <c r="L137" s="65"/>
      <c r="M137" s="65"/>
    </row>
    <row r="138" spans="1:13" ht="29.25" customHeight="1">
      <c r="A138" s="72"/>
      <c r="B138" s="231" t="s">
        <v>265</v>
      </c>
      <c r="C138" s="232"/>
      <c r="D138" s="232"/>
      <c r="E138" s="232"/>
      <c r="F138" s="232"/>
      <c r="G138" s="232"/>
      <c r="H138" s="232"/>
      <c r="I138" s="232"/>
      <c r="J138" s="232"/>
      <c r="K138" s="65"/>
      <c r="L138" s="65"/>
      <c r="M138" s="65"/>
    </row>
    <row r="139" spans="1:13">
      <c r="A139" s="72"/>
      <c r="K139" s="65"/>
      <c r="L139" s="65"/>
      <c r="M139" s="65"/>
    </row>
    <row r="140" spans="1:13" ht="28.5" customHeight="1">
      <c r="A140" s="72" t="s">
        <v>319</v>
      </c>
      <c r="B140" s="231" t="s">
        <v>265</v>
      </c>
      <c r="C140" s="232"/>
      <c r="D140" s="232"/>
      <c r="E140" s="232"/>
      <c r="F140" s="232"/>
      <c r="G140" s="232"/>
      <c r="H140" s="232"/>
      <c r="I140" s="232"/>
      <c r="J140" s="232"/>
      <c r="K140" s="65"/>
      <c r="L140" s="65"/>
      <c r="M140" s="65"/>
    </row>
    <row r="141" spans="1:13">
      <c r="A141" s="72"/>
      <c r="B141" s="231"/>
      <c r="C141" s="232"/>
      <c r="D141" s="232"/>
      <c r="E141" s="232"/>
      <c r="F141" s="232"/>
      <c r="G141" s="232"/>
      <c r="H141" s="232"/>
      <c r="I141" s="232"/>
      <c r="J141" s="232"/>
      <c r="K141" s="65"/>
      <c r="L141" s="65"/>
      <c r="M141" s="65"/>
    </row>
    <row r="142" spans="1:13">
      <c r="A142" s="72" t="s">
        <v>322</v>
      </c>
      <c r="B142" s="231" t="s">
        <v>131</v>
      </c>
      <c r="C142" s="232"/>
      <c r="D142" s="232"/>
      <c r="E142" s="232"/>
      <c r="F142" s="232"/>
      <c r="G142" s="232"/>
      <c r="H142" s="232"/>
      <c r="I142" s="232"/>
      <c r="J142" s="232"/>
      <c r="K142" s="65"/>
      <c r="L142" s="65"/>
      <c r="M142" s="65"/>
    </row>
    <row r="143" spans="1:13">
      <c r="A143" s="72"/>
      <c r="B143" s="231" t="s">
        <v>129</v>
      </c>
      <c r="C143" s="232"/>
      <c r="D143" s="232"/>
      <c r="E143" s="232"/>
      <c r="F143" s="232"/>
      <c r="G143" s="232"/>
      <c r="H143" s="232"/>
      <c r="I143" s="232"/>
      <c r="J143" s="232"/>
      <c r="K143" s="65"/>
      <c r="L143" s="65"/>
      <c r="M143" s="65"/>
    </row>
    <row r="144" spans="1:13">
      <c r="A144" s="72"/>
      <c r="B144" s="231"/>
      <c r="C144" s="232"/>
      <c r="D144" s="232"/>
      <c r="E144" s="232"/>
      <c r="F144" s="232"/>
      <c r="G144" s="232"/>
      <c r="H144" s="232"/>
      <c r="I144" s="232"/>
      <c r="J144" s="232"/>
      <c r="K144" s="65"/>
      <c r="L144" s="65"/>
      <c r="M144" s="65"/>
    </row>
    <row r="145" spans="1:13">
      <c r="A145" s="72" t="s">
        <v>323</v>
      </c>
      <c r="B145" s="231" t="s">
        <v>132</v>
      </c>
      <c r="C145" s="232"/>
      <c r="D145" s="232"/>
      <c r="E145" s="232"/>
      <c r="F145" s="232"/>
      <c r="G145" s="232"/>
      <c r="H145" s="232"/>
      <c r="I145" s="232"/>
      <c r="J145" s="232"/>
      <c r="K145" s="65"/>
      <c r="L145" s="65"/>
      <c r="M145" s="65"/>
    </row>
    <row r="146" spans="1:13">
      <c r="A146" s="72"/>
      <c r="B146" s="231" t="s">
        <v>131</v>
      </c>
      <c r="C146" s="232"/>
      <c r="D146" s="232"/>
      <c r="E146" s="232"/>
      <c r="F146" s="232"/>
      <c r="G146" s="232"/>
      <c r="H146" s="232"/>
      <c r="I146" s="232"/>
      <c r="J146" s="232"/>
      <c r="K146" s="65"/>
      <c r="L146" s="65"/>
      <c r="M146" s="65"/>
    </row>
    <row r="147" spans="1:13">
      <c r="A147" s="72"/>
      <c r="B147" s="231" t="s">
        <v>129</v>
      </c>
      <c r="C147" s="232"/>
      <c r="D147" s="232"/>
      <c r="E147" s="232"/>
      <c r="F147" s="232"/>
      <c r="G147" s="232"/>
      <c r="H147" s="232"/>
      <c r="I147" s="232"/>
      <c r="J147" s="232"/>
      <c r="K147" s="65"/>
      <c r="L147" s="65"/>
      <c r="M147" s="65"/>
    </row>
    <row r="148" spans="1:13">
      <c r="A148" s="72"/>
      <c r="B148" s="231"/>
      <c r="C148" s="232"/>
      <c r="D148" s="232"/>
      <c r="E148" s="232"/>
      <c r="F148" s="232"/>
      <c r="G148" s="232"/>
      <c r="H148" s="232"/>
      <c r="I148" s="232"/>
      <c r="J148" s="232"/>
      <c r="K148" s="65"/>
      <c r="L148" s="65"/>
      <c r="M148" s="65"/>
    </row>
    <row r="149" spans="1:13">
      <c r="A149" s="72" t="s">
        <v>324</v>
      </c>
      <c r="B149" s="231" t="s">
        <v>131</v>
      </c>
      <c r="C149" s="232"/>
      <c r="D149" s="232"/>
      <c r="E149" s="232"/>
      <c r="F149" s="232"/>
      <c r="G149" s="232"/>
      <c r="H149" s="232"/>
      <c r="I149" s="232"/>
      <c r="J149" s="232"/>
      <c r="K149" s="65"/>
      <c r="L149" s="65"/>
      <c r="M149" s="65"/>
    </row>
    <row r="150" spans="1:13">
      <c r="A150" s="72"/>
      <c r="B150" s="231" t="s">
        <v>133</v>
      </c>
      <c r="C150" s="232"/>
      <c r="D150" s="232"/>
      <c r="E150" s="232"/>
      <c r="F150" s="232"/>
      <c r="G150" s="232"/>
      <c r="H150" s="232"/>
      <c r="I150" s="232"/>
      <c r="J150" s="232"/>
      <c r="K150" s="65"/>
      <c r="L150" s="65"/>
      <c r="M150" s="65"/>
    </row>
    <row r="151" spans="1:13">
      <c r="A151" s="72"/>
      <c r="B151" s="231"/>
      <c r="C151" s="232"/>
      <c r="D151" s="232"/>
      <c r="E151" s="232"/>
      <c r="F151" s="232"/>
      <c r="G151" s="232"/>
      <c r="H151" s="232"/>
      <c r="I151" s="232"/>
      <c r="J151" s="232"/>
      <c r="K151" s="65"/>
      <c r="L151" s="65"/>
      <c r="M151" s="65"/>
    </row>
    <row r="152" spans="1:13">
      <c r="A152" s="72" t="s">
        <v>325</v>
      </c>
      <c r="B152" s="231" t="s">
        <v>131</v>
      </c>
      <c r="C152" s="232"/>
      <c r="D152" s="232"/>
      <c r="E152" s="232"/>
      <c r="F152" s="232"/>
      <c r="G152" s="232"/>
      <c r="H152" s="232"/>
      <c r="I152" s="232"/>
      <c r="J152" s="232"/>
      <c r="K152" s="65"/>
      <c r="L152" s="65"/>
      <c r="M152" s="65"/>
    </row>
    <row r="153" spans="1:13" ht="30" customHeight="1">
      <c r="A153" s="72"/>
      <c r="B153" s="231" t="s">
        <v>111</v>
      </c>
      <c r="C153" s="232"/>
      <c r="D153" s="232"/>
      <c r="E153" s="232"/>
      <c r="F153" s="232"/>
      <c r="G153" s="232"/>
      <c r="H153" s="232"/>
      <c r="I153" s="232"/>
      <c r="J153" s="232"/>
      <c r="K153" s="65"/>
      <c r="L153" s="65"/>
      <c r="M153" s="65"/>
    </row>
    <row r="154" spans="1:13">
      <c r="A154" s="72"/>
      <c r="B154" s="231"/>
      <c r="C154" s="232"/>
      <c r="D154" s="232"/>
      <c r="E154" s="232"/>
      <c r="F154" s="232"/>
      <c r="G154" s="232"/>
      <c r="H154" s="232"/>
      <c r="I154" s="232"/>
      <c r="J154" s="232"/>
      <c r="K154" s="65"/>
      <c r="L154" s="65"/>
      <c r="M154" s="65"/>
    </row>
    <row r="155" spans="1:13">
      <c r="A155" s="72" t="s">
        <v>326</v>
      </c>
      <c r="B155" s="231" t="s">
        <v>344</v>
      </c>
      <c r="C155" s="232"/>
      <c r="D155" s="232"/>
      <c r="E155" s="232"/>
      <c r="F155" s="232"/>
      <c r="G155" s="232"/>
      <c r="H155" s="232"/>
      <c r="I155" s="232"/>
      <c r="J155" s="232"/>
      <c r="K155" s="65"/>
      <c r="L155" s="65"/>
      <c r="M155" s="65"/>
    </row>
    <row r="156" spans="1:13" ht="29.25" customHeight="1">
      <c r="A156" s="72"/>
      <c r="B156" s="231" t="s">
        <v>255</v>
      </c>
      <c r="C156" s="232"/>
      <c r="D156" s="232"/>
      <c r="E156" s="232"/>
      <c r="F156" s="232"/>
      <c r="G156" s="232"/>
      <c r="H156" s="232"/>
      <c r="I156" s="232"/>
      <c r="J156" s="232"/>
      <c r="K156" s="65"/>
      <c r="L156" s="65"/>
      <c r="M156" s="65"/>
    </row>
    <row r="157" spans="1:13">
      <c r="A157" s="72"/>
      <c r="B157" s="231"/>
      <c r="C157" s="232"/>
      <c r="D157" s="232"/>
      <c r="E157" s="232"/>
      <c r="F157" s="232"/>
      <c r="G157" s="232"/>
      <c r="H157" s="232"/>
      <c r="I157" s="232"/>
      <c r="J157" s="232"/>
      <c r="K157" s="65"/>
      <c r="L157" s="65"/>
      <c r="M157" s="65"/>
    </row>
    <row r="158" spans="1:13">
      <c r="A158" s="72" t="s">
        <v>329</v>
      </c>
      <c r="B158" s="231" t="s">
        <v>131</v>
      </c>
      <c r="C158" s="232"/>
      <c r="D158" s="232"/>
      <c r="E158" s="232"/>
      <c r="F158" s="232"/>
      <c r="G158" s="232"/>
      <c r="H158" s="232"/>
      <c r="I158" s="232"/>
      <c r="J158" s="232"/>
      <c r="K158" s="65"/>
      <c r="L158" s="65"/>
      <c r="M158" s="65"/>
    </row>
    <row r="159" spans="1:13">
      <c r="A159" s="72"/>
      <c r="B159" s="231" t="s">
        <v>129</v>
      </c>
      <c r="C159" s="232"/>
      <c r="D159" s="232"/>
      <c r="E159" s="232"/>
      <c r="F159" s="232"/>
      <c r="G159" s="232"/>
      <c r="H159" s="232"/>
      <c r="I159" s="232"/>
      <c r="J159" s="232"/>
      <c r="K159" s="65"/>
      <c r="L159" s="65"/>
      <c r="M159" s="65"/>
    </row>
    <row r="160" spans="1:13">
      <c r="A160" s="72"/>
      <c r="B160" s="231"/>
      <c r="C160" s="232"/>
      <c r="D160" s="232"/>
      <c r="E160" s="232"/>
      <c r="F160" s="232"/>
      <c r="G160" s="232"/>
      <c r="H160" s="232"/>
      <c r="I160" s="232"/>
      <c r="J160" s="232"/>
      <c r="K160" s="65"/>
      <c r="L160" s="65"/>
      <c r="M160" s="65"/>
    </row>
    <row r="161" spans="1:13">
      <c r="A161" s="72" t="s">
        <v>317</v>
      </c>
      <c r="B161" s="231" t="s">
        <v>345</v>
      </c>
      <c r="C161" s="232"/>
      <c r="D161" s="232"/>
      <c r="E161" s="232"/>
      <c r="F161" s="232"/>
      <c r="G161" s="232"/>
      <c r="H161" s="232"/>
      <c r="I161" s="232"/>
      <c r="J161" s="232"/>
      <c r="K161" s="65"/>
      <c r="L161" s="65"/>
      <c r="M161" s="65"/>
    </row>
    <row r="162" spans="1:13">
      <c r="A162" s="72"/>
      <c r="B162" s="231" t="s">
        <v>131</v>
      </c>
      <c r="C162" s="232"/>
      <c r="D162" s="232"/>
      <c r="E162" s="232"/>
      <c r="F162" s="232"/>
      <c r="G162" s="232"/>
      <c r="H162" s="232"/>
      <c r="I162" s="232"/>
      <c r="J162" s="232"/>
      <c r="K162" s="65"/>
      <c r="L162" s="65"/>
      <c r="M162" s="65"/>
    </row>
    <row r="163" spans="1:13">
      <c r="A163" s="72"/>
      <c r="B163" s="231"/>
      <c r="C163" s="232"/>
      <c r="D163" s="232"/>
      <c r="E163" s="232"/>
      <c r="F163" s="232"/>
      <c r="G163" s="232"/>
      <c r="H163" s="232"/>
      <c r="I163" s="232"/>
      <c r="J163" s="232"/>
      <c r="K163" s="65"/>
      <c r="L163" s="65"/>
      <c r="M163" s="65"/>
    </row>
    <row r="164" spans="1:13">
      <c r="A164" s="72" t="s">
        <v>327</v>
      </c>
      <c r="B164" s="231" t="s">
        <v>346</v>
      </c>
      <c r="C164" s="232"/>
      <c r="D164" s="232"/>
      <c r="E164" s="232"/>
      <c r="F164" s="232"/>
      <c r="G164" s="232"/>
      <c r="H164" s="232"/>
      <c r="I164" s="232"/>
      <c r="J164" s="232"/>
      <c r="K164" s="65"/>
      <c r="L164" s="65"/>
      <c r="M164" s="65"/>
    </row>
    <row r="165" spans="1:13">
      <c r="A165" s="72"/>
      <c r="B165" s="231" t="s">
        <v>131</v>
      </c>
      <c r="C165" s="232"/>
      <c r="D165" s="232"/>
      <c r="E165" s="232"/>
      <c r="F165" s="232"/>
      <c r="G165" s="232"/>
      <c r="H165" s="232"/>
      <c r="I165" s="232"/>
      <c r="J165" s="232"/>
      <c r="K165" s="65"/>
      <c r="L165" s="65"/>
      <c r="M165" s="65"/>
    </row>
    <row r="166" spans="1:13">
      <c r="A166" s="72"/>
      <c r="B166" s="231"/>
      <c r="C166" s="232"/>
      <c r="D166" s="232"/>
      <c r="E166" s="232"/>
      <c r="F166" s="232"/>
      <c r="G166" s="232"/>
      <c r="H166" s="232"/>
      <c r="I166" s="232"/>
      <c r="J166" s="232"/>
      <c r="K166" s="65"/>
      <c r="L166" s="65"/>
      <c r="M166" s="65"/>
    </row>
    <row r="167" spans="1:13">
      <c r="A167" s="72" t="s">
        <v>328</v>
      </c>
      <c r="B167" s="231" t="s">
        <v>347</v>
      </c>
      <c r="C167" s="232"/>
      <c r="D167" s="232"/>
      <c r="E167" s="232"/>
      <c r="F167" s="232"/>
      <c r="G167" s="232"/>
      <c r="H167" s="232"/>
      <c r="I167" s="232"/>
      <c r="J167" s="232"/>
      <c r="K167" s="65"/>
      <c r="L167" s="65"/>
      <c r="M167" s="65"/>
    </row>
    <row r="168" spans="1:13">
      <c r="A168" s="72"/>
      <c r="B168" s="231" t="s">
        <v>131</v>
      </c>
      <c r="C168" s="232"/>
      <c r="D168" s="232"/>
      <c r="E168" s="232"/>
      <c r="F168" s="232"/>
      <c r="G168" s="232"/>
      <c r="H168" s="232"/>
      <c r="I168" s="232"/>
      <c r="J168" s="232"/>
      <c r="K168" s="65"/>
      <c r="L168" s="65"/>
      <c r="M168" s="65"/>
    </row>
    <row r="169" spans="1:13">
      <c r="A169" s="72"/>
      <c r="B169" s="231"/>
      <c r="C169" s="232"/>
      <c r="D169" s="232"/>
      <c r="E169" s="232"/>
      <c r="F169" s="232"/>
      <c r="G169" s="232"/>
      <c r="H169" s="232"/>
      <c r="I169" s="232"/>
      <c r="J169" s="232"/>
      <c r="K169" s="65"/>
      <c r="L169" s="65"/>
      <c r="M169" s="65"/>
    </row>
    <row r="170" spans="1:13" ht="33.75" customHeight="1">
      <c r="A170" s="72" t="s">
        <v>333</v>
      </c>
      <c r="B170" s="231" t="s">
        <v>336</v>
      </c>
      <c r="C170" s="232"/>
      <c r="D170" s="232"/>
      <c r="E170" s="232"/>
      <c r="F170" s="232"/>
      <c r="G170" s="232"/>
      <c r="H170" s="232"/>
      <c r="I170" s="232"/>
      <c r="J170" s="232"/>
      <c r="K170" s="65"/>
      <c r="L170" s="65"/>
      <c r="M170" s="65"/>
    </row>
    <row r="171" spans="1:13" ht="29.25" customHeight="1">
      <c r="A171" s="72"/>
      <c r="B171" s="231" t="s">
        <v>281</v>
      </c>
      <c r="C171" s="232"/>
      <c r="D171" s="232"/>
      <c r="E171" s="232"/>
      <c r="F171" s="232"/>
      <c r="G171" s="232"/>
      <c r="H171" s="232"/>
      <c r="I171" s="232"/>
      <c r="J171" s="232"/>
      <c r="K171" s="65"/>
      <c r="L171" s="65"/>
      <c r="M171" s="65"/>
    </row>
    <row r="172" spans="1:13">
      <c r="A172" s="72"/>
      <c r="B172" s="231"/>
      <c r="C172" s="232"/>
      <c r="D172" s="232"/>
      <c r="E172" s="232"/>
      <c r="F172" s="232"/>
      <c r="G172" s="232"/>
      <c r="H172" s="232"/>
      <c r="I172" s="232"/>
      <c r="J172" s="232"/>
      <c r="K172" s="65"/>
      <c r="L172" s="65"/>
      <c r="M172" s="65"/>
    </row>
    <row r="173" spans="1:13">
      <c r="A173" s="68" t="s">
        <v>134</v>
      </c>
      <c r="B173" s="69"/>
      <c r="C173" s="69"/>
      <c r="D173" s="69"/>
      <c r="E173" s="69"/>
      <c r="F173" s="69"/>
      <c r="G173" s="69"/>
      <c r="H173" s="69"/>
      <c r="I173" s="69"/>
      <c r="J173" s="69"/>
      <c r="K173" s="69"/>
      <c r="L173" s="69"/>
      <c r="M173" s="70"/>
    </row>
    <row r="174" spans="1:13">
      <c r="C174" s="65"/>
      <c r="D174" s="65"/>
      <c r="E174" s="65"/>
      <c r="F174" s="65"/>
      <c r="G174" s="65"/>
      <c r="H174" s="65"/>
      <c r="I174" s="65"/>
      <c r="J174" s="65"/>
      <c r="K174" s="65"/>
      <c r="L174" s="65"/>
      <c r="M174" s="65"/>
    </row>
    <row r="175" spans="1:13" ht="30.75" customHeight="1">
      <c r="A175" s="72" t="s">
        <v>108</v>
      </c>
      <c r="B175" s="231" t="s">
        <v>405</v>
      </c>
      <c r="C175" s="232"/>
      <c r="D175" s="232"/>
      <c r="E175" s="232"/>
      <c r="F175" s="232"/>
      <c r="G175" s="232"/>
      <c r="H175" s="232"/>
      <c r="I175" s="232"/>
      <c r="J175" s="232"/>
      <c r="K175" s="65"/>
      <c r="L175" s="65"/>
      <c r="M175" s="65"/>
    </row>
    <row r="176" spans="1:13" ht="16.5" customHeight="1">
      <c r="A176" s="72"/>
      <c r="B176" s="231" t="s">
        <v>406</v>
      </c>
      <c r="C176" s="232"/>
      <c r="D176" s="232"/>
      <c r="E176" s="232"/>
      <c r="F176" s="232"/>
      <c r="G176" s="232"/>
      <c r="H176" s="232"/>
      <c r="I176" s="232"/>
      <c r="J176" s="232"/>
      <c r="K176" s="65"/>
      <c r="L176" s="65"/>
      <c r="M176" s="65"/>
    </row>
    <row r="177" spans="1:13" ht="26.25" customHeight="1">
      <c r="A177" s="72"/>
      <c r="B177" s="231" t="s">
        <v>407</v>
      </c>
      <c r="C177" s="232"/>
      <c r="D177" s="232"/>
      <c r="E177" s="232"/>
      <c r="F177" s="232"/>
      <c r="G177" s="232"/>
      <c r="H177" s="232"/>
      <c r="I177" s="232"/>
      <c r="J177" s="232"/>
      <c r="K177" s="65"/>
      <c r="L177" s="65"/>
      <c r="M177" s="65"/>
    </row>
    <row r="178" spans="1:13" ht="27" customHeight="1">
      <c r="A178" s="72"/>
      <c r="B178" s="231" t="s">
        <v>408</v>
      </c>
      <c r="C178" s="232"/>
      <c r="D178" s="232"/>
      <c r="E178" s="232"/>
      <c r="F178" s="232"/>
      <c r="G178" s="232"/>
      <c r="H178" s="232"/>
      <c r="I178" s="232"/>
      <c r="J178" s="232"/>
      <c r="K178" s="65"/>
      <c r="L178" s="65"/>
      <c r="M178" s="65"/>
    </row>
    <row r="179" spans="1:13" ht="14.25" customHeight="1">
      <c r="A179" s="72"/>
      <c r="B179" s="231" t="s">
        <v>135</v>
      </c>
      <c r="C179" s="232"/>
      <c r="D179" s="232"/>
      <c r="E179" s="232"/>
      <c r="F179" s="232"/>
      <c r="G179" s="232"/>
      <c r="H179" s="232"/>
      <c r="I179" s="232"/>
      <c r="J179" s="232"/>
      <c r="K179" s="65"/>
      <c r="L179" s="65"/>
      <c r="M179" s="65"/>
    </row>
    <row r="180" spans="1:13">
      <c r="A180" s="72"/>
      <c r="B180" s="231" t="s">
        <v>136</v>
      </c>
      <c r="C180" s="232"/>
      <c r="D180" s="232"/>
      <c r="E180" s="232"/>
      <c r="F180" s="232"/>
      <c r="G180" s="232"/>
      <c r="H180" s="232"/>
      <c r="I180" s="232"/>
      <c r="J180" s="232"/>
      <c r="K180" s="65"/>
      <c r="L180" s="65"/>
      <c r="M180" s="65"/>
    </row>
    <row r="181" spans="1:13">
      <c r="A181" s="72"/>
      <c r="B181" s="231"/>
      <c r="C181" s="232"/>
      <c r="D181" s="232"/>
      <c r="E181" s="232"/>
      <c r="F181" s="232"/>
      <c r="G181" s="232"/>
      <c r="H181" s="232"/>
      <c r="I181" s="232"/>
      <c r="J181" s="232"/>
      <c r="K181" s="65"/>
      <c r="L181" s="65"/>
      <c r="M181" s="65"/>
    </row>
    <row r="182" spans="1:13">
      <c r="A182" s="68" t="s">
        <v>137</v>
      </c>
      <c r="B182" s="69"/>
      <c r="C182" s="69"/>
      <c r="D182" s="69"/>
      <c r="E182" s="69"/>
      <c r="F182" s="69"/>
      <c r="G182" s="69"/>
      <c r="H182" s="69"/>
      <c r="I182" s="69"/>
      <c r="J182" s="69"/>
      <c r="K182" s="69"/>
      <c r="L182" s="69"/>
      <c r="M182" s="70"/>
    </row>
    <row r="183" spans="1:13">
      <c r="B183" s="65"/>
      <c r="C183" s="65"/>
      <c r="D183" s="65"/>
      <c r="E183" s="65"/>
      <c r="F183" s="65"/>
      <c r="G183" s="65"/>
      <c r="H183" s="65"/>
      <c r="I183" s="65"/>
      <c r="J183" s="65"/>
      <c r="K183" s="65"/>
      <c r="L183" s="65"/>
      <c r="M183" s="65"/>
    </row>
    <row r="184" spans="1:13" ht="28.5" customHeight="1">
      <c r="A184" s="72" t="s">
        <v>108</v>
      </c>
      <c r="B184" s="231" t="s">
        <v>138</v>
      </c>
      <c r="C184" s="232"/>
      <c r="D184" s="232"/>
      <c r="E184" s="232"/>
      <c r="F184" s="232"/>
      <c r="G184" s="232"/>
      <c r="H184" s="232"/>
      <c r="I184" s="232"/>
      <c r="J184" s="232"/>
      <c r="K184" s="65"/>
      <c r="L184" s="65"/>
      <c r="M184" s="65"/>
    </row>
    <row r="185" spans="1:13">
      <c r="A185" s="72"/>
      <c r="B185" s="231" t="s">
        <v>139</v>
      </c>
      <c r="C185" s="232"/>
      <c r="D185" s="232"/>
      <c r="E185" s="232"/>
      <c r="F185" s="232"/>
      <c r="G185" s="232"/>
      <c r="H185" s="232"/>
      <c r="I185" s="232"/>
      <c r="J185" s="232"/>
      <c r="K185" s="65"/>
      <c r="L185" s="65"/>
      <c r="M185" s="65"/>
    </row>
    <row r="186" spans="1:13">
      <c r="A186" s="72"/>
      <c r="B186" s="231" t="s">
        <v>272</v>
      </c>
      <c r="C186" s="232"/>
      <c r="D186" s="232"/>
      <c r="E186" s="232"/>
      <c r="F186" s="232"/>
      <c r="G186" s="232"/>
      <c r="H186" s="232"/>
      <c r="I186" s="232"/>
      <c r="J186" s="232"/>
      <c r="K186" s="65"/>
      <c r="L186" s="65"/>
      <c r="M186" s="65"/>
    </row>
    <row r="187" spans="1:13">
      <c r="A187" s="72"/>
      <c r="B187" s="231" t="s">
        <v>409</v>
      </c>
      <c r="C187" s="232"/>
      <c r="D187" s="232"/>
      <c r="E187" s="232"/>
      <c r="F187" s="232"/>
      <c r="G187" s="232"/>
      <c r="H187" s="232"/>
      <c r="I187" s="232"/>
      <c r="J187" s="232"/>
      <c r="K187" s="65"/>
      <c r="L187" s="65"/>
      <c r="M187" s="65"/>
    </row>
    <row r="188" spans="1:13">
      <c r="A188" s="72"/>
      <c r="B188" s="231"/>
      <c r="C188" s="232"/>
      <c r="D188" s="232"/>
      <c r="E188" s="232"/>
      <c r="F188" s="232"/>
      <c r="G188" s="232"/>
      <c r="H188" s="232"/>
      <c r="I188" s="232"/>
      <c r="J188" s="232"/>
      <c r="K188" s="65"/>
      <c r="L188" s="65"/>
      <c r="M188" s="65"/>
    </row>
    <row r="189" spans="1:13">
      <c r="A189" s="72" t="s">
        <v>140</v>
      </c>
      <c r="B189" s="231"/>
      <c r="C189" s="232"/>
      <c r="D189" s="232"/>
      <c r="E189" s="232"/>
      <c r="F189" s="232"/>
      <c r="G189" s="232"/>
      <c r="H189" s="232"/>
      <c r="I189" s="232"/>
      <c r="J189" s="232"/>
      <c r="K189" s="65"/>
      <c r="L189" s="65"/>
      <c r="M189" s="65"/>
    </row>
    <row r="190" spans="1:13">
      <c r="A190" s="77" t="s">
        <v>141</v>
      </c>
      <c r="B190" s="231" t="s">
        <v>142</v>
      </c>
      <c r="C190" s="232"/>
      <c r="D190" s="232"/>
      <c r="E190" s="232"/>
      <c r="F190" s="232"/>
      <c r="G190" s="232"/>
      <c r="H190" s="232"/>
      <c r="I190" s="232"/>
      <c r="J190" s="232"/>
      <c r="K190" s="65"/>
      <c r="L190" s="65"/>
      <c r="M190" s="65"/>
    </row>
    <row r="191" spans="1:13">
      <c r="A191" s="78" t="s">
        <v>143</v>
      </c>
      <c r="B191" s="231" t="s">
        <v>144</v>
      </c>
      <c r="C191" s="232"/>
      <c r="D191" s="232"/>
      <c r="E191" s="232"/>
      <c r="F191" s="232"/>
      <c r="G191" s="232"/>
      <c r="H191" s="232"/>
      <c r="I191" s="232"/>
      <c r="J191" s="232"/>
      <c r="K191" s="65"/>
      <c r="L191" s="65"/>
      <c r="M191" s="65"/>
    </row>
    <row r="192" spans="1:13">
      <c r="B192" s="233" t="s">
        <v>145</v>
      </c>
      <c r="C192" s="232"/>
      <c r="D192" s="232"/>
      <c r="E192" s="232"/>
      <c r="F192" s="232"/>
      <c r="G192" s="232"/>
      <c r="H192" s="232"/>
      <c r="I192" s="232"/>
      <c r="J192" s="232"/>
      <c r="K192" s="65"/>
      <c r="L192" s="65"/>
      <c r="M192" s="65"/>
    </row>
    <row r="193" spans="1:13">
      <c r="B193" s="231" t="s">
        <v>146</v>
      </c>
      <c r="C193" s="232"/>
      <c r="D193" s="232"/>
      <c r="E193" s="232"/>
      <c r="F193" s="232"/>
      <c r="G193" s="232"/>
      <c r="H193" s="232"/>
      <c r="I193" s="232"/>
      <c r="J193" s="232"/>
      <c r="K193" s="65"/>
      <c r="L193" s="65"/>
      <c r="M193" s="65"/>
    </row>
    <row r="194" spans="1:13">
      <c r="B194" s="231" t="s">
        <v>147</v>
      </c>
      <c r="C194" s="232"/>
      <c r="D194" s="232"/>
      <c r="E194" s="232"/>
      <c r="F194" s="232"/>
      <c r="G194" s="232"/>
      <c r="H194" s="232"/>
      <c r="I194" s="232"/>
      <c r="J194" s="232"/>
      <c r="K194" s="65"/>
      <c r="L194" s="65"/>
      <c r="M194" s="65"/>
    </row>
    <row r="195" spans="1:13">
      <c r="B195" s="231" t="s">
        <v>148</v>
      </c>
      <c r="C195" s="232"/>
      <c r="D195" s="232"/>
      <c r="E195" s="232"/>
      <c r="F195" s="232"/>
      <c r="G195" s="232"/>
      <c r="H195" s="232"/>
      <c r="I195" s="232"/>
      <c r="J195" s="232"/>
      <c r="K195" s="65"/>
      <c r="L195" s="65"/>
      <c r="M195" s="65"/>
    </row>
    <row r="196" spans="1:13">
      <c r="B196" s="231" t="s">
        <v>149</v>
      </c>
      <c r="C196" s="232"/>
      <c r="D196" s="232"/>
      <c r="E196" s="232"/>
      <c r="F196" s="232"/>
      <c r="G196" s="232"/>
      <c r="H196" s="232"/>
      <c r="I196" s="232"/>
      <c r="J196" s="232"/>
      <c r="K196" s="65"/>
      <c r="L196" s="65"/>
      <c r="M196" s="65"/>
    </row>
    <row r="197" spans="1:13">
      <c r="B197" s="231" t="s">
        <v>150</v>
      </c>
      <c r="C197" s="232"/>
      <c r="D197" s="232"/>
      <c r="E197" s="232"/>
      <c r="F197" s="232"/>
      <c r="G197" s="232"/>
      <c r="H197" s="232"/>
      <c r="I197" s="232"/>
      <c r="J197" s="232"/>
      <c r="K197" s="65"/>
      <c r="L197" s="65"/>
      <c r="M197" s="65"/>
    </row>
    <row r="198" spans="1:13">
      <c r="B198" s="231" t="s">
        <v>151</v>
      </c>
      <c r="C198" s="232"/>
      <c r="D198" s="232"/>
      <c r="E198" s="232"/>
      <c r="F198" s="232"/>
      <c r="G198" s="232"/>
      <c r="H198" s="232"/>
      <c r="I198" s="232"/>
      <c r="J198" s="232"/>
      <c r="K198" s="65"/>
      <c r="L198" s="65"/>
      <c r="M198" s="65"/>
    </row>
    <row r="199" spans="1:13">
      <c r="B199" s="233" t="s">
        <v>152</v>
      </c>
      <c r="C199" s="232"/>
      <c r="D199" s="232"/>
      <c r="E199" s="232"/>
      <c r="F199" s="232"/>
      <c r="G199" s="232"/>
      <c r="H199" s="232"/>
      <c r="I199" s="232"/>
      <c r="J199" s="232"/>
      <c r="K199" s="65"/>
      <c r="L199" s="65"/>
      <c r="M199" s="65"/>
    </row>
    <row r="200" spans="1:13">
      <c r="B200" s="233" t="s">
        <v>153</v>
      </c>
      <c r="C200" s="232"/>
      <c r="D200" s="232"/>
      <c r="E200" s="232"/>
      <c r="F200" s="232"/>
      <c r="G200" s="232"/>
      <c r="H200" s="232"/>
      <c r="I200" s="232"/>
      <c r="J200" s="232"/>
      <c r="K200" s="65"/>
      <c r="L200" s="65"/>
      <c r="M200" s="65"/>
    </row>
    <row r="201" spans="1:13">
      <c r="A201" s="65"/>
      <c r="B201" s="231" t="s">
        <v>154</v>
      </c>
      <c r="C201" s="232"/>
      <c r="D201" s="232"/>
      <c r="E201" s="232"/>
      <c r="F201" s="232"/>
      <c r="G201" s="232"/>
      <c r="H201" s="232"/>
      <c r="I201" s="232"/>
      <c r="J201" s="232"/>
      <c r="K201" s="65"/>
      <c r="L201" s="65"/>
      <c r="M201" s="65"/>
    </row>
    <row r="202" spans="1:13">
      <c r="A202" s="65"/>
      <c r="B202" s="231" t="s">
        <v>155</v>
      </c>
      <c r="C202" s="232"/>
      <c r="D202" s="232"/>
      <c r="E202" s="232"/>
      <c r="F202" s="232"/>
      <c r="G202" s="232"/>
      <c r="H202" s="232"/>
      <c r="I202" s="232"/>
      <c r="J202" s="232"/>
      <c r="K202" s="65"/>
      <c r="L202" s="65"/>
      <c r="M202" s="65"/>
    </row>
    <row r="203" spans="1:13">
      <c r="A203" s="65"/>
      <c r="B203" s="231" t="s">
        <v>156</v>
      </c>
      <c r="C203" s="232"/>
      <c r="D203" s="232"/>
      <c r="E203" s="232"/>
      <c r="F203" s="232"/>
      <c r="G203" s="232"/>
      <c r="H203" s="232"/>
      <c r="I203" s="232"/>
      <c r="J203" s="232"/>
      <c r="K203" s="65"/>
      <c r="L203" s="65"/>
      <c r="M203" s="65"/>
    </row>
    <row r="204" spans="1:13">
      <c r="A204" s="65"/>
      <c r="B204" s="233" t="s">
        <v>157</v>
      </c>
      <c r="C204" s="232"/>
      <c r="D204" s="232"/>
      <c r="E204" s="232"/>
      <c r="F204" s="232"/>
      <c r="G204" s="232"/>
      <c r="H204" s="232"/>
      <c r="I204" s="232"/>
      <c r="J204" s="232"/>
      <c r="K204" s="65"/>
      <c r="L204" s="65"/>
      <c r="M204" s="65"/>
    </row>
    <row r="205" spans="1:13">
      <c r="A205" s="65"/>
      <c r="B205" s="233" t="s">
        <v>158</v>
      </c>
      <c r="C205" s="232"/>
      <c r="D205" s="232"/>
      <c r="E205" s="232"/>
      <c r="F205" s="232"/>
      <c r="G205" s="232"/>
      <c r="H205" s="232"/>
      <c r="I205" s="232"/>
      <c r="J205" s="232"/>
      <c r="K205" s="65"/>
      <c r="L205" s="65"/>
      <c r="M205" s="65"/>
    </row>
    <row r="206" spans="1:13">
      <c r="A206" s="65"/>
      <c r="B206" s="231" t="s">
        <v>159</v>
      </c>
      <c r="C206" s="232"/>
      <c r="D206" s="232"/>
      <c r="E206" s="232"/>
      <c r="F206" s="232"/>
      <c r="G206" s="232"/>
      <c r="H206" s="232"/>
      <c r="I206" s="232"/>
      <c r="J206" s="232"/>
      <c r="K206" s="65"/>
      <c r="L206" s="65"/>
      <c r="M206" s="65"/>
    </row>
    <row r="207" spans="1:13">
      <c r="A207" s="65"/>
      <c r="B207" s="231" t="s">
        <v>160</v>
      </c>
      <c r="C207" s="232"/>
      <c r="D207" s="232"/>
      <c r="E207" s="232"/>
      <c r="F207" s="232"/>
      <c r="G207" s="232"/>
      <c r="H207" s="232"/>
      <c r="I207" s="232"/>
      <c r="J207" s="232"/>
      <c r="K207" s="65"/>
      <c r="L207" s="65"/>
      <c r="M207" s="65"/>
    </row>
    <row r="208" spans="1:13">
      <c r="A208" s="65"/>
      <c r="B208" s="231" t="s">
        <v>161</v>
      </c>
      <c r="C208" s="232"/>
      <c r="D208" s="232"/>
      <c r="E208" s="232"/>
      <c r="F208" s="232"/>
      <c r="G208" s="232"/>
      <c r="H208" s="232"/>
      <c r="I208" s="232"/>
      <c r="J208" s="232"/>
      <c r="K208" s="65"/>
      <c r="L208" s="65"/>
      <c r="M208" s="65"/>
    </row>
    <row r="209" spans="1:13">
      <c r="A209" s="65"/>
      <c r="B209" s="231" t="s">
        <v>162</v>
      </c>
      <c r="C209" s="232"/>
      <c r="D209" s="232"/>
      <c r="E209" s="232"/>
      <c r="F209" s="232"/>
      <c r="G209" s="232"/>
      <c r="H209" s="232"/>
      <c r="I209" s="232"/>
      <c r="J209" s="232"/>
      <c r="K209" s="65"/>
      <c r="L209" s="65"/>
      <c r="M209" s="65"/>
    </row>
    <row r="210" spans="1:13">
      <c r="A210" s="65"/>
      <c r="B210" s="233" t="s">
        <v>163</v>
      </c>
      <c r="C210" s="232"/>
      <c r="D210" s="232"/>
      <c r="E210" s="232"/>
      <c r="F210" s="232"/>
      <c r="G210" s="232"/>
      <c r="H210" s="232"/>
      <c r="I210" s="232"/>
      <c r="J210" s="232"/>
      <c r="K210" s="65"/>
      <c r="L210" s="65"/>
      <c r="M210" s="65"/>
    </row>
    <row r="211" spans="1:13">
      <c r="A211" s="65"/>
      <c r="B211" s="231" t="s">
        <v>164</v>
      </c>
      <c r="C211" s="232"/>
      <c r="D211" s="232"/>
      <c r="E211" s="232"/>
      <c r="F211" s="232"/>
      <c r="G211" s="232"/>
      <c r="H211" s="232"/>
      <c r="I211" s="232"/>
      <c r="J211" s="232"/>
      <c r="K211" s="65"/>
      <c r="L211" s="65"/>
      <c r="M211" s="65"/>
    </row>
    <row r="212" spans="1:13">
      <c r="A212" s="65"/>
      <c r="B212" s="231" t="s">
        <v>165</v>
      </c>
      <c r="C212" s="232"/>
      <c r="D212" s="232"/>
      <c r="E212" s="232"/>
      <c r="F212" s="232"/>
      <c r="G212" s="232"/>
      <c r="H212" s="232"/>
      <c r="I212" s="232"/>
      <c r="J212" s="232"/>
      <c r="K212" s="65"/>
      <c r="L212" s="65"/>
      <c r="M212" s="65"/>
    </row>
    <row r="213" spans="1:13">
      <c r="A213" s="65"/>
      <c r="B213" s="231" t="s">
        <v>166</v>
      </c>
      <c r="C213" s="232"/>
      <c r="D213" s="232"/>
      <c r="E213" s="232"/>
      <c r="F213" s="232"/>
      <c r="G213" s="232"/>
      <c r="H213" s="232"/>
      <c r="I213" s="232"/>
      <c r="J213" s="232"/>
      <c r="K213" s="65"/>
      <c r="L213" s="65"/>
      <c r="M213" s="65"/>
    </row>
    <row r="214" spans="1:13">
      <c r="A214" s="65"/>
      <c r="B214" s="231" t="s">
        <v>167</v>
      </c>
      <c r="C214" s="232"/>
      <c r="D214" s="232"/>
      <c r="E214" s="232"/>
      <c r="F214" s="232"/>
      <c r="G214" s="232"/>
      <c r="H214" s="232"/>
      <c r="I214" s="232"/>
      <c r="J214" s="232"/>
      <c r="K214" s="65"/>
      <c r="L214" s="65"/>
      <c r="M214" s="65"/>
    </row>
    <row r="215" spans="1:13">
      <c r="A215" s="65"/>
      <c r="B215" s="231" t="s">
        <v>168</v>
      </c>
      <c r="C215" s="232"/>
      <c r="D215" s="232"/>
      <c r="E215" s="232"/>
      <c r="F215" s="232"/>
      <c r="G215" s="232"/>
      <c r="H215" s="232"/>
      <c r="I215" s="232"/>
      <c r="J215" s="232"/>
      <c r="K215" s="65"/>
      <c r="L215" s="65"/>
      <c r="M215" s="65"/>
    </row>
    <row r="216" spans="1:13">
      <c r="A216" s="65"/>
      <c r="B216" s="231" t="s">
        <v>169</v>
      </c>
      <c r="C216" s="232"/>
      <c r="D216" s="232"/>
      <c r="E216" s="232"/>
      <c r="F216" s="232"/>
      <c r="G216" s="232"/>
      <c r="H216" s="232"/>
      <c r="I216" s="232"/>
      <c r="J216" s="232"/>
      <c r="K216" s="65"/>
      <c r="L216" s="65"/>
      <c r="M216" s="65"/>
    </row>
    <row r="217" spans="1:13">
      <c r="A217" s="65"/>
      <c r="B217" s="231"/>
      <c r="C217" s="232"/>
      <c r="D217" s="232"/>
      <c r="E217" s="232"/>
      <c r="F217" s="232"/>
      <c r="G217" s="232"/>
      <c r="H217" s="232"/>
      <c r="I217" s="232"/>
      <c r="J217" s="232"/>
      <c r="K217" s="65"/>
      <c r="L217" s="65"/>
      <c r="M217" s="65"/>
    </row>
    <row r="218" spans="1:13">
      <c r="A218" s="77" t="s">
        <v>170</v>
      </c>
      <c r="B218" s="233" t="s">
        <v>171</v>
      </c>
      <c r="C218" s="232"/>
      <c r="D218" s="232"/>
      <c r="E218" s="232"/>
      <c r="F218" s="232"/>
      <c r="G218" s="232"/>
      <c r="H218" s="232"/>
      <c r="I218" s="232"/>
      <c r="J218" s="232"/>
      <c r="K218" s="65"/>
      <c r="L218" s="65"/>
      <c r="M218" s="65"/>
    </row>
    <row r="219" spans="1:13">
      <c r="A219" s="65"/>
      <c r="B219" s="231" t="s">
        <v>172</v>
      </c>
      <c r="C219" s="232"/>
      <c r="D219" s="232"/>
      <c r="E219" s="232"/>
      <c r="F219" s="232"/>
      <c r="G219" s="232"/>
      <c r="H219" s="232"/>
      <c r="I219" s="232"/>
      <c r="J219" s="232"/>
      <c r="K219" s="65"/>
      <c r="L219" s="65"/>
      <c r="M219" s="65"/>
    </row>
    <row r="220" spans="1:13">
      <c r="A220" s="65"/>
      <c r="B220" s="231" t="s">
        <v>173</v>
      </c>
      <c r="C220" s="232"/>
      <c r="D220" s="232"/>
      <c r="E220" s="232"/>
      <c r="F220" s="232"/>
      <c r="G220" s="232"/>
      <c r="H220" s="232"/>
      <c r="I220" s="232"/>
      <c r="J220" s="232"/>
      <c r="K220" s="65"/>
      <c r="L220" s="65"/>
      <c r="M220" s="65"/>
    </row>
    <row r="221" spans="1:13">
      <c r="A221" s="65"/>
      <c r="B221" s="233" t="s">
        <v>174</v>
      </c>
      <c r="C221" s="232"/>
      <c r="D221" s="232"/>
      <c r="E221" s="232"/>
      <c r="F221" s="232"/>
      <c r="G221" s="232"/>
      <c r="H221" s="232"/>
      <c r="I221" s="232"/>
      <c r="J221" s="232"/>
      <c r="K221" s="65"/>
      <c r="L221" s="65"/>
      <c r="M221" s="65"/>
    </row>
    <row r="222" spans="1:13">
      <c r="A222" s="65"/>
      <c r="B222" s="233" t="s">
        <v>175</v>
      </c>
      <c r="C222" s="232"/>
      <c r="D222" s="232"/>
      <c r="E222" s="232"/>
      <c r="F222" s="232"/>
      <c r="G222" s="232"/>
      <c r="H222" s="232"/>
      <c r="I222" s="232"/>
      <c r="J222" s="232"/>
      <c r="K222" s="65"/>
      <c r="L222" s="65"/>
      <c r="M222" s="65"/>
    </row>
    <row r="223" spans="1:13">
      <c r="A223" s="65"/>
      <c r="B223" s="233" t="s">
        <v>176</v>
      </c>
      <c r="C223" s="232"/>
      <c r="D223" s="232"/>
      <c r="E223" s="232"/>
      <c r="F223" s="232"/>
      <c r="G223" s="232"/>
      <c r="H223" s="232"/>
      <c r="I223" s="232"/>
      <c r="J223" s="232"/>
      <c r="K223" s="65"/>
      <c r="L223" s="65"/>
      <c r="M223" s="65"/>
    </row>
    <row r="224" spans="1:13">
      <c r="A224" s="65"/>
      <c r="B224" s="233" t="s">
        <v>177</v>
      </c>
      <c r="C224" s="232"/>
      <c r="D224" s="232"/>
      <c r="E224" s="232"/>
      <c r="F224" s="232"/>
      <c r="G224" s="232"/>
      <c r="H224" s="232"/>
      <c r="I224" s="232"/>
      <c r="J224" s="232"/>
      <c r="K224" s="65"/>
      <c r="L224" s="65"/>
      <c r="M224" s="65"/>
    </row>
    <row r="225" spans="1:13">
      <c r="A225" s="65"/>
      <c r="B225" s="233" t="s">
        <v>178</v>
      </c>
      <c r="C225" s="232"/>
      <c r="D225" s="232"/>
      <c r="E225" s="232"/>
      <c r="F225" s="232"/>
      <c r="G225" s="232"/>
      <c r="H225" s="232"/>
      <c r="I225" s="232"/>
      <c r="J225" s="232"/>
      <c r="K225" s="65"/>
      <c r="L225" s="65"/>
      <c r="M225" s="65"/>
    </row>
    <row r="226" spans="1:13">
      <c r="A226" s="65"/>
      <c r="B226" s="233" t="s">
        <v>179</v>
      </c>
      <c r="C226" s="232"/>
      <c r="D226" s="232"/>
      <c r="E226" s="232"/>
      <c r="F226" s="232"/>
      <c r="G226" s="232"/>
      <c r="H226" s="232"/>
      <c r="I226" s="232"/>
      <c r="J226" s="232"/>
      <c r="K226" s="65"/>
      <c r="L226" s="65"/>
      <c r="M226" s="65"/>
    </row>
    <row r="227" spans="1:13">
      <c r="A227" s="65"/>
      <c r="B227" s="233"/>
      <c r="C227" s="232"/>
      <c r="D227" s="232"/>
      <c r="E227" s="232"/>
      <c r="F227" s="232"/>
      <c r="G227" s="232"/>
      <c r="H227" s="232"/>
      <c r="I227" s="232"/>
      <c r="J227" s="232"/>
      <c r="K227" s="65"/>
      <c r="L227" s="65"/>
      <c r="M227" s="65"/>
    </row>
    <row r="228" spans="1:13">
      <c r="A228" s="79" t="s">
        <v>180</v>
      </c>
      <c r="B228" s="80"/>
      <c r="C228" s="81"/>
      <c r="D228" s="81"/>
      <c r="E228" s="81"/>
      <c r="F228" s="81"/>
      <c r="G228" s="81"/>
      <c r="H228" s="81"/>
      <c r="I228" s="81"/>
      <c r="J228" s="81"/>
      <c r="K228" s="65"/>
      <c r="L228" s="65"/>
      <c r="M228" s="65"/>
    </row>
    <row r="229" spans="1:13">
      <c r="A229" s="65"/>
      <c r="B229" s="65"/>
      <c r="C229" s="65"/>
      <c r="D229" s="65"/>
      <c r="E229" s="65"/>
      <c r="F229" s="65"/>
      <c r="G229" s="65"/>
      <c r="H229" s="65"/>
      <c r="I229" s="65"/>
      <c r="J229" s="65"/>
      <c r="K229" s="65"/>
      <c r="L229" s="65"/>
      <c r="M229" s="65"/>
    </row>
    <row r="230" spans="1:13">
      <c r="A230" s="68" t="s">
        <v>181</v>
      </c>
      <c r="B230" s="69"/>
      <c r="C230" s="69"/>
      <c r="D230" s="69"/>
      <c r="E230" s="69"/>
      <c r="F230" s="69"/>
      <c r="G230" s="69"/>
      <c r="H230" s="69"/>
      <c r="I230" s="69"/>
      <c r="J230" s="69"/>
      <c r="K230" s="69"/>
      <c r="L230" s="69"/>
      <c r="M230" s="70"/>
    </row>
    <row r="231" spans="1:13">
      <c r="C231" s="65"/>
      <c r="D231" s="65"/>
      <c r="E231" s="65"/>
      <c r="F231" s="65"/>
      <c r="G231" s="65"/>
      <c r="H231" s="65"/>
      <c r="I231" s="65"/>
      <c r="J231" s="65"/>
      <c r="K231" s="65"/>
      <c r="L231" s="65"/>
      <c r="M231" s="65"/>
    </row>
    <row r="232" spans="1:13" ht="16.5" customHeight="1">
      <c r="A232" s="72" t="s">
        <v>182</v>
      </c>
      <c r="B232" s="231" t="s">
        <v>276</v>
      </c>
      <c r="C232" s="232"/>
      <c r="D232" s="232"/>
      <c r="E232" s="232"/>
      <c r="F232" s="232"/>
      <c r="G232" s="232"/>
      <c r="H232" s="232"/>
      <c r="I232" s="232"/>
      <c r="J232" s="232"/>
      <c r="K232" s="65"/>
      <c r="L232" s="65"/>
      <c r="M232" s="65"/>
    </row>
    <row r="233" spans="1:13" ht="30.75" customHeight="1">
      <c r="A233" s="82" t="s">
        <v>183</v>
      </c>
      <c r="B233" s="231" t="s">
        <v>410</v>
      </c>
      <c r="C233" s="232"/>
      <c r="D233" s="232"/>
      <c r="E233" s="232"/>
      <c r="F233" s="232"/>
      <c r="G233" s="232"/>
      <c r="H233" s="232"/>
      <c r="I233" s="232"/>
      <c r="J233" s="232"/>
      <c r="K233" s="65"/>
      <c r="L233" s="65"/>
      <c r="M233" s="65"/>
    </row>
    <row r="234" spans="1:13" ht="28.5" customHeight="1">
      <c r="A234" s="65"/>
      <c r="B234" s="231" t="s">
        <v>289</v>
      </c>
      <c r="C234" s="232"/>
      <c r="D234" s="232"/>
      <c r="E234" s="232"/>
      <c r="F234" s="232"/>
      <c r="G234" s="232"/>
      <c r="H234" s="232"/>
      <c r="I234" s="232"/>
      <c r="J234" s="232"/>
      <c r="K234" s="65"/>
      <c r="L234" s="65"/>
      <c r="M234" s="65"/>
    </row>
    <row r="235" spans="1:13">
      <c r="A235" s="65"/>
      <c r="B235" s="231"/>
      <c r="C235" s="232"/>
      <c r="D235" s="232"/>
      <c r="E235" s="232"/>
      <c r="F235" s="232"/>
      <c r="G235" s="232"/>
      <c r="H235" s="232"/>
      <c r="I235" s="232"/>
      <c r="J235" s="232"/>
      <c r="K235" s="65"/>
      <c r="L235" s="65"/>
      <c r="M235" s="65"/>
    </row>
    <row r="236" spans="1:13">
      <c r="A236" s="72" t="s">
        <v>184</v>
      </c>
      <c r="B236" s="231" t="s">
        <v>185</v>
      </c>
      <c r="C236" s="232"/>
      <c r="D236" s="232"/>
      <c r="E236" s="232"/>
      <c r="F236" s="232"/>
      <c r="G236" s="232"/>
      <c r="H236" s="232"/>
      <c r="I236" s="232"/>
      <c r="J236" s="232"/>
      <c r="K236" s="65"/>
      <c r="L236" s="65"/>
      <c r="M236" s="65"/>
    </row>
    <row r="237" spans="1:13">
      <c r="A237" s="82" t="s">
        <v>183</v>
      </c>
      <c r="B237" s="231" t="s">
        <v>334</v>
      </c>
      <c r="C237" s="232"/>
      <c r="D237" s="232"/>
      <c r="E237" s="232"/>
      <c r="F237" s="232"/>
      <c r="G237" s="232"/>
      <c r="H237" s="232"/>
      <c r="I237" s="232"/>
      <c r="J237" s="232"/>
      <c r="K237" s="65"/>
      <c r="L237" s="65"/>
      <c r="M237" s="65"/>
    </row>
    <row r="238" spans="1:13">
      <c r="B238" s="231" t="s">
        <v>186</v>
      </c>
      <c r="C238" s="232"/>
      <c r="D238" s="232"/>
      <c r="E238" s="232"/>
      <c r="F238" s="232"/>
      <c r="G238" s="232"/>
      <c r="H238" s="232"/>
      <c r="I238" s="232"/>
      <c r="J238" s="232"/>
      <c r="K238" s="65"/>
      <c r="L238" s="65"/>
      <c r="M238" s="65"/>
    </row>
    <row r="239" spans="1:13">
      <c r="B239" s="231" t="s">
        <v>187</v>
      </c>
      <c r="C239" s="232"/>
      <c r="D239" s="232"/>
      <c r="E239" s="232"/>
      <c r="F239" s="232"/>
      <c r="G239" s="232"/>
      <c r="H239" s="232"/>
      <c r="I239" s="232"/>
      <c r="J239" s="232"/>
      <c r="K239" s="65"/>
      <c r="L239" s="65"/>
      <c r="M239" s="65"/>
    </row>
    <row r="240" spans="1:13" ht="27" customHeight="1">
      <c r="B240" s="231" t="s">
        <v>277</v>
      </c>
      <c r="C240" s="232"/>
      <c r="D240" s="232"/>
      <c r="E240" s="232"/>
      <c r="F240" s="232"/>
      <c r="G240" s="232"/>
      <c r="H240" s="232"/>
      <c r="I240" s="232"/>
      <c r="J240" s="232"/>
      <c r="K240" s="65"/>
      <c r="L240" s="65"/>
      <c r="M240" s="65"/>
    </row>
    <row r="241" spans="1:13" ht="28.5" customHeight="1">
      <c r="B241" s="231" t="s">
        <v>188</v>
      </c>
      <c r="C241" s="232"/>
      <c r="D241" s="232"/>
      <c r="E241" s="232"/>
      <c r="F241" s="232"/>
      <c r="G241" s="232"/>
      <c r="H241" s="232"/>
      <c r="I241" s="232"/>
      <c r="J241" s="232"/>
      <c r="K241" s="65"/>
      <c r="L241" s="65"/>
      <c r="M241" s="65"/>
    </row>
    <row r="242" spans="1:13">
      <c r="B242" s="231" t="s">
        <v>250</v>
      </c>
      <c r="C242" s="232"/>
      <c r="D242" s="232"/>
      <c r="E242" s="232"/>
      <c r="F242" s="232"/>
      <c r="G242" s="232"/>
      <c r="H242" s="232"/>
      <c r="I242" s="232"/>
      <c r="J242" s="232"/>
      <c r="K242" s="65"/>
      <c r="L242" s="65"/>
      <c r="M242" s="65"/>
    </row>
    <row r="243" spans="1:13">
      <c r="B243" s="231"/>
      <c r="C243" s="232"/>
      <c r="D243" s="232"/>
      <c r="E243" s="232"/>
      <c r="F243" s="232"/>
      <c r="G243" s="232"/>
      <c r="H243" s="232"/>
      <c r="I243" s="232"/>
      <c r="J243" s="232"/>
      <c r="K243" s="65"/>
      <c r="L243" s="65"/>
      <c r="M243" s="65"/>
    </row>
    <row r="244" spans="1:13">
      <c r="A244" s="72" t="s">
        <v>189</v>
      </c>
      <c r="B244" s="231" t="s">
        <v>266</v>
      </c>
      <c r="C244" s="232"/>
      <c r="D244" s="232"/>
      <c r="E244" s="232"/>
      <c r="F244" s="232"/>
      <c r="G244" s="232"/>
      <c r="H244" s="232"/>
      <c r="I244" s="232"/>
      <c r="J244" s="232"/>
      <c r="K244" s="65"/>
      <c r="L244" s="65"/>
      <c r="M244" s="65"/>
    </row>
    <row r="245" spans="1:13">
      <c r="A245" s="65"/>
      <c r="B245" s="231" t="s">
        <v>290</v>
      </c>
      <c r="C245" s="232"/>
      <c r="D245" s="232"/>
      <c r="E245" s="232"/>
      <c r="F245" s="232"/>
      <c r="G245" s="232"/>
      <c r="H245" s="232"/>
      <c r="I245" s="232"/>
      <c r="J245" s="232"/>
      <c r="K245" s="65"/>
      <c r="L245" s="65"/>
      <c r="M245" s="65"/>
    </row>
    <row r="246" spans="1:13">
      <c r="A246" s="65"/>
      <c r="B246" s="231" t="s">
        <v>190</v>
      </c>
      <c r="C246" s="232"/>
      <c r="D246" s="232"/>
      <c r="E246" s="232"/>
      <c r="F246" s="232"/>
      <c r="G246" s="232"/>
      <c r="H246" s="232"/>
      <c r="I246" s="232"/>
      <c r="J246" s="232"/>
      <c r="K246" s="65"/>
      <c r="L246" s="65"/>
      <c r="M246" s="65"/>
    </row>
    <row r="247" spans="1:13">
      <c r="B247" s="231" t="s">
        <v>191</v>
      </c>
      <c r="C247" s="232"/>
      <c r="D247" s="232"/>
      <c r="E247" s="232"/>
      <c r="F247" s="232"/>
      <c r="G247" s="232"/>
      <c r="H247" s="232"/>
      <c r="I247" s="232"/>
      <c r="J247" s="232"/>
      <c r="K247" s="65"/>
      <c r="L247" s="65"/>
      <c r="M247" s="65"/>
    </row>
    <row r="248" spans="1:13" ht="27" customHeight="1">
      <c r="B248" s="231" t="s">
        <v>192</v>
      </c>
      <c r="C248" s="232"/>
      <c r="D248" s="232"/>
      <c r="E248" s="232"/>
      <c r="F248" s="232"/>
      <c r="G248" s="232"/>
      <c r="H248" s="232"/>
      <c r="I248" s="232"/>
      <c r="J248" s="232"/>
      <c r="K248" s="65"/>
      <c r="L248" s="65"/>
      <c r="M248" s="65"/>
    </row>
    <row r="249" spans="1:13">
      <c r="B249" s="231" t="s">
        <v>273</v>
      </c>
      <c r="C249" s="232"/>
      <c r="D249" s="232"/>
      <c r="E249" s="232"/>
      <c r="F249" s="232"/>
      <c r="G249" s="232"/>
      <c r="H249" s="232"/>
      <c r="I249" s="232"/>
      <c r="J249" s="232"/>
      <c r="K249" s="65"/>
      <c r="L249" s="65"/>
      <c r="M249" s="65"/>
    </row>
    <row r="250" spans="1:13" ht="28.5" customHeight="1">
      <c r="B250" s="231" t="s">
        <v>193</v>
      </c>
      <c r="C250" s="232"/>
      <c r="D250" s="232"/>
      <c r="E250" s="232"/>
      <c r="F250" s="232"/>
      <c r="G250" s="232"/>
      <c r="H250" s="232"/>
      <c r="I250" s="232"/>
      <c r="J250" s="232"/>
      <c r="K250" s="65"/>
      <c r="L250" s="65"/>
      <c r="M250" s="65"/>
    </row>
    <row r="251" spans="1:13">
      <c r="B251" s="231" t="s">
        <v>194</v>
      </c>
      <c r="C251" s="232"/>
      <c r="D251" s="232"/>
      <c r="E251" s="232"/>
      <c r="F251" s="232"/>
      <c r="G251" s="232"/>
      <c r="H251" s="232"/>
      <c r="I251" s="232"/>
      <c r="J251" s="232"/>
      <c r="K251" s="65"/>
      <c r="L251" s="65"/>
      <c r="M251" s="65"/>
    </row>
    <row r="252" spans="1:13">
      <c r="B252" s="231"/>
      <c r="C252" s="232"/>
      <c r="D252" s="232"/>
      <c r="E252" s="232"/>
      <c r="F252" s="232"/>
      <c r="G252" s="232"/>
      <c r="H252" s="232"/>
      <c r="I252" s="232"/>
      <c r="J252" s="232"/>
      <c r="K252" s="65"/>
      <c r="L252" s="65"/>
      <c r="M252" s="65"/>
    </row>
    <row r="253" spans="1:13">
      <c r="A253" s="72" t="s">
        <v>195</v>
      </c>
      <c r="B253" s="231" t="s">
        <v>291</v>
      </c>
      <c r="C253" s="232"/>
      <c r="D253" s="232"/>
      <c r="E253" s="232"/>
      <c r="F253" s="232"/>
      <c r="G253" s="232"/>
      <c r="H253" s="232"/>
      <c r="I253" s="232"/>
      <c r="J253" s="232"/>
      <c r="K253" s="65"/>
      <c r="L253" s="65"/>
      <c r="M253" s="65"/>
    </row>
    <row r="254" spans="1:13">
      <c r="A254" s="82" t="s">
        <v>183</v>
      </c>
      <c r="B254" s="231" t="s">
        <v>190</v>
      </c>
      <c r="C254" s="232"/>
      <c r="D254" s="232"/>
      <c r="E254" s="232"/>
      <c r="F254" s="232"/>
      <c r="G254" s="232"/>
      <c r="H254" s="232"/>
      <c r="I254" s="232"/>
      <c r="J254" s="232"/>
      <c r="K254" s="65"/>
      <c r="L254" s="65"/>
      <c r="M254" s="65"/>
    </row>
    <row r="255" spans="1:13">
      <c r="B255" s="231" t="s">
        <v>191</v>
      </c>
      <c r="C255" s="232"/>
      <c r="D255" s="232"/>
      <c r="E255" s="232"/>
      <c r="F255" s="232"/>
      <c r="G255" s="232"/>
      <c r="H255" s="232"/>
      <c r="I255" s="232"/>
      <c r="J255" s="232"/>
      <c r="K255" s="65"/>
      <c r="L255" s="65"/>
      <c r="M255" s="65"/>
    </row>
    <row r="256" spans="1:13">
      <c r="A256" s="65"/>
      <c r="B256" s="231" t="s">
        <v>274</v>
      </c>
      <c r="C256" s="232"/>
      <c r="D256" s="232"/>
      <c r="E256" s="232"/>
      <c r="F256" s="232"/>
      <c r="G256" s="232"/>
      <c r="H256" s="232"/>
      <c r="I256" s="232"/>
      <c r="J256" s="232"/>
      <c r="K256" s="65"/>
      <c r="L256" s="65"/>
      <c r="M256" s="65"/>
    </row>
    <row r="257" spans="1:13">
      <c r="A257" s="65"/>
      <c r="B257" s="231" t="s">
        <v>267</v>
      </c>
      <c r="C257" s="232"/>
      <c r="D257" s="232"/>
      <c r="E257" s="232"/>
      <c r="F257" s="232"/>
      <c r="G257" s="232"/>
      <c r="H257" s="232"/>
      <c r="I257" s="232"/>
      <c r="J257" s="232"/>
      <c r="K257" s="65"/>
      <c r="L257" s="65"/>
      <c r="M257" s="65"/>
    </row>
    <row r="258" spans="1:13">
      <c r="A258" s="65"/>
      <c r="B258" s="231"/>
      <c r="C258" s="232"/>
      <c r="D258" s="232"/>
      <c r="E258" s="232"/>
      <c r="F258" s="232"/>
      <c r="G258" s="232"/>
      <c r="H258" s="232"/>
      <c r="I258" s="232"/>
      <c r="J258" s="232"/>
      <c r="K258" s="65"/>
      <c r="L258" s="65"/>
      <c r="M258" s="65"/>
    </row>
    <row r="259" spans="1:13">
      <c r="A259" s="72" t="s">
        <v>196</v>
      </c>
      <c r="B259" s="231" t="s">
        <v>197</v>
      </c>
      <c r="C259" s="232"/>
      <c r="D259" s="232"/>
      <c r="E259" s="232"/>
      <c r="F259" s="232"/>
      <c r="G259" s="232"/>
      <c r="H259" s="232"/>
      <c r="I259" s="232"/>
      <c r="J259" s="232"/>
      <c r="K259" s="65"/>
      <c r="L259" s="65"/>
      <c r="M259" s="65"/>
    </row>
    <row r="260" spans="1:13">
      <c r="A260" s="65"/>
      <c r="B260" s="231" t="s">
        <v>198</v>
      </c>
      <c r="C260" s="232"/>
      <c r="D260" s="232"/>
      <c r="E260" s="232"/>
      <c r="F260" s="232"/>
      <c r="G260" s="232"/>
      <c r="H260" s="232"/>
      <c r="I260" s="232"/>
      <c r="J260" s="232"/>
      <c r="K260" s="65"/>
      <c r="L260" s="65"/>
      <c r="M260" s="65"/>
    </row>
    <row r="261" spans="1:13">
      <c r="A261" s="65"/>
      <c r="B261" s="231" t="s">
        <v>199</v>
      </c>
      <c r="C261" s="232"/>
      <c r="D261" s="232"/>
      <c r="E261" s="232"/>
      <c r="F261" s="232"/>
      <c r="G261" s="232"/>
      <c r="H261" s="232"/>
      <c r="I261" s="232"/>
      <c r="J261" s="232"/>
      <c r="K261" s="65"/>
      <c r="L261" s="65"/>
      <c r="M261" s="65"/>
    </row>
    <row r="262" spans="1:13">
      <c r="A262" s="65"/>
      <c r="B262" s="231" t="s">
        <v>337</v>
      </c>
      <c r="C262" s="232"/>
      <c r="D262" s="232"/>
      <c r="E262" s="232"/>
      <c r="F262" s="232"/>
      <c r="G262" s="232"/>
      <c r="H262" s="232"/>
      <c r="I262" s="232"/>
      <c r="J262" s="232"/>
      <c r="K262" s="65"/>
      <c r="L262" s="65"/>
      <c r="M262" s="65"/>
    </row>
    <row r="263" spans="1:13">
      <c r="A263" s="65"/>
      <c r="B263" s="231" t="s">
        <v>411</v>
      </c>
      <c r="C263" s="232"/>
      <c r="D263" s="232"/>
      <c r="E263" s="232"/>
      <c r="F263" s="232"/>
      <c r="G263" s="232"/>
      <c r="H263" s="232"/>
      <c r="I263" s="232"/>
      <c r="J263" s="232"/>
      <c r="K263" s="65"/>
      <c r="L263" s="65"/>
      <c r="M263" s="65"/>
    </row>
    <row r="264" spans="1:13">
      <c r="A264" s="65"/>
      <c r="B264" s="231" t="s">
        <v>200</v>
      </c>
      <c r="C264" s="232"/>
      <c r="D264" s="232"/>
      <c r="E264" s="232"/>
      <c r="F264" s="232"/>
      <c r="G264" s="232"/>
      <c r="H264" s="232"/>
      <c r="I264" s="232"/>
      <c r="J264" s="232"/>
      <c r="K264" s="65"/>
      <c r="L264" s="65"/>
      <c r="M264" s="65"/>
    </row>
    <row r="265" spans="1:13">
      <c r="A265" s="65"/>
      <c r="B265" s="231" t="s">
        <v>282</v>
      </c>
      <c r="C265" s="232"/>
      <c r="D265" s="232"/>
      <c r="E265" s="232"/>
      <c r="F265" s="232"/>
      <c r="G265" s="232"/>
      <c r="H265" s="232"/>
      <c r="I265" s="232"/>
      <c r="J265" s="232"/>
      <c r="K265" s="65"/>
      <c r="L265" s="65"/>
      <c r="M265" s="65"/>
    </row>
    <row r="266" spans="1:13">
      <c r="A266" s="65"/>
      <c r="B266" s="231" t="s">
        <v>412</v>
      </c>
      <c r="C266" s="232"/>
      <c r="D266" s="232"/>
      <c r="E266" s="232"/>
      <c r="F266" s="232"/>
      <c r="G266" s="232"/>
      <c r="H266" s="232"/>
      <c r="I266" s="232"/>
      <c r="J266" s="232"/>
      <c r="K266" s="65"/>
      <c r="L266" s="65"/>
      <c r="M266" s="65"/>
    </row>
    <row r="267" spans="1:13">
      <c r="A267" s="65"/>
      <c r="B267" s="231"/>
      <c r="C267" s="232"/>
      <c r="D267" s="232"/>
      <c r="E267" s="232"/>
      <c r="F267" s="232"/>
      <c r="G267" s="232"/>
      <c r="H267" s="232"/>
      <c r="I267" s="232"/>
      <c r="J267" s="232"/>
      <c r="K267" s="65"/>
      <c r="L267" s="65"/>
      <c r="M267" s="65"/>
    </row>
    <row r="268" spans="1:13">
      <c r="A268" s="72" t="s">
        <v>201</v>
      </c>
      <c r="B268" s="231" t="s">
        <v>292</v>
      </c>
      <c r="C268" s="232"/>
      <c r="D268" s="232"/>
      <c r="E268" s="232"/>
      <c r="F268" s="232"/>
      <c r="G268" s="232"/>
      <c r="H268" s="232"/>
      <c r="I268" s="232"/>
      <c r="J268" s="232"/>
    </row>
    <row r="269" spans="1:13">
      <c r="A269" s="82" t="s">
        <v>183</v>
      </c>
      <c r="B269" s="231" t="s">
        <v>413</v>
      </c>
      <c r="C269" s="232"/>
      <c r="D269" s="232"/>
      <c r="E269" s="232"/>
      <c r="F269" s="232"/>
      <c r="G269" s="232"/>
      <c r="H269" s="232"/>
      <c r="I269" s="232"/>
      <c r="J269" s="232"/>
    </row>
    <row r="270" spans="1:13">
      <c r="B270" s="231" t="s">
        <v>202</v>
      </c>
      <c r="C270" s="232"/>
      <c r="D270" s="232"/>
      <c r="E270" s="232"/>
      <c r="F270" s="232"/>
      <c r="G270" s="232"/>
      <c r="H270" s="232"/>
      <c r="I270" s="232"/>
      <c r="J270" s="232"/>
    </row>
    <row r="271" spans="1:13">
      <c r="B271" s="231" t="s">
        <v>283</v>
      </c>
      <c r="C271" s="232"/>
      <c r="D271" s="232"/>
      <c r="E271" s="232"/>
      <c r="F271" s="232"/>
      <c r="G271" s="232"/>
      <c r="H271" s="232"/>
      <c r="I271" s="232"/>
      <c r="J271" s="232"/>
      <c r="K271" s="65"/>
      <c r="L271" s="65"/>
      <c r="M271" s="65"/>
    </row>
    <row r="272" spans="1:13">
      <c r="B272" s="231" t="s">
        <v>268</v>
      </c>
      <c r="C272" s="232"/>
      <c r="D272" s="232"/>
      <c r="E272" s="232"/>
      <c r="F272" s="232"/>
      <c r="G272" s="232"/>
      <c r="H272" s="232"/>
      <c r="I272" s="232"/>
      <c r="J272" s="232"/>
      <c r="K272" s="65"/>
      <c r="L272" s="65"/>
      <c r="M272" s="65"/>
    </row>
    <row r="273" spans="1:13">
      <c r="B273" s="231" t="s">
        <v>293</v>
      </c>
      <c r="C273" s="232"/>
      <c r="D273" s="232"/>
      <c r="E273" s="232"/>
      <c r="F273" s="232"/>
      <c r="G273" s="232"/>
      <c r="H273" s="232"/>
      <c r="I273" s="232"/>
      <c r="J273" s="232"/>
      <c r="K273" s="65"/>
      <c r="L273" s="65"/>
      <c r="M273" s="65"/>
    </row>
    <row r="274" spans="1:13">
      <c r="B274" s="231"/>
      <c r="C274" s="232"/>
      <c r="D274" s="232"/>
      <c r="E274" s="232"/>
      <c r="F274" s="232"/>
      <c r="G274" s="232"/>
      <c r="H274" s="232"/>
      <c r="I274" s="232"/>
      <c r="J274" s="232"/>
      <c r="K274" s="65"/>
      <c r="L274" s="65"/>
      <c r="M274" s="65"/>
    </row>
    <row r="275" spans="1:13">
      <c r="A275" s="72" t="s">
        <v>203</v>
      </c>
      <c r="B275" s="231" t="s">
        <v>204</v>
      </c>
      <c r="C275" s="232"/>
      <c r="D275" s="232"/>
      <c r="E275" s="232"/>
      <c r="F275" s="232"/>
      <c r="G275" s="232"/>
      <c r="H275" s="232"/>
      <c r="I275" s="232"/>
      <c r="J275" s="232"/>
      <c r="K275" s="65"/>
      <c r="L275" s="65"/>
      <c r="M275" s="65"/>
    </row>
    <row r="276" spans="1:13" ht="26.25" customHeight="1">
      <c r="A276" s="82" t="s">
        <v>183</v>
      </c>
      <c r="B276" s="231" t="s">
        <v>269</v>
      </c>
      <c r="C276" s="232"/>
      <c r="D276" s="232"/>
      <c r="E276" s="232"/>
      <c r="F276" s="232"/>
      <c r="G276" s="232"/>
      <c r="H276" s="232"/>
      <c r="I276" s="232"/>
      <c r="J276" s="232"/>
      <c r="K276" s="65"/>
      <c r="L276" s="65"/>
      <c r="M276" s="65"/>
    </row>
    <row r="277" spans="1:13" ht="12.75" customHeight="1">
      <c r="B277" s="231" t="s">
        <v>278</v>
      </c>
      <c r="C277" s="232"/>
      <c r="D277" s="232"/>
      <c r="E277" s="232"/>
      <c r="F277" s="232"/>
      <c r="G277" s="232"/>
      <c r="H277" s="232"/>
      <c r="I277" s="232"/>
      <c r="J277" s="232"/>
      <c r="K277" s="65"/>
      <c r="L277" s="65"/>
      <c r="M277" s="65"/>
    </row>
    <row r="278" spans="1:13" ht="12.75" customHeight="1">
      <c r="B278" s="231" t="s">
        <v>205</v>
      </c>
      <c r="C278" s="232"/>
      <c r="D278" s="232"/>
      <c r="E278" s="232"/>
      <c r="F278" s="232"/>
      <c r="G278" s="232"/>
      <c r="H278" s="232"/>
      <c r="I278" s="232"/>
      <c r="J278" s="232"/>
      <c r="K278" s="65"/>
      <c r="L278" s="65"/>
      <c r="M278" s="65"/>
    </row>
    <row r="279" spans="1:13">
      <c r="B279" s="231" t="s">
        <v>206</v>
      </c>
      <c r="C279" s="232"/>
      <c r="D279" s="232"/>
      <c r="E279" s="232"/>
      <c r="F279" s="232"/>
      <c r="G279" s="232"/>
      <c r="H279" s="232"/>
      <c r="I279" s="232"/>
      <c r="J279" s="232"/>
      <c r="K279" s="65"/>
      <c r="L279" s="65"/>
      <c r="M279" s="65"/>
    </row>
    <row r="280" spans="1:13">
      <c r="B280" s="231"/>
      <c r="C280" s="232"/>
      <c r="D280" s="232"/>
      <c r="E280" s="232"/>
      <c r="F280" s="232"/>
      <c r="G280" s="232"/>
      <c r="H280" s="232"/>
      <c r="I280" s="232"/>
      <c r="J280" s="232"/>
      <c r="K280" s="65"/>
      <c r="L280" s="65"/>
      <c r="M280" s="65"/>
    </row>
    <row r="281" spans="1:13">
      <c r="A281" s="72" t="s">
        <v>207</v>
      </c>
      <c r="B281" s="231" t="s">
        <v>208</v>
      </c>
      <c r="C281" s="232"/>
      <c r="D281" s="232"/>
      <c r="E281" s="232"/>
      <c r="F281" s="232"/>
      <c r="G281" s="232"/>
      <c r="H281" s="232"/>
      <c r="I281" s="232"/>
      <c r="J281" s="232"/>
      <c r="K281" s="65"/>
      <c r="L281" s="65"/>
      <c r="M281" s="65"/>
    </row>
    <row r="282" spans="1:13">
      <c r="A282" s="82" t="s">
        <v>183</v>
      </c>
      <c r="B282" s="231" t="s">
        <v>338</v>
      </c>
      <c r="C282" s="232"/>
      <c r="D282" s="232"/>
      <c r="E282" s="232"/>
      <c r="F282" s="232"/>
      <c r="G282" s="232"/>
      <c r="H282" s="232"/>
      <c r="I282" s="232"/>
      <c r="J282" s="232"/>
      <c r="K282" s="65"/>
      <c r="L282" s="65"/>
      <c r="M282" s="65"/>
    </row>
    <row r="283" spans="1:13">
      <c r="A283" s="65"/>
      <c r="B283" s="231" t="s">
        <v>209</v>
      </c>
      <c r="C283" s="232"/>
      <c r="D283" s="232"/>
      <c r="E283" s="232"/>
      <c r="F283" s="232"/>
      <c r="G283" s="232"/>
      <c r="H283" s="232"/>
      <c r="I283" s="232"/>
      <c r="J283" s="232"/>
      <c r="K283" s="65"/>
      <c r="L283" s="65"/>
      <c r="M283" s="65"/>
    </row>
    <row r="284" spans="1:13">
      <c r="A284" s="65"/>
      <c r="B284" s="231" t="s">
        <v>210</v>
      </c>
      <c r="C284" s="232"/>
      <c r="D284" s="232"/>
      <c r="E284" s="232"/>
      <c r="F284" s="232"/>
      <c r="G284" s="232"/>
      <c r="H284" s="232"/>
      <c r="I284" s="232"/>
      <c r="J284" s="232"/>
      <c r="K284" s="65"/>
      <c r="L284" s="65"/>
      <c r="M284" s="65"/>
    </row>
    <row r="285" spans="1:13">
      <c r="A285" s="65"/>
      <c r="B285" s="231" t="s">
        <v>211</v>
      </c>
      <c r="C285" s="232"/>
      <c r="D285" s="232"/>
      <c r="E285" s="232"/>
      <c r="F285" s="232"/>
      <c r="G285" s="232"/>
      <c r="H285" s="232"/>
      <c r="I285" s="232"/>
      <c r="J285" s="232"/>
      <c r="K285" s="65"/>
      <c r="L285" s="65"/>
      <c r="M285" s="65"/>
    </row>
    <row r="286" spans="1:13">
      <c r="A286" s="65"/>
      <c r="B286" s="231" t="s">
        <v>212</v>
      </c>
      <c r="C286" s="232"/>
      <c r="D286" s="232"/>
      <c r="E286" s="232"/>
      <c r="F286" s="232"/>
      <c r="G286" s="232"/>
      <c r="H286" s="232"/>
      <c r="I286" s="232"/>
      <c r="J286" s="232"/>
      <c r="K286" s="65"/>
      <c r="L286" s="65"/>
      <c r="M286" s="65"/>
    </row>
    <row r="287" spans="1:13">
      <c r="A287" s="65"/>
      <c r="B287" s="231"/>
      <c r="C287" s="232"/>
      <c r="D287" s="232"/>
      <c r="E287" s="232"/>
      <c r="F287" s="232"/>
      <c r="G287" s="232"/>
      <c r="H287" s="232"/>
      <c r="I287" s="232"/>
      <c r="J287" s="232"/>
      <c r="K287" s="65"/>
      <c r="L287" s="65"/>
      <c r="M287" s="65"/>
    </row>
    <row r="288" spans="1:13">
      <c r="A288" s="68" t="s">
        <v>213</v>
      </c>
      <c r="B288" s="69"/>
      <c r="C288" s="69"/>
      <c r="D288" s="69"/>
      <c r="E288" s="69"/>
      <c r="F288" s="69"/>
      <c r="G288" s="69"/>
      <c r="H288" s="69"/>
      <c r="I288" s="69"/>
      <c r="J288" s="69"/>
      <c r="K288" s="69"/>
      <c r="L288" s="69"/>
      <c r="M288" s="70"/>
    </row>
    <row r="289" spans="1:13">
      <c r="B289" s="65"/>
      <c r="C289" s="65"/>
      <c r="D289" s="65"/>
      <c r="E289" s="65"/>
      <c r="F289" s="65"/>
      <c r="G289" s="65"/>
      <c r="H289" s="65"/>
      <c r="I289" s="65"/>
      <c r="J289" s="65"/>
      <c r="K289" s="65"/>
      <c r="L289" s="65"/>
      <c r="M289" s="65"/>
    </row>
    <row r="290" spans="1:13" ht="30.75" customHeight="1">
      <c r="B290" s="231" t="s">
        <v>331</v>
      </c>
      <c r="C290" s="232"/>
      <c r="D290" s="232"/>
      <c r="E290" s="232"/>
      <c r="F290" s="232"/>
      <c r="G290" s="232"/>
      <c r="H290" s="232"/>
      <c r="I290" s="232"/>
      <c r="J290" s="232"/>
      <c r="K290" s="65"/>
      <c r="L290" s="65"/>
      <c r="M290" s="65"/>
    </row>
    <row r="291" spans="1:13" ht="30" customHeight="1">
      <c r="B291" s="231" t="s">
        <v>214</v>
      </c>
      <c r="C291" s="232"/>
      <c r="D291" s="232"/>
      <c r="E291" s="232"/>
      <c r="F291" s="232"/>
      <c r="G291" s="232"/>
      <c r="H291" s="232"/>
      <c r="I291" s="232"/>
      <c r="J291" s="232"/>
      <c r="K291" s="65"/>
      <c r="L291" s="65"/>
      <c r="M291" s="65"/>
    </row>
    <row r="292" spans="1:13" ht="28.5" customHeight="1">
      <c r="B292" s="231" t="s">
        <v>215</v>
      </c>
      <c r="C292" s="232"/>
      <c r="D292" s="232"/>
      <c r="E292" s="232"/>
      <c r="F292" s="232"/>
      <c r="G292" s="232"/>
      <c r="H292" s="232"/>
      <c r="I292" s="232"/>
      <c r="J292" s="232"/>
      <c r="K292" s="65"/>
      <c r="L292" s="65"/>
      <c r="M292" s="65"/>
    </row>
    <row r="293" spans="1:13" collapsed="1">
      <c r="B293" s="231" t="s">
        <v>286</v>
      </c>
      <c r="C293" s="232"/>
      <c r="D293" s="232"/>
      <c r="E293" s="232"/>
      <c r="F293" s="232"/>
      <c r="G293" s="232"/>
      <c r="H293" s="232"/>
      <c r="I293" s="232"/>
      <c r="J293" s="232"/>
      <c r="K293" s="65"/>
      <c r="L293" s="65"/>
      <c r="M293" s="65"/>
    </row>
    <row r="294" spans="1:13" ht="12" customHeight="1">
      <c r="B294" s="231"/>
      <c r="C294" s="232"/>
      <c r="D294" s="232"/>
      <c r="E294" s="232"/>
      <c r="F294" s="232"/>
      <c r="G294" s="232"/>
      <c r="H294" s="232"/>
      <c r="I294" s="232"/>
      <c r="J294" s="232"/>
      <c r="K294" s="65"/>
      <c r="L294" s="65"/>
      <c r="M294" s="65"/>
    </row>
    <row r="295" spans="1:13" collapsed="1">
      <c r="A295" s="65"/>
      <c r="B295" s="65"/>
      <c r="C295" s="65"/>
      <c r="D295" s="65"/>
      <c r="E295" s="65"/>
      <c r="F295" s="65"/>
      <c r="G295" s="65"/>
      <c r="H295" s="65"/>
      <c r="I295" s="65"/>
      <c r="J295" s="65"/>
      <c r="K295" s="65"/>
      <c r="L295" s="65"/>
      <c r="M295" s="65"/>
    </row>
    <row r="296" spans="1:13">
      <c r="A296" s="83" t="s">
        <v>216</v>
      </c>
      <c r="B296" s="83"/>
      <c r="C296" s="83"/>
      <c r="D296" s="83"/>
      <c r="E296" s="83"/>
      <c r="F296" s="83"/>
      <c r="G296" s="83"/>
      <c r="H296" s="83"/>
      <c r="I296" s="84"/>
      <c r="J296" s="84"/>
      <c r="K296" s="84"/>
      <c r="L296" s="84"/>
      <c r="M296" s="85"/>
    </row>
    <row r="297" spans="1:13" hidden="1"/>
    <row r="298" spans="1:13" hidden="1"/>
    <row r="299" spans="1:13" hidden="1"/>
    <row r="300" spans="1:13" hidden="1"/>
    <row r="301" spans="1:13" hidden="1"/>
    <row r="302" spans="1:13" hidden="1"/>
    <row r="303" spans="1:13" hidden="1"/>
    <row r="304" spans="1:13" hidden="1"/>
    <row r="305" hidden="1"/>
    <row r="306" hidden="1"/>
    <row r="307" hidden="1"/>
    <row r="308" hidden="1"/>
    <row r="309" hidden="1"/>
    <row r="310" hidden="1"/>
    <row r="311" hidden="1"/>
    <row r="312" hidden="1"/>
    <row r="313" hidden="1"/>
    <row r="314" hidden="1"/>
    <row r="315" hidden="1"/>
    <row r="316" hidden="1"/>
    <row r="317" hidden="1"/>
    <row r="318" hidden="1"/>
    <row r="319" hidden="1"/>
    <row r="320" hidden="1"/>
    <row r="321" hidden="1"/>
    <row r="322" hidden="1"/>
    <row r="323" hidden="1"/>
    <row r="324" hidden="1"/>
    <row r="325" hidden="1"/>
    <row r="326" hidden="1"/>
    <row r="327" hidden="1"/>
    <row r="328" hidden="1"/>
    <row r="329" hidden="1"/>
    <row r="330" hidden="1"/>
    <row r="331" hidden="1"/>
    <row r="332" hidden="1"/>
    <row r="333" hidden="1"/>
    <row r="334" hidden="1"/>
    <row r="335" hidden="1"/>
    <row r="336" hidden="1"/>
    <row r="337" hidden="1"/>
    <row r="338" hidden="1"/>
    <row r="339" hidden="1"/>
    <row r="340" hidden="1"/>
    <row r="341" hidden="1"/>
    <row r="342" hidden="1"/>
    <row r="343" hidden="1"/>
    <row r="344" hidden="1"/>
    <row r="345" hidden="1"/>
    <row r="346" hidden="1"/>
    <row r="347" hidden="1"/>
    <row r="348" hidden="1"/>
    <row r="349" hidden="1"/>
    <row r="350" hidden="1"/>
    <row r="351" hidden="1"/>
    <row r="352" hidden="1"/>
    <row r="353" hidden="1"/>
    <row r="354" hidden="1"/>
    <row r="355" hidden="1"/>
    <row r="356" hidden="1"/>
    <row r="357" hidden="1"/>
    <row r="358" hidden="1"/>
    <row r="359" hidden="1"/>
    <row r="360" hidden="1"/>
    <row r="361" hidden="1"/>
    <row r="362" hidden="1"/>
    <row r="363" hidden="1"/>
    <row r="364" hidden="1"/>
    <row r="365" hidden="1"/>
    <row r="366" hidden="1"/>
    <row r="367" hidden="1"/>
    <row r="368" hidden="1"/>
    <row r="369" hidden="1"/>
    <row r="370" hidden="1"/>
    <row r="371" hidden="1"/>
    <row r="372" hidden="1"/>
    <row r="373" hidden="1"/>
    <row r="374" hidden="1"/>
    <row r="375" hidden="1"/>
    <row r="376" hidden="1"/>
    <row r="377" hidden="1"/>
    <row r="378" hidden="1"/>
    <row r="379" hidden="1"/>
    <row r="380" hidden="1"/>
    <row r="381" hidden="1"/>
    <row r="382" hidden="1"/>
    <row r="383" hidden="1"/>
    <row r="384" hidden="1"/>
    <row r="385" hidden="1"/>
    <row r="386" hidden="1"/>
    <row r="387" hidden="1"/>
    <row r="388" hidden="1"/>
    <row r="389" hidden="1"/>
    <row r="390" hidden="1"/>
    <row r="391" hidden="1"/>
    <row r="392" hidden="1"/>
    <row r="393" hidden="1"/>
    <row r="394" hidden="1"/>
    <row r="395" hidden="1"/>
    <row r="396" hidden="1"/>
    <row r="397" hidden="1"/>
    <row r="398" hidden="1"/>
    <row r="399" hidden="1"/>
    <row r="400" hidden="1"/>
    <row r="401" hidden="1"/>
    <row r="402" hidden="1"/>
    <row r="403" hidden="1"/>
    <row r="404" hidden="1"/>
    <row r="405" hidden="1"/>
    <row r="406" hidden="1"/>
    <row r="407" hidden="1"/>
    <row r="408" hidden="1"/>
    <row r="409" hidden="1"/>
    <row r="410" hidden="1"/>
    <row r="411" hidden="1"/>
    <row r="412" hidden="1"/>
    <row r="413" hidden="1"/>
    <row r="414" hidden="1"/>
    <row r="415" hidden="1"/>
    <row r="416" hidden="1"/>
    <row r="417" hidden="1"/>
    <row r="418" hidden="1"/>
    <row r="419" hidden="1"/>
    <row r="420" hidden="1"/>
    <row r="421" hidden="1"/>
    <row r="422" hidden="1"/>
    <row r="423" hidden="1"/>
    <row r="424" hidden="1"/>
    <row r="425" hidden="1"/>
    <row r="426" hidden="1"/>
    <row r="427" hidden="1"/>
    <row r="428" hidden="1"/>
    <row r="429" hidden="1"/>
    <row r="430" hidden="1"/>
    <row r="431" hidden="1"/>
    <row r="432" hidden="1"/>
    <row r="433" hidden="1"/>
    <row r="434" hidden="1"/>
    <row r="435" hidden="1"/>
    <row r="436" hidden="1"/>
    <row r="437" hidden="1"/>
    <row r="438" hidden="1"/>
    <row r="439" hidden="1"/>
    <row r="440" hidden="1"/>
    <row r="441" hidden="1"/>
    <row r="442" hidden="1"/>
    <row r="443" hidden="1"/>
    <row r="444" hidden="1"/>
    <row r="445" hidden="1"/>
    <row r="446" hidden="1"/>
    <row r="447" hidden="1"/>
    <row r="448" hidden="1"/>
    <row r="449" hidden="1"/>
    <row r="450" hidden="1"/>
    <row r="451" hidden="1"/>
    <row r="452" hidden="1"/>
    <row r="453" hidden="1"/>
    <row r="454" hidden="1"/>
    <row r="455" hidden="1"/>
    <row r="456" hidden="1"/>
    <row r="457" hidden="1"/>
    <row r="458" hidden="1"/>
    <row r="459" hidden="1"/>
    <row r="460" hidden="1"/>
    <row r="461" hidden="1"/>
    <row r="462" hidden="1"/>
    <row r="463" hidden="1"/>
    <row r="464" hidden="1"/>
    <row r="465" hidden="1"/>
    <row r="466" hidden="1"/>
    <row r="467" hidden="1"/>
    <row r="468" hidden="1"/>
    <row r="469" hidden="1"/>
    <row r="470" hidden="1"/>
    <row r="471" hidden="1"/>
    <row r="472" hidden="1"/>
    <row r="473" hidden="1"/>
    <row r="474" hidden="1"/>
    <row r="475" hidden="1"/>
    <row r="476" hidden="1"/>
    <row r="477" hidden="1"/>
    <row r="478" hidden="1"/>
    <row r="479" hidden="1"/>
    <row r="480" hidden="1"/>
    <row r="481" hidden="1"/>
    <row r="482" hidden="1"/>
    <row r="483" hidden="1"/>
    <row r="484" hidden="1"/>
    <row r="485" hidden="1"/>
    <row r="486" hidden="1"/>
    <row r="487" hidden="1"/>
    <row r="488" hidden="1"/>
    <row r="489" hidden="1"/>
    <row r="490" hidden="1"/>
    <row r="491" hidden="1"/>
    <row r="492" hidden="1"/>
    <row r="493" hidden="1"/>
    <row r="494" hidden="1"/>
    <row r="495" hidden="1"/>
    <row r="496" hidden="1"/>
    <row r="497" hidden="1"/>
    <row r="498" hidden="1"/>
    <row r="499" hidden="1"/>
    <row r="500" hidden="1"/>
    <row r="501" hidden="1"/>
    <row r="502" hidden="1"/>
    <row r="503" hidden="1"/>
    <row r="504" hidden="1"/>
    <row r="505" hidden="1"/>
    <row r="506" hidden="1"/>
    <row r="507" hidden="1"/>
    <row r="508" hidden="1"/>
    <row r="509" hidden="1"/>
    <row r="510" hidden="1"/>
    <row r="511" hidden="1"/>
    <row r="512" hidden="1"/>
    <row r="513" hidden="1"/>
    <row r="514" hidden="1"/>
    <row r="515" hidden="1"/>
    <row r="516" hidden="1"/>
    <row r="517" hidden="1"/>
    <row r="518" hidden="1"/>
    <row r="519" hidden="1"/>
    <row r="520" hidden="1"/>
    <row r="521" hidden="1"/>
    <row r="522" hidden="1"/>
    <row r="523" hidden="1"/>
    <row r="524" hidden="1"/>
    <row r="525" hidden="1"/>
    <row r="526" hidden="1"/>
    <row r="527" hidden="1"/>
    <row r="528" hidden="1"/>
    <row r="529" hidden="1"/>
    <row r="530" hidden="1"/>
    <row r="531" hidden="1"/>
    <row r="532" hidden="1"/>
    <row r="533" hidden="1"/>
    <row r="534" hidden="1"/>
    <row r="535" hidden="1"/>
    <row r="536" hidden="1"/>
    <row r="537" hidden="1"/>
    <row r="538" hidden="1"/>
    <row r="539" hidden="1"/>
    <row r="540" hidden="1"/>
    <row r="541" hidden="1"/>
    <row r="542" hidden="1"/>
    <row r="543" hidden="1"/>
    <row r="544" hidden="1"/>
    <row r="545" hidden="1"/>
    <row r="546" hidden="1"/>
    <row r="547" hidden="1"/>
    <row r="548" hidden="1"/>
    <row r="549" hidden="1"/>
    <row r="550" hidden="1"/>
    <row r="551" hidden="1"/>
    <row r="552" hidden="1"/>
    <row r="553" hidden="1"/>
    <row r="554" hidden="1"/>
    <row r="555" hidden="1"/>
    <row r="556" hidden="1"/>
    <row r="557" hidden="1"/>
    <row r="558" hidden="1"/>
    <row r="559" hidden="1"/>
    <row r="560" hidden="1"/>
    <row r="561" hidden="1"/>
    <row r="562" hidden="1"/>
    <row r="563" hidden="1"/>
    <row r="564" hidden="1"/>
    <row r="565" hidden="1"/>
    <row r="566" hidden="1"/>
    <row r="567" hidden="1"/>
    <row r="568" hidden="1"/>
    <row r="569" hidden="1"/>
    <row r="570" hidden="1"/>
    <row r="571" hidden="1"/>
    <row r="572" hidden="1"/>
    <row r="573" hidden="1"/>
    <row r="574" hidden="1"/>
    <row r="575" hidden="1"/>
    <row r="576" hidden="1"/>
    <row r="577" hidden="1"/>
    <row r="578" hidden="1"/>
    <row r="579" hidden="1"/>
    <row r="580" hidden="1"/>
    <row r="581" hidden="1"/>
    <row r="582" hidden="1"/>
    <row r="583" hidden="1"/>
    <row r="584" hidden="1"/>
    <row r="585" hidden="1"/>
    <row r="586" hidden="1"/>
    <row r="587" hidden="1"/>
    <row r="588" hidden="1"/>
    <row r="589" hidden="1"/>
    <row r="590" hidden="1"/>
    <row r="591" hidden="1"/>
    <row r="592" hidden="1"/>
    <row r="593" hidden="1"/>
    <row r="594" hidden="1"/>
    <row r="595" hidden="1"/>
    <row r="596" hidden="1"/>
    <row r="597" hidden="1"/>
    <row r="598" hidden="1"/>
    <row r="599" hidden="1"/>
    <row r="600" hidden="1"/>
    <row r="601" hidden="1"/>
    <row r="602" hidden="1"/>
    <row r="603" hidden="1"/>
    <row r="604" hidden="1"/>
    <row r="605" hidden="1"/>
    <row r="606" hidden="1"/>
    <row r="607" hidden="1"/>
    <row r="608" hidden="1"/>
    <row r="609" hidden="1"/>
    <row r="610" hidden="1"/>
    <row r="611" hidden="1"/>
    <row r="612" hidden="1"/>
    <row r="613" hidden="1"/>
    <row r="614" hidden="1"/>
    <row r="615" hidden="1"/>
    <row r="616" hidden="1"/>
    <row r="617" hidden="1"/>
    <row r="618" hidden="1"/>
    <row r="619" hidden="1"/>
    <row r="620" hidden="1"/>
    <row r="621" hidden="1"/>
    <row r="622" hidden="1"/>
    <row r="623" hidden="1"/>
    <row r="624" hidden="1"/>
    <row r="625" hidden="1"/>
    <row r="626" hidden="1"/>
    <row r="627" hidden="1"/>
    <row r="628" hidden="1"/>
    <row r="629" hidden="1"/>
    <row r="630" hidden="1"/>
    <row r="631" hidden="1"/>
    <row r="632" hidden="1"/>
    <row r="633" hidden="1"/>
    <row r="634" hidden="1"/>
    <row r="635" hidden="1"/>
    <row r="636" hidden="1"/>
    <row r="637" hidden="1"/>
    <row r="638" hidden="1"/>
    <row r="639" hidden="1"/>
    <row r="640" hidden="1"/>
    <row r="641" hidden="1"/>
    <row r="642" hidden="1"/>
    <row r="643" hidden="1"/>
    <row r="644" hidden="1"/>
    <row r="645" hidden="1"/>
    <row r="646" hidden="1"/>
    <row r="647" hidden="1"/>
    <row r="648" hidden="1"/>
    <row r="649" hidden="1"/>
    <row r="650" hidden="1"/>
    <row r="651" hidden="1"/>
    <row r="652" hidden="1"/>
    <row r="653" hidden="1"/>
    <row r="654" hidden="1"/>
    <row r="655" hidden="1"/>
    <row r="656" hidden="1"/>
    <row r="657" hidden="1"/>
    <row r="658" hidden="1"/>
    <row r="659" hidden="1"/>
    <row r="660" hidden="1"/>
    <row r="661" hidden="1"/>
    <row r="662" hidden="1"/>
    <row r="663" hidden="1"/>
    <row r="664" hidden="1"/>
    <row r="665" hidden="1"/>
    <row r="666" hidden="1"/>
    <row r="667" hidden="1"/>
    <row r="668" hidden="1"/>
    <row r="669" hidden="1"/>
    <row r="670" hidden="1"/>
    <row r="671" hidden="1"/>
    <row r="672" hidden="1"/>
    <row r="673" hidden="1"/>
    <row r="674" hidden="1"/>
    <row r="675" hidden="1"/>
    <row r="676" hidden="1"/>
    <row r="677" hidden="1"/>
    <row r="678" hidden="1"/>
    <row r="679" hidden="1"/>
    <row r="680" hidden="1"/>
    <row r="681" hidden="1"/>
    <row r="682" hidden="1"/>
    <row r="683" hidden="1"/>
    <row r="684" hidden="1"/>
    <row r="685" hidden="1"/>
    <row r="686" hidden="1"/>
    <row r="687" hidden="1"/>
    <row r="688" hidden="1"/>
    <row r="689" hidden="1"/>
    <row r="690" hidden="1"/>
    <row r="691" hidden="1"/>
    <row r="692" hidden="1"/>
    <row r="693" hidden="1"/>
    <row r="694" hidden="1"/>
    <row r="695" hidden="1"/>
    <row r="696" hidden="1"/>
    <row r="697" hidden="1"/>
    <row r="698" hidden="1"/>
    <row r="699" hidden="1"/>
    <row r="700" hidden="1"/>
    <row r="701" hidden="1"/>
    <row r="702" hidden="1"/>
    <row r="703" hidden="1"/>
    <row r="704" hidden="1"/>
    <row r="705" hidden="1"/>
    <row r="706" hidden="1"/>
    <row r="707" hidden="1"/>
    <row r="708" hidden="1"/>
    <row r="709" hidden="1"/>
    <row r="710" hidden="1"/>
    <row r="711" hidden="1"/>
    <row r="712" hidden="1"/>
    <row r="713" hidden="1"/>
    <row r="714" hidden="1"/>
    <row r="715" hidden="1"/>
    <row r="716" hidden="1"/>
    <row r="717" hidden="1"/>
    <row r="718" hidden="1"/>
    <row r="719" hidden="1"/>
    <row r="720" hidden="1"/>
    <row r="721" hidden="1"/>
    <row r="722" hidden="1"/>
    <row r="723" hidden="1"/>
    <row r="724" hidden="1"/>
    <row r="725" hidden="1"/>
    <row r="726" hidden="1"/>
    <row r="727" hidden="1"/>
    <row r="728" hidden="1"/>
    <row r="729" hidden="1"/>
    <row r="730" hidden="1"/>
    <row r="731" hidden="1"/>
    <row r="732" hidden="1"/>
    <row r="733" hidden="1"/>
    <row r="734" hidden="1"/>
    <row r="735" hidden="1"/>
    <row r="736" hidden="1"/>
    <row r="737" hidden="1"/>
    <row r="738" hidden="1"/>
    <row r="739" hidden="1"/>
    <row r="740" hidden="1"/>
    <row r="741" hidden="1"/>
    <row r="742" hidden="1"/>
    <row r="743" hidden="1"/>
    <row r="744" hidden="1"/>
    <row r="745" hidden="1"/>
    <row r="746" hidden="1"/>
    <row r="747" hidden="1"/>
    <row r="748" hidden="1"/>
    <row r="749" hidden="1"/>
    <row r="750" hidden="1"/>
    <row r="751" hidden="1"/>
    <row r="752" hidden="1"/>
    <row r="753" hidden="1"/>
    <row r="754" hidden="1"/>
    <row r="755" hidden="1"/>
    <row r="756" hidden="1"/>
    <row r="757" hidden="1"/>
    <row r="758" hidden="1"/>
    <row r="759" hidden="1"/>
    <row r="760" hidden="1"/>
    <row r="761" hidden="1"/>
    <row r="762" hidden="1"/>
    <row r="763" hidden="1"/>
    <row r="764" hidden="1"/>
    <row r="765" hidden="1"/>
    <row r="766" hidden="1"/>
    <row r="767" hidden="1"/>
    <row r="768" hidden="1"/>
    <row r="769" hidden="1"/>
    <row r="770" hidden="1"/>
    <row r="771" hidden="1"/>
    <row r="772" hidden="1"/>
    <row r="773" hidden="1"/>
    <row r="774" hidden="1"/>
    <row r="775" hidden="1"/>
    <row r="776" hidden="1"/>
    <row r="777" hidden="1"/>
    <row r="778" hidden="1"/>
    <row r="779" hidden="1"/>
    <row r="780" hidden="1"/>
    <row r="781" hidden="1"/>
    <row r="782" hidden="1"/>
    <row r="783" hidden="1"/>
    <row r="784" hidden="1"/>
    <row r="785" hidden="1"/>
    <row r="786" hidden="1"/>
    <row r="787" hidden="1"/>
    <row r="788" hidden="1"/>
    <row r="789" hidden="1"/>
    <row r="790" hidden="1"/>
    <row r="791" hidden="1"/>
    <row r="792" hidden="1"/>
    <row r="793" hidden="1"/>
    <row r="794" hidden="1"/>
    <row r="795" hidden="1"/>
    <row r="796" hidden="1"/>
    <row r="797" hidden="1"/>
    <row r="798" hidden="1"/>
    <row r="799" hidden="1"/>
    <row r="800" hidden="1"/>
    <row r="801" hidden="1"/>
    <row r="802" hidden="1"/>
    <row r="803" hidden="1"/>
    <row r="804" hidden="1"/>
    <row r="805" hidden="1"/>
    <row r="806" hidden="1"/>
    <row r="807" hidden="1"/>
    <row r="808" hidden="1"/>
    <row r="809" hidden="1"/>
    <row r="810" hidden="1"/>
    <row r="811" hidden="1"/>
    <row r="812" hidden="1"/>
    <row r="813" hidden="1"/>
    <row r="814" hidden="1"/>
    <row r="815" hidden="1"/>
    <row r="816" hidden="1"/>
    <row r="817" hidden="1"/>
    <row r="818" hidden="1"/>
    <row r="819" hidden="1"/>
    <row r="820" hidden="1"/>
    <row r="821" hidden="1"/>
    <row r="822" hidden="1"/>
    <row r="823" hidden="1"/>
    <row r="824" hidden="1"/>
    <row r="825" hidden="1"/>
    <row r="826" hidden="1"/>
    <row r="827" hidden="1"/>
    <row r="828" hidden="1"/>
    <row r="829" hidden="1"/>
    <row r="830" hidden="1"/>
    <row r="831" hidden="1"/>
    <row r="832" hidden="1"/>
    <row r="833" hidden="1"/>
    <row r="834" hidden="1"/>
    <row r="835" hidden="1"/>
    <row r="836" hidden="1"/>
    <row r="837" hidden="1"/>
    <row r="838" hidden="1"/>
    <row r="839" hidden="1"/>
    <row r="840" hidden="1"/>
    <row r="841" hidden="1"/>
    <row r="842" hidden="1"/>
    <row r="843" hidden="1"/>
    <row r="844" hidden="1"/>
    <row r="845" hidden="1"/>
    <row r="846" hidden="1"/>
    <row r="847" hidden="1"/>
    <row r="848" hidden="1"/>
    <row r="849" hidden="1"/>
    <row r="850" hidden="1"/>
    <row r="851" hidden="1"/>
    <row r="852" hidden="1"/>
    <row r="853" hidden="1"/>
    <row r="854" hidden="1"/>
    <row r="855" hidden="1"/>
    <row r="856" hidden="1"/>
    <row r="857" hidden="1"/>
    <row r="858" hidden="1"/>
    <row r="859" hidden="1"/>
    <row r="860" hidden="1"/>
    <row r="861" hidden="1"/>
    <row r="862" hidden="1"/>
    <row r="863" hidden="1"/>
    <row r="864" hidden="1"/>
    <row r="865" spans="1:1" hidden="1"/>
    <row r="866" spans="1:1" hidden="1"/>
    <row r="867" spans="1:1" hidden="1"/>
    <row r="868" spans="1:1" hidden="1"/>
    <row r="869" spans="1:1" hidden="1"/>
    <row r="870" spans="1:1" hidden="1"/>
    <row r="871" spans="1:1"/>
    <row r="872" spans="1:1"/>
    <row r="873" spans="1:1" hidden="1">
      <c r="A873" s="86"/>
    </row>
    <row r="874" spans="1:1" hidden="1">
      <c r="A874" s="86"/>
    </row>
    <row r="875" spans="1:1" ht="12.75" customHeight="1"/>
    <row r="876" spans="1:1" ht="12.75" customHeight="1"/>
    <row r="877" spans="1:1" ht="12.75" customHeight="1"/>
    <row r="878" spans="1:1" ht="12.75" customHeight="1"/>
    <row r="879" spans="1:1" ht="12.75" customHeight="1"/>
    <row r="880" spans="1:1" ht="12.75" customHeight="1"/>
    <row r="881" ht="12.75" customHeight="1"/>
    <row r="882" ht="12.75" customHeight="1"/>
    <row r="883" ht="12.75" customHeight="1"/>
    <row r="884" ht="12.75" customHeight="1"/>
    <row r="885" ht="12.75" customHeight="1"/>
    <row r="886" ht="12.75" customHeight="1"/>
    <row r="887" ht="12.75" customHeight="1"/>
    <row r="888" ht="12.75" customHeight="1"/>
  </sheetData>
  <sheetProtection autoFilter="0"/>
  <mergeCells count="261">
    <mergeCell ref="B12:J12"/>
    <mergeCell ref="B13:J13"/>
    <mergeCell ref="B14:J14"/>
    <mergeCell ref="B15:J15"/>
    <mergeCell ref="B16:J16"/>
    <mergeCell ref="B17:J17"/>
    <mergeCell ref="C35:J35"/>
    <mergeCell ref="C36:J36"/>
    <mergeCell ref="B40:J40"/>
    <mergeCell ref="B41:J41"/>
    <mergeCell ref="C33:J33"/>
    <mergeCell ref="C29:J29"/>
    <mergeCell ref="C31:J31"/>
    <mergeCell ref="C32:J32"/>
    <mergeCell ref="B18:J18"/>
    <mergeCell ref="B19:J19"/>
    <mergeCell ref="B20:J20"/>
    <mergeCell ref="C27:J27"/>
    <mergeCell ref="C28:J28"/>
    <mergeCell ref="B48:J48"/>
    <mergeCell ref="B49:J49"/>
    <mergeCell ref="B50:J50"/>
    <mergeCell ref="B51:J51"/>
    <mergeCell ref="B52:J52"/>
    <mergeCell ref="B53:J53"/>
    <mergeCell ref="B42:J42"/>
    <mergeCell ref="B43:J43"/>
    <mergeCell ref="B44:J44"/>
    <mergeCell ref="B45:J45"/>
    <mergeCell ref="B46:J46"/>
    <mergeCell ref="B47:J47"/>
    <mergeCell ref="B60:J60"/>
    <mergeCell ref="B61:J61"/>
    <mergeCell ref="B62:J62"/>
    <mergeCell ref="B63:J63"/>
    <mergeCell ref="B64:J64"/>
    <mergeCell ref="B65:J65"/>
    <mergeCell ref="B54:J54"/>
    <mergeCell ref="B55:J55"/>
    <mergeCell ref="B56:J56"/>
    <mergeCell ref="B57:J57"/>
    <mergeCell ref="B58:J58"/>
    <mergeCell ref="B59:J59"/>
    <mergeCell ref="B72:J72"/>
    <mergeCell ref="B73:J73"/>
    <mergeCell ref="B74:J74"/>
    <mergeCell ref="B75:J75"/>
    <mergeCell ref="B76:J76"/>
    <mergeCell ref="B77:J77"/>
    <mergeCell ref="B66:J66"/>
    <mergeCell ref="B67:J67"/>
    <mergeCell ref="B68:J68"/>
    <mergeCell ref="B69:J69"/>
    <mergeCell ref="B70:J70"/>
    <mergeCell ref="B71:J71"/>
    <mergeCell ref="B84:J84"/>
    <mergeCell ref="B85:J85"/>
    <mergeCell ref="B86:J86"/>
    <mergeCell ref="B87:J87"/>
    <mergeCell ref="B88:J88"/>
    <mergeCell ref="B89:J89"/>
    <mergeCell ref="B78:J78"/>
    <mergeCell ref="B79:J79"/>
    <mergeCell ref="B80:J80"/>
    <mergeCell ref="B81:J81"/>
    <mergeCell ref="B82:J82"/>
    <mergeCell ref="B83:J83"/>
    <mergeCell ref="B96:J96"/>
    <mergeCell ref="B97:J97"/>
    <mergeCell ref="B98:J98"/>
    <mergeCell ref="B99:J99"/>
    <mergeCell ref="B100:J100"/>
    <mergeCell ref="B101:J101"/>
    <mergeCell ref="B90:J90"/>
    <mergeCell ref="B91:J91"/>
    <mergeCell ref="B92:J92"/>
    <mergeCell ref="B93:J93"/>
    <mergeCell ref="B94:J94"/>
    <mergeCell ref="B95:J95"/>
    <mergeCell ref="B108:J108"/>
    <mergeCell ref="B109:J109"/>
    <mergeCell ref="B110:J110"/>
    <mergeCell ref="B111:J111"/>
    <mergeCell ref="B112:J112"/>
    <mergeCell ref="B113:J113"/>
    <mergeCell ref="B102:J102"/>
    <mergeCell ref="B103:J103"/>
    <mergeCell ref="B104:J104"/>
    <mergeCell ref="B105:J105"/>
    <mergeCell ref="B106:J106"/>
    <mergeCell ref="B107:J107"/>
    <mergeCell ref="B120:J120"/>
    <mergeCell ref="B121:J121"/>
    <mergeCell ref="B122:J122"/>
    <mergeCell ref="B123:J123"/>
    <mergeCell ref="B124:J124"/>
    <mergeCell ref="B125:J125"/>
    <mergeCell ref="B114:J114"/>
    <mergeCell ref="B115:J115"/>
    <mergeCell ref="B116:J116"/>
    <mergeCell ref="B117:J117"/>
    <mergeCell ref="B118:J118"/>
    <mergeCell ref="B119:J119"/>
    <mergeCell ref="B132:J132"/>
    <mergeCell ref="B133:J133"/>
    <mergeCell ref="B134:J134"/>
    <mergeCell ref="B135:J135"/>
    <mergeCell ref="B136:J136"/>
    <mergeCell ref="B137:J137"/>
    <mergeCell ref="B126:J126"/>
    <mergeCell ref="B127:J127"/>
    <mergeCell ref="B128:J128"/>
    <mergeCell ref="B129:J129"/>
    <mergeCell ref="B130:J130"/>
    <mergeCell ref="B131:J131"/>
    <mergeCell ref="B145:J145"/>
    <mergeCell ref="B146:J146"/>
    <mergeCell ref="B147:J147"/>
    <mergeCell ref="B148:J148"/>
    <mergeCell ref="B149:J149"/>
    <mergeCell ref="B150:J150"/>
    <mergeCell ref="B138:J138"/>
    <mergeCell ref="B140:J140"/>
    <mergeCell ref="B141:J141"/>
    <mergeCell ref="B142:J142"/>
    <mergeCell ref="B143:J143"/>
    <mergeCell ref="B144:J144"/>
    <mergeCell ref="B157:J157"/>
    <mergeCell ref="B158:J158"/>
    <mergeCell ref="B159:J159"/>
    <mergeCell ref="B160:J160"/>
    <mergeCell ref="B161:J161"/>
    <mergeCell ref="B162:J162"/>
    <mergeCell ref="B151:J151"/>
    <mergeCell ref="B152:J152"/>
    <mergeCell ref="B153:J153"/>
    <mergeCell ref="B154:J154"/>
    <mergeCell ref="B155:J155"/>
    <mergeCell ref="B156:J156"/>
    <mergeCell ref="B169:J169"/>
    <mergeCell ref="B170:J170"/>
    <mergeCell ref="B171:J171"/>
    <mergeCell ref="B172:J172"/>
    <mergeCell ref="B175:J175"/>
    <mergeCell ref="B176:J176"/>
    <mergeCell ref="B163:J163"/>
    <mergeCell ref="B164:J164"/>
    <mergeCell ref="B165:J165"/>
    <mergeCell ref="B166:J166"/>
    <mergeCell ref="B167:J167"/>
    <mergeCell ref="B168:J168"/>
    <mergeCell ref="B185:J185"/>
    <mergeCell ref="B186:J186"/>
    <mergeCell ref="B187:J187"/>
    <mergeCell ref="B188:J188"/>
    <mergeCell ref="B189:J189"/>
    <mergeCell ref="B190:J190"/>
    <mergeCell ref="B177:J177"/>
    <mergeCell ref="B178:J178"/>
    <mergeCell ref="B179:J179"/>
    <mergeCell ref="B180:J180"/>
    <mergeCell ref="B181:J181"/>
    <mergeCell ref="B184:J184"/>
    <mergeCell ref="B197:J197"/>
    <mergeCell ref="B198:J198"/>
    <mergeCell ref="B199:J199"/>
    <mergeCell ref="B200:J200"/>
    <mergeCell ref="B201:J201"/>
    <mergeCell ref="B202:J202"/>
    <mergeCell ref="B191:J191"/>
    <mergeCell ref="B192:J192"/>
    <mergeCell ref="B193:J193"/>
    <mergeCell ref="B194:J194"/>
    <mergeCell ref="B195:J195"/>
    <mergeCell ref="B196:J196"/>
    <mergeCell ref="B209:J209"/>
    <mergeCell ref="B210:J210"/>
    <mergeCell ref="B211:J211"/>
    <mergeCell ref="B212:J212"/>
    <mergeCell ref="B213:J213"/>
    <mergeCell ref="B214:J214"/>
    <mergeCell ref="B203:J203"/>
    <mergeCell ref="B204:J204"/>
    <mergeCell ref="B205:J205"/>
    <mergeCell ref="B206:J206"/>
    <mergeCell ref="B207:J207"/>
    <mergeCell ref="B208:J208"/>
    <mergeCell ref="B221:J221"/>
    <mergeCell ref="B222:J222"/>
    <mergeCell ref="B223:J223"/>
    <mergeCell ref="B224:J224"/>
    <mergeCell ref="B225:J225"/>
    <mergeCell ref="B226:J226"/>
    <mergeCell ref="B215:J215"/>
    <mergeCell ref="B216:J216"/>
    <mergeCell ref="B217:J217"/>
    <mergeCell ref="B218:J218"/>
    <mergeCell ref="B219:J219"/>
    <mergeCell ref="B220:J220"/>
    <mergeCell ref="B237:J237"/>
    <mergeCell ref="B238:J238"/>
    <mergeCell ref="B239:J239"/>
    <mergeCell ref="B240:J240"/>
    <mergeCell ref="B241:J241"/>
    <mergeCell ref="B242:J242"/>
    <mergeCell ref="B227:J227"/>
    <mergeCell ref="B232:J232"/>
    <mergeCell ref="B233:J233"/>
    <mergeCell ref="B234:J234"/>
    <mergeCell ref="B235:J235"/>
    <mergeCell ref="B236:J236"/>
    <mergeCell ref="B249:J249"/>
    <mergeCell ref="B250:J250"/>
    <mergeCell ref="B251:J251"/>
    <mergeCell ref="B252:J252"/>
    <mergeCell ref="B253:J253"/>
    <mergeCell ref="B254:J254"/>
    <mergeCell ref="B243:J243"/>
    <mergeCell ref="B244:J244"/>
    <mergeCell ref="B245:J245"/>
    <mergeCell ref="B246:J246"/>
    <mergeCell ref="B247:J247"/>
    <mergeCell ref="B248:J248"/>
    <mergeCell ref="B261:J261"/>
    <mergeCell ref="B262:J262"/>
    <mergeCell ref="B263:J263"/>
    <mergeCell ref="B264:J264"/>
    <mergeCell ref="B265:J265"/>
    <mergeCell ref="B266:J266"/>
    <mergeCell ref="B255:J255"/>
    <mergeCell ref="B256:J256"/>
    <mergeCell ref="B257:J257"/>
    <mergeCell ref="B258:J258"/>
    <mergeCell ref="B259:J259"/>
    <mergeCell ref="B260:J260"/>
    <mergeCell ref="B273:J273"/>
    <mergeCell ref="B274:J274"/>
    <mergeCell ref="B275:J275"/>
    <mergeCell ref="B276:J276"/>
    <mergeCell ref="B277:J277"/>
    <mergeCell ref="B278:J278"/>
    <mergeCell ref="B267:J267"/>
    <mergeCell ref="B268:J268"/>
    <mergeCell ref="B269:J269"/>
    <mergeCell ref="B270:J270"/>
    <mergeCell ref="B271:J271"/>
    <mergeCell ref="B272:J272"/>
    <mergeCell ref="B293:J293"/>
    <mergeCell ref="B294:J294"/>
    <mergeCell ref="B285:J285"/>
    <mergeCell ref="B286:J286"/>
    <mergeCell ref="B287:J287"/>
    <mergeCell ref="B290:J290"/>
    <mergeCell ref="B291:J291"/>
    <mergeCell ref="B292:J292"/>
    <mergeCell ref="B279:J279"/>
    <mergeCell ref="B280:J280"/>
    <mergeCell ref="B281:J281"/>
    <mergeCell ref="B282:J282"/>
    <mergeCell ref="B283:J283"/>
    <mergeCell ref="B284:J284"/>
  </mergeCells>
  <conditionalFormatting sqref="A1:M1">
    <cfRule type="expression" dxfId="27" priority="1" stopIfTrue="1">
      <formula>ErrorsPresent&gt;0</formula>
    </cfRule>
    <cfRule type="expression" dxfId="26" priority="2" stopIfTrue="1">
      <formula>ErrorsPresent&lt;0</formula>
    </cfRule>
  </conditionalFormatting>
  <pageMargins left="0.4" right="0.4" top="1" bottom="1" header="0.5" footer="0.5"/>
  <pageSetup scale="63" fitToHeight="3" orientation="portrait" r:id="rId1"/>
  <headerFooter alignWithMargins="0">
    <oddHeader>&amp;LFUJITSU SERVICES&amp;RCOMMERCIAL IN CONFIDENCE</oddHeader>
    <oddFooter>&amp;L&amp;"Arial,Italic"&amp;F&amp;C&amp;"Arial,Italic"Printed on &amp;D at &amp;T&amp;R&amp;"Arial,Italic"Page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69" r:id="rId4" name="o_IN2">
              <controlPr defaultSize="0" print="0" autoFill="0" autoPict="0">
                <anchor moveWithCells="1" sizeWithCells="1">
                  <from>
                    <xdr:col>0</xdr:col>
                    <xdr:colOff>28575</xdr:colOff>
                    <xdr:row>2</xdr:row>
                    <xdr:rowOff>19050</xdr:rowOff>
                  </from>
                  <to>
                    <xdr:col>0</xdr:col>
                    <xdr:colOff>714375</xdr:colOff>
                    <xdr:row>4</xdr:row>
                    <xdr:rowOff>66675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pageSetUpPr autoPageBreaks="0" fitToPage="1"/>
  </sheetPr>
  <dimension ref="A1:P48"/>
  <sheetViews>
    <sheetView showGridLines="0" zoomScale="87" zoomScaleNormal="87" workbookViewId="0">
      <pane ySplit="7" topLeftCell="A8" activePane="bottomLeft" state="frozen"/>
      <selection pane="bottomLeft" activeCell="Q42" sqref="Q42"/>
    </sheetView>
  </sheetViews>
  <sheetFormatPr defaultColWidth="9.140625" defaultRowHeight="12.75" customHeight="1" zeroHeight="1"/>
  <cols>
    <col min="1" max="1" width="4.28515625" style="87" customWidth="1"/>
    <col min="2" max="2" width="13.7109375" style="87" customWidth="1"/>
    <col min="3" max="3" width="27" style="87" customWidth="1"/>
    <col min="4" max="4" width="13.28515625" style="87" customWidth="1"/>
    <col min="5" max="5" width="17.85546875" style="87" customWidth="1"/>
    <col min="6" max="16" width="9.140625" style="87" customWidth="1"/>
    <col min="17" max="16384" width="9.140625" style="87"/>
  </cols>
  <sheetData>
    <row r="1" spans="1:16">
      <c r="A1" s="90" t="s">
        <v>0</v>
      </c>
      <c r="B1" s="90"/>
      <c r="C1" s="90"/>
      <c r="D1" s="90"/>
      <c r="E1" s="90"/>
      <c r="F1" s="90"/>
      <c r="G1" s="90"/>
      <c r="H1" s="90"/>
      <c r="I1" s="90"/>
      <c r="J1" s="90"/>
      <c r="K1" s="90"/>
      <c r="L1" s="90"/>
      <c r="M1" s="90"/>
      <c r="N1" s="90"/>
      <c r="O1" s="90"/>
      <c r="P1" s="90"/>
    </row>
    <row r="2" spans="1:16">
      <c r="A2" s="109" t="s">
        <v>237</v>
      </c>
      <c r="C2" s="88"/>
      <c r="D2" s="88"/>
      <c r="E2" s="88"/>
      <c r="F2" s="88"/>
      <c r="G2" s="88"/>
      <c r="H2" s="88"/>
      <c r="I2" s="88"/>
      <c r="J2" s="88"/>
      <c r="K2" s="88"/>
      <c r="L2" s="88"/>
      <c r="M2" s="88"/>
      <c r="N2" s="88"/>
    </row>
    <row r="3" spans="1:16">
      <c r="B3" s="12"/>
      <c r="C3" s="88"/>
      <c r="D3" s="88"/>
      <c r="E3" s="88"/>
      <c r="F3" s="88"/>
      <c r="G3" s="88"/>
      <c r="H3" s="88"/>
      <c r="I3" s="88"/>
      <c r="J3" s="88"/>
      <c r="K3" s="88"/>
      <c r="L3" s="88"/>
      <c r="M3" s="88"/>
      <c r="N3" s="88"/>
    </row>
    <row r="4" spans="1:16">
      <c r="B4" s="12"/>
      <c r="C4" s="88"/>
      <c r="D4" s="88"/>
      <c r="E4" s="88"/>
      <c r="F4" s="88"/>
      <c r="G4" s="88"/>
      <c r="H4" s="88"/>
      <c r="I4" s="88"/>
      <c r="J4" s="88"/>
      <c r="K4" s="88"/>
      <c r="L4" s="88"/>
      <c r="M4" s="88"/>
      <c r="N4" s="88"/>
    </row>
    <row r="5" spans="1:16">
      <c r="B5" s="89"/>
      <c r="C5" s="88"/>
      <c r="D5" s="88"/>
      <c r="E5" s="88"/>
      <c r="F5" s="88"/>
      <c r="G5" s="88"/>
      <c r="H5" s="88"/>
      <c r="I5" s="88"/>
      <c r="J5" s="88"/>
      <c r="K5" s="88"/>
      <c r="L5" s="88"/>
      <c r="M5" s="88"/>
      <c r="N5" s="88"/>
    </row>
    <row r="6" spans="1:16" hidden="1">
      <c r="B6" s="88"/>
      <c r="C6" s="88"/>
      <c r="D6" s="88"/>
      <c r="E6" s="88"/>
      <c r="F6" s="88"/>
      <c r="G6" s="88"/>
      <c r="H6" s="88"/>
      <c r="I6" s="88"/>
      <c r="J6" s="88"/>
      <c r="K6" s="88"/>
      <c r="L6" s="88"/>
      <c r="M6" s="88"/>
      <c r="N6" s="88"/>
    </row>
    <row r="7" spans="1:16" hidden="1">
      <c r="B7" s="88"/>
      <c r="C7" s="88"/>
      <c r="D7" s="88"/>
      <c r="E7" s="88"/>
      <c r="F7" s="88"/>
      <c r="G7" s="88"/>
      <c r="H7" s="88"/>
      <c r="I7" s="88"/>
      <c r="J7" s="88"/>
      <c r="K7" s="88"/>
      <c r="L7" s="88"/>
      <c r="M7" s="88"/>
      <c r="N7" s="88"/>
    </row>
    <row r="8" spans="1:16">
      <c r="A8" s="90"/>
      <c r="B8" s="90" t="s">
        <v>218</v>
      </c>
      <c r="C8" s="91"/>
      <c r="D8" s="91"/>
      <c r="E8" s="91"/>
      <c r="F8" s="91"/>
      <c r="G8" s="91"/>
      <c r="H8" s="91"/>
      <c r="I8" s="91"/>
      <c r="J8" s="91"/>
      <c r="K8" s="91"/>
      <c r="L8" s="91"/>
      <c r="M8" s="91"/>
      <c r="N8" s="92"/>
      <c r="O8" s="92"/>
      <c r="P8" s="92"/>
    </row>
    <row r="9" spans="1:16">
      <c r="B9" s="88"/>
      <c r="C9" s="88"/>
      <c r="D9" s="88"/>
      <c r="E9" s="88"/>
      <c r="F9" s="88"/>
      <c r="G9" s="88"/>
      <c r="H9" s="88"/>
      <c r="I9" s="88"/>
      <c r="J9" s="88"/>
      <c r="K9" s="88"/>
      <c r="L9" s="88"/>
      <c r="M9" s="88"/>
      <c r="N9" s="88"/>
    </row>
    <row r="10" spans="1:16">
      <c r="B10" s="88"/>
      <c r="C10" s="88"/>
      <c r="D10" s="93" t="s">
        <v>219</v>
      </c>
      <c r="E10" s="94" t="s">
        <v>21</v>
      </c>
      <c r="F10" s="88"/>
      <c r="G10" s="88"/>
      <c r="H10" s="88"/>
      <c r="I10" s="88"/>
      <c r="J10" s="88"/>
      <c r="K10" s="88"/>
      <c r="L10" s="88"/>
      <c r="M10" s="88"/>
      <c r="N10" s="88"/>
    </row>
    <row r="11" spans="1:16">
      <c r="B11" s="95" t="s">
        <v>220</v>
      </c>
      <c r="C11" s="88"/>
      <c r="D11" s="88"/>
      <c r="E11" s="88"/>
      <c r="F11" s="88"/>
      <c r="G11" s="88"/>
      <c r="H11" s="88"/>
      <c r="I11" s="88"/>
      <c r="J11" s="88"/>
      <c r="K11" s="88"/>
      <c r="L11" s="88"/>
      <c r="M11" s="88"/>
      <c r="N11" s="88"/>
    </row>
    <row r="12" spans="1:16">
      <c r="B12" s="88"/>
      <c r="C12" s="88" t="s">
        <v>221</v>
      </c>
      <c r="D12" s="96">
        <v>12000</v>
      </c>
      <c r="E12" s="88" t="s">
        <v>222</v>
      </c>
      <c r="F12" s="88"/>
      <c r="G12" s="88"/>
      <c r="H12" s="88"/>
      <c r="I12" s="88"/>
      <c r="J12" s="88"/>
      <c r="K12" s="88"/>
      <c r="L12" s="88"/>
      <c r="M12" s="88"/>
      <c r="N12" s="88"/>
    </row>
    <row r="13" spans="1:16">
      <c r="B13" s="88"/>
      <c r="C13" s="88"/>
      <c r="D13" s="88"/>
      <c r="E13" s="88"/>
      <c r="F13" s="88"/>
      <c r="G13" s="88"/>
      <c r="H13" s="88"/>
      <c r="I13" s="88"/>
      <c r="J13" s="88"/>
      <c r="K13" s="88"/>
      <c r="L13" s="88"/>
      <c r="M13" s="88"/>
      <c r="N13" s="88"/>
    </row>
    <row r="14" spans="1:16">
      <c r="B14" s="88"/>
      <c r="C14" s="88" t="s">
        <v>223</v>
      </c>
      <c r="D14" s="97" t="str">
        <f>"Optional"</f>
        <v>Optional</v>
      </c>
      <c r="E14" s="88" t="s">
        <v>224</v>
      </c>
      <c r="F14" s="88"/>
      <c r="G14" s="88"/>
      <c r="H14" s="88"/>
      <c r="I14" s="88"/>
      <c r="J14" s="88"/>
      <c r="K14" s="88"/>
      <c r="L14" s="88"/>
      <c r="M14" s="88"/>
      <c r="N14" s="88"/>
    </row>
    <row r="15" spans="1:16">
      <c r="B15" s="88"/>
      <c r="C15" s="88"/>
      <c r="D15" s="88"/>
      <c r="E15" s="88"/>
      <c r="F15" s="88"/>
      <c r="G15" s="88"/>
      <c r="H15" s="88"/>
      <c r="I15" s="88"/>
      <c r="J15" s="88"/>
      <c r="K15" s="88"/>
      <c r="L15" s="88"/>
      <c r="M15" s="88"/>
      <c r="N15" s="88"/>
    </row>
    <row r="16" spans="1:16">
      <c r="B16" s="88"/>
      <c r="C16" s="88" t="s">
        <v>225</v>
      </c>
      <c r="D16" s="98" t="s">
        <v>225</v>
      </c>
      <c r="E16" s="88" t="s">
        <v>452</v>
      </c>
      <c r="F16" s="88"/>
      <c r="G16" s="88"/>
      <c r="H16" s="88"/>
      <c r="I16" s="88"/>
      <c r="J16" s="88"/>
      <c r="K16" s="88"/>
      <c r="L16" s="88"/>
      <c r="M16" s="88"/>
      <c r="N16" s="88"/>
    </row>
    <row r="17" spans="2:14">
      <c r="B17" s="88"/>
      <c r="C17" s="88"/>
      <c r="D17" s="88"/>
      <c r="E17" s="88"/>
      <c r="F17" s="88"/>
      <c r="G17" s="88"/>
      <c r="H17" s="88"/>
      <c r="I17" s="88"/>
      <c r="J17" s="88"/>
      <c r="K17" s="88"/>
      <c r="L17" s="88"/>
      <c r="M17" s="88"/>
      <c r="N17" s="88"/>
    </row>
    <row r="18" spans="2:14">
      <c r="B18" s="88"/>
      <c r="C18" s="88" t="s">
        <v>449</v>
      </c>
      <c r="D18" s="99" t="s">
        <v>226</v>
      </c>
      <c r="E18" s="88" t="s">
        <v>450</v>
      </c>
      <c r="F18" s="88"/>
      <c r="G18" s="88"/>
      <c r="H18" s="88"/>
      <c r="I18" s="88"/>
      <c r="J18" s="88"/>
      <c r="K18" s="88"/>
      <c r="L18" s="88"/>
      <c r="M18" s="88"/>
      <c r="N18" s="88"/>
    </row>
    <row r="19" spans="2:14">
      <c r="B19" s="88"/>
      <c r="C19" s="88"/>
      <c r="D19" s="88"/>
      <c r="E19" s="88"/>
      <c r="F19" s="88"/>
      <c r="G19" s="88"/>
      <c r="H19" s="88"/>
      <c r="I19" s="88"/>
      <c r="J19" s="88"/>
      <c r="K19" s="88"/>
      <c r="L19" s="88"/>
      <c r="M19" s="88"/>
      <c r="N19" s="88"/>
    </row>
    <row r="20" spans="2:14">
      <c r="B20" s="88"/>
      <c r="C20" s="88" t="s">
        <v>227</v>
      </c>
      <c r="D20" s="100" t="s">
        <v>228</v>
      </c>
      <c r="E20" s="88" t="s">
        <v>229</v>
      </c>
      <c r="F20" s="88"/>
      <c r="G20" s="88"/>
      <c r="H20" s="88"/>
      <c r="I20" s="88"/>
      <c r="J20" s="88"/>
      <c r="K20" s="88"/>
      <c r="L20" s="88"/>
      <c r="M20" s="88"/>
      <c r="N20" s="88"/>
    </row>
    <row r="21" spans="2:14">
      <c r="B21" s="88"/>
      <c r="C21" s="88"/>
      <c r="D21" s="88"/>
      <c r="E21" s="88"/>
      <c r="F21" s="88"/>
      <c r="G21" s="88"/>
      <c r="H21" s="88"/>
      <c r="I21" s="88"/>
      <c r="J21" s="88"/>
      <c r="K21" s="88"/>
      <c r="L21" s="88"/>
      <c r="M21" s="88"/>
      <c r="N21" s="88"/>
    </row>
    <row r="22" spans="2:14">
      <c r="B22" s="95" t="s">
        <v>230</v>
      </c>
      <c r="C22" s="88"/>
      <c r="D22" s="88"/>
      <c r="E22" s="88"/>
      <c r="F22" s="88"/>
      <c r="G22" s="88"/>
      <c r="H22" s="88"/>
      <c r="I22" s="88"/>
      <c r="J22" s="88"/>
      <c r="K22" s="88"/>
      <c r="L22" s="88"/>
      <c r="M22" s="88"/>
      <c r="N22" s="88"/>
    </row>
    <row r="23" spans="2:14">
      <c r="B23" s="88"/>
      <c r="C23" s="88" t="s">
        <v>231</v>
      </c>
      <c r="D23" s="101">
        <f>1+2</f>
        <v>3</v>
      </c>
      <c r="E23" s="88" t="s">
        <v>451</v>
      </c>
      <c r="F23" s="88"/>
      <c r="G23" s="88"/>
      <c r="H23" s="88"/>
      <c r="I23" s="88"/>
      <c r="J23" s="88"/>
      <c r="K23" s="88"/>
      <c r="L23" s="88"/>
      <c r="M23" s="88"/>
      <c r="N23" s="88"/>
    </row>
    <row r="24" spans="2:14">
      <c r="B24" s="88"/>
      <c r="C24" s="88"/>
      <c r="D24" s="88"/>
      <c r="E24" s="88"/>
      <c r="F24" s="88"/>
      <c r="G24" s="88"/>
      <c r="H24" s="88"/>
      <c r="I24" s="88"/>
      <c r="J24" s="88"/>
      <c r="K24" s="88"/>
      <c r="L24" s="88"/>
      <c r="M24" s="88"/>
      <c r="N24" s="88"/>
    </row>
    <row r="25" spans="2:14">
      <c r="B25" s="88"/>
      <c r="C25" s="88" t="s">
        <v>232</v>
      </c>
      <c r="D25" s="102">
        <f>1+2</f>
        <v>3</v>
      </c>
      <c r="E25" s="88" t="s">
        <v>453</v>
      </c>
      <c r="F25" s="88"/>
      <c r="G25" s="88"/>
      <c r="H25" s="88"/>
      <c r="I25" s="88"/>
      <c r="J25" s="88"/>
      <c r="K25" s="88"/>
      <c r="L25" s="88"/>
      <c r="M25" s="88"/>
      <c r="N25" s="88"/>
    </row>
    <row r="26" spans="2:14">
      <c r="B26" s="88"/>
      <c r="C26" s="88"/>
      <c r="D26" s="88"/>
      <c r="E26" s="88"/>
      <c r="F26" s="88"/>
      <c r="G26" s="88"/>
      <c r="H26" s="88"/>
      <c r="I26" s="88"/>
      <c r="J26" s="88"/>
      <c r="K26" s="88"/>
      <c r="L26" s="88"/>
      <c r="M26" s="88"/>
      <c r="N26" s="88"/>
    </row>
    <row r="27" spans="2:14">
      <c r="B27" s="88"/>
      <c r="C27" s="88" t="s">
        <v>233</v>
      </c>
      <c r="D27" s="103">
        <v>123</v>
      </c>
      <c r="E27" s="88" t="s">
        <v>234</v>
      </c>
      <c r="F27" s="88"/>
      <c r="G27" s="88"/>
      <c r="H27" s="88"/>
      <c r="I27" s="88"/>
      <c r="J27" s="88"/>
      <c r="K27" s="88"/>
      <c r="L27" s="88"/>
      <c r="M27" s="88"/>
      <c r="N27" s="88"/>
    </row>
    <row r="28" spans="2:14">
      <c r="B28" s="88"/>
      <c r="C28" s="88"/>
      <c r="D28" s="88"/>
      <c r="E28" s="88"/>
      <c r="F28" s="88"/>
      <c r="G28" s="88"/>
      <c r="H28" s="88"/>
      <c r="I28" s="88"/>
      <c r="J28" s="88"/>
      <c r="K28" s="88"/>
      <c r="L28" s="88"/>
      <c r="M28" s="88"/>
      <c r="N28" s="88"/>
    </row>
    <row r="29" spans="2:14">
      <c r="B29" s="88"/>
      <c r="C29" s="88" t="s">
        <v>238</v>
      </c>
      <c r="D29" s="104">
        <v>0</v>
      </c>
      <c r="E29" s="88" t="s">
        <v>241</v>
      </c>
      <c r="F29" s="88"/>
      <c r="G29" s="88"/>
      <c r="H29" s="88"/>
      <c r="I29" s="88"/>
      <c r="J29" s="88"/>
      <c r="K29" s="88"/>
      <c r="L29" s="88"/>
      <c r="M29" s="88"/>
      <c r="N29" s="88"/>
    </row>
    <row r="30" spans="2:14">
      <c r="B30" s="88"/>
      <c r="C30" s="88" t="s">
        <v>239</v>
      </c>
      <c r="D30" s="104">
        <v>-1</v>
      </c>
      <c r="E30" s="88" t="s">
        <v>241</v>
      </c>
      <c r="F30" s="88"/>
      <c r="G30" s="88"/>
      <c r="H30" s="88"/>
      <c r="I30" s="88"/>
      <c r="J30" s="88"/>
      <c r="K30" s="88"/>
      <c r="L30" s="88"/>
      <c r="M30" s="88"/>
      <c r="N30" s="88"/>
    </row>
    <row r="31" spans="2:14">
      <c r="B31" s="88"/>
      <c r="C31" s="88" t="s">
        <v>240</v>
      </c>
      <c r="D31" s="104">
        <v>1</v>
      </c>
      <c r="E31" s="88" t="s">
        <v>241</v>
      </c>
      <c r="F31" s="88"/>
      <c r="G31" s="88"/>
      <c r="H31" s="88"/>
      <c r="I31" s="88"/>
      <c r="J31" s="88"/>
      <c r="K31" s="88"/>
      <c r="L31" s="88"/>
      <c r="M31" s="88"/>
      <c r="N31" s="88"/>
    </row>
    <row r="32" spans="2:14">
      <c r="B32" s="88"/>
      <c r="C32" s="88"/>
      <c r="D32" s="88"/>
      <c r="E32" s="88"/>
      <c r="F32" s="88"/>
      <c r="G32" s="88"/>
      <c r="H32" s="88"/>
      <c r="I32" s="88"/>
      <c r="J32" s="88"/>
      <c r="K32" s="88"/>
      <c r="L32" s="88"/>
      <c r="M32" s="88"/>
      <c r="N32" s="88"/>
    </row>
    <row r="33" spans="1:16">
      <c r="B33" s="95" t="s">
        <v>235</v>
      </c>
      <c r="C33" s="88"/>
      <c r="D33" s="88"/>
      <c r="E33" s="88"/>
      <c r="F33" s="88"/>
      <c r="G33" s="88"/>
      <c r="H33" s="88"/>
      <c r="I33" s="88"/>
      <c r="J33" s="88"/>
      <c r="K33" s="88"/>
      <c r="L33" s="88"/>
      <c r="M33" s="88"/>
      <c r="N33" s="88"/>
    </row>
    <row r="34" spans="1:16">
      <c r="B34" s="95"/>
      <c r="C34" s="88"/>
      <c r="D34" s="88"/>
      <c r="E34" s="88"/>
      <c r="F34" s="88"/>
      <c r="G34" s="88"/>
      <c r="H34" s="88"/>
      <c r="I34" s="88"/>
      <c r="J34" s="88"/>
      <c r="K34" s="88"/>
      <c r="L34" s="88"/>
      <c r="M34" s="88"/>
      <c r="N34" s="88"/>
    </row>
    <row r="35" spans="1:16">
      <c r="B35" s="95"/>
      <c r="C35" s="88" t="s">
        <v>236</v>
      </c>
      <c r="D35" s="105">
        <v>0</v>
      </c>
      <c r="E35" s="88" t="s">
        <v>414</v>
      </c>
      <c r="F35" s="88"/>
      <c r="G35" s="88"/>
      <c r="H35" s="88"/>
      <c r="I35" s="88"/>
      <c r="J35" s="88"/>
      <c r="K35" s="88"/>
      <c r="L35" s="88"/>
      <c r="M35" s="88"/>
      <c r="N35" s="88"/>
    </row>
    <row r="36" spans="1:16">
      <c r="B36" s="95"/>
      <c r="C36" s="88"/>
      <c r="D36" s="88"/>
      <c r="E36" s="88"/>
      <c r="F36" s="88"/>
      <c r="G36" s="88"/>
      <c r="H36" s="88"/>
      <c r="I36" s="88"/>
      <c r="J36" s="88"/>
      <c r="K36" s="88"/>
      <c r="L36" s="88"/>
      <c r="M36" s="88"/>
      <c r="N36" s="88"/>
    </row>
    <row r="37" spans="1:16">
      <c r="B37" s="88"/>
      <c r="C37" s="88"/>
      <c r="D37" s="88"/>
      <c r="E37" s="88"/>
      <c r="F37" s="88"/>
      <c r="G37" s="88"/>
      <c r="H37" s="88"/>
      <c r="I37" s="88"/>
      <c r="J37" s="88"/>
      <c r="K37" s="88"/>
      <c r="L37" s="88"/>
      <c r="M37" s="88"/>
      <c r="N37" s="88"/>
    </row>
    <row r="38" spans="1:16">
      <c r="A38" s="106"/>
      <c r="B38" s="106" t="s">
        <v>14</v>
      </c>
      <c r="C38" s="106"/>
      <c r="D38" s="106"/>
      <c r="E38" s="106"/>
      <c r="F38" s="106"/>
      <c r="G38" s="106"/>
      <c r="H38" s="106"/>
      <c r="I38" s="106"/>
      <c r="J38" s="107"/>
      <c r="K38" s="107"/>
      <c r="L38" s="107"/>
      <c r="M38" s="107"/>
      <c r="N38" s="108"/>
      <c r="O38" s="108"/>
      <c r="P38" s="108"/>
    </row>
    <row r="39" spans="1:16" hidden="1">
      <c r="B39" s="89"/>
    </row>
    <row r="40" spans="1:16" hidden="1">
      <c r="B40" s="89"/>
    </row>
    <row r="41" spans="1:16"/>
    <row r="42" spans="1:16"/>
    <row r="43" spans="1:16" ht="12.75" customHeight="1"/>
    <row r="44" spans="1:16" ht="12.75" customHeight="1"/>
    <row r="45" spans="1:16" ht="12.75" customHeight="1"/>
    <row r="46" spans="1:16" ht="12.75" customHeight="1"/>
    <row r="47" spans="1:16" ht="12.75" customHeight="1"/>
    <row r="48" spans="1:16" ht="12.75" customHeight="1"/>
  </sheetData>
  <sheetProtection autoFilter="0"/>
  <conditionalFormatting sqref="C1:P1">
    <cfRule type="expression" dxfId="25" priority="7" stopIfTrue="1">
      <formula>ErrorsPresent&gt;0</formula>
    </cfRule>
    <cfRule type="expression" dxfId="24" priority="8" stopIfTrue="1">
      <formula>ErrorsPresent&lt;0</formula>
    </cfRule>
  </conditionalFormatting>
  <conditionalFormatting sqref="D29:D31">
    <cfRule type="cellIs" dxfId="23" priority="9" stopIfTrue="1" operator="greaterThan">
      <formula>0</formula>
    </cfRule>
    <cfRule type="cellIs" dxfId="22" priority="10" stopIfTrue="1" operator="lessThan">
      <formula>0</formula>
    </cfRule>
  </conditionalFormatting>
  <conditionalFormatting sqref="D14">
    <cfRule type="expression" dxfId="21" priority="11" stopIfTrue="1">
      <formula>isFormula(D14)</formula>
    </cfRule>
  </conditionalFormatting>
  <conditionalFormatting sqref="A1:B1">
    <cfRule type="expression" dxfId="20" priority="3" stopIfTrue="1">
      <formula>ErrorsPresent&gt;0</formula>
    </cfRule>
    <cfRule type="expression" dxfId="19" priority="4" stopIfTrue="1">
      <formula>ErrorsPresent&lt;0</formula>
    </cfRule>
  </conditionalFormatting>
  <dataValidations count="1">
    <dataValidation type="list" allowBlank="1" showInputMessage="1" showErrorMessage="1" sqref="D18">
      <formula1>"List1,List2,List3"</formula1>
    </dataValidation>
  </dataValidations>
  <pageMargins left="0.4" right="0.4" top="1" bottom="1" header="0.5" footer="0.5"/>
  <pageSetup scale="85" orientation="landscape" r:id="rId1"/>
  <headerFooter alignWithMargins="0">
    <oddHeader>&amp;LFUJITSU SERVICES&amp;RCOMMERCIAL IN CONFIDENCE</oddHeader>
    <oddFooter>&amp;L&amp;"Arial,Italic"&amp;F&amp;C&amp;"Arial,Italic"Printed on &amp;D at &amp;T&amp;R&amp;"Arial,Italic"Page &amp;P of &amp;N</oddFooter>
  </headerFooter>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outlinePr summaryBelow="0" summaryRight="0"/>
    <pageSetUpPr autoPageBreaks="0"/>
  </sheetPr>
  <dimension ref="A1:Y190"/>
  <sheetViews>
    <sheetView showGridLines="0" zoomScale="80" zoomScaleNormal="80" workbookViewId="0">
      <pane ySplit="7" topLeftCell="A8" activePane="bottomLeft" state="frozen"/>
      <selection pane="bottomLeft" activeCell="Y43" sqref="Y43"/>
    </sheetView>
  </sheetViews>
  <sheetFormatPr defaultColWidth="0" defaultRowHeight="12.75" customHeight="1" zeroHeight="1" outlineLevelRow="1"/>
  <cols>
    <col min="1" max="1" width="3" style="110" customWidth="1"/>
    <col min="2" max="2" width="5.7109375" style="110" customWidth="1"/>
    <col min="3" max="19" width="6.7109375" style="110" customWidth="1"/>
    <col min="20" max="20" width="5.7109375" style="110" customWidth="1"/>
    <col min="21" max="25" width="6.7109375" style="110" customWidth="1"/>
    <col min="26" max="16384" width="6.7109375" style="110" hidden="1"/>
  </cols>
  <sheetData>
    <row r="1" spans="1:25">
      <c r="A1" s="90" t="s">
        <v>0</v>
      </c>
      <c r="B1" s="90"/>
      <c r="C1" s="90"/>
      <c r="D1" s="90"/>
      <c r="E1" s="90"/>
      <c r="F1" s="90"/>
      <c r="G1" s="90"/>
      <c r="H1" s="90"/>
      <c r="I1" s="90"/>
      <c r="J1" s="90"/>
      <c r="K1" s="90"/>
      <c r="L1" s="90"/>
      <c r="M1" s="90"/>
      <c r="N1" s="90"/>
      <c r="O1" s="90"/>
      <c r="P1" s="90"/>
      <c r="Q1" s="90"/>
      <c r="R1" s="90"/>
      <c r="S1" s="90"/>
      <c r="T1" s="90"/>
      <c r="U1" s="90"/>
      <c r="V1" s="90"/>
      <c r="W1" s="90"/>
      <c r="X1" s="90"/>
      <c r="Y1" s="90"/>
    </row>
    <row r="2" spans="1:25">
      <c r="A2" s="109" t="s">
        <v>237</v>
      </c>
      <c r="B2" s="87"/>
      <c r="C2" s="88"/>
      <c r="D2" s="88"/>
      <c r="E2" s="111"/>
      <c r="F2" s="111"/>
      <c r="G2" s="111"/>
      <c r="H2" s="111"/>
      <c r="I2" s="111"/>
      <c r="J2" s="111"/>
      <c r="K2" s="111"/>
      <c r="L2" s="111"/>
      <c r="M2" s="111"/>
      <c r="N2" s="111"/>
      <c r="O2" s="111"/>
      <c r="P2" s="111"/>
      <c r="Q2" s="111"/>
      <c r="R2" s="111"/>
      <c r="S2" s="111"/>
      <c r="T2" s="111"/>
      <c r="U2" s="111"/>
    </row>
    <row r="3" spans="1:25">
      <c r="A3" s="111"/>
      <c r="C3" s="111"/>
      <c r="D3" s="111"/>
      <c r="E3" s="111"/>
      <c r="F3" s="111"/>
      <c r="G3" s="111"/>
      <c r="H3" s="111"/>
      <c r="I3" s="111"/>
      <c r="J3" s="111"/>
      <c r="K3" s="111"/>
      <c r="L3" s="111"/>
      <c r="M3" s="111"/>
      <c r="N3" s="111"/>
      <c r="O3" s="111"/>
      <c r="P3" s="111"/>
      <c r="Q3" s="111"/>
      <c r="R3" s="111"/>
      <c r="S3" s="111"/>
      <c r="T3" s="111"/>
      <c r="U3" s="111"/>
    </row>
    <row r="4" spans="1:25">
      <c r="A4" s="111"/>
      <c r="C4" s="111"/>
      <c r="D4" s="111"/>
      <c r="E4" s="111"/>
      <c r="F4" s="111"/>
      <c r="G4" s="111"/>
      <c r="H4" s="111"/>
      <c r="I4" s="111"/>
      <c r="J4" s="111"/>
      <c r="K4" s="111"/>
      <c r="L4" s="111"/>
      <c r="M4" s="111"/>
      <c r="N4" s="111"/>
      <c r="O4" s="111"/>
      <c r="P4" s="111"/>
      <c r="Q4" s="111"/>
      <c r="R4" s="111"/>
      <c r="S4" s="111"/>
      <c r="T4" s="111"/>
      <c r="U4" s="111"/>
    </row>
    <row r="5" spans="1:25">
      <c r="B5" s="111"/>
      <c r="C5" s="111"/>
      <c r="D5" s="111"/>
      <c r="E5" s="111"/>
      <c r="F5" s="112"/>
      <c r="G5" s="111"/>
      <c r="H5" s="111"/>
      <c r="I5" s="111"/>
      <c r="J5" s="111"/>
      <c r="K5" s="111"/>
      <c r="L5" s="111"/>
      <c r="M5" s="111"/>
      <c r="N5" s="111"/>
      <c r="O5" s="111"/>
      <c r="P5" s="111"/>
      <c r="Q5" s="111"/>
      <c r="R5" s="111"/>
      <c r="S5" s="111"/>
      <c r="T5" s="111"/>
      <c r="U5" s="111"/>
    </row>
    <row r="6" spans="1:25" hidden="1">
      <c r="B6" s="111"/>
      <c r="C6" s="111"/>
      <c r="D6" s="111"/>
      <c r="E6" s="111"/>
      <c r="F6" s="111"/>
      <c r="G6" s="111"/>
      <c r="H6" s="111"/>
      <c r="I6" s="111"/>
      <c r="J6" s="111"/>
      <c r="K6" s="111"/>
      <c r="L6" s="111"/>
      <c r="M6" s="111"/>
      <c r="N6" s="111"/>
      <c r="O6" s="111"/>
      <c r="P6" s="111"/>
      <c r="Q6" s="111"/>
      <c r="R6" s="111"/>
      <c r="S6" s="111"/>
      <c r="T6" s="111"/>
      <c r="U6" s="111"/>
    </row>
    <row r="7" spans="1:25" hidden="1">
      <c r="B7" s="111"/>
      <c r="C7" s="111"/>
      <c r="D7" s="111"/>
      <c r="E7" s="111"/>
      <c r="F7" s="111"/>
      <c r="G7" s="111"/>
      <c r="H7" s="111"/>
      <c r="I7" s="111"/>
      <c r="J7" s="111"/>
      <c r="K7" s="111"/>
      <c r="L7" s="111"/>
      <c r="M7" s="111"/>
      <c r="N7" s="111"/>
      <c r="O7" s="111"/>
      <c r="P7" s="111"/>
      <c r="Q7" s="111"/>
      <c r="R7" s="111"/>
      <c r="S7" s="111"/>
      <c r="T7" s="111"/>
      <c r="U7" s="111"/>
    </row>
    <row r="8" spans="1:25">
      <c r="A8" s="113" t="s">
        <v>242</v>
      </c>
      <c r="B8" s="113"/>
      <c r="C8" s="113"/>
      <c r="D8" s="113"/>
      <c r="E8" s="113"/>
      <c r="F8" s="113"/>
      <c r="G8" s="113"/>
      <c r="H8" s="113"/>
      <c r="I8" s="113"/>
      <c r="J8" s="113"/>
      <c r="K8" s="113"/>
      <c r="L8" s="113"/>
      <c r="M8" s="113"/>
      <c r="N8" s="113"/>
      <c r="O8" s="113"/>
      <c r="P8" s="113"/>
      <c r="Q8" s="113"/>
      <c r="R8" s="113"/>
      <c r="S8" s="113"/>
      <c r="T8" s="114"/>
      <c r="U8" s="114"/>
      <c r="V8" s="114"/>
      <c r="W8" s="114"/>
      <c r="X8" s="114"/>
      <c r="Y8" s="114"/>
    </row>
    <row r="9" spans="1:25" outlineLevel="1">
      <c r="B9" s="111"/>
      <c r="C9" s="111"/>
      <c r="D9" s="111"/>
      <c r="E9" s="111"/>
      <c r="F9" s="111"/>
      <c r="G9" s="111"/>
      <c r="H9" s="111"/>
      <c r="I9" s="111"/>
      <c r="J9" s="111"/>
      <c r="K9" s="111"/>
      <c r="L9" s="111"/>
      <c r="M9" s="111"/>
      <c r="N9" s="111"/>
      <c r="O9" s="111"/>
      <c r="P9" s="111"/>
      <c r="Q9" s="111"/>
      <c r="R9" s="111"/>
      <c r="S9" s="111"/>
      <c r="T9" s="111"/>
      <c r="U9" s="111"/>
    </row>
    <row r="10" spans="1:25" outlineLevel="1">
      <c r="B10" s="111"/>
      <c r="C10" s="115"/>
      <c r="D10" s="116" t="s">
        <v>243</v>
      </c>
      <c r="F10" s="117"/>
      <c r="G10" s="117"/>
      <c r="I10" s="118"/>
      <c r="J10" s="116" t="s">
        <v>248</v>
      </c>
      <c r="L10" s="111"/>
      <c r="M10" s="111"/>
      <c r="N10" s="128"/>
      <c r="O10" s="116" t="s">
        <v>245</v>
      </c>
      <c r="P10" s="111"/>
      <c r="S10" s="119"/>
      <c r="T10" s="111"/>
      <c r="U10" s="111"/>
    </row>
    <row r="11" spans="1:25" outlineLevel="1">
      <c r="B11" s="111"/>
      <c r="C11" s="120"/>
      <c r="D11" s="116" t="s">
        <v>454</v>
      </c>
      <c r="F11" s="117"/>
      <c r="G11" s="117"/>
      <c r="I11" s="129"/>
      <c r="J11" s="116" t="s">
        <v>247</v>
      </c>
      <c r="L11" s="111"/>
      <c r="M11" s="111"/>
      <c r="N11" s="121"/>
      <c r="O11" s="116" t="s">
        <v>246</v>
      </c>
      <c r="P11" s="111"/>
      <c r="S11" s="111"/>
      <c r="T11" s="111"/>
      <c r="U11" s="111"/>
    </row>
    <row r="12" spans="1:25" outlineLevel="1">
      <c r="B12" s="111"/>
      <c r="F12" s="117"/>
      <c r="G12" s="117"/>
      <c r="L12" s="111"/>
      <c r="M12" s="111"/>
      <c r="N12" s="111"/>
      <c r="O12" s="111"/>
      <c r="P12" s="111"/>
      <c r="Q12" s="111"/>
      <c r="R12" s="111"/>
      <c r="S12" s="111"/>
      <c r="T12" s="111"/>
      <c r="U12" s="111"/>
    </row>
    <row r="13" spans="1:25">
      <c r="B13" s="111"/>
      <c r="F13" s="117"/>
      <c r="G13" s="117"/>
      <c r="L13" s="111"/>
      <c r="M13" s="111"/>
      <c r="N13" s="111"/>
      <c r="O13" s="111"/>
      <c r="P13" s="111"/>
      <c r="Q13" s="111"/>
      <c r="R13" s="111"/>
      <c r="S13" s="111"/>
      <c r="T13" s="111"/>
      <c r="U13" s="111"/>
    </row>
    <row r="14" spans="1:25">
      <c r="A14" s="113" t="s">
        <v>217</v>
      </c>
      <c r="B14" s="113"/>
      <c r="C14" s="113"/>
      <c r="D14" s="113"/>
      <c r="E14" s="113"/>
      <c r="F14" s="113"/>
      <c r="G14" s="113"/>
      <c r="H14" s="113"/>
      <c r="I14" s="113"/>
      <c r="J14" s="113"/>
      <c r="K14" s="113"/>
      <c r="L14" s="113"/>
      <c r="M14" s="113"/>
      <c r="N14" s="113"/>
      <c r="O14" s="113"/>
      <c r="P14" s="113"/>
      <c r="Q14" s="113"/>
      <c r="R14" s="113"/>
      <c r="S14" s="113"/>
      <c r="T14" s="113"/>
      <c r="U14" s="113"/>
      <c r="V14" s="113"/>
      <c r="W14" s="113"/>
      <c r="X14" s="113"/>
      <c r="Y14" s="113"/>
    </row>
    <row r="15" spans="1:25" outlineLevel="1">
      <c r="B15" s="111"/>
      <c r="F15" s="117"/>
      <c r="G15" s="117"/>
      <c r="L15" s="111"/>
      <c r="M15" s="111"/>
      <c r="N15" s="111"/>
      <c r="O15" s="111"/>
      <c r="P15" s="111"/>
      <c r="Q15" s="111"/>
      <c r="R15" s="111"/>
      <c r="S15" s="111"/>
      <c r="T15" s="111"/>
      <c r="U15" s="111"/>
    </row>
    <row r="16" spans="1:25" outlineLevel="1">
      <c r="B16" s="111"/>
      <c r="F16" s="117"/>
      <c r="G16" s="117"/>
      <c r="L16" s="111"/>
      <c r="M16" s="111"/>
      <c r="N16" s="111"/>
      <c r="O16" s="111"/>
      <c r="P16" s="111"/>
      <c r="Q16" s="111"/>
      <c r="R16" s="111"/>
      <c r="S16" s="111"/>
      <c r="T16" s="111"/>
      <c r="U16" s="111"/>
    </row>
    <row r="17" spans="2:21" outlineLevel="1">
      <c r="B17" s="111"/>
      <c r="F17" s="117"/>
      <c r="G17" s="117"/>
      <c r="L17" s="111"/>
      <c r="M17" s="111"/>
      <c r="N17" s="111"/>
      <c r="O17" s="111"/>
      <c r="P17" s="111"/>
      <c r="Q17" s="111"/>
      <c r="R17" s="111"/>
      <c r="S17" s="111"/>
      <c r="T17" s="111"/>
      <c r="U17" s="111"/>
    </row>
    <row r="18" spans="2:21" outlineLevel="1">
      <c r="B18" s="111"/>
      <c r="F18" s="117"/>
      <c r="G18" s="117"/>
      <c r="L18" s="111"/>
      <c r="M18" s="111"/>
      <c r="N18" s="111"/>
      <c r="O18" s="111"/>
      <c r="P18" s="111"/>
      <c r="Q18" s="111"/>
      <c r="R18" s="111"/>
      <c r="S18" s="111"/>
      <c r="T18" s="111"/>
      <c r="U18" s="111"/>
    </row>
    <row r="19" spans="2:21" outlineLevel="1">
      <c r="B19" s="111"/>
      <c r="F19" s="117"/>
      <c r="G19" s="117"/>
      <c r="L19" s="111"/>
      <c r="M19" s="111"/>
      <c r="N19" s="111"/>
      <c r="O19" s="111"/>
      <c r="P19" s="111"/>
      <c r="Q19" s="111"/>
      <c r="R19" s="111"/>
      <c r="S19" s="111"/>
      <c r="T19" s="111"/>
      <c r="U19" s="111"/>
    </row>
    <row r="20" spans="2:21" outlineLevel="1">
      <c r="B20" s="111"/>
      <c r="F20" s="117"/>
      <c r="G20" s="117"/>
      <c r="L20" s="111"/>
      <c r="M20" s="111"/>
      <c r="N20" s="111"/>
      <c r="O20" s="111"/>
      <c r="P20" s="111"/>
      <c r="Q20" s="111"/>
      <c r="R20" s="111"/>
      <c r="S20" s="111"/>
      <c r="T20" s="111"/>
      <c r="U20" s="111"/>
    </row>
    <row r="21" spans="2:21" outlineLevel="1">
      <c r="B21" s="111"/>
      <c r="F21" s="117"/>
      <c r="G21" s="117"/>
      <c r="L21" s="111"/>
      <c r="M21" s="111"/>
      <c r="N21" s="111"/>
      <c r="O21" s="111"/>
      <c r="P21" s="111"/>
      <c r="Q21" s="111"/>
      <c r="R21" s="111"/>
      <c r="S21" s="111"/>
      <c r="T21" s="111"/>
      <c r="U21" s="111"/>
    </row>
    <row r="22" spans="2:21" outlineLevel="1">
      <c r="B22" s="111"/>
      <c r="F22" s="117"/>
      <c r="G22" s="117"/>
      <c r="L22" s="111"/>
      <c r="M22" s="111"/>
      <c r="N22" s="111"/>
      <c r="O22" s="111"/>
      <c r="P22" s="111"/>
      <c r="Q22" s="111"/>
      <c r="R22" s="111"/>
      <c r="S22" s="111"/>
      <c r="T22" s="111"/>
      <c r="U22" s="111"/>
    </row>
    <row r="23" spans="2:21" outlineLevel="1">
      <c r="B23" s="111"/>
      <c r="F23" s="117"/>
      <c r="G23" s="117"/>
      <c r="L23" s="111"/>
      <c r="M23" s="111"/>
      <c r="N23" s="111"/>
      <c r="O23" s="111"/>
      <c r="P23" s="111"/>
      <c r="Q23" s="111"/>
      <c r="R23" s="111"/>
      <c r="S23" s="111"/>
      <c r="T23" s="111"/>
      <c r="U23" s="111"/>
    </row>
    <row r="24" spans="2:21" outlineLevel="1">
      <c r="B24" s="111"/>
      <c r="F24" s="117"/>
      <c r="G24" s="117"/>
      <c r="L24" s="111"/>
      <c r="M24" s="111"/>
      <c r="N24" s="111"/>
      <c r="O24" s="111"/>
      <c r="P24" s="111"/>
      <c r="Q24" s="111"/>
      <c r="R24" s="111"/>
      <c r="S24" s="111"/>
      <c r="T24" s="111"/>
      <c r="U24" s="111"/>
    </row>
    <row r="25" spans="2:21" outlineLevel="1">
      <c r="B25" s="111"/>
      <c r="F25" s="117"/>
      <c r="G25" s="117"/>
      <c r="L25" s="111"/>
      <c r="M25" s="111"/>
      <c r="N25" s="111"/>
      <c r="O25" s="111"/>
      <c r="P25" s="111"/>
      <c r="Q25" s="111"/>
      <c r="R25" s="111"/>
      <c r="S25" s="111"/>
      <c r="T25" s="111"/>
      <c r="U25" s="111"/>
    </row>
    <row r="26" spans="2:21" outlineLevel="1">
      <c r="B26" s="111"/>
      <c r="F26" s="117"/>
      <c r="G26" s="117"/>
      <c r="L26" s="111"/>
      <c r="M26" s="111"/>
      <c r="N26" s="111"/>
      <c r="O26" s="111"/>
      <c r="P26" s="111"/>
      <c r="Q26" s="111"/>
      <c r="R26" s="111"/>
      <c r="S26" s="111"/>
      <c r="T26" s="111"/>
      <c r="U26" s="111"/>
    </row>
    <row r="27" spans="2:21" outlineLevel="1">
      <c r="B27" s="111"/>
      <c r="F27" s="117"/>
      <c r="G27" s="117"/>
      <c r="L27" s="111"/>
      <c r="M27" s="111"/>
      <c r="N27" s="111"/>
      <c r="O27" s="111"/>
      <c r="P27" s="111"/>
      <c r="Q27" s="111"/>
      <c r="R27" s="111"/>
      <c r="S27" s="111"/>
      <c r="T27" s="111"/>
      <c r="U27" s="111"/>
    </row>
    <row r="28" spans="2:21" outlineLevel="1">
      <c r="B28" s="111"/>
      <c r="F28" s="117"/>
      <c r="G28" s="117"/>
      <c r="L28" s="111"/>
      <c r="M28" s="111"/>
      <c r="N28" s="111"/>
      <c r="O28" s="111"/>
      <c r="P28" s="111"/>
      <c r="Q28" s="111"/>
      <c r="R28" s="111"/>
      <c r="S28" s="111"/>
      <c r="T28" s="111"/>
      <c r="U28" s="111"/>
    </row>
    <row r="29" spans="2:21" outlineLevel="1">
      <c r="B29" s="111"/>
      <c r="F29" s="117"/>
      <c r="G29" s="117"/>
      <c r="L29" s="111"/>
      <c r="M29" s="111"/>
      <c r="N29" s="111"/>
      <c r="O29" s="111"/>
      <c r="P29" s="111"/>
      <c r="Q29" s="111"/>
      <c r="R29" s="111"/>
      <c r="S29" s="111"/>
      <c r="T29" s="111"/>
      <c r="U29" s="111"/>
    </row>
    <row r="30" spans="2:21" outlineLevel="1">
      <c r="B30" s="111"/>
      <c r="F30" s="117"/>
      <c r="G30" s="117"/>
      <c r="L30" s="111"/>
      <c r="M30" s="111"/>
      <c r="N30" s="111"/>
      <c r="O30" s="111"/>
      <c r="P30" s="111"/>
      <c r="Q30" s="111"/>
      <c r="R30" s="111"/>
      <c r="S30" s="111"/>
      <c r="T30" s="111"/>
      <c r="U30" s="111"/>
    </row>
    <row r="31" spans="2:21" outlineLevel="1">
      <c r="B31" s="111"/>
      <c r="F31" s="117"/>
      <c r="G31" s="117"/>
      <c r="L31" s="111"/>
      <c r="M31" s="111"/>
      <c r="N31" s="111"/>
      <c r="O31" s="111"/>
      <c r="P31" s="111"/>
      <c r="Q31" s="111"/>
      <c r="R31" s="111"/>
      <c r="S31" s="111"/>
      <c r="T31" s="111"/>
      <c r="U31" s="111"/>
    </row>
    <row r="32" spans="2:21" outlineLevel="1">
      <c r="B32" s="111"/>
      <c r="F32" s="117"/>
      <c r="G32" s="117"/>
      <c r="L32" s="111"/>
      <c r="M32" s="111"/>
      <c r="N32" s="111"/>
      <c r="O32" s="111"/>
      <c r="P32" s="111"/>
      <c r="Q32" s="111"/>
      <c r="R32" s="111"/>
      <c r="S32" s="111"/>
      <c r="T32" s="111"/>
      <c r="U32" s="111"/>
    </row>
    <row r="33" spans="1:25" outlineLevel="1">
      <c r="B33" s="111"/>
      <c r="F33" s="117"/>
      <c r="G33" s="117"/>
      <c r="L33" s="111"/>
      <c r="M33" s="111"/>
      <c r="N33" s="111"/>
      <c r="O33" s="111"/>
      <c r="P33" s="111"/>
      <c r="Q33" s="111"/>
      <c r="R33" s="111"/>
      <c r="S33" s="111"/>
      <c r="T33" s="111"/>
      <c r="U33" s="111"/>
    </row>
    <row r="34" spans="1:25" outlineLevel="1">
      <c r="B34" s="111"/>
      <c r="F34" s="117"/>
      <c r="G34" s="117"/>
      <c r="L34" s="111"/>
      <c r="M34" s="111"/>
      <c r="N34" s="111"/>
      <c r="O34" s="111"/>
      <c r="P34" s="111"/>
      <c r="Q34" s="111"/>
      <c r="R34" s="111"/>
      <c r="S34" s="111"/>
      <c r="T34" s="111"/>
      <c r="U34" s="111"/>
    </row>
    <row r="35" spans="1:25" outlineLevel="1">
      <c r="B35" s="111"/>
      <c r="F35" s="117"/>
      <c r="G35" s="117"/>
      <c r="L35" s="111"/>
      <c r="M35" s="111"/>
      <c r="N35" s="111"/>
      <c r="O35" s="111"/>
      <c r="P35" s="111"/>
      <c r="Q35" s="111"/>
      <c r="R35" s="111"/>
      <c r="S35" s="111"/>
      <c r="T35" s="111"/>
      <c r="U35" s="111"/>
    </row>
    <row r="36" spans="1:25" outlineLevel="1">
      <c r="B36" s="111"/>
      <c r="F36" s="117"/>
      <c r="G36" s="117"/>
      <c r="L36" s="111"/>
      <c r="M36" s="111"/>
      <c r="N36" s="111"/>
      <c r="O36" s="111"/>
      <c r="P36" s="111"/>
      <c r="Q36" s="111"/>
      <c r="R36" s="111"/>
      <c r="S36" s="111"/>
      <c r="T36" s="111"/>
      <c r="U36" s="111"/>
    </row>
    <row r="37" spans="1:25" outlineLevel="1">
      <c r="B37" s="111"/>
      <c r="F37" s="117"/>
      <c r="G37" s="117"/>
      <c r="L37" s="111"/>
      <c r="M37" s="111"/>
      <c r="N37" s="111"/>
      <c r="O37" s="111"/>
      <c r="P37" s="111"/>
      <c r="Q37" s="111"/>
      <c r="R37" s="111"/>
      <c r="S37" s="111"/>
      <c r="T37" s="111"/>
      <c r="U37" s="111"/>
    </row>
    <row r="38" spans="1:25" outlineLevel="1">
      <c r="B38" s="111"/>
      <c r="F38" s="117"/>
      <c r="G38" s="117"/>
      <c r="L38" s="111"/>
      <c r="M38" s="111"/>
      <c r="N38" s="111"/>
      <c r="O38" s="111"/>
      <c r="P38" s="111"/>
      <c r="Q38" s="111"/>
      <c r="R38" s="111"/>
      <c r="S38" s="111"/>
      <c r="T38" s="111"/>
      <c r="U38" s="111"/>
    </row>
    <row r="39" spans="1:25">
      <c r="B39" s="111"/>
      <c r="F39" s="117"/>
      <c r="G39" s="117"/>
      <c r="L39" s="111"/>
      <c r="M39" s="111"/>
      <c r="N39" s="111"/>
      <c r="O39" s="111"/>
      <c r="P39" s="111"/>
      <c r="Q39" s="111"/>
      <c r="R39" s="111"/>
      <c r="S39" s="111"/>
      <c r="T39" s="111"/>
      <c r="U39" s="111"/>
    </row>
    <row r="40" spans="1:25">
      <c r="A40" s="113"/>
      <c r="B40" s="113" t="s">
        <v>244</v>
      </c>
      <c r="C40" s="113"/>
      <c r="D40" s="113"/>
      <c r="E40" s="113"/>
      <c r="F40" s="113"/>
      <c r="G40" s="113"/>
      <c r="H40" s="113"/>
      <c r="I40" s="113"/>
      <c r="J40" s="113"/>
      <c r="K40" s="113"/>
      <c r="L40" s="113"/>
      <c r="M40" s="113"/>
      <c r="N40" s="113"/>
      <c r="O40" s="113"/>
      <c r="P40" s="113"/>
      <c r="Q40" s="113"/>
      <c r="R40" s="113"/>
      <c r="S40" s="113"/>
      <c r="T40" s="113"/>
      <c r="U40" s="113"/>
      <c r="V40" s="113"/>
      <c r="W40" s="113"/>
      <c r="X40" s="113"/>
      <c r="Y40" s="113"/>
    </row>
    <row r="41" spans="1:25">
      <c r="B41" s="111"/>
      <c r="C41" s="111"/>
      <c r="D41" s="111"/>
      <c r="E41" s="111"/>
      <c r="F41" s="111"/>
      <c r="G41" s="111"/>
      <c r="H41" s="111"/>
      <c r="I41" s="111"/>
      <c r="J41" s="111"/>
      <c r="K41" s="111"/>
      <c r="L41" s="111"/>
      <c r="M41" s="111"/>
      <c r="N41" s="111"/>
      <c r="O41" s="111"/>
      <c r="P41" s="111"/>
    </row>
    <row r="42" spans="1:25">
      <c r="B42" s="111"/>
      <c r="C42" s="111"/>
      <c r="D42" s="111"/>
      <c r="E42" s="111"/>
      <c r="F42" s="111"/>
      <c r="G42" s="111"/>
      <c r="H42" s="111"/>
      <c r="I42" s="111"/>
      <c r="J42" s="111"/>
      <c r="K42" s="111"/>
      <c r="L42" s="111"/>
      <c r="M42" s="111"/>
      <c r="N42" s="111"/>
      <c r="O42" s="111"/>
      <c r="P42" s="111"/>
    </row>
    <row r="43" spans="1:25">
      <c r="B43" s="111"/>
      <c r="C43" s="111"/>
      <c r="D43" s="111"/>
      <c r="E43" s="111"/>
      <c r="F43" s="111"/>
      <c r="G43" s="111"/>
      <c r="H43" s="111"/>
      <c r="I43" s="111"/>
      <c r="J43" s="111"/>
      <c r="K43" s="111"/>
      <c r="L43" s="111"/>
      <c r="M43" s="111"/>
      <c r="N43" s="111"/>
      <c r="O43" s="111"/>
      <c r="P43" s="111"/>
    </row>
    <row r="44" spans="1:25">
      <c r="B44" s="111"/>
      <c r="C44" s="111"/>
      <c r="D44" s="111"/>
      <c r="E44" s="111"/>
      <c r="F44" s="111"/>
      <c r="G44" s="111"/>
      <c r="H44" s="111"/>
      <c r="I44" s="111"/>
      <c r="J44" s="111"/>
      <c r="K44" s="111"/>
      <c r="L44" s="111"/>
      <c r="M44" s="111"/>
      <c r="N44" s="111"/>
      <c r="O44" s="111"/>
      <c r="P44" s="111"/>
    </row>
    <row r="45" spans="1:25">
      <c r="B45" s="111"/>
      <c r="C45" s="111"/>
      <c r="D45" s="111"/>
      <c r="E45" s="111"/>
      <c r="F45" s="111"/>
      <c r="G45" s="111"/>
      <c r="H45" s="111"/>
      <c r="I45" s="111"/>
      <c r="J45" s="111"/>
      <c r="K45" s="111"/>
      <c r="L45" s="111"/>
      <c r="M45" s="111"/>
      <c r="N45" s="111"/>
      <c r="O45" s="111"/>
      <c r="P45" s="111"/>
    </row>
    <row r="46" spans="1:25">
      <c r="B46" s="111"/>
      <c r="C46" s="111"/>
      <c r="D46" s="111"/>
      <c r="E46" s="111"/>
      <c r="F46" s="111"/>
      <c r="G46" s="111"/>
      <c r="H46" s="111"/>
      <c r="I46" s="111"/>
      <c r="J46" s="111"/>
      <c r="K46" s="111"/>
      <c r="L46" s="111"/>
      <c r="M46" s="111"/>
      <c r="N46" s="111"/>
      <c r="O46" s="111"/>
      <c r="P46" s="111"/>
    </row>
    <row r="47" spans="1:25">
      <c r="B47" s="111"/>
      <c r="C47" s="111"/>
      <c r="D47" s="111"/>
      <c r="E47" s="111"/>
      <c r="F47" s="111"/>
      <c r="G47" s="111"/>
      <c r="H47" s="111"/>
      <c r="I47" s="111"/>
      <c r="J47" s="111"/>
      <c r="K47" s="111"/>
      <c r="L47" s="111"/>
      <c r="M47" s="111"/>
      <c r="N47" s="111"/>
      <c r="O47" s="111"/>
      <c r="P47" s="111"/>
    </row>
    <row r="48" spans="1:25">
      <c r="B48" s="111"/>
      <c r="C48" s="111"/>
      <c r="D48" s="111"/>
      <c r="E48" s="111"/>
      <c r="F48" s="111"/>
      <c r="G48" s="111"/>
      <c r="H48" s="111"/>
      <c r="I48" s="111"/>
      <c r="J48" s="111"/>
      <c r="K48" s="111"/>
      <c r="L48" s="111"/>
      <c r="M48" s="111"/>
      <c r="N48" s="111"/>
      <c r="O48" s="111"/>
      <c r="P48" s="111"/>
    </row>
    <row r="49" spans="2:19">
      <c r="B49" s="122"/>
      <c r="C49" s="126"/>
      <c r="D49" s="111"/>
      <c r="E49" s="111"/>
      <c r="F49" s="111"/>
      <c r="G49" s="111"/>
      <c r="H49" s="111"/>
      <c r="I49" s="111"/>
      <c r="J49" s="111"/>
      <c r="K49" s="111"/>
      <c r="L49" s="111"/>
      <c r="M49" s="111"/>
      <c r="N49" s="111"/>
      <c r="O49" s="111"/>
      <c r="P49" s="111"/>
      <c r="S49" s="127"/>
    </row>
    <row r="50" spans="2:19">
      <c r="B50" s="122"/>
      <c r="C50" s="111"/>
      <c r="D50" s="111"/>
      <c r="E50" s="111"/>
      <c r="F50" s="111"/>
      <c r="G50" s="111"/>
      <c r="H50" s="111"/>
      <c r="I50" s="111"/>
      <c r="J50" s="111"/>
      <c r="K50" s="111"/>
      <c r="L50" s="111"/>
      <c r="M50" s="111"/>
      <c r="N50" s="111"/>
      <c r="O50" s="111"/>
      <c r="P50" s="111"/>
    </row>
    <row r="51" spans="2:19">
      <c r="B51" s="122"/>
      <c r="C51" s="111"/>
      <c r="D51" s="111"/>
      <c r="E51" s="111"/>
      <c r="F51" s="111"/>
      <c r="G51" s="111"/>
      <c r="H51" s="111"/>
      <c r="I51" s="111"/>
      <c r="J51" s="111"/>
      <c r="K51" s="111"/>
      <c r="L51" s="111"/>
      <c r="M51" s="111"/>
      <c r="N51" s="111"/>
      <c r="O51" s="111"/>
      <c r="P51" s="111"/>
    </row>
    <row r="52" spans="2:19">
      <c r="B52" s="122"/>
      <c r="C52" s="111"/>
      <c r="D52" s="111"/>
      <c r="E52" s="111"/>
      <c r="F52" s="111"/>
      <c r="G52" s="111"/>
      <c r="H52" s="111"/>
      <c r="I52" s="111"/>
      <c r="J52" s="111"/>
      <c r="K52" s="111"/>
      <c r="L52" s="111"/>
      <c r="M52" s="111"/>
      <c r="N52" s="111"/>
      <c r="O52" s="111"/>
      <c r="P52" s="111"/>
    </row>
    <row r="53" spans="2:19">
      <c r="B53" s="122"/>
      <c r="C53" s="111"/>
      <c r="D53" s="111"/>
      <c r="E53" s="111"/>
      <c r="F53" s="111"/>
      <c r="G53" s="111"/>
      <c r="H53" s="111"/>
      <c r="I53" s="111"/>
      <c r="J53" s="111"/>
      <c r="K53" s="111"/>
      <c r="L53" s="111"/>
      <c r="M53" s="111"/>
      <c r="N53" s="111"/>
      <c r="O53" s="111"/>
      <c r="P53" s="111"/>
    </row>
    <row r="54" spans="2:19">
      <c r="B54" s="122"/>
      <c r="C54" s="111"/>
      <c r="D54" s="111"/>
      <c r="E54" s="111"/>
      <c r="F54" s="111"/>
      <c r="G54" s="111"/>
      <c r="H54" s="111"/>
      <c r="I54" s="111"/>
      <c r="J54" s="111"/>
      <c r="K54" s="111"/>
      <c r="L54" s="111"/>
      <c r="M54" s="111"/>
      <c r="N54" s="111"/>
      <c r="O54" s="111"/>
      <c r="P54" s="111"/>
    </row>
    <row r="55" spans="2:19">
      <c r="B55" s="122"/>
      <c r="C55" s="111"/>
      <c r="D55" s="111"/>
      <c r="E55" s="111"/>
      <c r="F55" s="111"/>
      <c r="G55" s="111"/>
      <c r="H55" s="111"/>
      <c r="I55" s="111"/>
      <c r="J55" s="111"/>
      <c r="K55" s="111"/>
      <c r="L55" s="111"/>
      <c r="M55" s="111"/>
      <c r="N55" s="111"/>
      <c r="O55" s="111"/>
      <c r="P55" s="111"/>
    </row>
    <row r="56" spans="2:19">
      <c r="B56" s="122"/>
      <c r="C56" s="111"/>
      <c r="D56" s="111"/>
      <c r="E56" s="111"/>
      <c r="F56" s="111"/>
      <c r="G56" s="111"/>
      <c r="H56" s="111"/>
      <c r="I56" s="111"/>
      <c r="J56" s="111"/>
      <c r="K56" s="111"/>
      <c r="L56" s="111"/>
      <c r="M56" s="111"/>
      <c r="N56" s="111"/>
      <c r="O56" s="111"/>
      <c r="P56" s="111"/>
    </row>
    <row r="57" spans="2:19">
      <c r="B57" s="122"/>
      <c r="C57" s="111"/>
      <c r="D57" s="111"/>
      <c r="E57" s="111"/>
      <c r="F57" s="111"/>
      <c r="G57" s="111"/>
      <c r="H57" s="111"/>
      <c r="I57" s="111"/>
      <c r="J57" s="111"/>
      <c r="K57" s="111"/>
      <c r="L57" s="111"/>
      <c r="M57" s="111"/>
      <c r="N57" s="111"/>
      <c r="O57" s="111"/>
      <c r="P57" s="111"/>
    </row>
    <row r="58" spans="2:19">
      <c r="B58" s="122"/>
      <c r="C58" s="111"/>
      <c r="D58" s="111"/>
      <c r="E58" s="111"/>
      <c r="F58" s="111"/>
      <c r="G58" s="111"/>
      <c r="H58" s="111"/>
      <c r="I58" s="111"/>
      <c r="J58" s="111"/>
      <c r="K58" s="111"/>
      <c r="L58" s="111"/>
      <c r="M58" s="111"/>
      <c r="N58" s="111"/>
      <c r="O58" s="111"/>
      <c r="P58" s="111"/>
    </row>
    <row r="59" spans="2:19">
      <c r="B59" s="122"/>
      <c r="C59" s="111"/>
      <c r="D59" s="111"/>
      <c r="E59" s="111"/>
      <c r="F59" s="111"/>
      <c r="G59" s="111"/>
      <c r="H59" s="111"/>
      <c r="I59" s="111"/>
      <c r="J59" s="111"/>
      <c r="K59" s="111"/>
      <c r="L59" s="111"/>
      <c r="M59" s="111"/>
      <c r="N59" s="111"/>
      <c r="O59" s="111"/>
      <c r="P59" s="111"/>
    </row>
    <row r="60" spans="2:19">
      <c r="B60" s="122"/>
      <c r="C60" s="111"/>
      <c r="D60" s="111"/>
      <c r="E60" s="111"/>
      <c r="F60" s="111"/>
      <c r="G60" s="111"/>
      <c r="H60" s="111"/>
      <c r="I60" s="111"/>
      <c r="J60" s="111"/>
      <c r="K60" s="111"/>
      <c r="L60" s="111"/>
      <c r="M60" s="111"/>
      <c r="N60" s="111"/>
      <c r="O60" s="111"/>
      <c r="P60" s="111"/>
    </row>
    <row r="61" spans="2:19">
      <c r="B61" s="122"/>
      <c r="C61" s="111"/>
      <c r="D61" s="111"/>
      <c r="E61" s="111"/>
      <c r="F61" s="111"/>
      <c r="G61" s="111"/>
      <c r="H61" s="111"/>
      <c r="I61" s="111"/>
      <c r="J61" s="111"/>
      <c r="K61" s="111"/>
      <c r="L61" s="111"/>
      <c r="M61" s="111"/>
      <c r="N61" s="111"/>
      <c r="O61" s="111"/>
      <c r="P61" s="111"/>
    </row>
    <row r="62" spans="2:19">
      <c r="B62" s="122"/>
      <c r="C62" s="111"/>
      <c r="D62" s="111"/>
      <c r="E62" s="111"/>
      <c r="F62" s="111"/>
      <c r="G62" s="111"/>
      <c r="H62" s="111"/>
      <c r="I62" s="111"/>
      <c r="J62" s="111"/>
      <c r="K62" s="111"/>
      <c r="L62" s="111"/>
      <c r="M62" s="111"/>
      <c r="N62" s="111"/>
      <c r="O62" s="111"/>
      <c r="P62" s="111"/>
    </row>
    <row r="63" spans="2:19">
      <c r="B63" s="122"/>
      <c r="C63" s="111"/>
      <c r="D63" s="111"/>
      <c r="E63" s="111"/>
      <c r="F63" s="111"/>
      <c r="G63" s="111"/>
      <c r="H63" s="111"/>
      <c r="I63" s="111"/>
      <c r="J63" s="111"/>
      <c r="K63" s="111"/>
      <c r="L63" s="111"/>
      <c r="M63" s="111"/>
      <c r="N63" s="111"/>
      <c r="O63" s="111"/>
      <c r="P63" s="111"/>
    </row>
    <row r="64" spans="2:19">
      <c r="B64" s="122"/>
      <c r="C64" s="111"/>
      <c r="D64" s="111"/>
      <c r="E64" s="111"/>
      <c r="F64" s="111"/>
      <c r="G64" s="111"/>
      <c r="H64" s="111"/>
      <c r="I64" s="111"/>
      <c r="J64" s="111"/>
      <c r="K64" s="111"/>
      <c r="L64" s="111"/>
      <c r="M64" s="111"/>
      <c r="N64" s="111"/>
      <c r="O64" s="111"/>
      <c r="P64" s="111"/>
    </row>
    <row r="65" spans="2:19">
      <c r="B65" s="122"/>
      <c r="C65" s="111"/>
      <c r="D65" s="111"/>
      <c r="E65" s="111"/>
      <c r="F65" s="111"/>
      <c r="G65" s="111"/>
      <c r="H65" s="111"/>
      <c r="I65" s="111"/>
      <c r="J65" s="111"/>
      <c r="K65" s="111"/>
      <c r="L65" s="111"/>
      <c r="M65" s="111"/>
      <c r="N65" s="111"/>
      <c r="O65" s="111"/>
      <c r="P65" s="111"/>
    </row>
    <row r="66" spans="2:19">
      <c r="B66" s="122"/>
      <c r="C66" s="111"/>
      <c r="D66" s="111"/>
      <c r="E66" s="111"/>
      <c r="F66" s="111"/>
      <c r="G66" s="111"/>
      <c r="H66" s="111"/>
      <c r="I66" s="111"/>
      <c r="J66" s="111"/>
      <c r="K66" s="111"/>
      <c r="L66" s="111"/>
      <c r="M66" s="111"/>
      <c r="N66" s="111"/>
      <c r="O66" s="111"/>
      <c r="P66" s="111"/>
    </row>
    <row r="67" spans="2:19">
      <c r="B67" s="122"/>
      <c r="C67" s="111"/>
      <c r="D67" s="111"/>
      <c r="E67" s="111"/>
      <c r="F67" s="111"/>
      <c r="G67" s="111"/>
      <c r="H67" s="111"/>
      <c r="I67" s="111"/>
      <c r="J67" s="111"/>
      <c r="K67" s="111"/>
      <c r="L67" s="111"/>
      <c r="M67" s="111"/>
      <c r="N67" s="111"/>
      <c r="O67" s="111"/>
      <c r="P67" s="111"/>
    </row>
    <row r="68" spans="2:19">
      <c r="B68" s="122"/>
      <c r="C68" s="111"/>
      <c r="D68" s="111"/>
      <c r="E68" s="111"/>
      <c r="F68" s="111"/>
      <c r="G68" s="111"/>
      <c r="H68" s="111"/>
      <c r="I68" s="111"/>
      <c r="J68" s="111"/>
      <c r="K68" s="111"/>
      <c r="L68" s="111"/>
      <c r="M68" s="111"/>
      <c r="N68" s="111"/>
      <c r="O68" s="111"/>
      <c r="P68" s="111"/>
    </row>
    <row r="69" spans="2:19">
      <c r="B69" s="122"/>
      <c r="C69" s="111"/>
      <c r="D69" s="111"/>
      <c r="E69" s="111"/>
      <c r="F69" s="111"/>
      <c r="G69" s="111"/>
      <c r="H69" s="111"/>
      <c r="I69" s="111"/>
      <c r="J69" s="111"/>
      <c r="K69" s="111"/>
      <c r="L69" s="111"/>
      <c r="M69" s="111"/>
      <c r="N69" s="111"/>
      <c r="O69" s="111"/>
      <c r="P69" s="111"/>
    </row>
    <row r="70" spans="2:19">
      <c r="B70" s="122"/>
      <c r="C70" s="111"/>
      <c r="D70" s="111"/>
      <c r="E70" s="111"/>
      <c r="F70" s="111"/>
      <c r="G70" s="111"/>
      <c r="H70" s="111"/>
      <c r="I70" s="111"/>
      <c r="J70" s="111"/>
      <c r="K70" s="111"/>
      <c r="L70" s="111"/>
      <c r="M70" s="111"/>
      <c r="N70" s="111"/>
      <c r="O70" s="111"/>
      <c r="P70" s="111"/>
    </row>
    <row r="71" spans="2:19">
      <c r="B71" s="122"/>
      <c r="C71" s="111"/>
      <c r="D71" s="111"/>
      <c r="E71" s="111"/>
      <c r="F71" s="111"/>
      <c r="G71" s="111"/>
      <c r="H71" s="111"/>
      <c r="I71" s="111"/>
      <c r="J71" s="111"/>
      <c r="K71" s="111"/>
      <c r="L71" s="111"/>
      <c r="M71" s="111"/>
      <c r="N71" s="111"/>
      <c r="O71" s="111"/>
      <c r="P71" s="111"/>
    </row>
    <row r="72" spans="2:19">
      <c r="B72" s="122"/>
      <c r="C72" s="111"/>
      <c r="D72" s="111"/>
      <c r="E72" s="111"/>
      <c r="F72" s="111"/>
      <c r="G72" s="111"/>
      <c r="H72" s="111"/>
      <c r="I72" s="111"/>
      <c r="J72" s="111"/>
      <c r="K72" s="111"/>
      <c r="L72" s="111"/>
      <c r="M72" s="111"/>
      <c r="N72" s="111"/>
      <c r="O72" s="111"/>
      <c r="P72" s="111"/>
    </row>
    <row r="73" spans="2:19">
      <c r="B73" s="122"/>
      <c r="C73" s="111"/>
      <c r="D73" s="111"/>
      <c r="E73" s="111"/>
      <c r="F73" s="111"/>
      <c r="G73" s="111"/>
      <c r="H73" s="111"/>
      <c r="I73" s="111"/>
      <c r="J73" s="111"/>
      <c r="K73" s="111"/>
      <c r="L73" s="111"/>
      <c r="M73" s="111"/>
      <c r="N73" s="111"/>
      <c r="O73" s="111"/>
      <c r="P73" s="111"/>
    </row>
    <row r="74" spans="2:19" ht="7.5" customHeight="1">
      <c r="B74" s="122"/>
      <c r="C74" s="111"/>
      <c r="D74" s="111"/>
      <c r="E74" s="111"/>
      <c r="F74" s="111"/>
      <c r="G74" s="111"/>
      <c r="H74" s="111"/>
      <c r="I74" s="111"/>
      <c r="J74" s="111"/>
      <c r="K74" s="111"/>
      <c r="L74" s="111"/>
      <c r="M74" s="111"/>
      <c r="N74" s="111"/>
      <c r="O74" s="111"/>
      <c r="P74" s="111"/>
    </row>
    <row r="75" spans="2:19" ht="7.5" customHeight="1">
      <c r="B75" s="122"/>
      <c r="C75" s="111"/>
      <c r="D75" s="111"/>
      <c r="E75" s="111"/>
      <c r="F75" s="111"/>
      <c r="G75" s="111"/>
      <c r="H75" s="111"/>
      <c r="I75" s="111"/>
      <c r="J75" s="111"/>
      <c r="K75" s="111"/>
      <c r="L75" s="111"/>
      <c r="M75" s="111"/>
      <c r="N75" s="111"/>
      <c r="O75" s="111"/>
      <c r="P75" s="111"/>
    </row>
    <row r="76" spans="2:19">
      <c r="B76" s="122"/>
      <c r="C76" s="126"/>
      <c r="D76" s="111"/>
      <c r="E76" s="111"/>
      <c r="F76" s="111"/>
      <c r="G76" s="111"/>
      <c r="H76" s="111"/>
      <c r="I76" s="111"/>
      <c r="J76" s="111"/>
      <c r="K76" s="111"/>
      <c r="L76" s="111"/>
      <c r="M76" s="111"/>
      <c r="N76" s="111"/>
      <c r="O76" s="111"/>
      <c r="P76" s="111"/>
      <c r="S76" s="127"/>
    </row>
    <row r="77" spans="2:19">
      <c r="B77" s="122"/>
      <c r="C77" s="111"/>
      <c r="D77" s="111"/>
      <c r="E77" s="111"/>
      <c r="F77" s="111"/>
      <c r="G77" s="111"/>
      <c r="H77" s="111"/>
      <c r="I77" s="111"/>
      <c r="J77" s="111"/>
      <c r="K77" s="111"/>
      <c r="L77" s="111"/>
      <c r="M77" s="111"/>
      <c r="N77" s="111"/>
      <c r="O77" s="111"/>
      <c r="P77" s="111"/>
    </row>
    <row r="78" spans="2:19">
      <c r="B78" s="122"/>
      <c r="C78" s="111"/>
      <c r="D78" s="111"/>
      <c r="E78" s="111"/>
      <c r="F78" s="111"/>
      <c r="G78" s="111"/>
      <c r="H78" s="111"/>
      <c r="I78" s="111"/>
      <c r="J78" s="111"/>
      <c r="K78" s="111"/>
      <c r="L78" s="111"/>
      <c r="M78" s="111"/>
      <c r="N78" s="111"/>
      <c r="O78" s="111"/>
      <c r="P78" s="111"/>
    </row>
    <row r="79" spans="2:19" ht="9" customHeight="1">
      <c r="B79" s="122"/>
      <c r="C79" s="111"/>
      <c r="D79" s="111"/>
      <c r="E79" s="111"/>
      <c r="F79" s="111"/>
      <c r="G79" s="111"/>
      <c r="H79" s="111"/>
      <c r="I79" s="111"/>
      <c r="J79" s="111"/>
      <c r="K79" s="111"/>
      <c r="L79" s="111"/>
      <c r="M79" s="111"/>
      <c r="N79" s="111"/>
      <c r="O79" s="111"/>
      <c r="P79" s="111"/>
    </row>
    <row r="80" spans="2:19">
      <c r="B80" s="122"/>
      <c r="C80" s="111"/>
      <c r="D80" s="111"/>
      <c r="E80" s="111"/>
      <c r="F80" s="111"/>
      <c r="G80" s="111"/>
      <c r="H80" s="111"/>
      <c r="I80" s="111"/>
      <c r="J80" s="111"/>
      <c r="K80" s="111"/>
      <c r="L80" s="111"/>
      <c r="M80" s="111"/>
      <c r="N80" s="111"/>
      <c r="O80" s="111"/>
      <c r="P80" s="111"/>
    </row>
    <row r="81" spans="2:16">
      <c r="B81" s="122"/>
      <c r="C81" s="111"/>
      <c r="D81" s="111"/>
      <c r="E81" s="111"/>
      <c r="F81" s="111"/>
      <c r="G81" s="111"/>
      <c r="H81" s="111"/>
      <c r="I81" s="111"/>
      <c r="J81" s="111"/>
      <c r="K81" s="111"/>
      <c r="L81" s="111"/>
      <c r="M81" s="111"/>
      <c r="N81" s="111"/>
      <c r="O81" s="111"/>
      <c r="P81" s="111"/>
    </row>
    <row r="82" spans="2:16">
      <c r="B82" s="122"/>
      <c r="C82" s="111"/>
      <c r="D82" s="111"/>
      <c r="E82" s="111"/>
      <c r="F82" s="111"/>
      <c r="G82" s="111"/>
      <c r="H82" s="111"/>
      <c r="I82" s="111"/>
      <c r="J82" s="111"/>
      <c r="K82" s="111"/>
      <c r="L82" s="111"/>
      <c r="M82" s="111"/>
      <c r="N82" s="111"/>
      <c r="O82" s="111"/>
      <c r="P82" s="111"/>
    </row>
    <row r="83" spans="2:16" ht="5.25" customHeight="1">
      <c r="B83" s="122"/>
      <c r="C83" s="111"/>
      <c r="D83" s="111"/>
      <c r="E83" s="111"/>
      <c r="F83" s="111"/>
      <c r="G83" s="111"/>
      <c r="H83" s="111"/>
      <c r="I83" s="111"/>
      <c r="J83" s="111"/>
      <c r="K83" s="111"/>
      <c r="L83" s="111"/>
      <c r="M83" s="111"/>
      <c r="N83" s="111"/>
      <c r="O83" s="111"/>
      <c r="P83" s="111"/>
    </row>
    <row r="84" spans="2:16" ht="8.25" customHeight="1">
      <c r="B84" s="122"/>
      <c r="C84" s="111"/>
      <c r="D84" s="111"/>
      <c r="E84" s="111"/>
      <c r="F84" s="111"/>
      <c r="G84" s="111"/>
      <c r="H84" s="111"/>
      <c r="I84" s="111"/>
      <c r="J84" s="111"/>
      <c r="K84" s="111"/>
      <c r="L84" s="111"/>
      <c r="M84" s="111"/>
      <c r="N84" s="111"/>
      <c r="O84" s="111"/>
      <c r="P84" s="111"/>
    </row>
    <row r="85" spans="2:16">
      <c r="B85" s="122"/>
      <c r="C85" s="111"/>
      <c r="D85" s="111"/>
      <c r="E85" s="111"/>
      <c r="F85" s="111"/>
      <c r="G85" s="111"/>
      <c r="H85" s="111"/>
      <c r="I85" s="111"/>
      <c r="J85" s="111"/>
      <c r="K85" s="111"/>
      <c r="L85" s="111"/>
      <c r="M85" s="111"/>
      <c r="N85" s="111"/>
      <c r="O85" s="111"/>
      <c r="P85" s="111"/>
    </row>
    <row r="86" spans="2:16">
      <c r="B86" s="122"/>
      <c r="C86" s="111"/>
      <c r="D86" s="111"/>
      <c r="E86" s="111"/>
      <c r="F86" s="111"/>
      <c r="G86" s="111"/>
      <c r="H86" s="111"/>
      <c r="I86" s="111"/>
      <c r="J86" s="111"/>
      <c r="K86" s="111"/>
      <c r="L86" s="111"/>
      <c r="M86" s="111"/>
      <c r="N86" s="111"/>
      <c r="O86" s="111"/>
      <c r="P86" s="111"/>
    </row>
    <row r="87" spans="2:16">
      <c r="B87" s="122"/>
      <c r="C87" s="111"/>
      <c r="D87" s="111"/>
      <c r="E87" s="111"/>
      <c r="F87" s="111"/>
      <c r="G87" s="111"/>
      <c r="H87" s="111"/>
      <c r="I87" s="111"/>
      <c r="J87" s="111"/>
      <c r="K87" s="111"/>
      <c r="L87" s="111"/>
      <c r="M87" s="111"/>
      <c r="N87" s="111"/>
      <c r="O87" s="111"/>
      <c r="P87" s="111"/>
    </row>
    <row r="88" spans="2:16">
      <c r="B88" s="122"/>
      <c r="C88" s="111"/>
      <c r="D88" s="111"/>
      <c r="E88" s="111"/>
      <c r="F88" s="111"/>
      <c r="G88" s="111"/>
      <c r="H88" s="111"/>
      <c r="I88" s="111"/>
      <c r="J88" s="111"/>
      <c r="K88" s="111"/>
      <c r="L88" s="111"/>
      <c r="M88" s="111"/>
      <c r="N88" s="111"/>
      <c r="O88" s="111"/>
      <c r="P88" s="111"/>
    </row>
    <row r="89" spans="2:16">
      <c r="B89" s="122"/>
      <c r="C89" s="111"/>
      <c r="D89" s="111"/>
      <c r="E89" s="111"/>
      <c r="F89" s="111"/>
      <c r="G89" s="111"/>
      <c r="H89" s="111"/>
      <c r="I89" s="111"/>
      <c r="J89" s="111"/>
      <c r="K89" s="111"/>
      <c r="L89" s="111"/>
      <c r="M89" s="111"/>
      <c r="N89" s="111"/>
      <c r="O89" s="111"/>
      <c r="P89" s="111"/>
    </row>
    <row r="90" spans="2:16">
      <c r="B90" s="122"/>
      <c r="C90" s="111"/>
      <c r="D90" s="111"/>
      <c r="E90" s="111"/>
      <c r="F90" s="111"/>
      <c r="G90" s="111"/>
      <c r="H90" s="111"/>
      <c r="I90" s="111"/>
      <c r="J90" s="111"/>
      <c r="K90" s="111"/>
      <c r="L90" s="111"/>
      <c r="M90" s="111"/>
      <c r="N90" s="111"/>
      <c r="O90" s="111"/>
      <c r="P90" s="111"/>
    </row>
    <row r="91" spans="2:16">
      <c r="B91" s="122"/>
      <c r="C91" s="111"/>
      <c r="D91" s="111"/>
      <c r="E91" s="111"/>
      <c r="F91" s="111"/>
      <c r="G91" s="111"/>
      <c r="H91" s="111"/>
      <c r="I91" s="111"/>
      <c r="J91" s="111"/>
      <c r="K91" s="111"/>
      <c r="L91" s="111"/>
      <c r="M91" s="111"/>
      <c r="N91" s="111"/>
      <c r="O91" s="111"/>
      <c r="P91" s="111"/>
    </row>
    <row r="92" spans="2:16">
      <c r="B92" s="122"/>
      <c r="C92" s="111"/>
      <c r="D92" s="111"/>
      <c r="E92" s="111"/>
      <c r="F92" s="111"/>
      <c r="G92" s="111"/>
      <c r="H92" s="111"/>
      <c r="I92" s="111"/>
      <c r="J92" s="111"/>
      <c r="K92" s="111"/>
      <c r="L92" s="111"/>
      <c r="M92" s="111"/>
      <c r="N92" s="111"/>
      <c r="O92" s="111"/>
      <c r="P92" s="111"/>
    </row>
    <row r="93" spans="2:16">
      <c r="B93" s="122"/>
      <c r="C93" s="111"/>
      <c r="D93" s="111"/>
      <c r="E93" s="111"/>
      <c r="F93" s="111"/>
      <c r="G93" s="111"/>
      <c r="H93" s="111"/>
      <c r="I93" s="111"/>
      <c r="J93" s="111"/>
      <c r="K93" s="111"/>
      <c r="L93" s="111"/>
      <c r="M93" s="111"/>
      <c r="N93" s="111"/>
      <c r="O93" s="111"/>
      <c r="P93" s="111"/>
    </row>
    <row r="94" spans="2:16">
      <c r="B94" s="122"/>
      <c r="C94" s="111"/>
      <c r="D94" s="111"/>
      <c r="E94" s="111"/>
      <c r="F94" s="111"/>
      <c r="G94" s="111"/>
      <c r="H94" s="111"/>
      <c r="I94" s="111"/>
      <c r="J94" s="111"/>
      <c r="K94" s="111"/>
      <c r="L94" s="111"/>
      <c r="M94" s="111"/>
      <c r="N94" s="111"/>
      <c r="O94" s="111"/>
      <c r="P94" s="111"/>
    </row>
    <row r="95" spans="2:16">
      <c r="C95" s="111"/>
      <c r="D95" s="111"/>
      <c r="E95" s="111"/>
      <c r="F95" s="111"/>
      <c r="G95" s="111"/>
      <c r="H95" s="111"/>
      <c r="I95" s="111"/>
      <c r="J95" s="111"/>
      <c r="K95" s="111"/>
      <c r="L95" s="111"/>
      <c r="M95" s="111"/>
      <c r="N95" s="111"/>
      <c r="O95" s="111"/>
      <c r="P95" s="111"/>
    </row>
    <row r="96" spans="2:16">
      <c r="B96" s="122"/>
      <c r="C96" s="111"/>
      <c r="D96" s="111"/>
      <c r="E96" s="111"/>
      <c r="F96" s="111"/>
      <c r="G96" s="111"/>
      <c r="H96" s="111"/>
      <c r="I96" s="111"/>
      <c r="J96" s="111"/>
      <c r="K96" s="111"/>
      <c r="L96" s="111"/>
      <c r="M96" s="111"/>
      <c r="N96" s="111"/>
      <c r="O96" s="111"/>
      <c r="P96" s="111"/>
    </row>
    <row r="97" spans="2:16">
      <c r="B97" s="122"/>
      <c r="C97" s="111"/>
      <c r="D97" s="111"/>
      <c r="E97" s="111"/>
      <c r="F97" s="111"/>
      <c r="G97" s="111"/>
      <c r="H97" s="111"/>
      <c r="I97" s="111"/>
      <c r="J97" s="111"/>
      <c r="K97" s="111"/>
      <c r="L97" s="111"/>
      <c r="M97" s="111"/>
      <c r="N97" s="111"/>
      <c r="O97" s="111"/>
      <c r="P97" s="111"/>
    </row>
    <row r="98" spans="2:16">
      <c r="B98" s="122"/>
      <c r="C98" s="111"/>
      <c r="D98" s="111"/>
      <c r="E98" s="111"/>
      <c r="F98" s="111"/>
      <c r="G98" s="111"/>
      <c r="H98" s="111"/>
      <c r="I98" s="111"/>
      <c r="J98" s="111"/>
      <c r="K98" s="111"/>
      <c r="L98" s="111"/>
      <c r="M98" s="111"/>
      <c r="N98" s="111"/>
      <c r="O98" s="111"/>
      <c r="P98" s="111"/>
    </row>
    <row r="99" spans="2:16">
      <c r="B99" s="122"/>
      <c r="C99" s="111"/>
      <c r="D99" s="111"/>
      <c r="E99" s="111"/>
      <c r="F99" s="111"/>
      <c r="G99" s="111"/>
      <c r="H99" s="111"/>
      <c r="I99" s="111"/>
      <c r="J99" s="111"/>
      <c r="K99" s="111"/>
      <c r="L99" s="111"/>
      <c r="M99" s="111"/>
      <c r="N99" s="111"/>
      <c r="O99" s="111"/>
      <c r="P99" s="111"/>
    </row>
    <row r="100" spans="2:16">
      <c r="B100" s="122"/>
      <c r="C100" s="111"/>
      <c r="D100" s="111"/>
      <c r="E100" s="111"/>
      <c r="F100" s="111"/>
      <c r="G100" s="111"/>
      <c r="H100" s="111"/>
      <c r="I100" s="111"/>
      <c r="J100" s="111"/>
      <c r="K100" s="111"/>
      <c r="L100" s="111"/>
      <c r="M100" s="111"/>
      <c r="N100" s="111"/>
      <c r="O100" s="111"/>
      <c r="P100" s="111"/>
    </row>
    <row r="101" spans="2:16">
      <c r="B101" s="122"/>
      <c r="C101" s="111"/>
      <c r="D101" s="111"/>
      <c r="E101" s="111"/>
      <c r="F101" s="111"/>
      <c r="G101" s="111"/>
      <c r="H101" s="111"/>
      <c r="I101" s="111"/>
      <c r="J101" s="111"/>
      <c r="K101" s="111"/>
      <c r="L101" s="111"/>
      <c r="M101" s="111"/>
      <c r="N101" s="111"/>
      <c r="O101" s="111"/>
      <c r="P101" s="111"/>
    </row>
    <row r="102" spans="2:16">
      <c r="B102" s="122"/>
      <c r="C102" s="111"/>
      <c r="D102" s="111"/>
      <c r="E102" s="111"/>
      <c r="F102" s="111"/>
      <c r="G102" s="111"/>
      <c r="H102" s="111"/>
      <c r="I102" s="111"/>
      <c r="J102" s="111"/>
      <c r="K102" s="111"/>
      <c r="L102" s="111"/>
      <c r="M102" s="111"/>
      <c r="N102" s="111"/>
      <c r="O102" s="111"/>
      <c r="P102" s="111"/>
    </row>
    <row r="103" spans="2:16">
      <c r="B103" s="122"/>
      <c r="C103" s="111"/>
      <c r="D103" s="111"/>
      <c r="E103" s="111"/>
      <c r="F103" s="111"/>
      <c r="G103" s="111"/>
      <c r="H103" s="111"/>
      <c r="I103" s="111"/>
      <c r="J103" s="111"/>
      <c r="K103" s="111"/>
      <c r="L103" s="111"/>
      <c r="M103" s="111"/>
      <c r="N103" s="111"/>
      <c r="O103" s="111"/>
      <c r="P103" s="111"/>
    </row>
    <row r="104" spans="2:16">
      <c r="B104" s="122"/>
      <c r="C104" s="111"/>
      <c r="D104" s="111"/>
      <c r="E104" s="111"/>
      <c r="F104" s="111"/>
      <c r="G104" s="111"/>
      <c r="H104" s="111"/>
      <c r="I104" s="111"/>
      <c r="J104" s="111"/>
      <c r="K104" s="111"/>
      <c r="L104" s="111"/>
      <c r="M104" s="111"/>
      <c r="N104" s="111"/>
      <c r="O104" s="111"/>
      <c r="P104" s="111"/>
    </row>
    <row r="105" spans="2:16">
      <c r="B105" s="122"/>
      <c r="C105" s="111"/>
      <c r="D105" s="111"/>
      <c r="E105" s="111"/>
      <c r="F105" s="111"/>
      <c r="G105" s="111"/>
      <c r="H105" s="111"/>
      <c r="I105" s="111"/>
      <c r="J105" s="111"/>
      <c r="K105" s="111"/>
      <c r="L105" s="111"/>
      <c r="M105" s="111"/>
      <c r="N105" s="111"/>
      <c r="O105" s="111"/>
      <c r="P105" s="111"/>
    </row>
    <row r="106" spans="2:16">
      <c r="B106" s="122"/>
      <c r="C106" s="111"/>
      <c r="D106" s="111"/>
      <c r="E106" s="111"/>
      <c r="F106" s="111"/>
      <c r="G106" s="111"/>
      <c r="H106" s="111"/>
      <c r="I106" s="111"/>
      <c r="J106" s="111"/>
      <c r="K106" s="111"/>
      <c r="L106" s="111"/>
      <c r="M106" s="111"/>
      <c r="N106" s="111"/>
      <c r="O106" s="111"/>
      <c r="P106" s="111"/>
    </row>
    <row r="107" spans="2:16">
      <c r="B107" s="122"/>
      <c r="C107" s="111"/>
      <c r="D107" s="111"/>
      <c r="E107" s="111"/>
      <c r="F107" s="111"/>
      <c r="G107" s="111"/>
      <c r="H107" s="111"/>
      <c r="I107" s="111"/>
      <c r="J107" s="111"/>
      <c r="K107" s="111"/>
      <c r="L107" s="111"/>
      <c r="M107" s="111"/>
      <c r="N107" s="111"/>
      <c r="O107" s="111"/>
      <c r="P107" s="111"/>
    </row>
    <row r="108" spans="2:16">
      <c r="B108" s="122"/>
      <c r="C108" s="111"/>
      <c r="D108" s="111"/>
      <c r="E108" s="111"/>
      <c r="F108" s="111"/>
      <c r="G108" s="111"/>
      <c r="H108" s="111"/>
      <c r="I108" s="111"/>
      <c r="J108" s="111"/>
      <c r="K108" s="111"/>
      <c r="L108" s="111"/>
      <c r="M108" s="111"/>
      <c r="N108" s="111"/>
      <c r="O108" s="111"/>
      <c r="P108" s="111"/>
    </row>
    <row r="109" spans="2:16">
      <c r="B109" s="122"/>
      <c r="C109" s="111"/>
      <c r="D109" s="111"/>
      <c r="E109" s="111"/>
      <c r="F109" s="111"/>
      <c r="G109" s="111"/>
      <c r="H109" s="111"/>
      <c r="I109" s="111"/>
      <c r="J109" s="111"/>
      <c r="K109" s="111"/>
      <c r="L109" s="111"/>
      <c r="M109" s="111"/>
      <c r="N109" s="111"/>
      <c r="O109" s="111"/>
      <c r="P109" s="111"/>
    </row>
    <row r="110" spans="2:16">
      <c r="B110" s="122"/>
      <c r="C110" s="111"/>
      <c r="D110" s="111"/>
      <c r="E110" s="111"/>
      <c r="F110" s="111"/>
      <c r="G110" s="111"/>
      <c r="H110" s="111"/>
      <c r="I110" s="111"/>
      <c r="J110" s="111"/>
      <c r="K110" s="111"/>
      <c r="L110" s="111"/>
      <c r="M110" s="111"/>
      <c r="N110" s="111"/>
      <c r="O110" s="111"/>
      <c r="P110" s="111"/>
    </row>
    <row r="111" spans="2:16">
      <c r="B111" s="122"/>
      <c r="C111" s="111"/>
      <c r="D111" s="111"/>
      <c r="E111" s="111"/>
      <c r="F111" s="111"/>
      <c r="G111" s="111"/>
      <c r="H111" s="111"/>
      <c r="I111" s="111"/>
      <c r="J111" s="111"/>
      <c r="K111" s="111"/>
      <c r="L111" s="111"/>
      <c r="M111" s="111"/>
      <c r="N111" s="111"/>
      <c r="O111" s="111"/>
      <c r="P111" s="111"/>
    </row>
    <row r="112" spans="2:16">
      <c r="B112" s="122"/>
      <c r="C112" s="111"/>
      <c r="D112" s="111"/>
      <c r="E112" s="111"/>
      <c r="F112" s="111"/>
      <c r="G112" s="111"/>
      <c r="H112" s="111"/>
      <c r="I112" s="111"/>
      <c r="J112" s="111"/>
      <c r="K112" s="111"/>
      <c r="L112" s="111"/>
      <c r="M112" s="111"/>
      <c r="N112" s="111"/>
      <c r="O112" s="111"/>
      <c r="P112" s="111"/>
    </row>
    <row r="113" spans="2:20">
      <c r="B113" s="122"/>
      <c r="C113" s="111"/>
      <c r="D113" s="111"/>
      <c r="E113" s="111"/>
      <c r="F113" s="111"/>
      <c r="G113" s="111"/>
      <c r="H113" s="111"/>
      <c r="I113" s="111"/>
      <c r="J113" s="111"/>
      <c r="K113" s="111"/>
      <c r="L113" s="111"/>
      <c r="M113" s="111"/>
      <c r="N113" s="111"/>
      <c r="O113" s="111"/>
      <c r="P113" s="111"/>
    </row>
    <row r="114" spans="2:20">
      <c r="B114" s="122"/>
      <c r="C114" s="111"/>
      <c r="D114" s="111"/>
      <c r="E114" s="111"/>
      <c r="F114" s="111"/>
      <c r="G114" s="111"/>
      <c r="H114" s="111"/>
      <c r="I114" s="111"/>
      <c r="J114" s="111"/>
      <c r="K114" s="111"/>
      <c r="L114" s="111"/>
      <c r="M114" s="111"/>
      <c r="N114" s="111"/>
      <c r="O114" s="111"/>
      <c r="P114" s="111"/>
    </row>
    <row r="115" spans="2:20">
      <c r="B115" s="122"/>
      <c r="C115" s="111"/>
      <c r="D115" s="111"/>
      <c r="E115" s="111"/>
      <c r="F115" s="111"/>
      <c r="G115" s="111"/>
      <c r="H115" s="111"/>
      <c r="I115" s="111"/>
      <c r="J115" s="111"/>
      <c r="K115" s="111"/>
      <c r="L115" s="111"/>
      <c r="M115" s="111"/>
      <c r="N115" s="111"/>
      <c r="O115" s="111"/>
      <c r="P115" s="111"/>
    </row>
    <row r="116" spans="2:20">
      <c r="C116" s="111"/>
      <c r="D116" s="111"/>
      <c r="E116" s="111"/>
      <c r="F116" s="111"/>
      <c r="G116" s="111"/>
      <c r="H116" s="111"/>
      <c r="I116" s="111"/>
      <c r="J116" s="111"/>
      <c r="K116" s="111"/>
      <c r="L116" s="111"/>
      <c r="M116" s="111"/>
      <c r="N116" s="111"/>
      <c r="O116" s="111"/>
      <c r="P116" s="127"/>
      <c r="Q116" s="127"/>
      <c r="R116" s="127"/>
      <c r="S116" s="127"/>
      <c r="T116" s="127"/>
    </row>
    <row r="117" spans="2:20" ht="7.5" customHeight="1">
      <c r="C117" s="111"/>
      <c r="D117" s="111"/>
      <c r="E117" s="111"/>
      <c r="F117" s="111"/>
      <c r="G117" s="111"/>
      <c r="H117" s="111"/>
      <c r="I117" s="111"/>
      <c r="J117" s="111"/>
      <c r="K117" s="111"/>
      <c r="L117" s="111"/>
      <c r="M117" s="111"/>
      <c r="N117" s="111"/>
      <c r="O117" s="111"/>
      <c r="P117" s="127"/>
      <c r="Q117" s="127"/>
      <c r="R117" s="127"/>
      <c r="S117" s="127"/>
      <c r="T117" s="127"/>
    </row>
    <row r="118" spans="2:20">
      <c r="B118" s="122"/>
      <c r="C118" s="111"/>
      <c r="D118" s="111"/>
      <c r="E118" s="111"/>
      <c r="F118" s="111"/>
      <c r="G118" s="111"/>
      <c r="H118" s="111"/>
      <c r="I118" s="111"/>
      <c r="J118" s="111"/>
      <c r="K118" s="111"/>
      <c r="L118" s="111"/>
      <c r="M118" s="111"/>
      <c r="N118" s="111"/>
      <c r="O118" s="111"/>
      <c r="P118" s="111"/>
    </row>
    <row r="119" spans="2:20">
      <c r="B119" s="122"/>
      <c r="C119" s="111"/>
      <c r="D119" s="111"/>
      <c r="E119" s="111"/>
      <c r="F119" s="111"/>
      <c r="G119" s="111"/>
      <c r="H119" s="111"/>
      <c r="I119" s="111"/>
      <c r="J119" s="111"/>
      <c r="K119" s="111"/>
      <c r="L119" s="111"/>
      <c r="M119" s="111"/>
      <c r="N119" s="111"/>
      <c r="O119" s="111"/>
      <c r="P119" s="111"/>
    </row>
    <row r="120" spans="2:20">
      <c r="B120" s="122"/>
      <c r="C120" s="111"/>
      <c r="D120" s="111"/>
      <c r="E120" s="111"/>
      <c r="F120" s="111"/>
      <c r="G120" s="111"/>
      <c r="H120" s="111"/>
      <c r="I120" s="111"/>
      <c r="J120" s="111"/>
      <c r="K120" s="111"/>
      <c r="L120" s="111"/>
      <c r="M120" s="111"/>
      <c r="N120" s="111"/>
      <c r="O120" s="111"/>
      <c r="P120" s="111"/>
    </row>
    <row r="121" spans="2:20" ht="16.5" customHeight="1">
      <c r="B121" s="122"/>
      <c r="C121" s="111"/>
      <c r="D121" s="111"/>
      <c r="E121" s="111"/>
      <c r="F121" s="111"/>
      <c r="G121" s="111"/>
      <c r="H121" s="111"/>
      <c r="I121" s="111"/>
      <c r="J121" s="111"/>
      <c r="K121" s="111"/>
      <c r="L121" s="111"/>
      <c r="M121" s="111"/>
      <c r="N121" s="111"/>
      <c r="O121" s="111"/>
      <c r="P121" s="111"/>
    </row>
    <row r="122" spans="2:20" ht="16.5" customHeight="1">
      <c r="B122" s="122"/>
      <c r="C122" s="111"/>
      <c r="D122" s="111"/>
      <c r="E122" s="111"/>
      <c r="F122" s="111"/>
      <c r="G122" s="111"/>
      <c r="H122" s="111"/>
      <c r="I122" s="111"/>
      <c r="J122" s="111"/>
      <c r="K122" s="111"/>
      <c r="L122" s="111"/>
      <c r="M122" s="111"/>
      <c r="N122" s="111"/>
      <c r="O122" s="111"/>
      <c r="P122" s="111"/>
    </row>
    <row r="123" spans="2:20" ht="16.5" customHeight="1">
      <c r="B123" s="122"/>
      <c r="C123" s="111"/>
      <c r="D123" s="111"/>
      <c r="E123" s="111"/>
      <c r="F123" s="111"/>
      <c r="G123" s="111"/>
      <c r="H123" s="111"/>
      <c r="I123" s="111"/>
      <c r="J123" s="111"/>
      <c r="K123" s="111"/>
      <c r="L123" s="111"/>
      <c r="M123" s="111"/>
      <c r="N123" s="111"/>
      <c r="O123" s="111"/>
      <c r="P123" s="111"/>
    </row>
    <row r="124" spans="2:20" ht="16.5" customHeight="1">
      <c r="B124" s="122"/>
      <c r="C124" s="111"/>
      <c r="D124" s="111"/>
      <c r="E124" s="111"/>
      <c r="F124" s="111"/>
      <c r="G124" s="111"/>
      <c r="H124" s="111"/>
      <c r="I124" s="111"/>
      <c r="J124" s="111"/>
      <c r="K124" s="111"/>
      <c r="L124" s="111"/>
      <c r="M124" s="111"/>
      <c r="N124" s="111"/>
      <c r="O124" s="111"/>
      <c r="P124" s="111"/>
    </row>
    <row r="125" spans="2:20" ht="16.5" customHeight="1">
      <c r="B125" s="122"/>
      <c r="C125" s="111"/>
      <c r="D125" s="111"/>
      <c r="E125" s="111"/>
      <c r="F125" s="111"/>
      <c r="G125" s="111"/>
      <c r="H125" s="111"/>
      <c r="I125" s="111"/>
      <c r="J125" s="111"/>
      <c r="K125" s="111"/>
      <c r="L125" s="111"/>
      <c r="M125" s="111"/>
      <c r="N125" s="111"/>
      <c r="O125" s="111"/>
      <c r="P125" s="111"/>
    </row>
    <row r="126" spans="2:20" ht="16.5" customHeight="1">
      <c r="B126" s="122"/>
      <c r="C126" s="111"/>
      <c r="D126" s="111"/>
      <c r="E126" s="111"/>
      <c r="F126" s="111"/>
      <c r="G126" s="111"/>
      <c r="H126" s="111"/>
      <c r="I126" s="111"/>
      <c r="J126" s="111"/>
      <c r="K126" s="111"/>
      <c r="L126" s="111"/>
      <c r="M126" s="111"/>
      <c r="N126" s="111"/>
      <c r="O126" s="111"/>
      <c r="P126" s="111"/>
    </row>
    <row r="127" spans="2:20" ht="16.5" customHeight="1">
      <c r="B127" s="122"/>
      <c r="C127" s="111"/>
      <c r="D127" s="111"/>
      <c r="E127" s="111"/>
      <c r="F127" s="111"/>
      <c r="G127" s="111"/>
      <c r="H127" s="111"/>
      <c r="I127" s="111"/>
      <c r="J127" s="111"/>
      <c r="K127" s="111"/>
      <c r="L127" s="111"/>
      <c r="M127" s="111"/>
      <c r="N127" s="111"/>
      <c r="O127" s="111"/>
      <c r="P127" s="111"/>
    </row>
    <row r="128" spans="2:20" ht="16.5" customHeight="1">
      <c r="B128" s="122"/>
      <c r="C128" s="111"/>
      <c r="D128" s="111"/>
      <c r="E128" s="111"/>
      <c r="F128" s="111"/>
      <c r="G128" s="111"/>
      <c r="H128" s="111"/>
      <c r="I128" s="111"/>
      <c r="J128" s="111"/>
      <c r="K128" s="111"/>
      <c r="L128" s="111"/>
      <c r="M128" s="111"/>
      <c r="N128" s="111"/>
      <c r="O128" s="111"/>
      <c r="P128" s="111"/>
    </row>
    <row r="129" spans="1:25" ht="16.5" customHeight="1">
      <c r="B129" s="122"/>
      <c r="C129" s="111"/>
      <c r="D129" s="111"/>
      <c r="E129" s="111"/>
      <c r="F129" s="111"/>
      <c r="G129" s="111"/>
      <c r="H129" s="111"/>
      <c r="I129" s="111"/>
      <c r="J129" s="111"/>
      <c r="K129" s="111"/>
      <c r="L129" s="111"/>
      <c r="M129" s="111"/>
      <c r="N129" s="111"/>
      <c r="O129" s="111"/>
      <c r="P129" s="111"/>
    </row>
    <row r="130" spans="1:25" ht="16.5" customHeight="1">
      <c r="B130" s="122"/>
      <c r="C130" s="111"/>
      <c r="D130" s="111"/>
      <c r="E130" s="111"/>
      <c r="F130" s="111"/>
      <c r="G130" s="111"/>
      <c r="H130" s="111"/>
      <c r="I130" s="111"/>
      <c r="J130" s="111"/>
      <c r="K130" s="111"/>
      <c r="L130" s="111"/>
      <c r="M130" s="111"/>
      <c r="N130" s="111"/>
      <c r="O130" s="111"/>
      <c r="P130" s="111"/>
    </row>
    <row r="131" spans="1:25">
      <c r="A131" s="123"/>
      <c r="B131" s="130" t="s">
        <v>14</v>
      </c>
      <c r="C131" s="124"/>
      <c r="D131" s="124"/>
      <c r="E131" s="124"/>
      <c r="F131" s="124"/>
      <c r="G131" s="124"/>
      <c r="H131" s="124"/>
      <c r="I131" s="124"/>
      <c r="J131" s="124"/>
      <c r="K131" s="124"/>
      <c r="L131" s="124"/>
      <c r="M131" s="124"/>
      <c r="N131" s="124"/>
      <c r="O131" s="124"/>
      <c r="P131" s="124"/>
      <c r="Q131" s="124"/>
      <c r="R131" s="124"/>
      <c r="S131" s="124"/>
      <c r="T131" s="124"/>
      <c r="U131" s="124"/>
      <c r="V131" s="124"/>
      <c r="W131" s="124"/>
      <c r="X131" s="124"/>
      <c r="Y131" s="124"/>
    </row>
    <row r="132" spans="1:25" hidden="1"/>
    <row r="133" spans="1:25" hidden="1"/>
    <row r="134" spans="1:25" hidden="1"/>
    <row r="135" spans="1:25" hidden="1"/>
    <row r="136" spans="1:25" hidden="1"/>
    <row r="137" spans="1:25" hidden="1">
      <c r="C137" s="125"/>
    </row>
    <row r="138" spans="1:25" hidden="1"/>
    <row r="139" spans="1:25" hidden="1"/>
    <row r="140" spans="1:25" hidden="1">
      <c r="C140" s="125"/>
    </row>
    <row r="141" spans="1:25" hidden="1"/>
    <row r="142" spans="1:25" hidden="1"/>
    <row r="143" spans="1:25" hidden="1"/>
    <row r="144" spans="1:25" hidden="1"/>
    <row r="145" hidden="1"/>
    <row r="146" hidden="1"/>
    <row r="147" hidden="1"/>
    <row r="148" hidden="1"/>
    <row r="149" hidden="1"/>
    <row r="150" hidden="1"/>
    <row r="151" hidden="1"/>
    <row r="152" hidden="1"/>
    <row r="153" hidden="1"/>
    <row r="154" hidden="1"/>
    <row r="155" hidden="1"/>
    <row r="156" hidden="1"/>
    <row r="157" hidden="1"/>
    <row r="158" hidden="1"/>
    <row r="159" hidden="1"/>
    <row r="160"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spans="1:1" hidden="1"/>
    <row r="178" spans="1:1" hidden="1"/>
    <row r="179" spans="1:1" hidden="1"/>
    <row r="180" spans="1:1" hidden="1"/>
    <row r="181" spans="1:1" hidden="1"/>
    <row r="182" spans="1:1" hidden="1"/>
    <row r="183" spans="1:1" hidden="1"/>
    <row r="184" spans="1:1" hidden="1"/>
    <row r="185" spans="1:1" hidden="1">
      <c r="A185" s="89"/>
    </row>
    <row r="186" spans="1:1" hidden="1">
      <c r="A186" s="89"/>
    </row>
    <row r="187" spans="1:1" ht="12.75" customHeight="1"/>
    <row r="188" spans="1:1" ht="12.75" customHeight="1"/>
    <row r="189" spans="1:1" ht="12.75" customHeight="1"/>
    <row r="190" spans="1:1" ht="12.75" customHeight="1"/>
  </sheetData>
  <sheetProtection autoFilter="0"/>
  <conditionalFormatting sqref="E1:Y1">
    <cfRule type="expression" dxfId="18" priority="5" stopIfTrue="1">
      <formula>ErrorsPresent&gt;0</formula>
    </cfRule>
    <cfRule type="expression" dxfId="17" priority="6" stopIfTrue="1">
      <formula>ErrorsPresent&lt;0</formula>
    </cfRule>
  </conditionalFormatting>
  <conditionalFormatting sqref="C1:D1">
    <cfRule type="expression" dxfId="16" priority="3" stopIfTrue="1">
      <formula>ErrorsPresent&gt;0</formula>
    </cfRule>
    <cfRule type="expression" dxfId="15" priority="4" stopIfTrue="1">
      <formula>ErrorsPresent&lt;0</formula>
    </cfRule>
  </conditionalFormatting>
  <conditionalFormatting sqref="A1:B1">
    <cfRule type="expression" dxfId="14" priority="1" stopIfTrue="1">
      <formula>ErrorsPresent&gt;0</formula>
    </cfRule>
    <cfRule type="expression" dxfId="13" priority="2" stopIfTrue="1">
      <formula>ErrorsPresent&lt;0</formula>
    </cfRule>
  </conditionalFormatting>
  <pageMargins left="0.4" right="0.4" top="1" bottom="1" header="0.5" footer="0.5"/>
  <pageSetup scale="84" fitToHeight="4" orientation="landscape" r:id="rId1"/>
  <headerFooter alignWithMargins="0">
    <oddHeader>&amp;LFUJITSU SERVICES&amp;RCOMMERCIAL IN CONFIDENCE</oddHeader>
    <oddFooter>&amp;L&amp;"Arial,Italic"&amp;F&amp;C&amp;"Arial,Italic"Printed on &amp;D at &amp;T&amp;R&amp;"Arial,Italic"Page &amp;P of &amp;N</oddFooter>
  </headerFooter>
  <rowBreaks count="3" manualBreakCount="3">
    <brk id="39" min="1" max="23" man="1"/>
    <brk id="75" min="1" max="23" man="1"/>
    <brk id="112" min="1" max="23" man="1"/>
  </rowBreaks>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outlinePr summaryBelow="0"/>
    <pageSetUpPr autoPageBreaks="0" fitToPage="1"/>
  </sheetPr>
  <dimension ref="A1:EY178"/>
  <sheetViews>
    <sheetView showGridLines="0" zoomScale="87" zoomScaleNormal="87" workbookViewId="0">
      <pane ySplit="11" topLeftCell="A12" activePane="bottomLeft" state="frozen"/>
      <selection pane="bottomLeft" activeCell="F14" sqref="F14"/>
    </sheetView>
  </sheetViews>
  <sheetFormatPr defaultRowHeight="12.75" customHeight="1" zeroHeight="1" outlineLevelRow="1"/>
  <cols>
    <col min="1" max="1" width="7.42578125" style="86" customWidth="1"/>
    <col min="2" max="2" width="18.28515625" style="86" customWidth="1"/>
    <col min="3" max="3" width="16.28515625" style="86" customWidth="1"/>
    <col min="4" max="4" width="2.42578125" style="86" customWidth="1"/>
    <col min="5" max="5" width="19.140625" style="207" customWidth="1"/>
    <col min="6" max="6" width="13.28515625" style="86" customWidth="1"/>
    <col min="7" max="7" width="2.7109375" style="86" customWidth="1"/>
    <col min="8" max="8" width="16.42578125" style="86" customWidth="1"/>
    <col min="9" max="9" width="13.28515625" style="86" customWidth="1"/>
    <col min="10" max="10" width="2.5703125" style="86" customWidth="1"/>
    <col min="11" max="11" width="17.5703125" style="86" customWidth="1"/>
    <col min="12" max="12" width="13.28515625" style="86" customWidth="1"/>
    <col min="13" max="13" width="20" style="86" customWidth="1"/>
    <col min="14" max="14" width="15.140625" style="86" customWidth="1"/>
    <col min="15" max="154" width="9.140625" style="86"/>
    <col min="155" max="155" width="1.5703125" style="86" customWidth="1"/>
    <col min="156" max="16384" width="9.140625" style="86"/>
  </cols>
  <sheetData>
    <row r="1" spans="1:155" s="132" customFormat="1" ht="15">
      <c r="A1" s="90" t="s">
        <v>0</v>
      </c>
      <c r="B1" s="90"/>
      <c r="C1" s="90"/>
      <c r="D1" s="90"/>
      <c r="E1" s="63"/>
      <c r="F1" s="131">
        <v>0</v>
      </c>
      <c r="G1" s="63"/>
      <c r="H1" s="63"/>
      <c r="I1" s="63"/>
      <c r="J1" s="63"/>
      <c r="K1" s="63"/>
      <c r="L1" s="63"/>
      <c r="M1" s="63"/>
      <c r="N1" s="63"/>
      <c r="O1" s="63"/>
      <c r="P1" s="63"/>
      <c r="Q1" s="63"/>
      <c r="R1" s="63"/>
      <c r="S1" s="63"/>
      <c r="T1" s="63"/>
      <c r="U1" s="63"/>
      <c r="V1" s="63"/>
      <c r="W1" s="63"/>
      <c r="X1" s="63"/>
      <c r="Y1" s="63"/>
      <c r="Z1" s="63"/>
      <c r="AA1" s="63"/>
      <c r="AB1" s="63"/>
      <c r="AC1" s="63"/>
      <c r="AD1" s="63"/>
      <c r="AE1" s="63"/>
      <c r="AF1" s="63"/>
      <c r="AG1" s="63"/>
      <c r="AH1" s="63"/>
      <c r="AI1" s="63"/>
      <c r="AJ1" s="63"/>
      <c r="AK1" s="63"/>
      <c r="AL1" s="63"/>
      <c r="AM1" s="63"/>
      <c r="AN1" s="63"/>
      <c r="AO1" s="63"/>
      <c r="AP1" s="63"/>
      <c r="AQ1" s="63"/>
      <c r="AR1" s="63"/>
      <c r="AS1" s="63"/>
      <c r="AT1" s="63"/>
      <c r="AU1" s="63"/>
      <c r="AV1" s="63"/>
      <c r="AW1" s="63"/>
      <c r="AX1" s="63"/>
      <c r="AY1" s="63"/>
      <c r="AZ1" s="63"/>
      <c r="BA1" s="63"/>
      <c r="BB1" s="63"/>
      <c r="BC1" s="63"/>
      <c r="BD1" s="63"/>
      <c r="BE1" s="63"/>
      <c r="BF1" s="63"/>
      <c r="BG1" s="63"/>
      <c r="BH1" s="63"/>
      <c r="BI1" s="63"/>
      <c r="BJ1" s="63"/>
      <c r="BK1" s="63"/>
      <c r="BL1" s="63"/>
      <c r="BM1" s="63"/>
      <c r="BN1" s="63"/>
      <c r="BO1" s="63"/>
      <c r="BP1" s="63"/>
      <c r="BQ1" s="63"/>
      <c r="BR1" s="63"/>
      <c r="BS1" s="63"/>
      <c r="BT1" s="63"/>
      <c r="BU1" s="63"/>
      <c r="BV1" s="63"/>
      <c r="BW1" s="63"/>
      <c r="BX1" s="63"/>
      <c r="BY1" s="63"/>
      <c r="BZ1" s="63"/>
      <c r="CA1" s="63"/>
      <c r="CB1" s="63"/>
      <c r="CC1" s="63"/>
      <c r="CD1" s="63"/>
      <c r="CE1" s="63"/>
      <c r="CF1" s="63"/>
      <c r="CG1" s="63"/>
      <c r="CH1" s="63"/>
      <c r="CI1" s="63"/>
      <c r="CJ1" s="63"/>
      <c r="CK1" s="63"/>
      <c r="CL1" s="63"/>
      <c r="CM1" s="63"/>
      <c r="CN1" s="63"/>
      <c r="CO1" s="63"/>
      <c r="CP1" s="63"/>
      <c r="CQ1" s="63"/>
      <c r="CR1" s="63"/>
      <c r="CS1" s="63"/>
      <c r="CT1" s="63"/>
      <c r="CU1" s="63"/>
      <c r="CV1" s="63"/>
      <c r="CW1" s="63"/>
      <c r="CX1" s="63"/>
      <c r="CY1" s="63"/>
      <c r="CZ1" s="63"/>
      <c r="DA1" s="63"/>
      <c r="DB1" s="63"/>
      <c r="DC1" s="63"/>
      <c r="DD1" s="63"/>
      <c r="DE1" s="63"/>
      <c r="DF1" s="63"/>
      <c r="DG1" s="63"/>
      <c r="DH1" s="63"/>
      <c r="DI1" s="63"/>
      <c r="DJ1" s="63"/>
      <c r="DK1" s="63"/>
      <c r="DL1" s="63"/>
      <c r="DM1" s="63"/>
      <c r="DN1" s="63"/>
      <c r="DO1" s="63"/>
      <c r="DP1" s="63"/>
      <c r="DQ1" s="63"/>
      <c r="DR1" s="63"/>
      <c r="DS1" s="63"/>
      <c r="DT1" s="63"/>
      <c r="DU1" s="63"/>
      <c r="DV1" s="63"/>
      <c r="DW1" s="63"/>
      <c r="DX1" s="63"/>
      <c r="DY1" s="63"/>
      <c r="DZ1" s="63"/>
      <c r="EA1" s="63"/>
      <c r="EB1" s="63"/>
      <c r="EC1" s="63"/>
      <c r="ED1" s="63"/>
      <c r="EE1" s="63"/>
      <c r="EF1" s="63"/>
      <c r="EG1" s="63"/>
      <c r="EH1" s="63"/>
      <c r="EI1" s="63"/>
      <c r="EJ1" s="63"/>
      <c r="EK1" s="63"/>
      <c r="EL1" s="63"/>
      <c r="EM1" s="63"/>
      <c r="EN1" s="63"/>
      <c r="EO1" s="63"/>
      <c r="EP1" s="63"/>
      <c r="EQ1" s="63"/>
      <c r="ER1" s="63"/>
      <c r="ES1" s="63"/>
      <c r="ET1" s="63"/>
      <c r="EU1" s="63"/>
      <c r="EV1" s="63"/>
      <c r="EW1" s="63"/>
      <c r="EX1" s="63"/>
      <c r="EY1" s="63"/>
    </row>
    <row r="2" spans="1:155" s="64" customFormat="1">
      <c r="A2" s="109" t="s">
        <v>237</v>
      </c>
      <c r="B2" s="87"/>
      <c r="C2" s="88"/>
      <c r="D2" s="88"/>
      <c r="E2" s="134" t="s">
        <v>348</v>
      </c>
      <c r="F2" s="135">
        <v>3</v>
      </c>
      <c r="G2" s="133"/>
      <c r="I2" s="136" t="s">
        <v>349</v>
      </c>
      <c r="J2" s="133"/>
      <c r="K2" s="136" t="s">
        <v>350</v>
      </c>
      <c r="L2" s="136" t="s">
        <v>351</v>
      </c>
      <c r="M2" s="133"/>
      <c r="N2" s="137"/>
      <c r="O2" s="137"/>
      <c r="P2" s="137"/>
      <c r="Q2" s="137"/>
      <c r="R2" s="137"/>
      <c r="S2" s="137"/>
      <c r="T2" s="137"/>
      <c r="U2" s="137"/>
      <c r="V2" s="137"/>
      <c r="W2" s="137"/>
      <c r="X2" s="137"/>
      <c r="Y2" s="137"/>
      <c r="Z2" s="137"/>
      <c r="AA2" s="137"/>
      <c r="AB2" s="137"/>
      <c r="AC2" s="137"/>
      <c r="AD2" s="137"/>
      <c r="AE2" s="137"/>
      <c r="AF2" s="137"/>
      <c r="AG2" s="137"/>
      <c r="AH2" s="137"/>
      <c r="AI2" s="137"/>
      <c r="AJ2" s="137"/>
      <c r="AK2" s="137"/>
      <c r="AL2" s="137"/>
      <c r="AM2" s="137"/>
      <c r="AN2" s="137"/>
      <c r="AO2" s="137"/>
      <c r="AP2" s="137"/>
      <c r="AQ2" s="137"/>
      <c r="AR2" s="137"/>
      <c r="AS2" s="137"/>
      <c r="AT2" s="137"/>
      <c r="AU2" s="137"/>
      <c r="AV2" s="137"/>
      <c r="AW2" s="137"/>
      <c r="AX2" s="137"/>
      <c r="AY2" s="137"/>
      <c r="AZ2" s="137"/>
      <c r="BA2" s="137"/>
      <c r="BB2" s="137"/>
      <c r="BC2" s="137"/>
      <c r="BD2" s="137"/>
      <c r="BE2" s="137"/>
      <c r="BF2" s="137"/>
      <c r="BG2" s="137"/>
      <c r="BH2" s="137"/>
      <c r="BI2" s="137"/>
      <c r="BJ2" s="137"/>
      <c r="BK2" s="137"/>
      <c r="BL2" s="137"/>
      <c r="BM2" s="137"/>
      <c r="BN2" s="137"/>
      <c r="BO2" s="137"/>
      <c r="BP2" s="137"/>
      <c r="BQ2" s="137"/>
      <c r="BR2" s="137"/>
      <c r="BS2" s="137"/>
      <c r="BT2" s="137"/>
      <c r="BU2" s="137"/>
      <c r="BV2" s="137"/>
      <c r="BW2" s="137"/>
      <c r="BX2" s="137"/>
      <c r="BY2" s="137"/>
      <c r="BZ2" s="137"/>
      <c r="CA2" s="137"/>
      <c r="CB2" s="137"/>
      <c r="CC2" s="137"/>
      <c r="CD2" s="137"/>
      <c r="CE2" s="137"/>
      <c r="CF2" s="137"/>
      <c r="CG2" s="137"/>
      <c r="CH2" s="137"/>
      <c r="CI2" s="137"/>
      <c r="CJ2" s="137"/>
      <c r="CK2" s="137"/>
      <c r="CL2" s="137"/>
      <c r="CM2" s="137"/>
      <c r="CN2" s="137"/>
      <c r="CO2" s="137"/>
      <c r="CP2" s="137"/>
      <c r="CQ2" s="137"/>
      <c r="CR2" s="137"/>
      <c r="CS2" s="137"/>
      <c r="CT2" s="137"/>
      <c r="CU2" s="137"/>
      <c r="CV2" s="137"/>
      <c r="CW2" s="137"/>
      <c r="CX2" s="137"/>
      <c r="CY2" s="137"/>
      <c r="CZ2" s="137"/>
      <c r="DA2" s="137"/>
      <c r="DB2" s="137"/>
      <c r="DC2" s="137"/>
      <c r="DD2" s="137"/>
      <c r="DE2" s="137"/>
      <c r="DF2" s="137"/>
      <c r="DG2" s="137"/>
      <c r="DH2" s="137"/>
      <c r="DI2" s="137"/>
      <c r="DJ2" s="137"/>
      <c r="DK2" s="137"/>
      <c r="DL2" s="137"/>
      <c r="DM2" s="137"/>
      <c r="DN2" s="137"/>
      <c r="DO2" s="137"/>
      <c r="DP2" s="137"/>
      <c r="DQ2" s="137"/>
      <c r="DR2" s="137"/>
      <c r="DS2" s="137"/>
      <c r="DT2" s="137"/>
      <c r="DU2" s="137"/>
      <c r="DV2" s="137"/>
      <c r="DW2" s="137"/>
      <c r="DX2" s="137"/>
      <c r="DY2" s="137"/>
      <c r="DZ2" s="137"/>
      <c r="EA2" s="137"/>
      <c r="EB2" s="137"/>
      <c r="EC2" s="137"/>
      <c r="ED2" s="137"/>
      <c r="EE2" s="137"/>
      <c r="EF2" s="137"/>
      <c r="EG2" s="137"/>
      <c r="EH2" s="137"/>
      <c r="EI2" s="137"/>
      <c r="EJ2" s="137"/>
      <c r="EK2" s="137"/>
      <c r="EL2" s="137"/>
      <c r="EM2" s="137"/>
      <c r="EN2" s="137"/>
      <c r="EO2" s="137"/>
      <c r="EP2" s="137"/>
      <c r="EQ2" s="137"/>
      <c r="ER2" s="137"/>
      <c r="ES2" s="137"/>
      <c r="ET2" s="137"/>
      <c r="EU2" s="137"/>
      <c r="EV2" s="137"/>
      <c r="EW2" s="137"/>
      <c r="EX2" s="137"/>
      <c r="EY2" s="137"/>
    </row>
    <row r="3" spans="1:155" s="64" customFormat="1">
      <c r="A3" s="138"/>
      <c r="B3" s="133"/>
      <c r="C3" s="133"/>
      <c r="D3" s="133"/>
      <c r="E3" s="139" t="s">
        <v>352</v>
      </c>
      <c r="F3" s="135">
        <v>63</v>
      </c>
      <c r="G3" s="133"/>
      <c r="H3" s="139" t="s">
        <v>353</v>
      </c>
      <c r="I3" s="146">
        <v>37293760</v>
      </c>
      <c r="J3" s="133"/>
      <c r="K3" s="141">
        <v>37293759.91499041</v>
      </c>
      <c r="L3" s="140">
        <f>I3-K3</f>
        <v>8.5009589791297913E-2</v>
      </c>
      <c r="M3" s="133"/>
      <c r="N3" s="137"/>
      <c r="O3" s="137"/>
      <c r="P3" s="137"/>
      <c r="Q3" s="137"/>
      <c r="R3" s="137"/>
      <c r="S3" s="137"/>
      <c r="T3" s="137"/>
      <c r="U3" s="137"/>
      <c r="V3" s="137"/>
      <c r="W3" s="137"/>
      <c r="X3" s="137"/>
      <c r="Y3" s="137"/>
      <c r="Z3" s="137"/>
      <c r="AA3" s="137"/>
      <c r="AB3" s="137"/>
      <c r="AC3" s="137"/>
      <c r="AD3" s="137"/>
      <c r="AE3" s="137"/>
      <c r="AF3" s="137"/>
      <c r="AG3" s="137"/>
      <c r="AH3" s="137"/>
      <c r="AI3" s="137"/>
      <c r="AJ3" s="137"/>
      <c r="AK3" s="137"/>
      <c r="AL3" s="137"/>
      <c r="AM3" s="137"/>
      <c r="AN3" s="137"/>
      <c r="AO3" s="137"/>
      <c r="AP3" s="137"/>
      <c r="AQ3" s="137"/>
      <c r="AR3" s="137"/>
      <c r="AS3" s="137"/>
      <c r="AT3" s="137"/>
      <c r="AU3" s="137"/>
      <c r="AV3" s="137"/>
      <c r="AW3" s="137"/>
      <c r="AX3" s="137"/>
      <c r="AY3" s="137"/>
      <c r="AZ3" s="137"/>
      <c r="BA3" s="137"/>
      <c r="BB3" s="137"/>
      <c r="BC3" s="137"/>
      <c r="BD3" s="137"/>
      <c r="BE3" s="137"/>
      <c r="BF3" s="137"/>
      <c r="BG3" s="137"/>
      <c r="BH3" s="137"/>
      <c r="BI3" s="137"/>
      <c r="BJ3" s="137"/>
      <c r="BK3" s="137"/>
      <c r="BL3" s="137"/>
      <c r="BM3" s="137"/>
      <c r="BN3" s="137"/>
      <c r="BO3" s="137"/>
      <c r="BP3" s="137"/>
      <c r="BQ3" s="137"/>
      <c r="BR3" s="137"/>
      <c r="BS3" s="137"/>
      <c r="BT3" s="137"/>
      <c r="BU3" s="137"/>
      <c r="BV3" s="137"/>
      <c r="BW3" s="137"/>
      <c r="BX3" s="137"/>
      <c r="BY3" s="137"/>
      <c r="BZ3" s="137"/>
      <c r="CA3" s="137"/>
      <c r="CB3" s="137"/>
      <c r="CC3" s="137"/>
      <c r="CD3" s="137"/>
      <c r="CE3" s="137"/>
      <c r="CF3" s="137"/>
      <c r="CG3" s="137"/>
      <c r="CH3" s="137"/>
      <c r="CI3" s="137"/>
      <c r="CJ3" s="137"/>
      <c r="CK3" s="137"/>
      <c r="CL3" s="137"/>
      <c r="CM3" s="137"/>
      <c r="CN3" s="137"/>
      <c r="CO3" s="137"/>
      <c r="CP3" s="137"/>
      <c r="CQ3" s="137"/>
      <c r="CR3" s="137"/>
      <c r="CS3" s="137"/>
      <c r="CT3" s="137"/>
      <c r="CU3" s="137"/>
      <c r="CV3" s="137"/>
      <c r="CW3" s="137"/>
      <c r="CX3" s="137"/>
      <c r="CY3" s="137"/>
      <c r="CZ3" s="137"/>
      <c r="DA3" s="137"/>
      <c r="DB3" s="137"/>
      <c r="DC3" s="137"/>
      <c r="DD3" s="137"/>
      <c r="DE3" s="137"/>
      <c r="DF3" s="137"/>
      <c r="DG3" s="137"/>
      <c r="DH3" s="137"/>
      <c r="DI3" s="137"/>
      <c r="DJ3" s="137"/>
      <c r="DK3" s="137"/>
      <c r="DL3" s="137"/>
      <c r="DM3" s="137"/>
      <c r="DN3" s="137"/>
      <c r="DO3" s="137"/>
      <c r="DP3" s="137"/>
      <c r="DQ3" s="137"/>
      <c r="DR3" s="137"/>
      <c r="DS3" s="137"/>
      <c r="DT3" s="137"/>
      <c r="DU3" s="137"/>
      <c r="DV3" s="137"/>
      <c r="DW3" s="137"/>
      <c r="DX3" s="137"/>
      <c r="DY3" s="137"/>
      <c r="DZ3" s="137"/>
      <c r="EA3" s="137"/>
      <c r="EB3" s="137"/>
      <c r="EC3" s="137"/>
      <c r="ED3" s="137"/>
      <c r="EE3" s="137"/>
      <c r="EF3" s="137"/>
      <c r="EG3" s="137"/>
      <c r="EH3" s="137"/>
      <c r="EI3" s="137"/>
      <c r="EJ3" s="137"/>
      <c r="EK3" s="137"/>
      <c r="EL3" s="137"/>
      <c r="EM3" s="137"/>
      <c r="EN3" s="137"/>
      <c r="EO3" s="137"/>
      <c r="EP3" s="137"/>
      <c r="EQ3" s="137"/>
      <c r="ER3" s="137"/>
      <c r="ES3" s="137"/>
      <c r="ET3" s="137"/>
      <c r="EU3" s="137"/>
      <c r="EV3" s="137"/>
      <c r="EW3" s="137"/>
      <c r="EX3" s="137"/>
      <c r="EY3" s="137"/>
    </row>
    <row r="4" spans="1:155" s="64" customFormat="1">
      <c r="A4" s="137"/>
      <c r="B4" s="133"/>
      <c r="C4" s="133"/>
      <c r="D4" s="133"/>
      <c r="E4" s="139" t="s">
        <v>354</v>
      </c>
      <c r="F4" s="142">
        <v>39814</v>
      </c>
      <c r="G4" s="133"/>
      <c r="H4" s="139" t="s">
        <v>355</v>
      </c>
      <c r="I4" s="146">
        <v>27742359.579195201</v>
      </c>
      <c r="J4" s="133"/>
      <c r="K4" s="141">
        <v>28624381.51642327</v>
      </c>
      <c r="L4" s="140">
        <f>I4-K4</f>
        <v>-882021.93722806871</v>
      </c>
      <c r="M4" s="143"/>
      <c r="N4" s="144"/>
      <c r="O4" s="144"/>
      <c r="P4" s="144"/>
      <c r="Q4" s="144"/>
      <c r="R4" s="144"/>
      <c r="S4" s="144"/>
      <c r="T4" s="144"/>
      <c r="U4" s="144"/>
      <c r="V4" s="144"/>
      <c r="W4" s="144"/>
      <c r="X4" s="144"/>
      <c r="Y4" s="144"/>
      <c r="Z4" s="144"/>
      <c r="AA4" s="144"/>
      <c r="AB4" s="144"/>
      <c r="AC4" s="144"/>
      <c r="AD4" s="144"/>
      <c r="AE4" s="144"/>
      <c r="AF4" s="144"/>
      <c r="AG4" s="144"/>
      <c r="AH4" s="144"/>
      <c r="AI4" s="144"/>
      <c r="AJ4" s="144"/>
      <c r="AK4" s="144"/>
      <c r="AL4" s="144"/>
      <c r="AM4" s="144"/>
      <c r="AN4" s="144"/>
      <c r="AO4" s="144"/>
      <c r="AP4" s="144"/>
      <c r="AQ4" s="144"/>
      <c r="AR4" s="144"/>
      <c r="AS4" s="144"/>
      <c r="AT4" s="144"/>
      <c r="AU4" s="144"/>
      <c r="AV4" s="144"/>
      <c r="AW4" s="144"/>
      <c r="AX4" s="144"/>
      <c r="AY4" s="144"/>
      <c r="AZ4" s="144"/>
      <c r="BA4" s="144"/>
      <c r="BB4" s="144"/>
      <c r="BC4" s="144"/>
      <c r="BD4" s="144"/>
      <c r="BE4" s="144"/>
      <c r="BF4" s="144"/>
      <c r="BG4" s="144"/>
      <c r="BH4" s="144"/>
      <c r="BI4" s="144"/>
      <c r="BJ4" s="144"/>
      <c r="BK4" s="144"/>
      <c r="BL4" s="144"/>
      <c r="BM4" s="144"/>
      <c r="BN4" s="144"/>
      <c r="BO4" s="144"/>
      <c r="BP4" s="144"/>
      <c r="BQ4" s="144"/>
      <c r="BR4" s="144"/>
      <c r="BS4" s="144"/>
      <c r="BT4" s="144"/>
      <c r="BU4" s="144"/>
      <c r="BV4" s="144"/>
      <c r="BW4" s="144"/>
      <c r="BX4" s="144"/>
      <c r="BY4" s="144"/>
      <c r="BZ4" s="144"/>
      <c r="CA4" s="144"/>
      <c r="CB4" s="144"/>
      <c r="CC4" s="144"/>
      <c r="CD4" s="144"/>
      <c r="CE4" s="144"/>
      <c r="CF4" s="144"/>
      <c r="CG4" s="144"/>
      <c r="CH4" s="144"/>
      <c r="CI4" s="144"/>
      <c r="CJ4" s="144"/>
      <c r="CK4" s="144"/>
      <c r="CL4" s="144"/>
      <c r="CM4" s="144"/>
      <c r="CN4" s="144"/>
      <c r="CO4" s="144"/>
      <c r="CP4" s="144"/>
      <c r="CQ4" s="144"/>
      <c r="CR4" s="144"/>
      <c r="CS4" s="144"/>
      <c r="CT4" s="144"/>
      <c r="CU4" s="144"/>
      <c r="CV4" s="144"/>
      <c r="CW4" s="144"/>
      <c r="CX4" s="144"/>
      <c r="CY4" s="144"/>
      <c r="CZ4" s="144"/>
      <c r="DA4" s="144"/>
      <c r="DB4" s="144"/>
      <c r="DC4" s="144"/>
      <c r="DD4" s="144"/>
      <c r="DE4" s="144"/>
      <c r="DF4" s="144"/>
      <c r="DG4" s="144"/>
      <c r="DH4" s="144"/>
      <c r="DI4" s="144"/>
      <c r="DJ4" s="144"/>
      <c r="DK4" s="144"/>
      <c r="DL4" s="144"/>
      <c r="DM4" s="144"/>
      <c r="DN4" s="144"/>
      <c r="DO4" s="144"/>
      <c r="DP4" s="144"/>
      <c r="DQ4" s="144"/>
      <c r="DR4" s="144"/>
      <c r="DS4" s="144"/>
      <c r="DT4" s="144"/>
      <c r="DU4" s="144"/>
      <c r="DV4" s="144"/>
      <c r="DW4" s="144"/>
      <c r="DX4" s="144"/>
      <c r="DY4" s="144"/>
      <c r="DZ4" s="144"/>
      <c r="EA4" s="144"/>
      <c r="EB4" s="144"/>
      <c r="EC4" s="144"/>
      <c r="ED4" s="144"/>
      <c r="EE4" s="144"/>
      <c r="EF4" s="144"/>
      <c r="EG4" s="144"/>
      <c r="EH4" s="144"/>
      <c r="EI4" s="144"/>
      <c r="EJ4" s="144"/>
      <c r="EK4" s="144"/>
      <c r="EL4" s="144"/>
      <c r="EM4" s="144"/>
      <c r="EN4" s="144"/>
      <c r="EO4" s="144"/>
      <c r="EP4" s="144"/>
      <c r="EQ4" s="144"/>
      <c r="ER4" s="144"/>
      <c r="ES4" s="144"/>
      <c r="ET4" s="144"/>
      <c r="EU4" s="144"/>
      <c r="EV4" s="144"/>
      <c r="EW4" s="144"/>
      <c r="EX4" s="144"/>
      <c r="EY4" s="144"/>
    </row>
    <row r="5" spans="1:155" s="64" customFormat="1">
      <c r="A5" s="145"/>
      <c r="B5" s="133"/>
      <c r="C5" s="133"/>
      <c r="D5" s="133"/>
      <c r="E5" s="139" t="s">
        <v>356</v>
      </c>
      <c r="F5" s="142">
        <v>41729</v>
      </c>
      <c r="G5" s="133"/>
      <c r="H5" s="222" t="s">
        <v>357</v>
      </c>
      <c r="I5" s="146">
        <v>8545018.2094858736</v>
      </c>
      <c r="J5" s="133"/>
      <c r="K5" s="147">
        <v>8669378.3985671401</v>
      </c>
      <c r="L5" s="146">
        <f>I5-K5</f>
        <v>-124360.18908126652</v>
      </c>
      <c r="M5" s="133"/>
      <c r="N5" s="137"/>
      <c r="O5" s="137"/>
      <c r="P5" s="137"/>
      <c r="Q5" s="137"/>
      <c r="R5" s="137"/>
      <c r="S5" s="137"/>
      <c r="T5" s="137"/>
      <c r="U5" s="137"/>
      <c r="V5" s="137"/>
      <c r="W5" s="137"/>
      <c r="X5" s="137"/>
      <c r="Y5" s="137"/>
      <c r="Z5" s="137"/>
      <c r="AA5" s="137"/>
      <c r="AB5" s="137"/>
      <c r="AC5" s="137"/>
      <c r="AD5" s="137"/>
      <c r="AE5" s="137"/>
      <c r="AF5" s="137"/>
      <c r="AG5" s="137"/>
      <c r="AH5" s="137"/>
      <c r="AI5" s="137"/>
      <c r="AJ5" s="137"/>
      <c r="AK5" s="137"/>
      <c r="AL5" s="137"/>
      <c r="AM5" s="137"/>
      <c r="AN5" s="137"/>
      <c r="AO5" s="137"/>
      <c r="AP5" s="137"/>
      <c r="AQ5" s="137"/>
      <c r="AR5" s="137"/>
      <c r="AS5" s="137"/>
      <c r="AT5" s="137"/>
      <c r="AU5" s="137"/>
      <c r="AV5" s="137"/>
      <c r="AW5" s="137"/>
      <c r="AX5" s="137"/>
      <c r="AY5" s="137"/>
      <c r="AZ5" s="137"/>
      <c r="BA5" s="137"/>
      <c r="BB5" s="137"/>
      <c r="BC5" s="137"/>
      <c r="BD5" s="137"/>
      <c r="BE5" s="137"/>
      <c r="BF5" s="137"/>
      <c r="BG5" s="137"/>
      <c r="BH5" s="137"/>
      <c r="BI5" s="137"/>
      <c r="BJ5" s="137"/>
      <c r="BK5" s="137"/>
      <c r="BL5" s="137"/>
      <c r="BM5" s="137"/>
      <c r="BN5" s="137"/>
      <c r="BO5" s="137"/>
      <c r="BP5" s="137"/>
      <c r="BQ5" s="137"/>
      <c r="BR5" s="137"/>
      <c r="BS5" s="137"/>
      <c r="BT5" s="137"/>
      <c r="BU5" s="137"/>
      <c r="BV5" s="137"/>
      <c r="BW5" s="137"/>
      <c r="BX5" s="137"/>
      <c r="BY5" s="137"/>
      <c r="BZ5" s="137"/>
      <c r="CA5" s="137"/>
      <c r="CB5" s="137"/>
      <c r="CC5" s="137"/>
      <c r="CD5" s="137"/>
      <c r="CE5" s="137"/>
      <c r="CF5" s="137"/>
      <c r="CG5" s="137"/>
      <c r="CH5" s="137"/>
      <c r="CI5" s="137"/>
      <c r="CJ5" s="137"/>
      <c r="CK5" s="137"/>
      <c r="CL5" s="137"/>
      <c r="CM5" s="137"/>
      <c r="CN5" s="137"/>
      <c r="CO5" s="137"/>
      <c r="CP5" s="137"/>
      <c r="CQ5" s="137"/>
      <c r="CR5" s="137"/>
      <c r="CS5" s="137"/>
      <c r="CT5" s="137"/>
      <c r="CU5" s="137"/>
      <c r="CV5" s="137"/>
      <c r="CW5" s="137"/>
      <c r="CX5" s="137"/>
      <c r="CY5" s="137"/>
      <c r="CZ5" s="137"/>
      <c r="DA5" s="137"/>
      <c r="DB5" s="137"/>
      <c r="DC5" s="137"/>
      <c r="DD5" s="137"/>
      <c r="DE5" s="137"/>
      <c r="DF5" s="137"/>
      <c r="DG5" s="137"/>
      <c r="DH5" s="137"/>
      <c r="DI5" s="137"/>
      <c r="DJ5" s="137"/>
      <c r="DK5" s="137"/>
      <c r="DL5" s="137"/>
      <c r="DM5" s="137"/>
      <c r="DN5" s="137"/>
      <c r="DO5" s="137"/>
      <c r="DP5" s="137"/>
      <c r="DQ5" s="137"/>
      <c r="DR5" s="137"/>
      <c r="DS5" s="137"/>
      <c r="DT5" s="137"/>
      <c r="DU5" s="137"/>
      <c r="DV5" s="137"/>
      <c r="DW5" s="137"/>
      <c r="DX5" s="137"/>
      <c r="DY5" s="137"/>
      <c r="DZ5" s="137"/>
      <c r="EA5" s="137"/>
      <c r="EB5" s="137"/>
      <c r="EC5" s="137"/>
      <c r="ED5" s="137"/>
      <c r="EE5" s="137"/>
      <c r="EF5" s="137"/>
      <c r="EG5" s="137"/>
      <c r="EH5" s="137"/>
      <c r="EI5" s="137"/>
      <c r="EJ5" s="137"/>
      <c r="EK5" s="137"/>
      <c r="EL5" s="137"/>
      <c r="EM5" s="137"/>
      <c r="EN5" s="137"/>
      <c r="EO5" s="137"/>
      <c r="EP5" s="137"/>
      <c r="EQ5" s="137"/>
      <c r="ER5" s="137"/>
      <c r="ES5" s="137"/>
      <c r="ET5" s="137"/>
      <c r="EU5" s="137"/>
      <c r="EV5" s="137"/>
      <c r="EW5" s="137"/>
      <c r="EX5" s="137"/>
      <c r="EY5" s="137"/>
    </row>
    <row r="6" spans="1:155" s="64" customFormat="1">
      <c r="A6" s="137"/>
      <c r="B6" s="133"/>
      <c r="C6" s="133"/>
      <c r="D6" s="133"/>
      <c r="E6" s="139" t="s">
        <v>358</v>
      </c>
      <c r="F6" s="142">
        <v>39539</v>
      </c>
      <c r="G6" s="133"/>
      <c r="H6" s="223"/>
      <c r="I6" s="148">
        <v>0.23548183225714575</v>
      </c>
      <c r="J6" s="133"/>
      <c r="K6" s="149">
        <v>0.23246190296523148</v>
      </c>
      <c r="L6" s="148">
        <f>I6-K6</f>
        <v>3.0199292919142751E-3</v>
      </c>
      <c r="M6" s="133"/>
      <c r="N6" s="137"/>
      <c r="O6" s="137"/>
      <c r="P6" s="137"/>
      <c r="Q6" s="137"/>
      <c r="R6" s="137"/>
      <c r="S6" s="137"/>
      <c r="T6" s="137"/>
      <c r="U6" s="137"/>
      <c r="V6" s="137"/>
      <c r="W6" s="137"/>
      <c r="X6" s="137"/>
      <c r="Y6" s="137"/>
      <c r="Z6" s="137"/>
      <c r="AA6" s="137"/>
      <c r="AB6" s="137"/>
      <c r="AC6" s="137"/>
      <c r="AD6" s="137"/>
      <c r="AE6" s="137"/>
      <c r="AF6" s="137"/>
      <c r="AG6" s="137"/>
      <c r="AH6" s="137"/>
      <c r="AI6" s="137"/>
      <c r="AJ6" s="137"/>
      <c r="AK6" s="137"/>
      <c r="AL6" s="137"/>
      <c r="AM6" s="137"/>
      <c r="AN6" s="137"/>
      <c r="AO6" s="137"/>
      <c r="AP6" s="137"/>
      <c r="AQ6" s="137"/>
      <c r="AR6" s="137"/>
      <c r="AS6" s="137"/>
      <c r="AT6" s="137"/>
      <c r="AU6" s="137"/>
      <c r="AV6" s="137"/>
      <c r="AW6" s="137"/>
      <c r="AX6" s="137"/>
      <c r="AY6" s="137"/>
      <c r="AZ6" s="137"/>
      <c r="BA6" s="137"/>
      <c r="BB6" s="137"/>
      <c r="BC6" s="137"/>
      <c r="BD6" s="137"/>
      <c r="BE6" s="137"/>
      <c r="BF6" s="137"/>
      <c r="BG6" s="137"/>
      <c r="BH6" s="137"/>
      <c r="BI6" s="137"/>
      <c r="BJ6" s="137"/>
      <c r="BK6" s="137"/>
      <c r="BL6" s="137"/>
      <c r="BM6" s="137"/>
      <c r="BN6" s="137"/>
      <c r="BO6" s="137"/>
      <c r="BP6" s="137"/>
      <c r="BQ6" s="137"/>
      <c r="BR6" s="137"/>
      <c r="BS6" s="137"/>
      <c r="BT6" s="137"/>
      <c r="BU6" s="137"/>
      <c r="BV6" s="137"/>
      <c r="BW6" s="137"/>
      <c r="BX6" s="137"/>
      <c r="BY6" s="137"/>
      <c r="BZ6" s="137"/>
      <c r="CA6" s="137"/>
      <c r="CB6" s="137"/>
      <c r="CC6" s="137"/>
      <c r="CD6" s="137"/>
      <c r="CE6" s="137"/>
      <c r="CF6" s="137"/>
      <c r="CG6" s="137"/>
      <c r="CH6" s="137"/>
      <c r="CI6" s="137"/>
      <c r="CJ6" s="137"/>
      <c r="CK6" s="137"/>
      <c r="CL6" s="137"/>
      <c r="CM6" s="137"/>
      <c r="CN6" s="137"/>
      <c r="CO6" s="137"/>
      <c r="CP6" s="137"/>
      <c r="CQ6" s="137"/>
      <c r="CR6" s="137"/>
      <c r="CS6" s="137"/>
      <c r="CT6" s="137"/>
      <c r="CU6" s="137"/>
      <c r="CV6" s="137"/>
      <c r="CW6" s="137"/>
      <c r="CX6" s="137"/>
      <c r="CY6" s="137"/>
      <c r="CZ6" s="137"/>
      <c r="DA6" s="137"/>
      <c r="DB6" s="137"/>
      <c r="DC6" s="137"/>
      <c r="DD6" s="137"/>
      <c r="DE6" s="137"/>
      <c r="DF6" s="137"/>
      <c r="DG6" s="137"/>
      <c r="DH6" s="137"/>
      <c r="DI6" s="137"/>
      <c r="DJ6" s="137"/>
      <c r="DK6" s="137"/>
      <c r="DL6" s="137"/>
      <c r="DM6" s="137"/>
      <c r="DN6" s="137"/>
      <c r="DO6" s="137"/>
      <c r="DP6" s="137"/>
      <c r="DQ6" s="137"/>
      <c r="DR6" s="137"/>
      <c r="DS6" s="137"/>
      <c r="DT6" s="137"/>
      <c r="DU6" s="137"/>
      <c r="DV6" s="137"/>
      <c r="DW6" s="137"/>
      <c r="DX6" s="137"/>
      <c r="DY6" s="137"/>
      <c r="DZ6" s="137"/>
      <c r="EA6" s="137"/>
      <c r="EB6" s="137"/>
      <c r="EC6" s="137"/>
      <c r="ED6" s="137"/>
      <c r="EE6" s="137"/>
      <c r="EF6" s="137"/>
      <c r="EG6" s="137"/>
      <c r="EH6" s="137"/>
      <c r="EI6" s="137"/>
      <c r="EJ6" s="137"/>
      <c r="EK6" s="137"/>
      <c r="EL6" s="137"/>
      <c r="EM6" s="137"/>
      <c r="EN6" s="137"/>
      <c r="EO6" s="137"/>
      <c r="EP6" s="137"/>
      <c r="EQ6" s="137"/>
      <c r="ER6" s="137"/>
      <c r="ES6" s="137"/>
      <c r="ET6" s="137"/>
      <c r="EU6" s="137"/>
      <c r="EV6" s="137"/>
      <c r="EW6" s="137"/>
      <c r="EX6" s="137"/>
      <c r="EY6" s="137"/>
    </row>
    <row r="7" spans="1:155" s="64" customFormat="1" ht="15">
      <c r="A7" s="137"/>
      <c r="B7" s="133"/>
      <c r="C7" s="133"/>
      <c r="D7" s="133"/>
      <c r="E7" s="139" t="s">
        <v>359</v>
      </c>
      <c r="F7" s="142">
        <v>41730</v>
      </c>
      <c r="G7" s="133"/>
      <c r="H7"/>
      <c r="I7"/>
      <c r="J7" s="133"/>
      <c r="K7"/>
      <c r="L7"/>
      <c r="M7" s="133"/>
      <c r="N7" s="137"/>
      <c r="O7" s="137"/>
      <c r="P7" s="137"/>
      <c r="Q7" s="137"/>
      <c r="R7" s="137"/>
      <c r="S7" s="137"/>
      <c r="T7" s="137"/>
      <c r="U7" s="137"/>
      <c r="V7" s="137"/>
      <c r="W7" s="137"/>
      <c r="X7" s="137"/>
      <c r="Y7" s="137"/>
      <c r="Z7" s="137"/>
      <c r="AA7" s="137"/>
      <c r="AB7" s="137"/>
      <c r="AC7" s="137"/>
      <c r="AD7" s="137"/>
      <c r="AE7" s="137"/>
      <c r="AF7" s="137"/>
      <c r="AG7" s="137"/>
      <c r="AH7" s="137"/>
      <c r="AI7" s="137"/>
      <c r="AJ7" s="137"/>
      <c r="AK7" s="137"/>
      <c r="AL7" s="137"/>
      <c r="AM7" s="137"/>
      <c r="AN7" s="137"/>
      <c r="AO7" s="137"/>
      <c r="AP7" s="137"/>
      <c r="AQ7" s="137"/>
      <c r="AR7" s="137"/>
      <c r="AS7" s="137"/>
      <c r="AT7" s="137"/>
      <c r="AU7" s="137"/>
      <c r="AV7" s="137"/>
      <c r="AW7" s="137"/>
      <c r="AX7" s="137"/>
      <c r="AY7" s="137"/>
      <c r="AZ7" s="137"/>
      <c r="BA7" s="137"/>
      <c r="BB7" s="137"/>
      <c r="BC7" s="137"/>
      <c r="BD7" s="137"/>
      <c r="BE7" s="137"/>
      <c r="BF7" s="137"/>
      <c r="BG7" s="137"/>
      <c r="BH7" s="137"/>
      <c r="BI7" s="137"/>
      <c r="BJ7" s="137"/>
      <c r="BK7" s="137"/>
      <c r="BL7" s="137"/>
      <c r="BM7" s="137"/>
      <c r="BN7" s="137"/>
      <c r="BO7" s="137"/>
      <c r="BP7" s="137"/>
      <c r="BQ7" s="137"/>
      <c r="BR7" s="137"/>
      <c r="BS7" s="137"/>
      <c r="BT7" s="137"/>
      <c r="BU7" s="137"/>
      <c r="BV7" s="137"/>
      <c r="BW7" s="137"/>
      <c r="BX7" s="137"/>
      <c r="BY7" s="137"/>
      <c r="BZ7" s="137"/>
      <c r="CA7" s="137"/>
      <c r="CB7" s="137"/>
      <c r="CC7" s="137"/>
      <c r="CD7" s="137"/>
      <c r="CE7" s="137"/>
      <c r="CF7" s="137"/>
      <c r="CG7" s="137"/>
      <c r="CH7" s="137"/>
      <c r="CI7" s="137"/>
      <c r="CJ7" s="137"/>
      <c r="CK7" s="137"/>
      <c r="CL7" s="137"/>
      <c r="CM7" s="137"/>
      <c r="CN7" s="137"/>
      <c r="CO7" s="137"/>
      <c r="CP7" s="137"/>
      <c r="CQ7" s="137"/>
      <c r="CR7" s="137"/>
      <c r="CS7" s="137"/>
      <c r="CT7" s="137"/>
      <c r="CU7" s="137"/>
      <c r="CV7" s="137"/>
      <c r="CW7" s="137"/>
      <c r="CX7" s="137"/>
      <c r="CY7" s="137"/>
      <c r="CZ7" s="137"/>
      <c r="DA7" s="137"/>
      <c r="DB7" s="137"/>
      <c r="DC7" s="137"/>
      <c r="DD7" s="137"/>
      <c r="DE7" s="137"/>
      <c r="DF7" s="137"/>
      <c r="DG7" s="137"/>
      <c r="DH7" s="137"/>
      <c r="DI7" s="137"/>
      <c r="DJ7" s="137"/>
      <c r="DK7" s="137"/>
      <c r="DL7" s="137"/>
      <c r="DM7" s="137"/>
      <c r="DN7" s="137"/>
      <c r="DO7" s="137"/>
      <c r="DP7" s="137"/>
      <c r="DQ7" s="137"/>
      <c r="DR7" s="137"/>
      <c r="DS7" s="137"/>
      <c r="DT7" s="137"/>
      <c r="DU7" s="137"/>
      <c r="DV7" s="137"/>
      <c r="DW7" s="137"/>
      <c r="DX7" s="137"/>
      <c r="DY7" s="137"/>
      <c r="DZ7" s="137"/>
      <c r="EA7" s="137"/>
      <c r="EB7" s="137"/>
      <c r="EC7" s="137"/>
      <c r="ED7" s="137"/>
      <c r="EE7" s="137"/>
      <c r="EF7" s="137"/>
      <c r="EG7" s="137"/>
      <c r="EH7" s="137"/>
      <c r="EI7" s="137"/>
      <c r="EJ7" s="137"/>
      <c r="EK7" s="137"/>
      <c r="EL7" s="137"/>
      <c r="EM7" s="137"/>
      <c r="EN7" s="137"/>
      <c r="EO7" s="137"/>
      <c r="EP7" s="137"/>
      <c r="EQ7" s="137"/>
      <c r="ER7" s="137"/>
      <c r="ES7" s="137"/>
      <c r="ET7" s="137"/>
      <c r="EU7" s="137"/>
      <c r="EV7" s="137"/>
      <c r="EW7" s="137"/>
      <c r="EX7" s="137"/>
      <c r="EY7" s="137"/>
    </row>
    <row r="8" spans="1:155" s="64" customFormat="1" ht="15">
      <c r="A8" s="137"/>
      <c r="B8" s="133"/>
      <c r="C8" s="133"/>
      <c r="D8" s="133"/>
      <c r="E8" s="139" t="s">
        <v>360</v>
      </c>
      <c r="F8" s="142">
        <v>39722</v>
      </c>
      <c r="G8" s="133"/>
      <c r="H8"/>
      <c r="I8"/>
      <c r="J8" s="133"/>
      <c r="K8"/>
      <c r="L8"/>
      <c r="M8" s="133"/>
      <c r="N8" s="137"/>
      <c r="O8" s="137"/>
      <c r="P8" s="137"/>
      <c r="Q8" s="137"/>
      <c r="R8" s="137"/>
      <c r="S8" s="137"/>
      <c r="T8" s="137"/>
      <c r="U8" s="137"/>
      <c r="V8" s="137"/>
      <c r="W8" s="137"/>
      <c r="X8" s="137"/>
      <c r="Y8" s="137"/>
      <c r="Z8" s="137"/>
      <c r="AA8" s="137"/>
      <c r="AB8" s="137"/>
      <c r="AC8" s="137"/>
      <c r="AD8" s="137"/>
      <c r="AE8" s="137"/>
      <c r="AF8" s="137"/>
      <c r="AG8" s="137"/>
      <c r="AH8" s="137"/>
      <c r="AI8" s="137"/>
      <c r="AJ8" s="137"/>
      <c r="AK8" s="137"/>
      <c r="AL8" s="137"/>
      <c r="AM8" s="137"/>
      <c r="AN8" s="137"/>
      <c r="AO8" s="137"/>
      <c r="AP8" s="137"/>
      <c r="AQ8" s="137"/>
      <c r="AR8" s="137"/>
      <c r="AS8" s="137"/>
      <c r="AT8" s="137"/>
      <c r="AU8" s="137"/>
      <c r="AV8" s="137"/>
      <c r="AW8" s="137"/>
      <c r="AX8" s="137"/>
      <c r="AY8" s="137"/>
      <c r="AZ8" s="137"/>
      <c r="BA8" s="137"/>
      <c r="BB8" s="137"/>
      <c r="BC8" s="137"/>
      <c r="BD8" s="137"/>
      <c r="BE8" s="137"/>
      <c r="BF8" s="137"/>
      <c r="BG8" s="137"/>
      <c r="BH8" s="137"/>
      <c r="BI8" s="137"/>
      <c r="BJ8" s="137"/>
      <c r="BK8" s="137"/>
      <c r="BL8" s="137"/>
      <c r="BM8" s="137"/>
      <c r="BN8" s="137"/>
      <c r="BO8" s="137"/>
      <c r="BP8" s="137"/>
      <c r="BQ8" s="137"/>
      <c r="BR8" s="137"/>
      <c r="BS8" s="137"/>
      <c r="BT8" s="137"/>
      <c r="BU8" s="137"/>
      <c r="BV8" s="137"/>
      <c r="BW8" s="137"/>
      <c r="BX8" s="137"/>
      <c r="BY8" s="137"/>
      <c r="BZ8" s="137"/>
      <c r="CA8" s="137"/>
      <c r="CB8" s="137"/>
      <c r="CC8" s="137"/>
      <c r="CD8" s="137"/>
      <c r="CE8" s="137"/>
      <c r="CF8" s="137"/>
      <c r="CG8" s="137"/>
      <c r="CH8" s="137"/>
      <c r="CI8" s="137"/>
      <c r="CJ8" s="137"/>
      <c r="CK8" s="137"/>
      <c r="CL8" s="137"/>
      <c r="CM8" s="137"/>
      <c r="CN8" s="137"/>
      <c r="CO8" s="137"/>
      <c r="CP8" s="137"/>
      <c r="CQ8" s="137"/>
      <c r="CR8" s="137"/>
      <c r="CS8" s="137"/>
      <c r="CT8" s="137"/>
      <c r="CU8" s="137"/>
      <c r="CV8" s="137"/>
      <c r="CW8" s="137"/>
      <c r="CX8" s="137"/>
      <c r="CY8" s="137"/>
      <c r="CZ8" s="137"/>
      <c r="DA8" s="137"/>
      <c r="DB8" s="137"/>
      <c r="DC8" s="137"/>
      <c r="DD8" s="137"/>
      <c r="DE8" s="137"/>
      <c r="DF8" s="137"/>
      <c r="DG8" s="137"/>
      <c r="DH8" s="137"/>
      <c r="DI8" s="137"/>
      <c r="DJ8" s="137"/>
      <c r="DK8" s="137"/>
      <c r="DL8" s="137"/>
      <c r="DM8" s="137"/>
      <c r="DN8" s="137"/>
      <c r="DO8" s="137"/>
      <c r="DP8" s="137"/>
      <c r="DQ8" s="137"/>
      <c r="DR8" s="137"/>
      <c r="DS8" s="137"/>
      <c r="DT8" s="137"/>
      <c r="DU8" s="137"/>
      <c r="DV8" s="137"/>
      <c r="DW8" s="137"/>
      <c r="DX8" s="137"/>
      <c r="DY8" s="137"/>
      <c r="DZ8" s="137"/>
      <c r="EA8" s="137"/>
      <c r="EB8" s="137"/>
      <c r="EC8" s="137"/>
      <c r="ED8" s="137"/>
      <c r="EE8" s="137"/>
      <c r="EF8" s="137"/>
      <c r="EG8" s="137"/>
      <c r="EH8" s="137"/>
      <c r="EI8" s="137"/>
      <c r="EJ8" s="137"/>
      <c r="EK8" s="137"/>
      <c r="EL8" s="137"/>
      <c r="EM8" s="137"/>
      <c r="EN8" s="137"/>
      <c r="EO8" s="137"/>
      <c r="EP8" s="137"/>
      <c r="EQ8" s="137"/>
      <c r="ER8" s="137"/>
      <c r="ES8" s="137"/>
      <c r="ET8" s="137"/>
      <c r="EU8" s="137"/>
      <c r="EV8" s="137"/>
      <c r="EW8" s="137"/>
      <c r="EX8" s="137"/>
      <c r="EY8" s="137"/>
    </row>
    <row r="9" spans="1:155" s="64" customFormat="1" ht="12.75" hidden="1" customHeight="1">
      <c r="A9" s="137"/>
      <c r="B9" s="133"/>
      <c r="C9" s="133"/>
      <c r="D9" s="133"/>
      <c r="E9" s="133"/>
      <c r="F9" s="133"/>
      <c r="G9" s="133"/>
      <c r="H9" s="133"/>
      <c r="I9" s="133"/>
      <c r="J9" s="133"/>
      <c r="K9" s="133"/>
      <c r="L9" s="133"/>
      <c r="M9" s="133"/>
      <c r="N9" s="137"/>
      <c r="O9" s="137"/>
      <c r="P9" s="137"/>
      <c r="Q9" s="137"/>
      <c r="R9" s="137"/>
      <c r="S9" s="137"/>
      <c r="T9" s="137"/>
      <c r="U9" s="137"/>
      <c r="V9" s="137"/>
      <c r="W9" s="137"/>
      <c r="X9" s="137"/>
      <c r="Y9" s="137"/>
      <c r="Z9" s="137"/>
      <c r="AA9" s="137"/>
      <c r="AB9" s="137"/>
      <c r="AC9" s="137"/>
      <c r="AD9" s="137"/>
      <c r="AE9" s="137"/>
      <c r="AF9" s="137"/>
      <c r="AG9" s="137"/>
      <c r="AH9" s="137"/>
      <c r="AI9" s="137"/>
      <c r="AJ9" s="137"/>
      <c r="AK9" s="137"/>
      <c r="AL9" s="137"/>
      <c r="AM9" s="137"/>
      <c r="AN9" s="137"/>
      <c r="AO9" s="137"/>
      <c r="AP9" s="137"/>
      <c r="AQ9" s="137"/>
      <c r="AR9" s="137"/>
      <c r="AS9" s="137"/>
      <c r="AT9" s="137"/>
      <c r="AU9" s="137"/>
      <c r="AV9" s="137"/>
      <c r="AW9" s="137"/>
      <c r="AX9" s="137"/>
      <c r="AY9" s="137"/>
      <c r="AZ9" s="137"/>
      <c r="BA9" s="137"/>
      <c r="BB9" s="137"/>
      <c r="BC9" s="137"/>
      <c r="BD9" s="137"/>
      <c r="BE9" s="137"/>
      <c r="BF9" s="137"/>
      <c r="BG9" s="137"/>
      <c r="BH9" s="137"/>
      <c r="BI9" s="137"/>
      <c r="BJ9" s="137"/>
      <c r="BK9" s="137"/>
      <c r="BL9" s="137"/>
      <c r="BM9" s="137"/>
      <c r="BN9" s="137"/>
      <c r="BO9" s="137"/>
      <c r="BP9" s="137"/>
      <c r="BQ9" s="137"/>
      <c r="BR9" s="137"/>
      <c r="BS9" s="137"/>
      <c r="BT9" s="137"/>
      <c r="BU9" s="137"/>
      <c r="BV9" s="137"/>
      <c r="BW9" s="137"/>
      <c r="BX9" s="137"/>
      <c r="BY9" s="137"/>
      <c r="BZ9" s="137"/>
      <c r="CA9" s="137"/>
      <c r="CB9" s="137"/>
      <c r="CC9" s="137"/>
      <c r="CD9" s="137"/>
      <c r="CE9" s="137"/>
      <c r="CF9" s="137"/>
      <c r="CG9" s="137"/>
      <c r="CH9" s="137"/>
      <c r="CI9" s="137"/>
      <c r="CJ9" s="137"/>
      <c r="CK9" s="137"/>
      <c r="CL9" s="137"/>
      <c r="CM9" s="137"/>
      <c r="CN9" s="137"/>
      <c r="CO9" s="137"/>
      <c r="CP9" s="137"/>
      <c r="CQ9" s="137"/>
      <c r="CR9" s="137"/>
      <c r="CS9" s="137"/>
      <c r="CT9" s="137"/>
      <c r="CU9" s="137"/>
      <c r="CV9" s="137"/>
      <c r="CW9" s="137"/>
      <c r="CX9" s="137"/>
      <c r="CY9" s="137"/>
      <c r="CZ9" s="137"/>
      <c r="DA9" s="137"/>
      <c r="DB9" s="137"/>
      <c r="DC9" s="137"/>
      <c r="DD9" s="137"/>
      <c r="DE9" s="137"/>
      <c r="DF9" s="137"/>
      <c r="DG9" s="137"/>
      <c r="DH9" s="137"/>
      <c r="DI9" s="137"/>
      <c r="DJ9" s="137"/>
      <c r="DK9" s="137"/>
      <c r="DL9" s="137"/>
      <c r="DM9" s="137"/>
      <c r="DN9" s="137"/>
      <c r="DO9" s="137"/>
      <c r="DP9" s="137"/>
      <c r="DQ9" s="137"/>
      <c r="DR9" s="137"/>
      <c r="DS9" s="137"/>
      <c r="DT9" s="137"/>
      <c r="DU9" s="137"/>
      <c r="DV9" s="137"/>
      <c r="DW9" s="137"/>
      <c r="DX9" s="137"/>
      <c r="DY9" s="137"/>
      <c r="DZ9" s="137"/>
      <c r="EA9" s="137"/>
      <c r="EB9" s="137"/>
      <c r="EC9" s="137"/>
      <c r="ED9" s="137"/>
      <c r="EE9" s="137"/>
      <c r="EF9" s="137"/>
      <c r="EG9" s="137"/>
      <c r="EH9" s="137"/>
      <c r="EI9" s="137"/>
      <c r="EJ9" s="137"/>
      <c r="EK9" s="137"/>
      <c r="EL9" s="137"/>
      <c r="EM9" s="137"/>
      <c r="EN9" s="137"/>
      <c r="EO9" s="137"/>
      <c r="EP9" s="137"/>
      <c r="EQ9" s="137"/>
      <c r="ER9" s="137"/>
      <c r="ES9" s="137"/>
      <c r="ET9" s="137"/>
      <c r="EU9" s="137"/>
      <c r="EV9" s="137"/>
      <c r="EW9" s="137"/>
      <c r="EX9" s="137"/>
      <c r="EY9" s="137"/>
    </row>
    <row r="10" spans="1:155" s="64" customFormat="1" ht="12.75" hidden="1" customHeight="1">
      <c r="A10" s="137"/>
      <c r="B10" s="133"/>
      <c r="C10" s="133"/>
      <c r="D10" s="133"/>
      <c r="E10" s="133"/>
      <c r="F10" s="133"/>
      <c r="G10" s="133"/>
      <c r="H10" s="133"/>
      <c r="I10" s="133"/>
      <c r="J10" s="133"/>
      <c r="K10" s="133"/>
      <c r="L10" s="133"/>
      <c r="M10" s="133"/>
      <c r="N10" s="137"/>
      <c r="O10" s="137"/>
      <c r="P10" s="137"/>
      <c r="Q10" s="137"/>
      <c r="R10" s="137"/>
      <c r="S10" s="137"/>
      <c r="T10" s="137"/>
      <c r="U10" s="137"/>
      <c r="V10" s="137"/>
      <c r="W10" s="137"/>
      <c r="X10" s="137"/>
      <c r="Y10" s="137"/>
      <c r="Z10" s="137"/>
      <c r="AA10" s="137"/>
      <c r="AB10" s="137"/>
      <c r="AC10" s="137"/>
      <c r="AD10" s="137"/>
      <c r="AE10" s="137"/>
      <c r="AF10" s="137"/>
      <c r="AG10" s="137"/>
      <c r="AH10" s="137"/>
      <c r="AI10" s="137"/>
      <c r="AJ10" s="137"/>
      <c r="AK10" s="137"/>
      <c r="AL10" s="137"/>
      <c r="AM10" s="137"/>
      <c r="AN10" s="137"/>
      <c r="AO10" s="137"/>
      <c r="AP10" s="137"/>
      <c r="AQ10" s="137"/>
      <c r="AR10" s="137"/>
      <c r="AS10" s="137"/>
      <c r="AT10" s="137"/>
      <c r="AU10" s="137"/>
      <c r="AV10" s="137"/>
      <c r="AW10" s="137"/>
      <c r="AX10" s="137"/>
      <c r="AY10" s="137"/>
      <c r="AZ10" s="137"/>
      <c r="BA10" s="137"/>
      <c r="BB10" s="137"/>
      <c r="BC10" s="137"/>
      <c r="BD10" s="137"/>
      <c r="BE10" s="137"/>
      <c r="BF10" s="137"/>
      <c r="BG10" s="137"/>
      <c r="BH10" s="137"/>
      <c r="BI10" s="137"/>
      <c r="BJ10" s="137"/>
      <c r="BK10" s="137"/>
      <c r="BL10" s="137"/>
      <c r="BM10" s="137"/>
      <c r="BN10" s="137"/>
      <c r="BO10" s="137"/>
      <c r="BP10" s="137"/>
      <c r="BQ10" s="137"/>
      <c r="BR10" s="137"/>
      <c r="BS10" s="137"/>
      <c r="BT10" s="137"/>
      <c r="BU10" s="137"/>
      <c r="BV10" s="137"/>
      <c r="BW10" s="137"/>
      <c r="BX10" s="137"/>
      <c r="BY10" s="137"/>
      <c r="BZ10" s="137"/>
      <c r="CA10" s="137"/>
      <c r="CB10" s="137"/>
      <c r="CC10" s="137"/>
      <c r="CD10" s="137"/>
      <c r="CE10" s="137"/>
      <c r="CF10" s="137"/>
      <c r="CG10" s="137"/>
      <c r="CH10" s="137"/>
      <c r="CI10" s="137"/>
      <c r="CJ10" s="137"/>
      <c r="CK10" s="137"/>
      <c r="CL10" s="137"/>
      <c r="CM10" s="137"/>
      <c r="CN10" s="137"/>
      <c r="CO10" s="137"/>
      <c r="CP10" s="137"/>
      <c r="CQ10" s="137"/>
      <c r="CR10" s="137"/>
      <c r="CS10" s="137"/>
      <c r="CT10" s="137"/>
      <c r="CU10" s="137"/>
      <c r="CV10" s="137"/>
      <c r="CW10" s="137"/>
      <c r="CX10" s="137"/>
      <c r="CY10" s="137"/>
      <c r="CZ10" s="137"/>
      <c r="DA10" s="137"/>
      <c r="DB10" s="137"/>
      <c r="DC10" s="137"/>
      <c r="DD10" s="137"/>
      <c r="DE10" s="137"/>
      <c r="DF10" s="137"/>
      <c r="DG10" s="137"/>
      <c r="DH10" s="137"/>
      <c r="DI10" s="137"/>
      <c r="DJ10" s="137"/>
      <c r="DK10" s="137"/>
      <c r="DL10" s="137"/>
      <c r="DM10" s="137"/>
      <c r="DN10" s="137"/>
      <c r="DO10" s="137"/>
      <c r="DP10" s="137"/>
      <c r="DQ10" s="137"/>
      <c r="DR10" s="137"/>
      <c r="DS10" s="137"/>
      <c r="DT10" s="137"/>
      <c r="DU10" s="137"/>
      <c r="DV10" s="137"/>
      <c r="DW10" s="137"/>
      <c r="DX10" s="137"/>
      <c r="DY10" s="137"/>
      <c r="DZ10" s="137"/>
      <c r="EA10" s="137"/>
      <c r="EB10" s="137"/>
      <c r="EC10" s="137"/>
      <c r="ED10" s="137"/>
      <c r="EE10" s="137"/>
      <c r="EF10" s="137"/>
      <c r="EG10" s="137"/>
      <c r="EH10" s="137"/>
      <c r="EI10" s="137"/>
      <c r="EJ10" s="137"/>
      <c r="EK10" s="137"/>
      <c r="EL10" s="137"/>
      <c r="EM10" s="137"/>
      <c r="EN10" s="137"/>
      <c r="EO10" s="137"/>
      <c r="EP10" s="137"/>
      <c r="EQ10" s="137"/>
      <c r="ER10" s="137"/>
      <c r="ES10" s="137"/>
      <c r="ET10" s="137"/>
      <c r="EU10" s="137"/>
      <c r="EV10" s="137"/>
      <c r="EW10" s="137"/>
      <c r="EX10" s="137"/>
      <c r="EY10" s="137"/>
    </row>
    <row r="11" spans="1:155" s="64" customFormat="1" ht="12.75" hidden="1" customHeight="1">
      <c r="A11" s="137"/>
      <c r="B11" s="133"/>
      <c r="C11" s="133"/>
      <c r="D11" s="133"/>
      <c r="E11" s="133"/>
      <c r="F11" s="133"/>
      <c r="G11" s="133"/>
      <c r="H11" s="133"/>
      <c r="I11" s="133"/>
      <c r="J11" s="133"/>
      <c r="K11" s="133"/>
      <c r="L11" s="133"/>
      <c r="M11" s="133"/>
      <c r="N11" s="137"/>
      <c r="O11" s="137"/>
      <c r="P11" s="137"/>
      <c r="Q11" s="137"/>
      <c r="R11" s="137"/>
      <c r="S11" s="137"/>
      <c r="T11" s="137"/>
      <c r="U11" s="137"/>
      <c r="V11" s="137"/>
      <c r="W11" s="137"/>
      <c r="X11" s="137"/>
      <c r="Y11" s="137"/>
      <c r="Z11" s="137"/>
      <c r="AA11" s="137"/>
      <c r="AB11" s="137"/>
      <c r="AC11" s="137"/>
      <c r="AD11" s="137"/>
      <c r="AE11" s="137"/>
      <c r="AF11" s="137"/>
      <c r="AG11" s="137"/>
      <c r="AH11" s="137"/>
      <c r="AI11" s="137"/>
      <c r="AJ11" s="137"/>
      <c r="AK11" s="137"/>
      <c r="AL11" s="137"/>
      <c r="AM11" s="137"/>
      <c r="AN11" s="137"/>
      <c r="AO11" s="137"/>
      <c r="AP11" s="137"/>
      <c r="AQ11" s="137"/>
      <c r="AR11" s="137"/>
      <c r="AS11" s="137"/>
      <c r="AT11" s="137"/>
      <c r="AU11" s="137"/>
      <c r="AV11" s="137"/>
      <c r="AW11" s="137"/>
      <c r="AX11" s="137"/>
      <c r="AY11" s="137"/>
      <c r="AZ11" s="137"/>
      <c r="BA11" s="137"/>
      <c r="BB11" s="137"/>
      <c r="BC11" s="137"/>
      <c r="BD11" s="137"/>
      <c r="BE11" s="137"/>
      <c r="BF11" s="137"/>
      <c r="BG11" s="137"/>
      <c r="BH11" s="137"/>
      <c r="BI11" s="137"/>
      <c r="BJ11" s="137"/>
      <c r="BK11" s="137"/>
      <c r="BL11" s="137"/>
      <c r="BM11" s="137"/>
      <c r="BN11" s="137"/>
      <c r="BO11" s="137"/>
      <c r="BP11" s="137"/>
      <c r="BQ11" s="137"/>
      <c r="BR11" s="137"/>
      <c r="BS11" s="137"/>
      <c r="BT11" s="137"/>
      <c r="BU11" s="137"/>
      <c r="BV11" s="137"/>
      <c r="BW11" s="137"/>
      <c r="BX11" s="137"/>
      <c r="BY11" s="137"/>
      <c r="BZ11" s="137"/>
      <c r="CA11" s="137"/>
      <c r="CB11" s="137"/>
      <c r="CC11" s="137"/>
      <c r="CD11" s="137"/>
      <c r="CE11" s="137"/>
      <c r="CF11" s="137"/>
      <c r="CG11" s="137"/>
      <c r="CH11" s="137"/>
      <c r="CI11" s="137"/>
      <c r="CJ11" s="137"/>
      <c r="CK11" s="137"/>
      <c r="CL11" s="137"/>
      <c r="CM11" s="137"/>
      <c r="CN11" s="137"/>
      <c r="CO11" s="137"/>
      <c r="CP11" s="137"/>
      <c r="CQ11" s="137"/>
      <c r="CR11" s="137"/>
      <c r="CS11" s="137"/>
      <c r="CT11" s="137"/>
      <c r="CU11" s="137"/>
      <c r="CV11" s="137"/>
      <c r="CW11" s="137"/>
      <c r="CX11" s="137"/>
      <c r="CY11" s="137"/>
      <c r="CZ11" s="137"/>
      <c r="DA11" s="137"/>
      <c r="DB11" s="137"/>
      <c r="DC11" s="137"/>
      <c r="DD11" s="137"/>
      <c r="DE11" s="137"/>
      <c r="DF11" s="137"/>
      <c r="DG11" s="137"/>
      <c r="DH11" s="137"/>
      <c r="DI11" s="137"/>
      <c r="DJ11" s="137"/>
      <c r="DK11" s="137"/>
      <c r="DL11" s="137"/>
      <c r="DM11" s="137"/>
      <c r="DN11" s="137"/>
      <c r="DO11" s="137"/>
      <c r="DP11" s="137"/>
      <c r="DQ11" s="137"/>
      <c r="DR11" s="137"/>
      <c r="DS11" s="137"/>
      <c r="DT11" s="137"/>
      <c r="DU11" s="137"/>
      <c r="DV11" s="137"/>
      <c r="DW11" s="137"/>
      <c r="DX11" s="137"/>
      <c r="DY11" s="137"/>
      <c r="DZ11" s="137"/>
      <c r="EA11" s="137"/>
      <c r="EB11" s="137"/>
      <c r="EC11" s="137"/>
      <c r="ED11" s="137"/>
      <c r="EE11" s="137"/>
      <c r="EF11" s="137"/>
      <c r="EG11" s="137"/>
      <c r="EH11" s="137"/>
      <c r="EI11" s="137"/>
      <c r="EJ11" s="137"/>
      <c r="EK11" s="137"/>
      <c r="EL11" s="137"/>
      <c r="EM11" s="137"/>
      <c r="EN11" s="137"/>
      <c r="EO11" s="137"/>
      <c r="EP11" s="137"/>
      <c r="EQ11" s="137"/>
      <c r="ER11" s="137"/>
      <c r="ES11" s="137"/>
      <c r="ET11" s="137"/>
      <c r="EU11" s="137"/>
      <c r="EV11" s="137"/>
      <c r="EW11" s="137"/>
      <c r="EX11" s="137"/>
      <c r="EY11" s="137"/>
    </row>
    <row r="12" spans="1:155" s="132" customFormat="1">
      <c r="A12" s="150" t="s">
        <v>391</v>
      </c>
      <c r="B12" s="151"/>
      <c r="C12" s="151"/>
      <c r="D12" s="151"/>
      <c r="E12" s="151"/>
      <c r="F12" s="152"/>
      <c r="G12" s="152"/>
      <c r="H12" s="152"/>
      <c r="I12" s="152"/>
      <c r="J12" s="152"/>
      <c r="K12" s="152"/>
      <c r="L12" s="152"/>
      <c r="M12" s="152"/>
      <c r="N12" s="153"/>
      <c r="O12" s="153"/>
      <c r="P12" s="153"/>
      <c r="Q12" s="153"/>
      <c r="R12" s="153"/>
      <c r="S12" s="153"/>
      <c r="T12" s="153"/>
      <c r="U12" s="153"/>
      <c r="V12" s="153"/>
      <c r="W12" s="153"/>
      <c r="X12" s="153"/>
      <c r="Y12" s="153"/>
      <c r="Z12" s="153"/>
      <c r="AA12" s="153"/>
      <c r="AB12" s="153"/>
      <c r="AC12" s="153"/>
      <c r="AD12" s="153"/>
      <c r="AE12" s="153"/>
      <c r="AF12" s="153"/>
      <c r="AG12" s="153"/>
      <c r="AH12" s="153"/>
      <c r="AI12" s="153"/>
      <c r="AJ12" s="153"/>
      <c r="AK12" s="153"/>
      <c r="AL12" s="153"/>
      <c r="AM12" s="153"/>
      <c r="AN12" s="153"/>
      <c r="AO12" s="153"/>
      <c r="AP12" s="153"/>
      <c r="AQ12" s="153"/>
      <c r="AR12" s="153"/>
      <c r="AS12" s="153"/>
      <c r="AT12" s="153"/>
      <c r="AU12" s="153"/>
      <c r="AV12" s="153"/>
      <c r="AW12" s="153"/>
      <c r="AX12" s="153"/>
      <c r="AY12" s="153"/>
      <c r="AZ12" s="153"/>
      <c r="BA12" s="153"/>
      <c r="BB12" s="153"/>
      <c r="BC12" s="153"/>
      <c r="BD12" s="153"/>
      <c r="BE12" s="153"/>
      <c r="BF12" s="153"/>
      <c r="BG12" s="153"/>
      <c r="BH12" s="153"/>
      <c r="BI12" s="153"/>
      <c r="BJ12" s="153"/>
      <c r="BK12" s="153"/>
      <c r="BL12" s="153"/>
      <c r="BM12" s="153"/>
      <c r="BN12" s="153"/>
      <c r="BO12" s="153"/>
      <c r="BP12" s="153"/>
      <c r="BQ12" s="153"/>
      <c r="BR12" s="153"/>
      <c r="BS12" s="153"/>
      <c r="BT12" s="153"/>
      <c r="BU12" s="153"/>
      <c r="BV12" s="153"/>
      <c r="BW12" s="153"/>
      <c r="BX12" s="153"/>
      <c r="BY12" s="153"/>
      <c r="BZ12" s="153"/>
      <c r="CA12" s="153"/>
      <c r="CB12" s="153"/>
      <c r="CC12" s="153"/>
      <c r="CD12" s="153"/>
      <c r="CE12" s="153"/>
      <c r="CF12" s="153"/>
      <c r="CG12" s="153"/>
      <c r="CH12" s="153"/>
      <c r="CI12" s="153"/>
      <c r="CJ12" s="153"/>
      <c r="CK12" s="153"/>
      <c r="CL12" s="153"/>
      <c r="CM12" s="153"/>
      <c r="CN12" s="153"/>
      <c r="CO12" s="153"/>
      <c r="CP12" s="153"/>
      <c r="CQ12" s="153"/>
      <c r="CR12" s="153"/>
      <c r="CS12" s="153"/>
      <c r="CT12" s="153"/>
      <c r="CU12" s="153"/>
      <c r="CV12" s="153"/>
      <c r="CW12" s="153"/>
      <c r="CX12" s="153"/>
      <c r="CY12" s="153"/>
      <c r="CZ12" s="153"/>
      <c r="DA12" s="153"/>
      <c r="DB12" s="153"/>
      <c r="DC12" s="153"/>
      <c r="DD12" s="153"/>
      <c r="DE12" s="153"/>
      <c r="DF12" s="153"/>
      <c r="DG12" s="153"/>
      <c r="DH12" s="153"/>
      <c r="DI12" s="153"/>
      <c r="DJ12" s="153"/>
      <c r="DK12" s="153"/>
      <c r="DL12" s="153"/>
      <c r="DM12" s="153"/>
      <c r="DN12" s="153"/>
      <c r="DO12" s="153"/>
      <c r="DP12" s="153"/>
      <c r="DQ12" s="153"/>
      <c r="DR12" s="153"/>
      <c r="DS12" s="153"/>
      <c r="DT12" s="153"/>
      <c r="DU12" s="153"/>
      <c r="DV12" s="153"/>
      <c r="DW12" s="153"/>
      <c r="DX12" s="153"/>
      <c r="DY12" s="153"/>
      <c r="DZ12" s="153"/>
      <c r="EA12" s="153"/>
      <c r="EB12" s="153"/>
      <c r="EC12" s="153"/>
      <c r="ED12" s="153"/>
      <c r="EE12" s="153"/>
      <c r="EF12" s="153"/>
      <c r="EG12" s="153"/>
      <c r="EH12" s="153"/>
      <c r="EI12" s="153"/>
      <c r="EJ12" s="153"/>
      <c r="EK12" s="153"/>
      <c r="EL12" s="153"/>
      <c r="EM12" s="153"/>
      <c r="EN12" s="153"/>
      <c r="EO12" s="153"/>
      <c r="EP12" s="153"/>
      <c r="EQ12" s="153"/>
      <c r="ER12" s="153"/>
      <c r="ES12" s="153"/>
      <c r="ET12" s="153"/>
      <c r="EU12" s="153"/>
      <c r="EV12" s="153"/>
      <c r="EW12" s="153"/>
      <c r="EX12" s="153"/>
      <c r="EY12" s="153"/>
    </row>
    <row r="13" spans="1:155" s="64" customFormat="1" outlineLevel="1">
      <c r="A13" s="154"/>
      <c r="B13" s="154"/>
      <c r="C13" s="155"/>
      <c r="D13" s="155"/>
      <c r="E13" s="155"/>
      <c r="F13" s="155"/>
      <c r="G13" s="155"/>
      <c r="H13" s="155"/>
      <c r="I13" s="155"/>
      <c r="J13" s="155"/>
      <c r="K13" s="155"/>
      <c r="L13" s="155"/>
      <c r="M13" s="155"/>
      <c r="N13" s="155"/>
      <c r="O13" s="155"/>
      <c r="P13" s="155"/>
      <c r="Q13" s="155"/>
      <c r="R13" s="155"/>
      <c r="S13" s="155"/>
      <c r="T13" s="155"/>
      <c r="U13" s="155"/>
      <c r="V13" s="155"/>
      <c r="W13" s="155"/>
      <c r="X13" s="155"/>
      <c r="Y13" s="155"/>
      <c r="Z13" s="155"/>
      <c r="AA13" s="155"/>
      <c r="AB13" s="155"/>
      <c r="AC13" s="155"/>
      <c r="AD13" s="155"/>
      <c r="AE13" s="155"/>
      <c r="AF13" s="155"/>
      <c r="AG13" s="155"/>
      <c r="AH13" s="155"/>
      <c r="AI13" s="155"/>
      <c r="AJ13" s="155"/>
      <c r="AK13" s="155"/>
      <c r="AL13" s="155"/>
      <c r="AM13" s="155"/>
      <c r="AN13" s="155"/>
      <c r="AO13" s="155"/>
      <c r="AP13" s="155"/>
      <c r="AQ13" s="155"/>
      <c r="AR13" s="155"/>
      <c r="AS13" s="155"/>
      <c r="AT13" s="155"/>
      <c r="AU13" s="155"/>
      <c r="AV13" s="155"/>
      <c r="AW13" s="155"/>
      <c r="AX13" s="155"/>
      <c r="AY13" s="155"/>
      <c r="AZ13" s="155"/>
      <c r="BA13" s="155"/>
      <c r="BB13" s="155"/>
      <c r="BC13" s="155"/>
      <c r="BD13" s="155"/>
      <c r="BE13" s="155"/>
      <c r="BF13" s="155"/>
      <c r="BG13" s="155"/>
      <c r="BH13" s="155"/>
      <c r="BI13" s="155"/>
      <c r="BJ13" s="155"/>
      <c r="BK13" s="155"/>
      <c r="BL13" s="155"/>
      <c r="BM13" s="155"/>
      <c r="BN13" s="155"/>
      <c r="BO13" s="155"/>
      <c r="BP13" s="155"/>
      <c r="BQ13" s="155"/>
      <c r="BR13" s="155"/>
      <c r="BS13" s="155"/>
      <c r="BT13" s="155"/>
      <c r="BU13" s="155"/>
      <c r="BV13" s="155"/>
      <c r="BW13" s="155"/>
      <c r="BX13" s="155"/>
      <c r="BY13" s="155"/>
      <c r="BZ13" s="155"/>
      <c r="CA13" s="155"/>
      <c r="CB13" s="155"/>
      <c r="CC13" s="155"/>
      <c r="CD13" s="155"/>
      <c r="CE13" s="155"/>
      <c r="CF13" s="155"/>
      <c r="CG13" s="155"/>
      <c r="CH13" s="155"/>
      <c r="CI13" s="155"/>
      <c r="CJ13" s="155"/>
      <c r="CK13" s="155"/>
      <c r="CL13" s="155"/>
      <c r="CM13" s="155"/>
      <c r="CN13" s="155"/>
      <c r="CO13" s="155"/>
      <c r="CP13" s="155"/>
      <c r="CQ13" s="155"/>
      <c r="CR13" s="155"/>
      <c r="CS13" s="155"/>
      <c r="CT13" s="155"/>
      <c r="CU13" s="155"/>
      <c r="CV13" s="155"/>
      <c r="CW13" s="155"/>
      <c r="CX13" s="155"/>
      <c r="CY13" s="155"/>
      <c r="CZ13" s="155"/>
      <c r="DA13" s="155"/>
      <c r="DB13" s="155"/>
      <c r="DC13" s="155"/>
      <c r="DD13" s="155"/>
      <c r="DE13" s="155"/>
      <c r="DF13" s="155"/>
      <c r="DG13" s="155"/>
      <c r="DH13" s="155"/>
      <c r="DI13" s="155"/>
      <c r="DJ13" s="155"/>
      <c r="DK13" s="155"/>
      <c r="DL13" s="155"/>
      <c r="DM13" s="155"/>
      <c r="DN13" s="155"/>
      <c r="DO13" s="155"/>
      <c r="DP13" s="155"/>
      <c r="DQ13" s="155"/>
      <c r="DR13" s="155"/>
      <c r="DS13" s="155"/>
      <c r="DT13" s="155"/>
      <c r="DU13" s="155"/>
      <c r="DV13" s="155"/>
      <c r="DW13" s="155"/>
      <c r="DX13" s="155"/>
      <c r="DY13" s="155"/>
      <c r="DZ13" s="155"/>
      <c r="EA13" s="155"/>
      <c r="EB13" s="155"/>
      <c r="EC13" s="155"/>
      <c r="ED13" s="155"/>
      <c r="EE13" s="155"/>
      <c r="EF13" s="155"/>
      <c r="EG13" s="155"/>
      <c r="EH13" s="155"/>
      <c r="EI13" s="155"/>
      <c r="EJ13" s="155"/>
      <c r="EK13" s="155"/>
      <c r="EL13" s="155"/>
      <c r="EM13" s="155"/>
      <c r="EN13" s="155"/>
      <c r="EO13" s="155"/>
      <c r="EP13" s="155"/>
      <c r="EQ13" s="155"/>
      <c r="ER13" s="155"/>
      <c r="ES13" s="155"/>
      <c r="ET13" s="155"/>
      <c r="EU13" s="155"/>
      <c r="EV13" s="155"/>
      <c r="EW13" s="155"/>
      <c r="EX13" s="155"/>
      <c r="EY13" s="155"/>
    </row>
    <row r="14" spans="1:155" s="74" customFormat="1" ht="12.75" customHeight="1" outlineLevel="1">
      <c r="A14" s="156"/>
      <c r="B14" s="139" t="s">
        <v>361</v>
      </c>
      <c r="C14" s="157" t="s">
        <v>362</v>
      </c>
      <c r="D14" s="158"/>
      <c r="E14" s="139" t="s">
        <v>363</v>
      </c>
      <c r="F14" s="157" t="s">
        <v>362</v>
      </c>
      <c r="G14" s="158"/>
      <c r="H14" s="139" t="s">
        <v>364</v>
      </c>
      <c r="I14" s="157" t="s">
        <v>362</v>
      </c>
      <c r="J14" s="158"/>
      <c r="K14" s="139" t="s">
        <v>365</v>
      </c>
      <c r="L14" s="159">
        <v>30</v>
      </c>
      <c r="M14" s="158"/>
      <c r="N14" s="158"/>
      <c r="O14" s="158"/>
      <c r="P14" s="158"/>
      <c r="Q14" s="158"/>
      <c r="R14" s="158"/>
      <c r="S14" s="158"/>
      <c r="T14" s="158"/>
      <c r="U14" s="158"/>
      <c r="V14" s="158"/>
      <c r="W14" s="158"/>
      <c r="X14" s="158"/>
      <c r="Y14" s="158"/>
      <c r="Z14" s="158"/>
      <c r="AA14" s="158"/>
      <c r="AB14" s="158"/>
      <c r="AC14" s="158"/>
      <c r="AD14" s="158"/>
      <c r="AE14" s="158"/>
      <c r="AF14" s="158"/>
      <c r="AG14" s="158"/>
      <c r="AH14" s="158"/>
      <c r="AI14" s="158"/>
      <c r="AJ14" s="158"/>
      <c r="AK14" s="158"/>
      <c r="AL14" s="158"/>
      <c r="AM14" s="158"/>
      <c r="AN14" s="158"/>
      <c r="AO14" s="158"/>
      <c r="AP14" s="158"/>
      <c r="AQ14" s="158"/>
      <c r="AR14" s="158"/>
      <c r="AS14" s="158"/>
      <c r="AT14" s="158"/>
      <c r="AU14" s="158"/>
      <c r="AV14" s="158"/>
      <c r="AW14" s="158"/>
      <c r="AX14" s="158"/>
      <c r="AY14" s="158"/>
      <c r="AZ14" s="158"/>
      <c r="BA14" s="158"/>
      <c r="BB14" s="158"/>
      <c r="BC14" s="158"/>
      <c r="BD14" s="158"/>
      <c r="BE14" s="158"/>
      <c r="BF14" s="158"/>
      <c r="BG14" s="158"/>
      <c r="BH14" s="158"/>
      <c r="BI14" s="158"/>
      <c r="BJ14" s="158"/>
      <c r="BK14" s="158"/>
      <c r="BL14" s="158"/>
      <c r="BM14" s="158"/>
      <c r="BN14" s="158"/>
      <c r="BO14" s="158"/>
      <c r="BP14" s="158"/>
      <c r="BQ14" s="158"/>
      <c r="BR14" s="158"/>
      <c r="BS14" s="158"/>
      <c r="BT14" s="158"/>
      <c r="BU14" s="158"/>
      <c r="BV14" s="158"/>
      <c r="BW14" s="158"/>
      <c r="BX14" s="158"/>
      <c r="BY14" s="158"/>
      <c r="BZ14" s="158"/>
      <c r="CA14" s="158"/>
      <c r="CB14" s="158"/>
      <c r="CC14" s="158"/>
      <c r="CD14" s="158"/>
      <c r="CE14" s="158"/>
      <c r="CF14" s="158"/>
      <c r="CG14" s="158"/>
      <c r="CH14" s="158"/>
      <c r="CI14" s="158"/>
      <c r="CJ14" s="158"/>
      <c r="CK14" s="158"/>
      <c r="CL14" s="158"/>
      <c r="CM14" s="158"/>
      <c r="CN14" s="158"/>
      <c r="CO14" s="158"/>
      <c r="CP14" s="158"/>
      <c r="CQ14" s="158"/>
      <c r="CR14" s="158"/>
      <c r="CS14" s="158"/>
      <c r="CT14" s="158"/>
      <c r="CU14" s="158"/>
      <c r="CV14" s="158"/>
      <c r="CW14" s="158"/>
      <c r="CX14" s="158"/>
      <c r="CY14" s="158"/>
      <c r="CZ14" s="158"/>
      <c r="DA14" s="158"/>
      <c r="DB14" s="158"/>
      <c r="DC14" s="158"/>
      <c r="DD14" s="158"/>
      <c r="DE14" s="158"/>
      <c r="DF14" s="158"/>
      <c r="DG14" s="158"/>
      <c r="DH14" s="158"/>
      <c r="DI14" s="158"/>
      <c r="DJ14" s="158"/>
      <c r="DK14" s="158"/>
      <c r="DL14" s="158"/>
      <c r="DM14" s="158"/>
      <c r="DN14" s="158"/>
      <c r="DO14" s="158"/>
      <c r="DP14" s="158"/>
      <c r="DQ14" s="158"/>
      <c r="DR14" s="158"/>
      <c r="DS14" s="158"/>
      <c r="DT14" s="158"/>
      <c r="DU14" s="158"/>
      <c r="DV14" s="158"/>
      <c r="DW14" s="158"/>
      <c r="DX14" s="158"/>
      <c r="DY14" s="158"/>
      <c r="DZ14" s="158"/>
      <c r="EA14" s="158"/>
      <c r="EB14" s="158"/>
      <c r="EC14" s="158"/>
      <c r="ED14" s="158"/>
      <c r="EE14" s="158"/>
      <c r="EF14" s="158"/>
      <c r="EG14" s="158"/>
      <c r="EH14" s="158"/>
      <c r="EI14" s="158"/>
      <c r="EJ14" s="158"/>
      <c r="EK14" s="158"/>
      <c r="EL14" s="158"/>
      <c r="EM14" s="158"/>
      <c r="EN14" s="158"/>
      <c r="EO14" s="158"/>
      <c r="EP14" s="158"/>
      <c r="EQ14" s="158"/>
      <c r="ER14" s="158"/>
      <c r="ES14" s="158"/>
      <c r="ET14" s="158"/>
      <c r="EU14" s="158"/>
      <c r="EV14" s="158"/>
      <c r="EW14" s="158"/>
      <c r="EX14" s="158"/>
      <c r="EY14" s="158"/>
    </row>
    <row r="15" spans="1:155" s="74" customFormat="1" outlineLevel="1">
      <c r="A15" s="156"/>
      <c r="B15" s="139" t="s">
        <v>392</v>
      </c>
      <c r="C15" s="157" t="s">
        <v>362</v>
      </c>
      <c r="D15" s="158"/>
      <c r="E15" s="139" t="s">
        <v>366</v>
      </c>
      <c r="F15" s="157" t="s">
        <v>362</v>
      </c>
      <c r="G15" s="158"/>
      <c r="H15" s="139" t="s">
        <v>367</v>
      </c>
      <c r="I15" s="157" t="s">
        <v>362</v>
      </c>
      <c r="J15" s="160"/>
      <c r="K15" s="139" t="s">
        <v>368</v>
      </c>
      <c r="L15" s="159">
        <v>30</v>
      </c>
      <c r="M15" s="158"/>
      <c r="N15" s="158"/>
      <c r="O15" s="158"/>
      <c r="P15" s="158"/>
      <c r="Q15" s="158"/>
      <c r="R15" s="158"/>
      <c r="S15" s="158"/>
      <c r="T15" s="158"/>
      <c r="U15" s="158"/>
      <c r="V15" s="158"/>
      <c r="W15" s="158"/>
      <c r="X15" s="158"/>
      <c r="Y15" s="158"/>
      <c r="Z15" s="158"/>
      <c r="AA15" s="158"/>
      <c r="AB15" s="158"/>
      <c r="AC15" s="158"/>
      <c r="AD15" s="158"/>
      <c r="AE15" s="158"/>
      <c r="AF15" s="158"/>
      <c r="AG15" s="158"/>
      <c r="AH15" s="158"/>
      <c r="AI15" s="158"/>
      <c r="AJ15" s="158"/>
      <c r="AK15" s="158"/>
      <c r="AL15" s="158"/>
      <c r="AM15" s="158"/>
      <c r="AN15" s="158"/>
      <c r="AO15" s="158"/>
      <c r="AP15" s="158"/>
      <c r="AQ15" s="158"/>
      <c r="AR15" s="158"/>
      <c r="AS15" s="158"/>
      <c r="AT15" s="158"/>
      <c r="AU15" s="158"/>
      <c r="AV15" s="158"/>
      <c r="AW15" s="158"/>
      <c r="AX15" s="158"/>
      <c r="AY15" s="158"/>
      <c r="AZ15" s="158"/>
      <c r="BA15" s="158"/>
      <c r="BB15" s="158"/>
      <c r="BC15" s="158"/>
      <c r="BD15" s="158"/>
      <c r="BE15" s="158"/>
      <c r="BF15" s="158"/>
      <c r="BG15" s="158"/>
      <c r="BH15" s="158"/>
      <c r="BI15" s="158"/>
      <c r="BJ15" s="158"/>
      <c r="BK15" s="158"/>
      <c r="BL15" s="158"/>
      <c r="BM15" s="158"/>
      <c r="BN15" s="158"/>
      <c r="BO15" s="158"/>
      <c r="BP15" s="158"/>
      <c r="BQ15" s="158"/>
      <c r="BR15" s="158"/>
      <c r="BS15" s="158"/>
      <c r="BT15" s="158"/>
      <c r="BU15" s="158"/>
      <c r="BV15" s="158"/>
      <c r="BW15" s="158"/>
      <c r="BX15" s="158"/>
      <c r="BY15" s="158"/>
      <c r="BZ15" s="158"/>
      <c r="CA15" s="158"/>
      <c r="CB15" s="158"/>
      <c r="CC15" s="158"/>
      <c r="CD15" s="158"/>
      <c r="CE15" s="158"/>
      <c r="CF15" s="158"/>
      <c r="CG15" s="158"/>
      <c r="CH15" s="158"/>
      <c r="CI15" s="158"/>
      <c r="CJ15" s="158"/>
      <c r="CK15" s="158"/>
      <c r="CL15" s="158"/>
      <c r="CM15" s="158"/>
      <c r="CN15" s="158"/>
      <c r="CO15" s="158"/>
      <c r="CP15" s="158"/>
      <c r="CQ15" s="158"/>
      <c r="CR15" s="158"/>
      <c r="CS15" s="158"/>
      <c r="CT15" s="158"/>
      <c r="CU15" s="158"/>
      <c r="CV15" s="158"/>
      <c r="CW15" s="158"/>
      <c r="CX15" s="158"/>
      <c r="CY15" s="158"/>
      <c r="CZ15" s="158"/>
      <c r="DA15" s="158"/>
      <c r="DB15" s="158"/>
      <c r="DC15" s="158"/>
      <c r="DD15" s="158"/>
      <c r="DE15" s="158"/>
      <c r="DF15" s="158"/>
      <c r="DG15" s="158"/>
      <c r="DH15" s="158"/>
      <c r="DI15" s="158"/>
      <c r="DJ15" s="158"/>
      <c r="DK15" s="158"/>
      <c r="DL15" s="158"/>
      <c r="DM15" s="158"/>
      <c r="DN15" s="158"/>
      <c r="DO15" s="158"/>
      <c r="DP15" s="158"/>
      <c r="DQ15" s="158"/>
      <c r="DR15" s="158"/>
      <c r="DS15" s="158"/>
      <c r="DT15" s="158"/>
      <c r="DU15" s="158"/>
      <c r="DV15" s="158"/>
      <c r="DW15" s="158"/>
      <c r="DX15" s="158"/>
      <c r="DY15" s="158"/>
      <c r="DZ15" s="158"/>
      <c r="EA15" s="158"/>
      <c r="EB15" s="158"/>
      <c r="EC15" s="158"/>
      <c r="ED15" s="158"/>
      <c r="EE15" s="158"/>
      <c r="EF15" s="158"/>
      <c r="EG15" s="158"/>
      <c r="EH15" s="158"/>
      <c r="EI15" s="158"/>
      <c r="EJ15" s="158"/>
      <c r="EK15" s="158"/>
      <c r="EL15" s="158"/>
      <c r="EM15" s="158"/>
      <c r="EN15" s="158"/>
      <c r="EO15" s="158"/>
      <c r="EP15" s="158"/>
      <c r="EQ15" s="158"/>
      <c r="ER15" s="158"/>
      <c r="ES15" s="158"/>
      <c r="ET15" s="158"/>
      <c r="EU15" s="158"/>
      <c r="EV15" s="158"/>
      <c r="EW15" s="158"/>
      <c r="EX15" s="158"/>
      <c r="EY15" s="158"/>
    </row>
    <row r="16" spans="1:155" s="74" customFormat="1" outlineLevel="1">
      <c r="A16" s="156"/>
      <c r="B16" s="139" t="s">
        <v>182</v>
      </c>
      <c r="C16" s="157" t="s">
        <v>362</v>
      </c>
      <c r="D16" s="158"/>
      <c r="E16" s="139" t="s">
        <v>369</v>
      </c>
      <c r="F16" s="157" t="s">
        <v>362</v>
      </c>
      <c r="G16" s="158"/>
      <c r="H16" s="139" t="s">
        <v>370</v>
      </c>
      <c r="I16" s="157" t="s">
        <v>362</v>
      </c>
      <c r="J16" s="158"/>
      <c r="K16" s="139" t="s">
        <v>371</v>
      </c>
      <c r="L16" s="161" t="s">
        <v>372</v>
      </c>
      <c r="M16" s="158"/>
      <c r="N16" s="158"/>
      <c r="O16" s="158"/>
      <c r="P16" s="158"/>
      <c r="Q16" s="158"/>
      <c r="R16" s="158"/>
      <c r="S16" s="158"/>
      <c r="T16" s="158"/>
      <c r="U16" s="158"/>
      <c r="V16" s="158"/>
      <c r="W16" s="158"/>
      <c r="X16" s="158"/>
      <c r="Y16" s="158"/>
      <c r="Z16" s="158"/>
      <c r="AA16" s="158"/>
      <c r="AB16" s="158"/>
      <c r="AC16" s="158"/>
      <c r="AD16" s="158"/>
      <c r="AE16" s="158"/>
      <c r="AF16" s="158"/>
      <c r="AG16" s="158"/>
      <c r="AH16" s="158"/>
      <c r="AI16" s="158"/>
      <c r="AJ16" s="158"/>
      <c r="AK16" s="158"/>
      <c r="AL16" s="158"/>
      <c r="AM16" s="158"/>
      <c r="AN16" s="158"/>
      <c r="AO16" s="158"/>
      <c r="AP16" s="158"/>
      <c r="AQ16" s="158"/>
      <c r="AR16" s="158"/>
      <c r="AS16" s="158"/>
      <c r="AT16" s="158"/>
      <c r="AU16" s="158"/>
      <c r="AV16" s="158"/>
      <c r="AW16" s="158"/>
      <c r="AX16" s="158"/>
      <c r="AY16" s="158"/>
      <c r="AZ16" s="158"/>
      <c r="BA16" s="158"/>
      <c r="BB16" s="158"/>
      <c r="BC16" s="158"/>
      <c r="BD16" s="158"/>
      <c r="BE16" s="158"/>
      <c r="BF16" s="158"/>
      <c r="BG16" s="158"/>
      <c r="BH16" s="158"/>
      <c r="BI16" s="158"/>
      <c r="BJ16" s="158"/>
      <c r="BK16" s="158"/>
      <c r="BL16" s="158"/>
      <c r="BM16" s="158"/>
      <c r="BN16" s="158"/>
      <c r="BO16" s="158"/>
      <c r="BP16" s="158"/>
      <c r="BQ16" s="158"/>
      <c r="BR16" s="158"/>
      <c r="BS16" s="158"/>
      <c r="BT16" s="158"/>
      <c r="BU16" s="158"/>
      <c r="BV16" s="158"/>
      <c r="BW16" s="158"/>
      <c r="BX16" s="158"/>
      <c r="BY16" s="158"/>
      <c r="BZ16" s="158"/>
      <c r="CA16" s="158"/>
      <c r="CB16" s="158"/>
      <c r="CC16" s="158"/>
      <c r="CD16" s="158"/>
      <c r="CE16" s="158"/>
      <c r="CF16" s="158"/>
      <c r="CG16" s="158"/>
      <c r="CH16" s="158"/>
      <c r="CI16" s="158"/>
      <c r="CJ16" s="158"/>
      <c r="CK16" s="158"/>
      <c r="CL16" s="158"/>
      <c r="CM16" s="158"/>
      <c r="CN16" s="158"/>
      <c r="CO16" s="158"/>
      <c r="CP16" s="158"/>
      <c r="CQ16" s="158"/>
      <c r="CR16" s="158"/>
      <c r="CS16" s="158"/>
      <c r="CT16" s="158"/>
      <c r="CU16" s="158"/>
      <c r="CV16" s="158"/>
      <c r="CW16" s="158"/>
      <c r="CX16" s="158"/>
      <c r="CY16" s="158"/>
      <c r="CZ16" s="158"/>
      <c r="DA16" s="158"/>
      <c r="DB16" s="158"/>
      <c r="DC16" s="158"/>
      <c r="DD16" s="158"/>
      <c r="DE16" s="158"/>
      <c r="DF16" s="158"/>
      <c r="DG16" s="158"/>
      <c r="DH16" s="158"/>
      <c r="DI16" s="158"/>
      <c r="DJ16" s="158"/>
      <c r="DK16" s="158"/>
      <c r="DL16" s="158"/>
      <c r="DM16" s="158"/>
      <c r="DN16" s="158"/>
      <c r="DO16" s="158"/>
      <c r="DP16" s="158"/>
      <c r="DQ16" s="158"/>
      <c r="DR16" s="158"/>
      <c r="DS16" s="158"/>
      <c r="DT16" s="158"/>
      <c r="DU16" s="158"/>
      <c r="DV16" s="158"/>
      <c r="DW16" s="158"/>
      <c r="DX16" s="158"/>
      <c r="DY16" s="158"/>
      <c r="DZ16" s="158"/>
      <c r="EA16" s="158"/>
      <c r="EB16" s="158"/>
      <c r="EC16" s="158"/>
      <c r="ED16" s="158"/>
      <c r="EE16" s="158"/>
      <c r="EF16" s="158"/>
      <c r="EG16" s="158"/>
      <c r="EH16" s="158"/>
      <c r="EI16" s="158"/>
      <c r="EJ16" s="158"/>
      <c r="EK16" s="158"/>
      <c r="EL16" s="158"/>
      <c r="EM16" s="158"/>
      <c r="EN16" s="158"/>
      <c r="EO16" s="158"/>
      <c r="EP16" s="158"/>
      <c r="EQ16" s="158"/>
      <c r="ER16" s="158"/>
      <c r="ES16" s="158"/>
      <c r="ET16" s="158"/>
      <c r="EU16" s="158"/>
      <c r="EV16" s="158"/>
      <c r="EW16" s="158"/>
      <c r="EX16" s="158"/>
      <c r="EY16" s="158"/>
    </row>
    <row r="17" spans="1:155" s="74" customFormat="1" ht="12.75" customHeight="1" outlineLevel="1">
      <c r="A17" s="162"/>
      <c r="D17" s="163"/>
      <c r="G17" s="163"/>
      <c r="J17" s="163"/>
      <c r="K17" s="155"/>
      <c r="L17" s="155"/>
      <c r="N17" s="164"/>
      <c r="O17" s="164"/>
      <c r="P17" s="164"/>
      <c r="Q17" s="164"/>
      <c r="R17" s="164"/>
      <c r="S17" s="164"/>
      <c r="T17" s="164"/>
      <c r="U17" s="164"/>
      <c r="V17" s="164"/>
      <c r="W17" s="164"/>
      <c r="X17" s="164"/>
      <c r="Y17" s="164"/>
      <c r="Z17" s="164"/>
      <c r="AA17" s="164"/>
      <c r="AB17" s="164"/>
      <c r="AC17" s="164"/>
      <c r="AD17" s="164"/>
      <c r="AE17" s="164"/>
      <c r="AF17" s="164"/>
      <c r="AG17" s="164"/>
      <c r="AH17" s="164"/>
      <c r="AI17" s="164"/>
      <c r="AJ17" s="164"/>
      <c r="AK17" s="164"/>
      <c r="AL17" s="164"/>
      <c r="AM17" s="164"/>
      <c r="AN17" s="164"/>
      <c r="AO17" s="164"/>
      <c r="AP17" s="164"/>
      <c r="AQ17" s="164"/>
      <c r="AR17" s="164"/>
      <c r="AS17" s="164"/>
      <c r="AT17" s="164"/>
      <c r="AU17" s="164"/>
      <c r="AV17" s="164"/>
      <c r="AW17" s="164"/>
      <c r="AX17" s="164"/>
      <c r="AY17" s="164"/>
      <c r="AZ17" s="164"/>
      <c r="BA17" s="164"/>
      <c r="BB17" s="164"/>
      <c r="BC17" s="164"/>
      <c r="BD17" s="164"/>
      <c r="BE17" s="164"/>
      <c r="BF17" s="164"/>
      <c r="BG17" s="164"/>
      <c r="BH17" s="164"/>
      <c r="BI17" s="164"/>
      <c r="BJ17" s="164"/>
      <c r="BK17" s="164"/>
      <c r="BL17" s="164"/>
      <c r="BM17" s="164"/>
      <c r="BN17" s="164"/>
      <c r="BO17" s="164"/>
      <c r="BP17" s="164"/>
      <c r="BQ17" s="164"/>
      <c r="BR17" s="164"/>
      <c r="BS17" s="164"/>
      <c r="BT17" s="164"/>
      <c r="BU17" s="164"/>
      <c r="BV17" s="164"/>
      <c r="BW17" s="164"/>
      <c r="BX17" s="164"/>
      <c r="BY17" s="164"/>
      <c r="BZ17" s="164"/>
      <c r="CA17" s="164"/>
      <c r="CB17" s="164"/>
      <c r="CC17" s="164"/>
      <c r="CD17" s="164"/>
      <c r="CE17" s="164"/>
      <c r="CF17" s="164"/>
      <c r="CG17" s="164"/>
      <c r="CH17" s="164"/>
      <c r="CI17" s="164"/>
      <c r="CJ17" s="164"/>
      <c r="CK17" s="164"/>
      <c r="CL17" s="164"/>
      <c r="CM17" s="164"/>
      <c r="CN17" s="164"/>
      <c r="CO17" s="164"/>
      <c r="CP17" s="164"/>
      <c r="CQ17" s="164"/>
      <c r="CR17" s="164"/>
      <c r="CS17" s="164"/>
      <c r="CT17" s="164"/>
      <c r="CU17" s="164"/>
      <c r="CV17" s="164"/>
      <c r="CW17" s="164"/>
      <c r="CX17" s="164"/>
      <c r="CY17" s="164"/>
      <c r="CZ17" s="164"/>
      <c r="DA17" s="164"/>
      <c r="DB17" s="164"/>
      <c r="DC17" s="164"/>
      <c r="DD17" s="164"/>
      <c r="DE17" s="164"/>
      <c r="DF17" s="164"/>
      <c r="DG17" s="164"/>
      <c r="DH17" s="164"/>
      <c r="DI17" s="164"/>
      <c r="DJ17" s="164"/>
      <c r="DK17" s="164"/>
      <c r="DL17" s="164"/>
      <c r="DM17" s="164"/>
      <c r="DN17" s="164"/>
      <c r="DO17" s="164"/>
      <c r="DP17" s="164"/>
      <c r="DQ17" s="164"/>
      <c r="DR17" s="164"/>
      <c r="DS17" s="164"/>
      <c r="DT17" s="164"/>
      <c r="DU17" s="164"/>
      <c r="DV17" s="164"/>
      <c r="DW17" s="164"/>
      <c r="DX17" s="164"/>
      <c r="DY17" s="164"/>
      <c r="DZ17" s="164"/>
      <c r="EA17" s="164"/>
      <c r="EB17" s="164"/>
      <c r="EC17" s="164"/>
      <c r="ED17" s="164"/>
      <c r="EE17" s="164"/>
      <c r="EF17" s="164"/>
      <c r="EG17" s="164"/>
      <c r="EH17" s="164"/>
      <c r="EI17" s="164"/>
      <c r="EJ17" s="164"/>
      <c r="EK17" s="164"/>
      <c r="EL17" s="164"/>
      <c r="EM17" s="164"/>
      <c r="EN17" s="164"/>
      <c r="EO17" s="164"/>
      <c r="EP17" s="164"/>
      <c r="EQ17" s="164"/>
      <c r="ER17" s="164"/>
      <c r="ES17" s="164"/>
      <c r="ET17" s="164"/>
      <c r="EU17" s="164"/>
      <c r="EV17" s="164"/>
      <c r="EW17" s="164"/>
      <c r="EX17" s="164"/>
      <c r="EY17" s="164"/>
    </row>
    <row r="18" spans="1:155" s="74" customFormat="1" ht="12.75" customHeight="1" outlineLevel="1">
      <c r="A18" s="162"/>
      <c r="D18" s="163"/>
      <c r="J18" s="163"/>
      <c r="M18" s="163"/>
      <c r="N18" s="164"/>
      <c r="O18" s="164"/>
      <c r="P18" s="164"/>
      <c r="Q18" s="164"/>
      <c r="R18" s="164"/>
      <c r="S18" s="164"/>
      <c r="T18" s="164"/>
      <c r="U18" s="164"/>
      <c r="V18" s="164"/>
      <c r="W18" s="164"/>
      <c r="X18" s="164"/>
      <c r="Y18" s="164"/>
      <c r="Z18" s="164"/>
      <c r="AA18" s="164"/>
      <c r="AB18" s="164"/>
      <c r="AC18" s="164"/>
      <c r="AD18" s="164"/>
      <c r="AE18" s="164"/>
      <c r="AF18" s="164"/>
      <c r="AG18" s="164"/>
      <c r="AH18" s="164"/>
      <c r="AI18" s="164"/>
      <c r="AJ18" s="164"/>
      <c r="AK18" s="164"/>
      <c r="AL18" s="164"/>
      <c r="AM18" s="164"/>
      <c r="AN18" s="164"/>
      <c r="AO18" s="164"/>
      <c r="AP18" s="164"/>
      <c r="AQ18" s="164"/>
      <c r="AR18" s="164"/>
      <c r="AS18" s="164"/>
      <c r="AT18" s="164"/>
      <c r="AU18" s="164"/>
      <c r="AV18" s="164"/>
      <c r="AW18" s="164"/>
      <c r="AX18" s="164"/>
      <c r="AY18" s="164"/>
      <c r="AZ18" s="164"/>
      <c r="BA18" s="164"/>
      <c r="BB18" s="164"/>
      <c r="BC18" s="164"/>
      <c r="BD18" s="164"/>
      <c r="BE18" s="164"/>
      <c r="BF18" s="164"/>
      <c r="BG18" s="164"/>
      <c r="BH18" s="164"/>
      <c r="BI18" s="164"/>
      <c r="BJ18" s="164"/>
      <c r="BK18" s="164"/>
      <c r="BL18" s="164"/>
      <c r="BM18" s="164"/>
      <c r="BN18" s="164"/>
      <c r="BO18" s="164"/>
      <c r="BP18" s="164"/>
      <c r="BQ18" s="164"/>
      <c r="BR18" s="164"/>
      <c r="BS18" s="164"/>
      <c r="BT18" s="164"/>
      <c r="BU18" s="164"/>
      <c r="BV18" s="164"/>
      <c r="BW18" s="164"/>
      <c r="BX18" s="164"/>
      <c r="BY18" s="164"/>
      <c r="BZ18" s="164"/>
      <c r="CA18" s="164"/>
      <c r="CB18" s="164"/>
      <c r="CC18" s="164"/>
      <c r="CD18" s="164"/>
      <c r="CE18" s="164"/>
      <c r="CF18" s="164"/>
      <c r="CG18" s="164"/>
      <c r="CH18" s="164"/>
      <c r="CI18" s="164"/>
      <c r="CJ18" s="164"/>
      <c r="CK18" s="164"/>
      <c r="CL18" s="164"/>
      <c r="CM18" s="164"/>
      <c r="CN18" s="164"/>
      <c r="CO18" s="164"/>
      <c r="CP18" s="164"/>
      <c r="CQ18" s="164"/>
      <c r="CR18" s="164"/>
      <c r="CS18" s="164"/>
      <c r="CT18" s="164"/>
      <c r="CU18" s="164"/>
      <c r="CV18" s="164"/>
      <c r="CW18" s="164"/>
      <c r="CX18" s="164"/>
      <c r="CY18" s="164"/>
      <c r="CZ18" s="164"/>
      <c r="DA18" s="164"/>
      <c r="DB18" s="164"/>
      <c r="DC18" s="164"/>
      <c r="DD18" s="164"/>
      <c r="DE18" s="164"/>
      <c r="DF18" s="164"/>
      <c r="DG18" s="164"/>
      <c r="DH18" s="164"/>
      <c r="DI18" s="164"/>
      <c r="DJ18" s="164"/>
      <c r="DK18" s="164"/>
      <c r="DL18" s="164"/>
      <c r="DM18" s="164"/>
      <c r="DN18" s="164"/>
      <c r="DO18" s="164"/>
      <c r="DP18" s="164"/>
      <c r="DQ18" s="164"/>
      <c r="DR18" s="164"/>
      <c r="DS18" s="164"/>
      <c r="DT18" s="164"/>
      <c r="DU18" s="164"/>
      <c r="DV18" s="164"/>
      <c r="DW18" s="164"/>
      <c r="DX18" s="164"/>
      <c r="DY18" s="164"/>
      <c r="DZ18" s="164"/>
      <c r="EA18" s="164"/>
      <c r="EB18" s="164"/>
      <c r="EC18" s="164"/>
      <c r="ED18" s="164"/>
      <c r="EE18" s="164"/>
      <c r="EF18" s="164"/>
      <c r="EG18" s="164"/>
      <c r="EH18" s="164"/>
      <c r="EI18" s="164"/>
      <c r="EJ18" s="164"/>
      <c r="EK18" s="164"/>
      <c r="EL18" s="164"/>
      <c r="EM18" s="164"/>
      <c r="EN18" s="164"/>
      <c r="EO18" s="164"/>
      <c r="EP18" s="164"/>
      <c r="EQ18" s="164"/>
      <c r="ER18" s="164"/>
      <c r="ES18" s="164"/>
      <c r="ET18" s="164"/>
      <c r="EU18" s="164"/>
      <c r="EV18" s="164"/>
      <c r="EW18" s="164"/>
      <c r="EX18" s="164"/>
      <c r="EY18" s="164"/>
    </row>
    <row r="19" spans="1:155" s="74" customFormat="1" ht="12.75" customHeight="1" outlineLevel="1">
      <c r="A19" s="162"/>
      <c r="D19" s="163"/>
      <c r="G19" s="163"/>
      <c r="J19" s="163"/>
      <c r="M19" s="163"/>
      <c r="N19" s="164"/>
      <c r="O19" s="164"/>
      <c r="P19" s="164"/>
      <c r="Q19" s="164"/>
      <c r="R19" s="164"/>
      <c r="S19" s="164"/>
      <c r="T19" s="164"/>
      <c r="U19" s="164"/>
      <c r="V19" s="164"/>
      <c r="W19" s="164"/>
      <c r="X19" s="164"/>
      <c r="Y19" s="164"/>
      <c r="Z19" s="164"/>
      <c r="AA19" s="164"/>
      <c r="AB19" s="164"/>
      <c r="AC19" s="164"/>
      <c r="AD19" s="164"/>
      <c r="AE19" s="164"/>
      <c r="AF19" s="164"/>
      <c r="AG19" s="164"/>
      <c r="AH19" s="164"/>
      <c r="AI19" s="164"/>
      <c r="AJ19" s="164"/>
      <c r="AK19" s="164"/>
      <c r="AL19" s="164"/>
      <c r="AM19" s="164"/>
      <c r="AN19" s="164"/>
      <c r="AO19" s="164"/>
      <c r="AP19" s="164"/>
      <c r="AQ19" s="164"/>
      <c r="AR19" s="164"/>
      <c r="AS19" s="164"/>
      <c r="AT19" s="164"/>
      <c r="AU19" s="164"/>
      <c r="AV19" s="164"/>
      <c r="AW19" s="164"/>
      <c r="AX19" s="164"/>
      <c r="AY19" s="164"/>
      <c r="AZ19" s="164"/>
      <c r="BA19" s="164"/>
      <c r="BB19" s="164"/>
      <c r="BC19" s="164"/>
      <c r="BD19" s="164"/>
      <c r="BE19" s="164"/>
      <c r="BF19" s="164"/>
      <c r="BG19" s="164"/>
      <c r="BH19" s="164"/>
      <c r="BI19" s="164"/>
      <c r="BJ19" s="164"/>
      <c r="BK19" s="164"/>
      <c r="BL19" s="164"/>
      <c r="BM19" s="164"/>
      <c r="BN19" s="164"/>
      <c r="BO19" s="164"/>
      <c r="BP19" s="164"/>
      <c r="BQ19" s="164"/>
      <c r="BR19" s="164"/>
      <c r="BS19" s="164"/>
      <c r="BT19" s="164"/>
      <c r="BU19" s="164"/>
      <c r="BV19" s="164"/>
      <c r="BW19" s="164"/>
      <c r="BX19" s="164"/>
      <c r="BY19" s="164"/>
      <c r="BZ19" s="164"/>
      <c r="CA19" s="164"/>
      <c r="CB19" s="164"/>
      <c r="CC19" s="164"/>
      <c r="CD19" s="164"/>
      <c r="CE19" s="164"/>
      <c r="CF19" s="164"/>
      <c r="CG19" s="164"/>
      <c r="CH19" s="164"/>
      <c r="CI19" s="164"/>
      <c r="CJ19" s="164"/>
      <c r="CK19" s="164"/>
      <c r="CL19" s="164"/>
      <c r="CM19" s="164"/>
      <c r="CN19" s="164"/>
      <c r="CO19" s="164"/>
      <c r="CP19" s="164"/>
      <c r="CQ19" s="164"/>
      <c r="CR19" s="164"/>
      <c r="CS19" s="164"/>
      <c r="CT19" s="164"/>
      <c r="CU19" s="164"/>
      <c r="CV19" s="164"/>
      <c r="CW19" s="164"/>
      <c r="CX19" s="164"/>
      <c r="CY19" s="164"/>
      <c r="CZ19" s="164"/>
      <c r="DA19" s="164"/>
      <c r="DB19" s="164"/>
      <c r="DC19" s="164"/>
      <c r="DD19" s="164"/>
      <c r="DE19" s="164"/>
      <c r="DF19" s="164"/>
      <c r="DG19" s="164"/>
      <c r="DH19" s="164"/>
      <c r="DI19" s="164"/>
      <c r="DJ19" s="164"/>
      <c r="DK19" s="164"/>
      <c r="DL19" s="164"/>
      <c r="DM19" s="164"/>
      <c r="DN19" s="164"/>
      <c r="DO19" s="164"/>
      <c r="DP19" s="164"/>
      <c r="DQ19" s="164"/>
      <c r="DR19" s="164"/>
      <c r="DS19" s="164"/>
      <c r="DT19" s="164"/>
      <c r="DU19" s="164"/>
      <c r="DV19" s="164"/>
      <c r="DW19" s="164"/>
      <c r="DX19" s="164"/>
      <c r="DY19" s="164"/>
      <c r="DZ19" s="164"/>
      <c r="EA19" s="164"/>
      <c r="EB19" s="164"/>
      <c r="EC19" s="164"/>
      <c r="ED19" s="164"/>
      <c r="EE19" s="164"/>
      <c r="EF19" s="164"/>
      <c r="EG19" s="164"/>
      <c r="EH19" s="164"/>
      <c r="EI19" s="164"/>
      <c r="EJ19" s="164"/>
      <c r="EK19" s="164"/>
      <c r="EL19" s="164"/>
      <c r="EM19" s="164"/>
      <c r="EN19" s="164"/>
      <c r="EO19" s="164"/>
      <c r="EP19" s="164"/>
      <c r="EQ19" s="164"/>
      <c r="ER19" s="164"/>
      <c r="ES19" s="164"/>
      <c r="ET19" s="164"/>
      <c r="EU19" s="164"/>
      <c r="EV19" s="164"/>
      <c r="EW19" s="164"/>
      <c r="EX19" s="164"/>
      <c r="EY19" s="164"/>
    </row>
    <row r="20" spans="1:155" s="74" customFormat="1" ht="12.75" customHeight="1" outlineLevel="1">
      <c r="A20" s="162"/>
      <c r="D20" s="163"/>
      <c r="G20" s="163"/>
      <c r="J20" s="163"/>
      <c r="M20" s="163"/>
      <c r="N20" s="164"/>
      <c r="O20" s="164"/>
      <c r="P20" s="164"/>
      <c r="Q20" s="164"/>
      <c r="R20" s="164"/>
      <c r="S20" s="164"/>
      <c r="T20" s="164"/>
      <c r="U20" s="164"/>
      <c r="V20" s="164"/>
      <c r="W20" s="164"/>
      <c r="X20" s="164"/>
      <c r="Y20" s="164"/>
      <c r="Z20" s="164"/>
      <c r="AA20" s="164"/>
      <c r="AB20" s="164"/>
      <c r="AC20" s="164"/>
      <c r="AD20" s="164"/>
      <c r="AE20" s="164"/>
      <c r="AF20" s="164"/>
      <c r="AG20" s="164"/>
      <c r="AH20" s="164"/>
      <c r="AI20" s="164"/>
      <c r="AJ20" s="164"/>
      <c r="AK20" s="164"/>
      <c r="AL20" s="164"/>
      <c r="AM20" s="164"/>
      <c r="AN20" s="164"/>
      <c r="AO20" s="164"/>
      <c r="AP20" s="164"/>
      <c r="AQ20" s="164"/>
      <c r="AR20" s="164"/>
      <c r="AS20" s="164"/>
      <c r="AT20" s="164"/>
      <c r="AU20" s="164"/>
      <c r="AV20" s="164"/>
      <c r="AW20" s="164"/>
      <c r="AX20" s="164"/>
      <c r="AY20" s="164"/>
      <c r="AZ20" s="164"/>
      <c r="BA20" s="164"/>
      <c r="BB20" s="164"/>
      <c r="BC20" s="164"/>
      <c r="BD20" s="164"/>
      <c r="BE20" s="164"/>
      <c r="BF20" s="164"/>
      <c r="BG20" s="164"/>
      <c r="BH20" s="164"/>
      <c r="BI20" s="164"/>
      <c r="BJ20" s="164"/>
      <c r="BK20" s="164"/>
      <c r="BL20" s="164"/>
      <c r="BM20" s="164"/>
      <c r="BN20" s="164"/>
      <c r="BO20" s="164"/>
      <c r="BP20" s="164"/>
      <c r="BQ20" s="164"/>
      <c r="BR20" s="164"/>
      <c r="BS20" s="164"/>
      <c r="BT20" s="164"/>
      <c r="BU20" s="164"/>
      <c r="BV20" s="164"/>
      <c r="BW20" s="164"/>
      <c r="BX20" s="164"/>
      <c r="BY20" s="164"/>
      <c r="BZ20" s="164"/>
      <c r="CA20" s="164"/>
      <c r="CB20" s="164"/>
      <c r="CC20" s="164"/>
      <c r="CD20" s="164"/>
      <c r="CE20" s="164"/>
      <c r="CF20" s="164"/>
      <c r="CG20" s="164"/>
      <c r="CH20" s="164"/>
      <c r="CI20" s="164"/>
      <c r="CJ20" s="164"/>
      <c r="CK20" s="164"/>
      <c r="CL20" s="164"/>
      <c r="CM20" s="164"/>
      <c r="CN20" s="164"/>
      <c r="CO20" s="164"/>
      <c r="CP20" s="164"/>
      <c r="CQ20" s="164"/>
      <c r="CR20" s="164"/>
      <c r="CS20" s="164"/>
      <c r="CT20" s="164"/>
      <c r="CU20" s="164"/>
      <c r="CV20" s="164"/>
      <c r="CW20" s="164"/>
      <c r="CX20" s="164"/>
      <c r="CY20" s="164"/>
      <c r="CZ20" s="164"/>
      <c r="DA20" s="164"/>
      <c r="DB20" s="164"/>
      <c r="DC20" s="164"/>
      <c r="DD20" s="164"/>
      <c r="DE20" s="164"/>
      <c r="DF20" s="164"/>
      <c r="DG20" s="164"/>
      <c r="DH20" s="164"/>
      <c r="DI20" s="164"/>
      <c r="DJ20" s="164"/>
      <c r="DK20" s="164"/>
      <c r="DL20" s="164"/>
      <c r="DM20" s="164"/>
      <c r="DN20" s="164"/>
      <c r="DO20" s="164"/>
      <c r="DP20" s="164"/>
      <c r="DQ20" s="164"/>
      <c r="DR20" s="164"/>
      <c r="DS20" s="164"/>
      <c r="DT20" s="164"/>
      <c r="DU20" s="164"/>
      <c r="DV20" s="164"/>
      <c r="DW20" s="164"/>
      <c r="DX20" s="164"/>
      <c r="DY20" s="164"/>
      <c r="DZ20" s="164"/>
      <c r="EA20" s="164"/>
      <c r="EB20" s="164"/>
      <c r="EC20" s="164"/>
      <c r="ED20" s="164"/>
      <c r="EE20" s="164"/>
      <c r="EF20" s="164"/>
      <c r="EG20" s="164"/>
      <c r="EH20" s="164"/>
      <c r="EI20" s="164"/>
      <c r="EJ20" s="164"/>
      <c r="EK20" s="164"/>
      <c r="EL20" s="164"/>
      <c r="EM20" s="164"/>
      <c r="EN20" s="164"/>
      <c r="EO20" s="164"/>
      <c r="EP20" s="164"/>
      <c r="EQ20" s="164"/>
      <c r="ER20" s="164"/>
      <c r="ES20" s="164"/>
      <c r="ET20" s="164"/>
      <c r="EU20" s="164"/>
      <c r="EV20" s="164"/>
      <c r="EW20" s="164"/>
      <c r="EX20" s="164"/>
      <c r="EY20" s="164"/>
    </row>
    <row r="21" spans="1:155" s="74" customFormat="1" ht="12.75" customHeight="1" outlineLevel="1">
      <c r="A21" s="162"/>
      <c r="B21" s="165"/>
      <c r="C21" s="163"/>
      <c r="D21" s="163"/>
      <c r="E21" s="164"/>
      <c r="F21" s="164"/>
      <c r="G21" s="163"/>
      <c r="H21" s="164"/>
      <c r="I21" s="164"/>
      <c r="J21" s="163"/>
      <c r="K21" s="164"/>
      <c r="L21" s="164"/>
      <c r="M21" s="164"/>
      <c r="N21" s="164"/>
      <c r="O21" s="164"/>
      <c r="P21" s="164"/>
      <c r="Q21" s="164"/>
      <c r="R21" s="164"/>
      <c r="S21" s="164"/>
      <c r="T21" s="164"/>
      <c r="U21" s="164"/>
      <c r="V21" s="164"/>
      <c r="W21" s="164"/>
      <c r="X21" s="164"/>
      <c r="Y21" s="164"/>
      <c r="Z21" s="164"/>
      <c r="AA21" s="164"/>
      <c r="AB21" s="164"/>
      <c r="AC21" s="164"/>
      <c r="AD21" s="164"/>
      <c r="AE21" s="164"/>
      <c r="AF21" s="164"/>
      <c r="AG21" s="164"/>
      <c r="AH21" s="164"/>
      <c r="AI21" s="164"/>
      <c r="AJ21" s="164"/>
      <c r="AK21" s="164"/>
      <c r="AL21" s="164"/>
      <c r="AM21" s="164"/>
      <c r="AN21" s="164"/>
      <c r="AO21" s="164"/>
      <c r="AP21" s="164"/>
      <c r="AQ21" s="164"/>
      <c r="AR21" s="164"/>
      <c r="AS21" s="164"/>
      <c r="AT21" s="164"/>
      <c r="AU21" s="164"/>
      <c r="AV21" s="164"/>
      <c r="AW21" s="164"/>
      <c r="AX21" s="164"/>
      <c r="AY21" s="164"/>
      <c r="AZ21" s="164"/>
      <c r="BA21" s="164"/>
      <c r="BB21" s="164"/>
      <c r="BC21" s="164"/>
      <c r="BD21" s="164"/>
      <c r="BE21" s="164"/>
      <c r="BF21" s="164"/>
      <c r="BG21" s="164"/>
      <c r="BH21" s="164"/>
      <c r="BI21" s="164"/>
      <c r="BJ21" s="164"/>
      <c r="BK21" s="164"/>
      <c r="BL21" s="164"/>
      <c r="BM21" s="164"/>
      <c r="BN21" s="164"/>
      <c r="BO21" s="164"/>
      <c r="BP21" s="164"/>
      <c r="BQ21" s="164"/>
      <c r="BR21" s="164"/>
      <c r="BS21" s="164"/>
      <c r="BT21" s="164"/>
      <c r="BU21" s="164"/>
      <c r="BV21" s="164"/>
      <c r="BW21" s="164"/>
      <c r="BX21" s="164"/>
      <c r="BY21" s="164"/>
      <c r="BZ21" s="164"/>
      <c r="CA21" s="164"/>
      <c r="CB21" s="164"/>
      <c r="CC21" s="164"/>
      <c r="CD21" s="164"/>
      <c r="CE21" s="164"/>
      <c r="CF21" s="164"/>
      <c r="CG21" s="164"/>
      <c r="CH21" s="164"/>
      <c r="CI21" s="164"/>
      <c r="CJ21" s="164"/>
      <c r="CK21" s="164"/>
      <c r="CL21" s="164"/>
      <c r="CM21" s="164"/>
      <c r="CN21" s="164"/>
      <c r="CO21" s="164"/>
      <c r="CP21" s="164"/>
      <c r="CQ21" s="164"/>
      <c r="CR21" s="164"/>
      <c r="CS21" s="164"/>
      <c r="CT21" s="164"/>
      <c r="CU21" s="164"/>
      <c r="CV21" s="164"/>
      <c r="CW21" s="164"/>
      <c r="CX21" s="164"/>
      <c r="CY21" s="164"/>
      <c r="CZ21" s="164"/>
      <c r="DA21" s="164"/>
      <c r="DB21" s="164"/>
      <c r="DC21" s="164"/>
      <c r="DD21" s="164"/>
      <c r="DE21" s="164"/>
      <c r="DF21" s="164"/>
      <c r="DG21" s="164"/>
      <c r="DH21" s="164"/>
      <c r="DI21" s="164"/>
      <c r="DJ21" s="164"/>
      <c r="DK21" s="164"/>
      <c r="DL21" s="164"/>
      <c r="DM21" s="164"/>
      <c r="DN21" s="164"/>
      <c r="DO21" s="164"/>
      <c r="DP21" s="164"/>
      <c r="DQ21" s="164"/>
      <c r="DR21" s="164"/>
      <c r="DS21" s="164"/>
      <c r="DT21" s="164"/>
      <c r="DU21" s="164"/>
      <c r="DV21" s="164"/>
      <c r="DW21" s="164"/>
      <c r="DX21" s="164"/>
      <c r="DY21" s="164"/>
      <c r="DZ21" s="164"/>
      <c r="EA21" s="164"/>
      <c r="EB21" s="164"/>
      <c r="EC21" s="164"/>
      <c r="ED21" s="164"/>
      <c r="EE21" s="164"/>
      <c r="EF21" s="164"/>
      <c r="EG21" s="164"/>
      <c r="EH21" s="164"/>
      <c r="EI21" s="164"/>
      <c r="EJ21" s="164"/>
      <c r="EK21" s="164"/>
      <c r="EL21" s="164"/>
      <c r="EM21" s="164"/>
      <c r="EN21" s="164"/>
      <c r="EO21" s="164"/>
      <c r="EP21" s="164"/>
      <c r="EQ21" s="164"/>
      <c r="ER21" s="164"/>
      <c r="ES21" s="164"/>
      <c r="ET21" s="164"/>
      <c r="EU21" s="164"/>
      <c r="EV21" s="164"/>
      <c r="EW21" s="164"/>
      <c r="EX21" s="164"/>
      <c r="EY21" s="164"/>
    </row>
    <row r="22" spans="1:155" s="74" customFormat="1" ht="12.75" customHeight="1" outlineLevel="1">
      <c r="A22" s="162"/>
      <c r="B22" s="164"/>
      <c r="C22" s="164"/>
      <c r="D22" s="163"/>
      <c r="E22" s="166"/>
      <c r="G22" s="167"/>
      <c r="H22" s="168"/>
      <c r="I22" s="168"/>
      <c r="J22" s="163"/>
      <c r="K22" s="164"/>
      <c r="L22" s="164"/>
      <c r="M22" s="164"/>
      <c r="N22" s="164"/>
      <c r="O22" s="164"/>
      <c r="P22" s="164"/>
      <c r="Q22" s="164"/>
      <c r="R22" s="164"/>
      <c r="S22" s="164"/>
      <c r="T22" s="164"/>
      <c r="U22" s="164"/>
      <c r="V22" s="164"/>
      <c r="W22" s="164"/>
      <c r="X22" s="164"/>
      <c r="Y22" s="164"/>
      <c r="Z22" s="164"/>
      <c r="AA22" s="164"/>
      <c r="AB22" s="164"/>
      <c r="AC22" s="164"/>
      <c r="AD22" s="164"/>
      <c r="AE22" s="164"/>
      <c r="AF22" s="164"/>
      <c r="AG22" s="164"/>
      <c r="AH22" s="164"/>
      <c r="AI22" s="164"/>
      <c r="AJ22" s="164"/>
      <c r="AK22" s="164"/>
      <c r="AL22" s="164"/>
      <c r="AM22" s="164"/>
      <c r="AN22" s="164"/>
      <c r="AO22" s="164"/>
      <c r="AP22" s="164"/>
      <c r="AQ22" s="164"/>
      <c r="AR22" s="164"/>
      <c r="AS22" s="164"/>
      <c r="AT22" s="164"/>
      <c r="AU22" s="164"/>
      <c r="AV22" s="164"/>
      <c r="AW22" s="164"/>
      <c r="AX22" s="164"/>
      <c r="AY22" s="164"/>
      <c r="AZ22" s="164"/>
      <c r="BA22" s="164"/>
      <c r="BB22" s="164"/>
      <c r="BC22" s="164"/>
      <c r="BD22" s="164"/>
      <c r="BE22" s="164"/>
      <c r="BF22" s="164"/>
      <c r="BG22" s="164"/>
      <c r="BH22" s="164"/>
      <c r="BI22" s="164"/>
      <c r="BJ22" s="164"/>
      <c r="BK22" s="164"/>
      <c r="BL22" s="164"/>
      <c r="BM22" s="164"/>
      <c r="BN22" s="164"/>
      <c r="BO22" s="164"/>
      <c r="BP22" s="164"/>
      <c r="BQ22" s="164"/>
      <c r="BR22" s="164"/>
      <c r="BS22" s="164"/>
      <c r="BT22" s="164"/>
      <c r="BU22" s="164"/>
      <c r="BV22" s="164"/>
      <c r="BW22" s="164"/>
      <c r="BX22" s="164"/>
      <c r="BY22" s="164"/>
      <c r="BZ22" s="164"/>
      <c r="CA22" s="164"/>
      <c r="CB22" s="164"/>
      <c r="CC22" s="164"/>
      <c r="CD22" s="164"/>
      <c r="CE22" s="164"/>
      <c r="CF22" s="164"/>
      <c r="CG22" s="164"/>
      <c r="CH22" s="164"/>
      <c r="CI22" s="164"/>
      <c r="CJ22" s="164"/>
      <c r="CK22" s="164"/>
      <c r="CL22" s="164"/>
      <c r="CM22" s="164"/>
      <c r="CN22" s="164"/>
      <c r="CO22" s="164"/>
      <c r="CP22" s="164"/>
      <c r="CQ22" s="164"/>
      <c r="CR22" s="164"/>
      <c r="CS22" s="164"/>
      <c r="CT22" s="164"/>
      <c r="CU22" s="164"/>
      <c r="CV22" s="164"/>
      <c r="CW22" s="164"/>
      <c r="CX22" s="164"/>
      <c r="CY22" s="164"/>
      <c r="CZ22" s="164"/>
      <c r="DA22" s="164"/>
      <c r="DB22" s="164"/>
      <c r="DC22" s="164"/>
      <c r="DD22" s="164"/>
      <c r="DE22" s="164"/>
      <c r="DF22" s="164"/>
      <c r="DG22" s="164"/>
      <c r="DH22" s="164"/>
      <c r="DI22" s="164"/>
      <c r="DJ22" s="164"/>
      <c r="DK22" s="164"/>
      <c r="DL22" s="164"/>
      <c r="DM22" s="164"/>
      <c r="DN22" s="164"/>
      <c r="DO22" s="164"/>
      <c r="DP22" s="164"/>
      <c r="DQ22" s="164"/>
      <c r="DR22" s="164"/>
      <c r="DS22" s="164"/>
      <c r="DT22" s="164"/>
      <c r="DU22" s="164"/>
      <c r="DV22" s="164"/>
      <c r="DW22" s="164"/>
      <c r="DX22" s="164"/>
      <c r="DY22" s="164"/>
      <c r="DZ22" s="164"/>
      <c r="EA22" s="164"/>
      <c r="EB22" s="164"/>
      <c r="EC22" s="164"/>
      <c r="ED22" s="164"/>
      <c r="EE22" s="164"/>
      <c r="EF22" s="164"/>
      <c r="EG22" s="164"/>
      <c r="EH22" s="164"/>
      <c r="EI22" s="164"/>
      <c r="EJ22" s="164"/>
      <c r="EK22" s="164"/>
      <c r="EL22" s="164"/>
      <c r="EM22" s="164"/>
      <c r="EN22" s="164"/>
      <c r="EO22" s="164"/>
      <c r="EP22" s="164"/>
      <c r="EQ22" s="164"/>
      <c r="ER22" s="164"/>
      <c r="ES22" s="164"/>
      <c r="ET22" s="164"/>
      <c r="EU22" s="164"/>
      <c r="EV22" s="164"/>
      <c r="EW22" s="164"/>
      <c r="EX22" s="164"/>
      <c r="EY22" s="164"/>
    </row>
    <row r="23" spans="1:155" s="74" customFormat="1" ht="12.75" customHeight="1" outlineLevel="1">
      <c r="A23" s="162"/>
      <c r="B23" s="164"/>
      <c r="C23" s="164"/>
      <c r="D23" s="163"/>
      <c r="E23" s="166"/>
      <c r="G23" s="167"/>
      <c r="H23" s="166"/>
      <c r="I23" s="169"/>
      <c r="J23" s="163"/>
      <c r="K23" s="164"/>
      <c r="L23" s="164"/>
      <c r="M23" s="164"/>
      <c r="N23" s="164"/>
      <c r="O23" s="164"/>
      <c r="P23" s="164"/>
      <c r="Q23" s="164"/>
      <c r="R23" s="164"/>
      <c r="S23" s="164"/>
      <c r="T23" s="164"/>
      <c r="U23" s="164"/>
      <c r="V23" s="164"/>
      <c r="W23" s="164"/>
      <c r="X23" s="164"/>
      <c r="Y23" s="164"/>
      <c r="Z23" s="164"/>
      <c r="AA23" s="164"/>
      <c r="AB23" s="164"/>
      <c r="AC23" s="164"/>
      <c r="AD23" s="164"/>
      <c r="AE23" s="164"/>
      <c r="AF23" s="164"/>
      <c r="AG23" s="164"/>
      <c r="AH23" s="164"/>
      <c r="AI23" s="164"/>
      <c r="AJ23" s="164"/>
      <c r="AK23" s="164"/>
      <c r="AL23" s="164"/>
      <c r="AM23" s="164"/>
      <c r="AN23" s="164"/>
      <c r="AO23" s="164"/>
      <c r="AP23" s="164"/>
      <c r="AQ23" s="164"/>
      <c r="AR23" s="164"/>
      <c r="AS23" s="164"/>
      <c r="AT23" s="164"/>
      <c r="AU23" s="164"/>
      <c r="AV23" s="164"/>
      <c r="AW23" s="164"/>
      <c r="AX23" s="164"/>
      <c r="AY23" s="164"/>
      <c r="AZ23" s="164"/>
      <c r="BA23" s="164"/>
      <c r="BB23" s="164"/>
      <c r="BC23" s="164"/>
      <c r="BD23" s="164"/>
      <c r="BE23" s="164"/>
      <c r="BF23" s="164"/>
      <c r="BG23" s="164"/>
      <c r="BH23" s="164"/>
      <c r="BI23" s="164"/>
      <c r="BJ23" s="164"/>
      <c r="BK23" s="164"/>
      <c r="BL23" s="164"/>
      <c r="BM23" s="164"/>
      <c r="BN23" s="164"/>
      <c r="BO23" s="164"/>
      <c r="BP23" s="164"/>
      <c r="BQ23" s="164"/>
      <c r="BR23" s="164"/>
      <c r="BS23" s="164"/>
      <c r="BT23" s="164"/>
      <c r="BU23" s="164"/>
      <c r="BV23" s="164"/>
      <c r="BW23" s="164"/>
      <c r="BX23" s="164"/>
      <c r="BY23" s="164"/>
      <c r="BZ23" s="164"/>
      <c r="CA23" s="164"/>
      <c r="CB23" s="164"/>
      <c r="CC23" s="164"/>
      <c r="CD23" s="164"/>
      <c r="CE23" s="164"/>
      <c r="CF23" s="164"/>
      <c r="CG23" s="164"/>
      <c r="CH23" s="164"/>
      <c r="CI23" s="164"/>
      <c r="CJ23" s="164"/>
      <c r="CK23" s="164"/>
      <c r="CL23" s="164"/>
      <c r="CM23" s="164"/>
      <c r="CN23" s="164"/>
      <c r="CO23" s="164"/>
      <c r="CP23" s="164"/>
      <c r="CQ23" s="164"/>
      <c r="CR23" s="164"/>
      <c r="CS23" s="164"/>
      <c r="CT23" s="164"/>
      <c r="CU23" s="164"/>
      <c r="CV23" s="164"/>
      <c r="CW23" s="164"/>
      <c r="CX23" s="164"/>
      <c r="CY23" s="164"/>
      <c r="CZ23" s="164"/>
      <c r="DA23" s="164"/>
      <c r="DB23" s="164"/>
      <c r="DC23" s="164"/>
      <c r="DD23" s="164"/>
      <c r="DE23" s="164"/>
      <c r="DF23" s="164"/>
      <c r="DG23" s="164"/>
      <c r="DH23" s="164"/>
      <c r="DI23" s="164"/>
      <c r="DJ23" s="164"/>
      <c r="DK23" s="164"/>
      <c r="DL23" s="164"/>
      <c r="DM23" s="164"/>
      <c r="DN23" s="164"/>
      <c r="DO23" s="164"/>
      <c r="DP23" s="164"/>
      <c r="DQ23" s="164"/>
      <c r="DR23" s="164"/>
      <c r="DS23" s="164"/>
      <c r="DT23" s="164"/>
      <c r="DU23" s="164"/>
      <c r="DV23" s="164"/>
      <c r="DW23" s="164"/>
      <c r="DX23" s="164"/>
      <c r="DY23" s="164"/>
      <c r="DZ23" s="164"/>
      <c r="EA23" s="164"/>
      <c r="EB23" s="164"/>
      <c r="EC23" s="164"/>
      <c r="ED23" s="164"/>
      <c r="EE23" s="164"/>
      <c r="EF23" s="164"/>
      <c r="EG23" s="164"/>
      <c r="EH23" s="164"/>
      <c r="EI23" s="164"/>
      <c r="EJ23" s="164"/>
      <c r="EK23" s="164"/>
      <c r="EL23" s="164"/>
      <c r="EM23" s="164"/>
      <c r="EN23" s="164"/>
      <c r="EO23" s="164"/>
      <c r="EP23" s="164"/>
      <c r="EQ23" s="164"/>
      <c r="ER23" s="164"/>
      <c r="ES23" s="164"/>
      <c r="ET23" s="164"/>
      <c r="EU23" s="164"/>
      <c r="EV23" s="164"/>
      <c r="EW23" s="164"/>
      <c r="EX23" s="164"/>
      <c r="EY23" s="164"/>
    </row>
    <row r="24" spans="1:155" s="74" customFormat="1" ht="12.75" customHeight="1" outlineLevel="1">
      <c r="A24" s="162"/>
      <c r="B24" s="170"/>
      <c r="C24" s="164"/>
      <c r="D24" s="163"/>
      <c r="E24" s="163"/>
      <c r="F24" s="163"/>
      <c r="G24" s="163"/>
      <c r="H24" s="163"/>
      <c r="I24" s="163"/>
      <c r="J24" s="163"/>
      <c r="K24" s="164"/>
      <c r="L24" s="164"/>
      <c r="M24" s="164"/>
      <c r="N24" s="164"/>
      <c r="O24" s="164"/>
      <c r="P24" s="164"/>
      <c r="Q24" s="164"/>
      <c r="R24" s="164"/>
      <c r="S24" s="164"/>
      <c r="T24" s="164"/>
      <c r="U24" s="164"/>
      <c r="V24" s="164"/>
      <c r="W24" s="164"/>
      <c r="X24" s="164"/>
      <c r="Y24" s="164"/>
      <c r="Z24" s="164"/>
      <c r="AA24" s="164"/>
      <c r="AB24" s="164"/>
      <c r="AC24" s="164"/>
      <c r="AD24" s="164"/>
      <c r="AE24" s="164"/>
      <c r="AF24" s="164"/>
      <c r="AG24" s="164"/>
      <c r="AH24" s="164"/>
      <c r="AI24" s="164"/>
      <c r="AJ24" s="164"/>
      <c r="AK24" s="164"/>
      <c r="AL24" s="164"/>
      <c r="AM24" s="164"/>
      <c r="AN24" s="164"/>
      <c r="AO24" s="164"/>
      <c r="AP24" s="164"/>
      <c r="AQ24" s="164"/>
      <c r="AR24" s="164"/>
      <c r="AS24" s="164"/>
      <c r="AT24" s="164"/>
      <c r="AU24" s="164"/>
      <c r="AV24" s="164"/>
      <c r="AW24" s="164"/>
      <c r="AX24" s="164"/>
      <c r="AY24" s="164"/>
      <c r="AZ24" s="164"/>
      <c r="BA24" s="164"/>
      <c r="BB24" s="164"/>
      <c r="BC24" s="164"/>
      <c r="BD24" s="164"/>
      <c r="BE24" s="164"/>
      <c r="BF24" s="164"/>
      <c r="BG24" s="164"/>
      <c r="BH24" s="164"/>
      <c r="BI24" s="164"/>
      <c r="BJ24" s="164"/>
      <c r="BK24" s="164"/>
      <c r="BL24" s="164"/>
      <c r="BM24" s="164"/>
      <c r="BN24" s="164"/>
      <c r="BO24" s="164"/>
      <c r="BP24" s="164"/>
      <c r="BQ24" s="164"/>
      <c r="BR24" s="164"/>
      <c r="BS24" s="164"/>
      <c r="BT24" s="164"/>
      <c r="BU24" s="164"/>
      <c r="BV24" s="164"/>
      <c r="BW24" s="164"/>
      <c r="BX24" s="164"/>
      <c r="BY24" s="164"/>
      <c r="BZ24" s="164"/>
      <c r="CA24" s="164"/>
      <c r="CB24" s="164"/>
      <c r="CC24" s="164"/>
      <c r="CD24" s="164"/>
      <c r="CE24" s="164"/>
      <c r="CF24" s="164"/>
      <c r="CG24" s="164"/>
      <c r="CH24" s="164"/>
      <c r="CI24" s="164"/>
      <c r="CJ24" s="164"/>
      <c r="CK24" s="164"/>
      <c r="CL24" s="164"/>
      <c r="CM24" s="164"/>
      <c r="CN24" s="164"/>
      <c r="CO24" s="164"/>
      <c r="CP24" s="164"/>
      <c r="CQ24" s="164"/>
      <c r="CR24" s="164"/>
      <c r="CS24" s="164"/>
      <c r="CT24" s="164"/>
      <c r="CU24" s="164"/>
      <c r="CV24" s="164"/>
      <c r="CW24" s="164"/>
      <c r="CX24" s="164"/>
      <c r="CY24" s="164"/>
      <c r="CZ24" s="164"/>
      <c r="DA24" s="164"/>
      <c r="DB24" s="164"/>
      <c r="DC24" s="164"/>
      <c r="DD24" s="164"/>
      <c r="DE24" s="164"/>
      <c r="DF24" s="164"/>
      <c r="DG24" s="164"/>
      <c r="DH24" s="164"/>
      <c r="DI24" s="164"/>
      <c r="DJ24" s="164"/>
      <c r="DK24" s="164"/>
      <c r="DL24" s="164"/>
      <c r="DM24" s="164"/>
      <c r="DN24" s="164"/>
      <c r="DO24" s="164"/>
      <c r="DP24" s="164"/>
      <c r="DQ24" s="164"/>
      <c r="DR24" s="164"/>
      <c r="DS24" s="164"/>
      <c r="DT24" s="164"/>
      <c r="DU24" s="164"/>
      <c r="DV24" s="164"/>
      <c r="DW24" s="164"/>
      <c r="DX24" s="164"/>
      <c r="DY24" s="164"/>
      <c r="DZ24" s="164"/>
      <c r="EA24" s="164"/>
      <c r="EB24" s="164"/>
      <c r="EC24" s="164"/>
      <c r="ED24" s="164"/>
      <c r="EE24" s="164"/>
      <c r="EF24" s="164"/>
      <c r="EG24" s="164"/>
      <c r="EH24" s="164"/>
      <c r="EI24" s="164"/>
      <c r="EJ24" s="164"/>
      <c r="EK24" s="164"/>
      <c r="EL24" s="164"/>
      <c r="EM24" s="164"/>
      <c r="EN24" s="164"/>
      <c r="EO24" s="164"/>
      <c r="EP24" s="164"/>
      <c r="EQ24" s="164"/>
      <c r="ER24" s="164"/>
      <c r="ES24" s="164"/>
      <c r="ET24" s="164"/>
      <c r="EU24" s="164"/>
      <c r="EV24" s="164"/>
      <c r="EW24" s="164"/>
      <c r="EX24" s="164"/>
      <c r="EY24" s="164"/>
    </row>
    <row r="25" spans="1:155" s="64" customFormat="1" ht="12.75" customHeight="1" outlineLevel="1">
      <c r="A25" s="171"/>
      <c r="B25" s="137"/>
      <c r="C25" s="137"/>
      <c r="D25" s="163"/>
      <c r="E25" s="137"/>
      <c r="F25" s="137"/>
      <c r="G25" s="137"/>
      <c r="H25" s="137"/>
      <c r="I25" s="163"/>
      <c r="J25" s="163"/>
      <c r="K25" s="137"/>
      <c r="L25" s="137"/>
      <c r="M25" s="137"/>
      <c r="N25" s="137"/>
      <c r="O25" s="137"/>
      <c r="P25" s="137"/>
      <c r="Q25" s="137"/>
      <c r="R25" s="137"/>
      <c r="S25" s="137"/>
      <c r="T25" s="137"/>
      <c r="U25" s="137"/>
      <c r="V25" s="137"/>
      <c r="W25" s="137"/>
      <c r="X25" s="137"/>
      <c r="Y25" s="137"/>
      <c r="Z25" s="137"/>
      <c r="AA25" s="137"/>
      <c r="AB25" s="137"/>
      <c r="AC25" s="137"/>
      <c r="AD25" s="137"/>
      <c r="AE25" s="137"/>
      <c r="AF25" s="137"/>
      <c r="AG25" s="137"/>
      <c r="AH25" s="137"/>
      <c r="AI25" s="137"/>
      <c r="AJ25" s="137"/>
      <c r="AK25" s="137"/>
      <c r="AL25" s="137"/>
      <c r="AM25" s="137"/>
      <c r="AN25" s="137"/>
      <c r="AO25" s="137"/>
      <c r="AP25" s="137"/>
      <c r="AQ25" s="137"/>
      <c r="AR25" s="137"/>
      <c r="AS25" s="137"/>
      <c r="AT25" s="137"/>
      <c r="AU25" s="137"/>
      <c r="AV25" s="137"/>
      <c r="AW25" s="137"/>
      <c r="AX25" s="137"/>
      <c r="AY25" s="137"/>
      <c r="AZ25" s="137"/>
      <c r="BA25" s="137"/>
      <c r="BB25" s="137"/>
      <c r="BC25" s="137"/>
      <c r="BD25" s="137"/>
      <c r="BE25" s="137"/>
      <c r="BF25" s="137"/>
      <c r="BG25" s="137"/>
      <c r="BH25" s="137"/>
      <c r="BI25" s="137"/>
      <c r="BJ25" s="137"/>
      <c r="BK25" s="137"/>
      <c r="BL25" s="137"/>
      <c r="BM25" s="137"/>
      <c r="BN25" s="137"/>
      <c r="BO25" s="137"/>
      <c r="BP25" s="137"/>
      <c r="BQ25" s="137"/>
      <c r="BR25" s="137"/>
      <c r="BS25" s="137"/>
      <c r="BT25" s="137"/>
      <c r="BU25" s="137"/>
      <c r="BV25" s="137"/>
      <c r="BW25" s="137"/>
      <c r="BX25" s="137"/>
      <c r="BY25" s="137"/>
      <c r="BZ25" s="137"/>
      <c r="CA25" s="137"/>
      <c r="CB25" s="137"/>
      <c r="CC25" s="137"/>
      <c r="CD25" s="137"/>
      <c r="CE25" s="137"/>
      <c r="CF25" s="137"/>
      <c r="CG25" s="137"/>
      <c r="CH25" s="137"/>
      <c r="CI25" s="137"/>
      <c r="CJ25" s="137"/>
      <c r="CK25" s="137"/>
      <c r="CL25" s="137"/>
      <c r="CM25" s="137"/>
      <c r="CN25" s="137"/>
      <c r="CO25" s="137"/>
      <c r="CP25" s="137"/>
      <c r="CQ25" s="137"/>
      <c r="CR25" s="137"/>
      <c r="CS25" s="137"/>
      <c r="CT25" s="137"/>
      <c r="CU25" s="137"/>
      <c r="CV25" s="137"/>
      <c r="CW25" s="137"/>
      <c r="CX25" s="137"/>
      <c r="CY25" s="137"/>
      <c r="CZ25" s="137"/>
      <c r="DA25" s="137"/>
      <c r="DB25" s="137"/>
      <c r="DC25" s="137"/>
      <c r="DD25" s="137"/>
      <c r="DE25" s="137"/>
      <c r="DF25" s="137"/>
      <c r="DG25" s="137"/>
      <c r="DH25" s="137"/>
      <c r="DI25" s="137"/>
      <c r="DJ25" s="137"/>
      <c r="DK25" s="137"/>
      <c r="DL25" s="137"/>
      <c r="DM25" s="137"/>
      <c r="DN25" s="137"/>
      <c r="DO25" s="137"/>
      <c r="DP25" s="137"/>
      <c r="DQ25" s="137"/>
      <c r="DR25" s="137"/>
      <c r="DS25" s="137"/>
      <c r="DT25" s="137"/>
      <c r="DU25" s="137"/>
      <c r="DV25" s="137"/>
      <c r="DW25" s="137"/>
      <c r="DX25" s="137"/>
      <c r="DY25" s="137"/>
      <c r="DZ25" s="137"/>
      <c r="EA25" s="137"/>
      <c r="EB25" s="137"/>
      <c r="EC25" s="137"/>
      <c r="ED25" s="137"/>
      <c r="EE25" s="137"/>
      <c r="EF25" s="137"/>
      <c r="EG25" s="137"/>
      <c r="EH25" s="137"/>
      <c r="EI25" s="137"/>
      <c r="EJ25" s="137"/>
      <c r="EK25" s="137"/>
      <c r="EL25" s="137"/>
      <c r="EM25" s="137"/>
      <c r="EN25" s="137"/>
      <c r="EO25" s="137"/>
      <c r="EP25" s="137"/>
      <c r="EQ25" s="137"/>
      <c r="ER25" s="137"/>
      <c r="ES25" s="137"/>
      <c r="ET25" s="137"/>
      <c r="EU25" s="137"/>
      <c r="EV25" s="137"/>
      <c r="EW25" s="137"/>
      <c r="EX25" s="137"/>
      <c r="EY25" s="137"/>
    </row>
    <row r="26" spans="1:155" s="64" customFormat="1" ht="12.75" customHeight="1" outlineLevel="1">
      <c r="A26" s="171"/>
      <c r="B26" s="172"/>
      <c r="C26" s="133"/>
      <c r="D26" s="163"/>
      <c r="E26" s="163"/>
      <c r="F26" s="163"/>
      <c r="G26" s="163"/>
      <c r="H26" s="163"/>
      <c r="I26" s="163"/>
      <c r="J26" s="163"/>
      <c r="K26" s="137"/>
      <c r="L26" s="137"/>
      <c r="M26" s="137"/>
      <c r="N26" s="137"/>
      <c r="O26" s="137"/>
      <c r="P26" s="137"/>
      <c r="Q26" s="137"/>
      <c r="R26" s="137"/>
      <c r="S26" s="137"/>
      <c r="T26" s="137"/>
      <c r="U26" s="137"/>
      <c r="V26" s="137"/>
      <c r="W26" s="137"/>
      <c r="X26" s="137"/>
      <c r="Y26" s="137"/>
      <c r="Z26" s="137"/>
      <c r="AA26" s="137"/>
      <c r="AB26" s="137"/>
      <c r="AC26" s="137"/>
      <c r="AD26" s="137"/>
      <c r="AE26" s="137"/>
      <c r="AF26" s="137"/>
      <c r="AG26" s="137"/>
      <c r="AH26" s="137"/>
      <c r="AI26" s="137"/>
      <c r="AJ26" s="137"/>
      <c r="AK26" s="137"/>
      <c r="AL26" s="137"/>
      <c r="AM26" s="137"/>
      <c r="AN26" s="137"/>
      <c r="AO26" s="137"/>
      <c r="AP26" s="137"/>
      <c r="AQ26" s="137"/>
      <c r="AR26" s="137"/>
      <c r="AS26" s="137"/>
      <c r="AT26" s="137"/>
      <c r="AU26" s="137"/>
      <c r="AV26" s="137"/>
      <c r="AW26" s="137"/>
      <c r="AX26" s="137"/>
      <c r="AY26" s="137"/>
      <c r="AZ26" s="137"/>
      <c r="BA26" s="137"/>
      <c r="BB26" s="137"/>
      <c r="BC26" s="137"/>
      <c r="BD26" s="137"/>
      <c r="BE26" s="137"/>
      <c r="BF26" s="137"/>
      <c r="BG26" s="137"/>
      <c r="BH26" s="137"/>
      <c r="BI26" s="137"/>
      <c r="BJ26" s="137"/>
      <c r="BK26" s="137"/>
      <c r="BL26" s="137"/>
      <c r="BM26" s="137"/>
      <c r="BN26" s="137"/>
      <c r="BO26" s="137"/>
      <c r="BP26" s="137"/>
      <c r="BQ26" s="137"/>
      <c r="BR26" s="137"/>
      <c r="BS26" s="137"/>
      <c r="BT26" s="137"/>
      <c r="BU26" s="137"/>
      <c r="BV26" s="137"/>
      <c r="BW26" s="137"/>
      <c r="BX26" s="137"/>
      <c r="BY26" s="137"/>
      <c r="BZ26" s="137"/>
      <c r="CA26" s="137"/>
      <c r="CB26" s="137"/>
      <c r="CC26" s="137"/>
      <c r="CD26" s="137"/>
      <c r="CE26" s="137"/>
      <c r="CF26" s="137"/>
      <c r="CG26" s="137"/>
      <c r="CH26" s="137"/>
      <c r="CI26" s="137"/>
      <c r="CJ26" s="137"/>
      <c r="CK26" s="137"/>
      <c r="CL26" s="137"/>
      <c r="CM26" s="137"/>
      <c r="CN26" s="137"/>
      <c r="CO26" s="137"/>
      <c r="CP26" s="137"/>
      <c r="CQ26" s="137"/>
      <c r="CR26" s="137"/>
      <c r="CS26" s="137"/>
      <c r="CT26" s="137"/>
      <c r="CU26" s="137"/>
      <c r="CV26" s="137"/>
      <c r="CW26" s="137"/>
      <c r="CX26" s="137"/>
      <c r="CY26" s="137"/>
      <c r="CZ26" s="137"/>
      <c r="DA26" s="137"/>
      <c r="DB26" s="137"/>
      <c r="DC26" s="137"/>
      <c r="DD26" s="137"/>
      <c r="DE26" s="137"/>
      <c r="DF26" s="137"/>
      <c r="DG26" s="137"/>
      <c r="DH26" s="137"/>
      <c r="DI26" s="137"/>
      <c r="DJ26" s="137"/>
      <c r="DK26" s="137"/>
      <c r="DL26" s="137"/>
      <c r="DM26" s="137"/>
      <c r="DN26" s="137"/>
      <c r="DO26" s="137"/>
      <c r="DP26" s="137"/>
      <c r="DQ26" s="137"/>
      <c r="DR26" s="137"/>
      <c r="DS26" s="137"/>
      <c r="DT26" s="137"/>
      <c r="DU26" s="137"/>
      <c r="DV26" s="137"/>
      <c r="DW26" s="137"/>
      <c r="DX26" s="137"/>
      <c r="DY26" s="137"/>
      <c r="DZ26" s="137"/>
      <c r="EA26" s="137"/>
      <c r="EB26" s="137"/>
      <c r="EC26" s="137"/>
      <c r="ED26" s="137"/>
      <c r="EE26" s="137"/>
      <c r="EF26" s="137"/>
      <c r="EG26" s="137"/>
      <c r="EH26" s="137"/>
      <c r="EI26" s="137"/>
      <c r="EJ26" s="137"/>
      <c r="EK26" s="137"/>
      <c r="EL26" s="137"/>
      <c r="EM26" s="137"/>
      <c r="EN26" s="137"/>
      <c r="EO26" s="137"/>
      <c r="EP26" s="137"/>
      <c r="EQ26" s="137"/>
      <c r="ER26" s="137"/>
      <c r="ES26" s="137"/>
      <c r="ET26" s="137"/>
      <c r="EU26" s="137"/>
      <c r="EV26" s="137"/>
      <c r="EW26" s="137"/>
      <c r="EX26" s="137"/>
      <c r="EY26" s="137"/>
    </row>
    <row r="27" spans="1:155" s="64" customFormat="1" ht="12.75" customHeight="1" outlineLevel="1">
      <c r="A27" s="171"/>
      <c r="B27" s="137"/>
      <c r="C27" s="137"/>
      <c r="D27" s="163"/>
      <c r="E27" s="137"/>
      <c r="F27" s="137"/>
      <c r="G27" s="163"/>
      <c r="H27" s="163"/>
      <c r="I27" s="163"/>
      <c r="J27" s="163"/>
      <c r="K27" s="137"/>
      <c r="L27" s="137"/>
      <c r="M27" s="137"/>
      <c r="N27" s="137"/>
      <c r="O27" s="137"/>
      <c r="P27" s="137"/>
      <c r="Q27" s="137"/>
      <c r="R27" s="137"/>
      <c r="S27" s="137"/>
      <c r="T27" s="137"/>
      <c r="U27" s="137"/>
      <c r="V27" s="137"/>
      <c r="W27" s="137"/>
      <c r="X27" s="137"/>
      <c r="Y27" s="137"/>
      <c r="Z27" s="137"/>
      <c r="AA27" s="137"/>
      <c r="AB27" s="137"/>
      <c r="AC27" s="137"/>
      <c r="AD27" s="137"/>
      <c r="AE27" s="137"/>
      <c r="AF27" s="137"/>
      <c r="AG27" s="137"/>
      <c r="AH27" s="137"/>
      <c r="AI27" s="137"/>
      <c r="AJ27" s="137"/>
      <c r="AK27" s="137"/>
      <c r="AL27" s="137"/>
      <c r="AM27" s="137"/>
      <c r="AN27" s="137"/>
      <c r="AO27" s="137"/>
      <c r="AP27" s="137"/>
      <c r="AQ27" s="137"/>
      <c r="AR27" s="137"/>
      <c r="AS27" s="137"/>
      <c r="AT27" s="137"/>
      <c r="AU27" s="137"/>
      <c r="AV27" s="137"/>
      <c r="AW27" s="137"/>
      <c r="AX27" s="137"/>
      <c r="AY27" s="137"/>
      <c r="AZ27" s="137"/>
      <c r="BA27" s="137"/>
      <c r="BB27" s="137"/>
      <c r="BC27" s="137"/>
      <c r="BD27" s="137"/>
      <c r="BE27" s="137"/>
      <c r="BF27" s="137"/>
      <c r="BG27" s="137"/>
      <c r="BH27" s="137"/>
      <c r="BI27" s="137"/>
      <c r="BJ27" s="137"/>
      <c r="BK27" s="137"/>
      <c r="BL27" s="137"/>
      <c r="BM27" s="137"/>
      <c r="BN27" s="137"/>
      <c r="BO27" s="137"/>
      <c r="BP27" s="137"/>
      <c r="BQ27" s="137"/>
      <c r="BR27" s="137"/>
      <c r="BS27" s="137"/>
      <c r="BT27" s="137"/>
      <c r="BU27" s="137"/>
      <c r="BV27" s="137"/>
      <c r="BW27" s="137"/>
      <c r="BX27" s="137"/>
      <c r="BY27" s="137"/>
      <c r="BZ27" s="137"/>
      <c r="CA27" s="137"/>
      <c r="CB27" s="137"/>
      <c r="CC27" s="137"/>
      <c r="CD27" s="137"/>
      <c r="CE27" s="137"/>
      <c r="CF27" s="137"/>
      <c r="CG27" s="137"/>
      <c r="CH27" s="137"/>
      <c r="CI27" s="137"/>
      <c r="CJ27" s="137"/>
      <c r="CK27" s="137"/>
      <c r="CL27" s="137"/>
      <c r="CM27" s="137"/>
      <c r="CN27" s="137"/>
      <c r="CO27" s="137"/>
      <c r="CP27" s="137"/>
      <c r="CQ27" s="137"/>
      <c r="CR27" s="137"/>
      <c r="CS27" s="137"/>
      <c r="CT27" s="137"/>
      <c r="CU27" s="137"/>
      <c r="CV27" s="137"/>
      <c r="CW27" s="137"/>
      <c r="CX27" s="137"/>
      <c r="CY27" s="137"/>
      <c r="CZ27" s="137"/>
      <c r="DA27" s="137"/>
      <c r="DB27" s="137"/>
      <c r="DC27" s="137"/>
      <c r="DD27" s="137"/>
      <c r="DE27" s="137"/>
      <c r="DF27" s="137"/>
      <c r="DG27" s="137"/>
      <c r="DH27" s="137"/>
      <c r="DI27" s="137"/>
      <c r="DJ27" s="137"/>
      <c r="DK27" s="137"/>
      <c r="DL27" s="137"/>
      <c r="DM27" s="137"/>
      <c r="DN27" s="137"/>
      <c r="DO27" s="137"/>
      <c r="DP27" s="137"/>
      <c r="DQ27" s="137"/>
      <c r="DR27" s="137"/>
      <c r="DS27" s="137"/>
      <c r="DT27" s="137"/>
      <c r="DU27" s="137"/>
      <c r="DV27" s="137"/>
      <c r="DW27" s="137"/>
      <c r="DX27" s="137"/>
      <c r="DY27" s="137"/>
      <c r="DZ27" s="137"/>
      <c r="EA27" s="137"/>
      <c r="EB27" s="137"/>
      <c r="EC27" s="137"/>
      <c r="ED27" s="137"/>
      <c r="EE27" s="137"/>
      <c r="EF27" s="137"/>
      <c r="EG27" s="137"/>
      <c r="EH27" s="137"/>
      <c r="EI27" s="137"/>
      <c r="EJ27" s="137"/>
      <c r="EK27" s="137"/>
      <c r="EL27" s="137"/>
      <c r="EM27" s="137"/>
      <c r="EN27" s="137"/>
      <c r="EO27" s="137"/>
      <c r="EP27" s="137"/>
      <c r="EQ27" s="137"/>
      <c r="ER27" s="137"/>
      <c r="ES27" s="137"/>
      <c r="ET27" s="137"/>
      <c r="EU27" s="137"/>
      <c r="EV27" s="137"/>
      <c r="EW27" s="137"/>
      <c r="EX27" s="137"/>
      <c r="EY27" s="137"/>
    </row>
    <row r="28" spans="1:155" s="64" customFormat="1" ht="12.75" customHeight="1" outlineLevel="1">
      <c r="A28" s="171"/>
      <c r="B28" s="173"/>
      <c r="C28" s="137"/>
      <c r="D28" s="163"/>
      <c r="E28" s="174"/>
      <c r="F28" s="163"/>
      <c r="G28" s="163"/>
      <c r="H28" s="137"/>
      <c r="I28" s="137"/>
      <c r="J28" s="137"/>
      <c r="K28" s="137"/>
      <c r="L28" s="137"/>
      <c r="M28" s="137"/>
      <c r="N28" s="137"/>
      <c r="O28" s="137"/>
      <c r="P28" s="137"/>
      <c r="Q28" s="137"/>
      <c r="R28" s="137"/>
      <c r="S28" s="137"/>
      <c r="T28" s="137"/>
      <c r="U28" s="137"/>
      <c r="V28" s="137"/>
      <c r="W28" s="137"/>
      <c r="X28" s="137"/>
      <c r="Y28" s="137"/>
      <c r="Z28" s="137"/>
      <c r="AA28" s="137"/>
      <c r="AB28" s="137"/>
      <c r="AC28" s="137"/>
      <c r="AD28" s="137"/>
      <c r="AE28" s="137"/>
      <c r="AF28" s="137"/>
      <c r="AG28" s="137"/>
      <c r="AH28" s="137"/>
      <c r="AI28" s="137"/>
      <c r="AJ28" s="137"/>
      <c r="AK28" s="137"/>
      <c r="AL28" s="137"/>
      <c r="AM28" s="137"/>
      <c r="AN28" s="137"/>
      <c r="AO28" s="137"/>
      <c r="AP28" s="137"/>
      <c r="AQ28" s="137"/>
      <c r="AR28" s="137"/>
      <c r="AS28" s="137"/>
      <c r="AT28" s="137"/>
      <c r="AU28" s="137"/>
      <c r="AV28" s="137"/>
      <c r="AW28" s="137"/>
      <c r="AX28" s="137"/>
      <c r="AY28" s="137"/>
      <c r="AZ28" s="137"/>
      <c r="BA28" s="137"/>
      <c r="BB28" s="137"/>
      <c r="BC28" s="137"/>
      <c r="BD28" s="137"/>
      <c r="BE28" s="137"/>
      <c r="BF28" s="137"/>
      <c r="BG28" s="137"/>
      <c r="BH28" s="137"/>
      <c r="BI28" s="137"/>
      <c r="BJ28" s="137"/>
      <c r="BK28" s="137"/>
      <c r="BL28" s="137"/>
      <c r="BM28" s="137"/>
      <c r="BN28" s="137"/>
      <c r="BO28" s="137"/>
      <c r="BP28" s="137"/>
      <c r="BQ28" s="137"/>
      <c r="BR28" s="137"/>
      <c r="BS28" s="137"/>
      <c r="BT28" s="137"/>
      <c r="BU28" s="137"/>
      <c r="BV28" s="137"/>
      <c r="BW28" s="137"/>
      <c r="BX28" s="137"/>
      <c r="BY28" s="137"/>
      <c r="BZ28" s="137"/>
      <c r="CA28" s="137"/>
      <c r="CB28" s="137"/>
      <c r="CC28" s="137"/>
      <c r="CD28" s="137"/>
      <c r="CE28" s="137"/>
      <c r="CF28" s="137"/>
      <c r="CG28" s="137"/>
      <c r="CH28" s="137"/>
      <c r="CI28" s="137"/>
      <c r="CJ28" s="137"/>
      <c r="CK28" s="137"/>
      <c r="CL28" s="137"/>
      <c r="CM28" s="137"/>
      <c r="CN28" s="137"/>
      <c r="CO28" s="137"/>
      <c r="CP28" s="137"/>
      <c r="CQ28" s="137"/>
      <c r="CR28" s="137"/>
      <c r="CS28" s="137"/>
      <c r="CT28" s="137"/>
      <c r="CU28" s="137"/>
      <c r="CV28" s="137"/>
      <c r="CW28" s="137"/>
      <c r="CX28" s="137"/>
      <c r="CY28" s="137"/>
      <c r="CZ28" s="137"/>
      <c r="DA28" s="137"/>
      <c r="DB28" s="137"/>
      <c r="DC28" s="137"/>
      <c r="DD28" s="137"/>
      <c r="DE28" s="137"/>
      <c r="DF28" s="137"/>
      <c r="DG28" s="137"/>
      <c r="DH28" s="137"/>
      <c r="DI28" s="137"/>
      <c r="DJ28" s="137"/>
      <c r="DK28" s="137"/>
      <c r="DL28" s="137"/>
      <c r="DM28" s="137"/>
      <c r="DN28" s="137"/>
      <c r="DO28" s="137"/>
      <c r="DP28" s="137"/>
      <c r="DQ28" s="137"/>
      <c r="DR28" s="137"/>
      <c r="DS28" s="137"/>
      <c r="DT28" s="137"/>
      <c r="DU28" s="137"/>
      <c r="DV28" s="137"/>
      <c r="DW28" s="137"/>
      <c r="DX28" s="137"/>
      <c r="DY28" s="137"/>
      <c r="DZ28" s="137"/>
      <c r="EA28" s="137"/>
      <c r="EB28" s="137"/>
      <c r="EC28" s="137"/>
      <c r="ED28" s="137"/>
      <c r="EE28" s="137"/>
      <c r="EF28" s="137"/>
      <c r="EG28" s="137"/>
      <c r="EH28" s="137"/>
      <c r="EI28" s="137"/>
      <c r="EJ28" s="137"/>
      <c r="EK28" s="137"/>
      <c r="EL28" s="137"/>
      <c r="EM28" s="137"/>
      <c r="EN28" s="137"/>
      <c r="EO28" s="137"/>
      <c r="EP28" s="137"/>
      <c r="EQ28" s="137"/>
      <c r="ER28" s="137"/>
      <c r="ES28" s="137"/>
      <c r="ET28" s="137"/>
      <c r="EU28" s="137"/>
      <c r="EV28" s="137"/>
      <c r="EW28" s="137"/>
      <c r="EX28" s="137"/>
      <c r="EY28" s="137"/>
    </row>
    <row r="29" spans="1:155" s="64" customFormat="1" ht="12.75" customHeight="1" outlineLevel="1">
      <c r="A29" s="171"/>
      <c r="B29" s="137"/>
      <c r="C29" s="137"/>
      <c r="D29" s="163"/>
      <c r="E29" s="137"/>
      <c r="F29" s="137"/>
      <c r="G29" s="163"/>
      <c r="H29" s="163"/>
      <c r="I29" s="163"/>
      <c r="J29" s="163"/>
      <c r="K29" s="137"/>
      <c r="L29" s="137"/>
      <c r="M29" s="137"/>
      <c r="N29" s="137"/>
      <c r="O29" s="137"/>
      <c r="P29" s="137"/>
      <c r="Q29" s="137"/>
      <c r="R29" s="137"/>
      <c r="S29" s="137"/>
      <c r="T29" s="137"/>
      <c r="U29" s="137"/>
      <c r="V29" s="137"/>
      <c r="W29" s="137"/>
      <c r="X29" s="137"/>
      <c r="Y29" s="137"/>
      <c r="Z29" s="137"/>
      <c r="AA29" s="137"/>
      <c r="AB29" s="137"/>
      <c r="AC29" s="137"/>
      <c r="AD29" s="137"/>
      <c r="AE29" s="137"/>
      <c r="AF29" s="137"/>
      <c r="AG29" s="137"/>
      <c r="AH29" s="137"/>
      <c r="AI29" s="137"/>
      <c r="AJ29" s="137"/>
      <c r="AK29" s="137"/>
      <c r="AL29" s="137"/>
      <c r="AM29" s="137"/>
      <c r="AN29" s="137"/>
      <c r="AO29" s="137"/>
      <c r="AP29" s="137"/>
      <c r="AQ29" s="137"/>
      <c r="AR29" s="137"/>
      <c r="AS29" s="137"/>
      <c r="AT29" s="137"/>
      <c r="AU29" s="137"/>
      <c r="AV29" s="137"/>
      <c r="AW29" s="137"/>
      <c r="AX29" s="137"/>
      <c r="AY29" s="137"/>
      <c r="AZ29" s="137"/>
      <c r="BA29" s="137"/>
      <c r="BB29" s="137"/>
      <c r="BC29" s="137"/>
      <c r="BD29" s="137"/>
      <c r="BE29" s="137"/>
      <c r="BF29" s="137"/>
      <c r="BG29" s="137"/>
      <c r="BH29" s="137"/>
      <c r="BI29" s="137"/>
      <c r="BJ29" s="137"/>
      <c r="BK29" s="137"/>
      <c r="BL29" s="137"/>
      <c r="BM29" s="137"/>
      <c r="BN29" s="137"/>
      <c r="BO29" s="137"/>
      <c r="BP29" s="137"/>
      <c r="BQ29" s="137"/>
      <c r="BR29" s="137"/>
      <c r="BS29" s="137"/>
      <c r="BT29" s="137"/>
      <c r="BU29" s="137"/>
      <c r="BV29" s="137"/>
      <c r="BW29" s="137"/>
      <c r="BX29" s="137"/>
      <c r="BY29" s="137"/>
      <c r="BZ29" s="137"/>
      <c r="CA29" s="137"/>
      <c r="CB29" s="137"/>
      <c r="CC29" s="137"/>
      <c r="CD29" s="137"/>
      <c r="CE29" s="137"/>
      <c r="CF29" s="137"/>
      <c r="CG29" s="137"/>
      <c r="CH29" s="137"/>
      <c r="CI29" s="137"/>
      <c r="CJ29" s="137"/>
      <c r="CK29" s="137"/>
      <c r="CL29" s="137"/>
      <c r="CM29" s="137"/>
      <c r="CN29" s="137"/>
      <c r="CO29" s="137"/>
      <c r="CP29" s="137"/>
      <c r="CQ29" s="137"/>
      <c r="CR29" s="137"/>
      <c r="CS29" s="137"/>
      <c r="CT29" s="137"/>
      <c r="CU29" s="137"/>
      <c r="CV29" s="137"/>
      <c r="CW29" s="137"/>
      <c r="CX29" s="137"/>
      <c r="CY29" s="137"/>
      <c r="CZ29" s="137"/>
      <c r="DA29" s="137"/>
      <c r="DB29" s="137"/>
      <c r="DC29" s="137"/>
      <c r="DD29" s="137"/>
      <c r="DE29" s="137"/>
      <c r="DF29" s="137"/>
      <c r="DG29" s="137"/>
      <c r="DH29" s="137"/>
      <c r="DI29" s="137"/>
      <c r="DJ29" s="137"/>
      <c r="DK29" s="137"/>
      <c r="DL29" s="137"/>
      <c r="DM29" s="137"/>
      <c r="DN29" s="137"/>
      <c r="DO29" s="137"/>
      <c r="DP29" s="137"/>
      <c r="DQ29" s="137"/>
      <c r="DR29" s="137"/>
      <c r="DS29" s="137"/>
      <c r="DT29" s="137"/>
      <c r="DU29" s="137"/>
      <c r="DV29" s="137"/>
      <c r="DW29" s="137"/>
      <c r="DX29" s="137"/>
      <c r="DY29" s="137"/>
      <c r="DZ29" s="137"/>
      <c r="EA29" s="137"/>
      <c r="EB29" s="137"/>
      <c r="EC29" s="137"/>
      <c r="ED29" s="137"/>
      <c r="EE29" s="137"/>
      <c r="EF29" s="137"/>
      <c r="EG29" s="137"/>
      <c r="EH29" s="137"/>
      <c r="EI29" s="137"/>
      <c r="EJ29" s="137"/>
      <c r="EK29" s="137"/>
      <c r="EL29" s="137"/>
      <c r="EM29" s="137"/>
      <c r="EN29" s="137"/>
      <c r="EO29" s="137"/>
      <c r="EP29" s="137"/>
      <c r="EQ29" s="137"/>
      <c r="ER29" s="137"/>
      <c r="ES29" s="137"/>
      <c r="ET29" s="137"/>
      <c r="EU29" s="137"/>
      <c r="EV29" s="137"/>
      <c r="EW29" s="137"/>
      <c r="EX29" s="137"/>
      <c r="EY29" s="137"/>
    </row>
    <row r="30" spans="1:155" s="64" customFormat="1" ht="12.75" customHeight="1" outlineLevel="1">
      <c r="A30" s="171"/>
      <c r="B30" s="137"/>
      <c r="C30" s="137"/>
      <c r="D30" s="164"/>
      <c r="E30" s="137"/>
      <c r="F30" s="137"/>
      <c r="G30" s="163"/>
      <c r="H30" s="164"/>
      <c r="I30" s="164"/>
      <c r="J30" s="164"/>
      <c r="K30" s="137"/>
      <c r="L30" s="137"/>
      <c r="M30" s="137"/>
      <c r="N30" s="164"/>
      <c r="O30" s="164"/>
      <c r="P30" s="164"/>
      <c r="Q30" s="164"/>
      <c r="R30" s="164"/>
      <c r="S30" s="164"/>
      <c r="T30" s="164"/>
      <c r="U30" s="164"/>
      <c r="V30" s="164"/>
      <c r="W30" s="164"/>
      <c r="X30" s="164"/>
      <c r="Y30" s="164"/>
      <c r="Z30" s="164"/>
      <c r="AA30" s="164"/>
      <c r="AB30" s="164"/>
      <c r="AC30" s="164"/>
      <c r="AD30" s="164"/>
      <c r="AE30" s="164"/>
      <c r="AF30" s="164"/>
      <c r="AG30" s="164"/>
      <c r="AH30" s="164"/>
      <c r="AI30" s="164"/>
      <c r="AJ30" s="164"/>
      <c r="AK30" s="164"/>
      <c r="AL30" s="164"/>
      <c r="AM30" s="164"/>
      <c r="AN30" s="164"/>
      <c r="AO30" s="164"/>
      <c r="AP30" s="164"/>
      <c r="AQ30" s="164"/>
      <c r="AR30" s="164"/>
      <c r="AS30" s="164"/>
      <c r="AT30" s="164"/>
      <c r="AU30" s="164"/>
      <c r="AV30" s="164"/>
      <c r="AW30" s="164"/>
      <c r="AX30" s="164"/>
      <c r="AY30" s="164"/>
      <c r="AZ30" s="164"/>
      <c r="BA30" s="164"/>
      <c r="BB30" s="164"/>
      <c r="BC30" s="164"/>
      <c r="BD30" s="164"/>
      <c r="BE30" s="164"/>
      <c r="BF30" s="164"/>
      <c r="BG30" s="164"/>
      <c r="BH30" s="164"/>
      <c r="BI30" s="164"/>
      <c r="BJ30" s="164"/>
      <c r="BK30" s="164"/>
      <c r="BL30" s="164"/>
      <c r="BM30" s="164"/>
      <c r="BN30" s="164"/>
      <c r="BO30" s="164"/>
      <c r="BP30" s="164"/>
      <c r="BQ30" s="164"/>
      <c r="BR30" s="164"/>
      <c r="BS30" s="164"/>
      <c r="BT30" s="164"/>
      <c r="BU30" s="164"/>
      <c r="BV30" s="164"/>
      <c r="BW30" s="164"/>
      <c r="BX30" s="164"/>
      <c r="BY30" s="164"/>
      <c r="BZ30" s="164"/>
      <c r="CA30" s="164"/>
      <c r="CB30" s="164"/>
      <c r="CC30" s="164"/>
      <c r="CD30" s="164"/>
      <c r="CE30" s="164"/>
      <c r="CF30" s="164"/>
      <c r="CG30" s="164"/>
      <c r="CH30" s="164"/>
      <c r="CI30" s="164"/>
      <c r="CJ30" s="164"/>
      <c r="CK30" s="164"/>
      <c r="CL30" s="164"/>
      <c r="CM30" s="164"/>
      <c r="CN30" s="164"/>
      <c r="CO30" s="164"/>
      <c r="CP30" s="164"/>
      <c r="CQ30" s="164"/>
      <c r="CR30" s="164"/>
      <c r="CS30" s="164"/>
      <c r="CT30" s="164"/>
      <c r="CU30" s="164"/>
      <c r="CV30" s="164"/>
      <c r="CW30" s="164"/>
      <c r="CX30" s="164"/>
      <c r="CY30" s="164"/>
      <c r="CZ30" s="164"/>
      <c r="DA30" s="164"/>
      <c r="DB30" s="164"/>
      <c r="DC30" s="164"/>
      <c r="DD30" s="164"/>
      <c r="DE30" s="164"/>
      <c r="DF30" s="164"/>
      <c r="DG30" s="164"/>
      <c r="DH30" s="164"/>
      <c r="DI30" s="164"/>
      <c r="DJ30" s="164"/>
      <c r="DK30" s="164"/>
      <c r="DL30" s="164"/>
      <c r="DM30" s="164"/>
      <c r="DN30" s="164"/>
      <c r="DO30" s="164"/>
      <c r="DP30" s="164"/>
      <c r="DQ30" s="164"/>
      <c r="DR30" s="164"/>
      <c r="DS30" s="164"/>
      <c r="DT30" s="164"/>
      <c r="DU30" s="164"/>
      <c r="DV30" s="164"/>
      <c r="DW30" s="164"/>
      <c r="DX30" s="164"/>
      <c r="DY30" s="164"/>
      <c r="DZ30" s="164"/>
      <c r="EA30" s="164"/>
      <c r="EB30" s="164"/>
      <c r="EC30" s="164"/>
      <c r="ED30" s="164"/>
      <c r="EE30" s="164"/>
      <c r="EF30" s="164"/>
      <c r="EG30" s="164"/>
      <c r="EH30" s="164"/>
      <c r="EI30" s="164"/>
      <c r="EJ30" s="164"/>
      <c r="EK30" s="164"/>
      <c r="EL30" s="164"/>
      <c r="EM30" s="164"/>
      <c r="EN30" s="164"/>
      <c r="EO30" s="164"/>
      <c r="EP30" s="164"/>
      <c r="EQ30" s="164"/>
      <c r="ER30" s="164"/>
      <c r="ES30" s="164"/>
      <c r="ET30" s="164"/>
      <c r="EU30" s="164"/>
      <c r="EV30" s="164"/>
      <c r="EW30" s="164"/>
      <c r="EX30" s="164"/>
      <c r="EY30" s="164"/>
    </row>
    <row r="31" spans="1:155" s="64" customFormat="1" ht="12.75" customHeight="1" outlineLevel="1">
      <c r="A31" s="171"/>
      <c r="B31" s="173"/>
      <c r="C31" s="137"/>
      <c r="D31" s="164"/>
      <c r="E31" s="163"/>
      <c r="F31" s="164"/>
      <c r="G31" s="164"/>
      <c r="H31" s="164"/>
      <c r="I31" s="164"/>
      <c r="J31" s="164"/>
      <c r="K31" s="137"/>
      <c r="L31" s="137"/>
      <c r="M31" s="137"/>
      <c r="N31" s="164"/>
      <c r="O31" s="164"/>
      <c r="P31" s="164"/>
      <c r="Q31" s="164"/>
      <c r="R31" s="164"/>
      <c r="S31" s="164"/>
      <c r="T31" s="164"/>
      <c r="U31" s="164"/>
      <c r="V31" s="164"/>
      <c r="W31" s="164"/>
      <c r="X31" s="164"/>
      <c r="Y31" s="164"/>
      <c r="Z31" s="164"/>
      <c r="AA31" s="164"/>
      <c r="AB31" s="164"/>
      <c r="AC31" s="164"/>
      <c r="AD31" s="164"/>
      <c r="AE31" s="164"/>
      <c r="AF31" s="164"/>
      <c r="AG31" s="164"/>
      <c r="AH31" s="164"/>
      <c r="AI31" s="164"/>
      <c r="AJ31" s="164"/>
      <c r="AK31" s="164"/>
      <c r="AL31" s="164"/>
      <c r="AM31" s="164"/>
      <c r="AN31" s="164"/>
      <c r="AO31" s="164"/>
      <c r="AP31" s="164"/>
      <c r="AQ31" s="164"/>
      <c r="AR31" s="164"/>
      <c r="AS31" s="164"/>
      <c r="AT31" s="164"/>
      <c r="AU31" s="164"/>
      <c r="AV31" s="164"/>
      <c r="AW31" s="164"/>
      <c r="AX31" s="164"/>
      <c r="AY31" s="164"/>
      <c r="AZ31" s="164"/>
      <c r="BA31" s="164"/>
      <c r="BB31" s="164"/>
      <c r="BC31" s="164"/>
      <c r="BD31" s="164"/>
      <c r="BE31" s="164"/>
      <c r="BF31" s="164"/>
      <c r="BG31" s="164"/>
      <c r="BH31" s="164"/>
      <c r="BI31" s="164"/>
      <c r="BJ31" s="164"/>
      <c r="BK31" s="164"/>
      <c r="BL31" s="164"/>
      <c r="BM31" s="164"/>
      <c r="BN31" s="164"/>
      <c r="BO31" s="164"/>
      <c r="BP31" s="164"/>
      <c r="BQ31" s="164"/>
      <c r="BR31" s="164"/>
      <c r="BS31" s="164"/>
      <c r="BT31" s="164"/>
      <c r="BU31" s="164"/>
      <c r="BV31" s="164"/>
      <c r="BW31" s="164"/>
      <c r="BX31" s="164"/>
      <c r="BY31" s="164"/>
      <c r="BZ31" s="164"/>
      <c r="CA31" s="164"/>
      <c r="CB31" s="164"/>
      <c r="CC31" s="164"/>
      <c r="CD31" s="164"/>
      <c r="CE31" s="164"/>
      <c r="CF31" s="164"/>
      <c r="CG31" s="164"/>
      <c r="CH31" s="164"/>
      <c r="CI31" s="164"/>
      <c r="CJ31" s="164"/>
      <c r="CK31" s="164"/>
      <c r="CL31" s="164"/>
      <c r="CM31" s="164"/>
      <c r="CN31" s="164"/>
      <c r="CO31" s="164"/>
      <c r="CP31" s="164"/>
      <c r="CQ31" s="164"/>
      <c r="CR31" s="164"/>
      <c r="CS31" s="164"/>
      <c r="CT31" s="164"/>
      <c r="CU31" s="164"/>
      <c r="CV31" s="164"/>
      <c r="CW31" s="164"/>
      <c r="CX31" s="164"/>
      <c r="CY31" s="164"/>
      <c r="CZ31" s="164"/>
      <c r="DA31" s="164"/>
      <c r="DB31" s="164"/>
      <c r="DC31" s="164"/>
      <c r="DD31" s="164"/>
      <c r="DE31" s="164"/>
      <c r="DF31" s="164"/>
      <c r="DG31" s="164"/>
      <c r="DH31" s="164"/>
      <c r="DI31" s="164"/>
      <c r="DJ31" s="164"/>
      <c r="DK31" s="164"/>
      <c r="DL31" s="164"/>
      <c r="DM31" s="164"/>
      <c r="DN31" s="164"/>
      <c r="DO31" s="164"/>
      <c r="DP31" s="164"/>
      <c r="DQ31" s="164"/>
      <c r="DR31" s="164"/>
      <c r="DS31" s="164"/>
      <c r="DT31" s="164"/>
      <c r="DU31" s="164"/>
      <c r="DV31" s="164"/>
      <c r="DW31" s="164"/>
      <c r="DX31" s="164"/>
      <c r="DY31" s="164"/>
      <c r="DZ31" s="164"/>
      <c r="EA31" s="164"/>
      <c r="EB31" s="164"/>
      <c r="EC31" s="164"/>
      <c r="ED31" s="164"/>
      <c r="EE31" s="164"/>
      <c r="EF31" s="164"/>
      <c r="EG31" s="164"/>
      <c r="EH31" s="164"/>
      <c r="EI31" s="164"/>
      <c r="EJ31" s="164"/>
      <c r="EK31" s="164"/>
      <c r="EL31" s="164"/>
      <c r="EM31" s="164"/>
      <c r="EN31" s="164"/>
      <c r="EO31" s="164"/>
      <c r="EP31" s="164"/>
      <c r="EQ31" s="164"/>
      <c r="ER31" s="164"/>
      <c r="ES31" s="164"/>
      <c r="ET31" s="164"/>
      <c r="EU31" s="164"/>
      <c r="EV31" s="164"/>
      <c r="EW31" s="164"/>
      <c r="EX31" s="164"/>
      <c r="EY31" s="164"/>
    </row>
    <row r="32" spans="1:155" s="64" customFormat="1" ht="12.75" customHeight="1" outlineLevel="1">
      <c r="A32" s="171"/>
      <c r="B32" s="137"/>
      <c r="C32" s="137"/>
      <c r="D32" s="164"/>
      <c r="E32" s="163"/>
      <c r="F32" s="175"/>
      <c r="G32" s="164"/>
      <c r="H32" s="164"/>
      <c r="I32" s="164"/>
      <c r="J32" s="164"/>
      <c r="K32" s="164"/>
      <c r="L32" s="164"/>
      <c r="M32" s="164"/>
      <c r="N32" s="164"/>
      <c r="O32" s="164"/>
      <c r="P32" s="164"/>
      <c r="Q32" s="164"/>
      <c r="R32" s="164"/>
      <c r="S32" s="164"/>
      <c r="T32" s="164"/>
      <c r="U32" s="164"/>
      <c r="V32" s="164"/>
      <c r="W32" s="164"/>
      <c r="X32" s="164"/>
      <c r="Y32" s="164"/>
      <c r="Z32" s="164"/>
      <c r="AA32" s="164"/>
      <c r="AB32" s="164"/>
      <c r="AC32" s="164"/>
      <c r="AD32" s="164"/>
      <c r="AE32" s="164"/>
      <c r="AF32" s="164"/>
      <c r="AG32" s="164"/>
      <c r="AH32" s="164"/>
      <c r="AI32" s="164"/>
      <c r="AJ32" s="164"/>
      <c r="AK32" s="164"/>
      <c r="AL32" s="164"/>
      <c r="AM32" s="164"/>
      <c r="AN32" s="164"/>
      <c r="AO32" s="164"/>
      <c r="AP32" s="164"/>
      <c r="AQ32" s="164"/>
      <c r="AR32" s="164"/>
      <c r="AS32" s="164"/>
      <c r="AT32" s="164"/>
      <c r="AU32" s="164"/>
      <c r="AV32" s="164"/>
      <c r="AW32" s="164"/>
      <c r="AX32" s="164"/>
      <c r="AY32" s="164"/>
      <c r="AZ32" s="164"/>
      <c r="BA32" s="164"/>
      <c r="BB32" s="164"/>
      <c r="BC32" s="164"/>
      <c r="BD32" s="164"/>
      <c r="BE32" s="164"/>
      <c r="BF32" s="164"/>
      <c r="BG32" s="164"/>
      <c r="BH32" s="164"/>
      <c r="BI32" s="164"/>
      <c r="BJ32" s="164"/>
      <c r="BK32" s="164"/>
      <c r="BL32" s="164"/>
      <c r="BM32" s="164"/>
      <c r="BN32" s="164"/>
      <c r="BO32" s="164"/>
      <c r="BP32" s="164"/>
      <c r="BQ32" s="164"/>
      <c r="BR32" s="164"/>
      <c r="BS32" s="164"/>
      <c r="BT32" s="164"/>
      <c r="BU32" s="164"/>
      <c r="BV32" s="164"/>
      <c r="BW32" s="164"/>
      <c r="BX32" s="164"/>
      <c r="BY32" s="164"/>
      <c r="BZ32" s="164"/>
      <c r="CA32" s="164"/>
      <c r="CB32" s="164"/>
      <c r="CC32" s="164"/>
      <c r="CD32" s="164"/>
      <c r="CE32" s="164"/>
      <c r="CF32" s="164"/>
      <c r="CG32" s="164"/>
      <c r="CH32" s="164"/>
      <c r="CI32" s="164"/>
      <c r="CJ32" s="164"/>
      <c r="CK32" s="164"/>
      <c r="CL32" s="164"/>
      <c r="CM32" s="164"/>
      <c r="CN32" s="164"/>
      <c r="CO32" s="164"/>
      <c r="CP32" s="164"/>
      <c r="CQ32" s="164"/>
      <c r="CR32" s="164"/>
      <c r="CS32" s="164"/>
      <c r="CT32" s="164"/>
      <c r="CU32" s="164"/>
      <c r="CV32" s="164"/>
      <c r="CW32" s="164"/>
      <c r="CX32" s="164"/>
      <c r="CY32" s="164"/>
      <c r="CZ32" s="164"/>
      <c r="DA32" s="164"/>
      <c r="DB32" s="164"/>
      <c r="DC32" s="164"/>
      <c r="DD32" s="164"/>
      <c r="DE32" s="164"/>
      <c r="DF32" s="164"/>
      <c r="DG32" s="164"/>
      <c r="DH32" s="164"/>
      <c r="DI32" s="164"/>
      <c r="DJ32" s="164"/>
      <c r="DK32" s="164"/>
      <c r="DL32" s="164"/>
      <c r="DM32" s="164"/>
      <c r="DN32" s="164"/>
      <c r="DO32" s="164"/>
      <c r="DP32" s="164"/>
      <c r="DQ32" s="164"/>
      <c r="DR32" s="164"/>
      <c r="DS32" s="164"/>
      <c r="DT32" s="164"/>
      <c r="DU32" s="164"/>
      <c r="DV32" s="164"/>
      <c r="DW32" s="164"/>
      <c r="DX32" s="164"/>
      <c r="DY32" s="164"/>
      <c r="DZ32" s="164"/>
      <c r="EA32" s="164"/>
      <c r="EB32" s="164"/>
      <c r="EC32" s="164"/>
      <c r="ED32" s="164"/>
      <c r="EE32" s="164"/>
      <c r="EF32" s="164"/>
      <c r="EG32" s="164"/>
      <c r="EH32" s="164"/>
      <c r="EI32" s="164"/>
      <c r="EJ32" s="164"/>
      <c r="EK32" s="164"/>
      <c r="EL32" s="164"/>
      <c r="EM32" s="164"/>
      <c r="EN32" s="164"/>
      <c r="EO32" s="164"/>
      <c r="EP32" s="164"/>
      <c r="EQ32" s="164"/>
      <c r="ER32" s="164"/>
      <c r="ES32" s="164"/>
      <c r="ET32" s="164"/>
      <c r="EU32" s="164"/>
      <c r="EV32" s="164"/>
      <c r="EW32" s="164"/>
      <c r="EX32" s="164"/>
      <c r="EY32" s="164"/>
    </row>
    <row r="33" spans="1:155" s="64" customFormat="1" ht="12.75" customHeight="1" outlineLevel="1">
      <c r="A33" s="171"/>
      <c r="B33" s="137"/>
      <c r="C33" s="137"/>
      <c r="D33" s="164"/>
      <c r="E33" s="163"/>
      <c r="F33" s="164"/>
      <c r="G33" s="164"/>
      <c r="H33" s="164"/>
      <c r="I33" s="164"/>
      <c r="J33" s="164"/>
      <c r="K33" s="164"/>
      <c r="L33" s="164"/>
      <c r="M33" s="164"/>
      <c r="N33" s="164"/>
      <c r="O33" s="164"/>
      <c r="P33" s="164"/>
      <c r="Q33" s="164"/>
      <c r="R33" s="164"/>
      <c r="S33" s="164"/>
      <c r="T33" s="164"/>
      <c r="U33" s="164"/>
      <c r="V33" s="164"/>
      <c r="W33" s="164"/>
      <c r="X33" s="164"/>
      <c r="Y33" s="164"/>
      <c r="Z33" s="164"/>
      <c r="AA33" s="164"/>
      <c r="AB33" s="164"/>
      <c r="AC33" s="164"/>
      <c r="AD33" s="164"/>
      <c r="AE33" s="164"/>
      <c r="AF33" s="164"/>
      <c r="AG33" s="164"/>
      <c r="AH33" s="164"/>
      <c r="AI33" s="164"/>
      <c r="AJ33" s="164"/>
      <c r="AK33" s="164"/>
      <c r="AL33" s="164"/>
      <c r="AM33" s="164"/>
      <c r="AN33" s="164"/>
      <c r="AO33" s="164"/>
      <c r="AP33" s="164"/>
      <c r="AQ33" s="164"/>
      <c r="AR33" s="164"/>
      <c r="AS33" s="164"/>
      <c r="AT33" s="164"/>
      <c r="AU33" s="164"/>
      <c r="AV33" s="164"/>
      <c r="AW33" s="164"/>
      <c r="AX33" s="164"/>
      <c r="AY33" s="164"/>
      <c r="AZ33" s="164"/>
      <c r="BA33" s="164"/>
      <c r="BB33" s="164"/>
      <c r="BC33" s="164"/>
      <c r="BD33" s="164"/>
      <c r="BE33" s="164"/>
      <c r="BF33" s="164"/>
      <c r="BG33" s="164"/>
      <c r="BH33" s="164"/>
      <c r="BI33" s="164"/>
      <c r="BJ33" s="164"/>
      <c r="BK33" s="164"/>
      <c r="BL33" s="164"/>
      <c r="BM33" s="164"/>
      <c r="BN33" s="164"/>
      <c r="BO33" s="164"/>
      <c r="BP33" s="164"/>
      <c r="BQ33" s="164"/>
      <c r="BR33" s="164"/>
      <c r="BS33" s="164"/>
      <c r="BT33" s="164"/>
      <c r="BU33" s="164"/>
      <c r="BV33" s="164"/>
      <c r="BW33" s="164"/>
      <c r="BX33" s="164"/>
      <c r="BY33" s="164"/>
      <c r="BZ33" s="164"/>
      <c r="CA33" s="164"/>
      <c r="CB33" s="164"/>
      <c r="CC33" s="164"/>
      <c r="CD33" s="164"/>
      <c r="CE33" s="164"/>
      <c r="CF33" s="164"/>
      <c r="CG33" s="164"/>
      <c r="CH33" s="164"/>
      <c r="CI33" s="164"/>
      <c r="CJ33" s="164"/>
      <c r="CK33" s="164"/>
      <c r="CL33" s="164"/>
      <c r="CM33" s="164"/>
      <c r="CN33" s="164"/>
      <c r="CO33" s="164"/>
      <c r="CP33" s="164"/>
      <c r="CQ33" s="164"/>
      <c r="CR33" s="164"/>
      <c r="CS33" s="164"/>
      <c r="CT33" s="164"/>
      <c r="CU33" s="164"/>
      <c r="CV33" s="164"/>
      <c r="CW33" s="164"/>
      <c r="CX33" s="164"/>
      <c r="CY33" s="164"/>
      <c r="CZ33" s="164"/>
      <c r="DA33" s="164"/>
      <c r="DB33" s="164"/>
      <c r="DC33" s="164"/>
      <c r="DD33" s="164"/>
      <c r="DE33" s="164"/>
      <c r="DF33" s="164"/>
      <c r="DG33" s="164"/>
      <c r="DH33" s="164"/>
      <c r="DI33" s="164"/>
      <c r="DJ33" s="164"/>
      <c r="DK33" s="164"/>
      <c r="DL33" s="164"/>
      <c r="DM33" s="164"/>
      <c r="DN33" s="164"/>
      <c r="DO33" s="164"/>
      <c r="DP33" s="164"/>
      <c r="DQ33" s="164"/>
      <c r="DR33" s="164"/>
      <c r="DS33" s="164"/>
      <c r="DT33" s="164"/>
      <c r="DU33" s="164"/>
      <c r="DV33" s="164"/>
      <c r="DW33" s="164"/>
      <c r="DX33" s="164"/>
      <c r="DY33" s="164"/>
      <c r="DZ33" s="164"/>
      <c r="EA33" s="164"/>
      <c r="EB33" s="164"/>
      <c r="EC33" s="164"/>
      <c r="ED33" s="164"/>
      <c r="EE33" s="164"/>
      <c r="EF33" s="164"/>
      <c r="EG33" s="164"/>
      <c r="EH33" s="164"/>
      <c r="EI33" s="164"/>
      <c r="EJ33" s="164"/>
      <c r="EK33" s="164"/>
      <c r="EL33" s="164"/>
      <c r="EM33" s="164"/>
      <c r="EN33" s="164"/>
      <c r="EO33" s="164"/>
      <c r="EP33" s="164"/>
      <c r="EQ33" s="164"/>
      <c r="ER33" s="164"/>
      <c r="ES33" s="164"/>
      <c r="ET33" s="164"/>
      <c r="EU33" s="164"/>
      <c r="EV33" s="164"/>
      <c r="EW33" s="164"/>
      <c r="EX33" s="164"/>
      <c r="EY33" s="164"/>
    </row>
    <row r="34" spans="1:155" s="64" customFormat="1" ht="12.75" customHeight="1" outlineLevel="1">
      <c r="A34" s="171"/>
      <c r="B34" s="137"/>
      <c r="C34" s="137"/>
      <c r="D34" s="164"/>
      <c r="E34" s="163"/>
      <c r="F34" s="164"/>
      <c r="G34" s="164"/>
      <c r="H34" s="164"/>
      <c r="I34" s="164"/>
      <c r="J34" s="164"/>
      <c r="K34" s="164"/>
      <c r="L34" s="164"/>
      <c r="M34" s="164"/>
      <c r="N34" s="164"/>
      <c r="O34" s="164"/>
      <c r="P34" s="164"/>
      <c r="Q34" s="164"/>
      <c r="R34" s="164"/>
      <c r="S34" s="164"/>
      <c r="T34" s="164"/>
      <c r="U34" s="164"/>
      <c r="V34" s="164"/>
      <c r="W34" s="164"/>
      <c r="X34" s="164"/>
      <c r="Y34" s="164"/>
      <c r="Z34" s="164"/>
      <c r="AA34" s="164"/>
      <c r="AB34" s="164"/>
      <c r="AC34" s="164"/>
      <c r="AD34" s="164"/>
      <c r="AE34" s="164"/>
      <c r="AF34" s="164"/>
      <c r="AG34" s="164"/>
      <c r="AH34" s="164"/>
      <c r="AI34" s="164"/>
      <c r="AJ34" s="164"/>
      <c r="AK34" s="164"/>
      <c r="AL34" s="164"/>
      <c r="AM34" s="164"/>
      <c r="AN34" s="164"/>
      <c r="AO34" s="164"/>
      <c r="AP34" s="164"/>
      <c r="AQ34" s="164"/>
      <c r="AR34" s="164"/>
      <c r="AS34" s="164"/>
      <c r="AT34" s="164"/>
      <c r="AU34" s="164"/>
      <c r="AV34" s="164"/>
      <c r="AW34" s="164"/>
      <c r="AX34" s="164"/>
      <c r="AY34" s="164"/>
      <c r="AZ34" s="164"/>
      <c r="BA34" s="164"/>
      <c r="BB34" s="164"/>
      <c r="BC34" s="164"/>
      <c r="BD34" s="164"/>
      <c r="BE34" s="164"/>
      <c r="BF34" s="164"/>
      <c r="BG34" s="164"/>
      <c r="BH34" s="164"/>
      <c r="BI34" s="164"/>
      <c r="BJ34" s="164"/>
      <c r="BK34" s="164"/>
      <c r="BL34" s="164"/>
      <c r="BM34" s="164"/>
      <c r="BN34" s="164"/>
      <c r="BO34" s="164"/>
      <c r="BP34" s="164"/>
      <c r="BQ34" s="164"/>
      <c r="BR34" s="164"/>
      <c r="BS34" s="164"/>
      <c r="BT34" s="164"/>
      <c r="BU34" s="164"/>
      <c r="BV34" s="164"/>
      <c r="BW34" s="164"/>
      <c r="BX34" s="164"/>
      <c r="BY34" s="164"/>
      <c r="BZ34" s="164"/>
      <c r="CA34" s="164"/>
      <c r="CB34" s="164"/>
      <c r="CC34" s="164"/>
      <c r="CD34" s="164"/>
      <c r="CE34" s="164"/>
      <c r="CF34" s="164"/>
      <c r="CG34" s="164"/>
      <c r="CH34" s="164"/>
      <c r="CI34" s="164"/>
      <c r="CJ34" s="164"/>
      <c r="CK34" s="164"/>
      <c r="CL34" s="164"/>
      <c r="CM34" s="164"/>
      <c r="CN34" s="164"/>
      <c r="CO34" s="164"/>
      <c r="CP34" s="164"/>
      <c r="CQ34" s="164"/>
      <c r="CR34" s="164"/>
      <c r="CS34" s="164"/>
      <c r="CT34" s="164"/>
      <c r="CU34" s="164"/>
      <c r="CV34" s="164"/>
      <c r="CW34" s="164"/>
      <c r="CX34" s="164"/>
      <c r="CY34" s="164"/>
      <c r="CZ34" s="164"/>
      <c r="DA34" s="164"/>
      <c r="DB34" s="164"/>
      <c r="DC34" s="164"/>
      <c r="DD34" s="164"/>
      <c r="DE34" s="164"/>
      <c r="DF34" s="164"/>
      <c r="DG34" s="164"/>
      <c r="DH34" s="164"/>
      <c r="DI34" s="164"/>
      <c r="DJ34" s="164"/>
      <c r="DK34" s="164"/>
      <c r="DL34" s="164"/>
      <c r="DM34" s="164"/>
      <c r="DN34" s="164"/>
      <c r="DO34" s="164"/>
      <c r="DP34" s="164"/>
      <c r="DQ34" s="164"/>
      <c r="DR34" s="164"/>
      <c r="DS34" s="164"/>
      <c r="DT34" s="164"/>
      <c r="DU34" s="164"/>
      <c r="DV34" s="164"/>
      <c r="DW34" s="164"/>
      <c r="DX34" s="164"/>
      <c r="DY34" s="164"/>
      <c r="DZ34" s="164"/>
      <c r="EA34" s="164"/>
      <c r="EB34" s="164"/>
      <c r="EC34" s="164"/>
      <c r="ED34" s="164"/>
      <c r="EE34" s="164"/>
      <c r="EF34" s="164"/>
      <c r="EG34" s="164"/>
      <c r="EH34" s="164"/>
      <c r="EI34" s="164"/>
      <c r="EJ34" s="164"/>
      <c r="EK34" s="164"/>
      <c r="EL34" s="164"/>
      <c r="EM34" s="164"/>
      <c r="EN34" s="164"/>
      <c r="EO34" s="164"/>
      <c r="EP34" s="164"/>
      <c r="EQ34" s="164"/>
      <c r="ER34" s="164"/>
      <c r="ES34" s="164"/>
      <c r="ET34" s="164"/>
      <c r="EU34" s="164"/>
      <c r="EV34" s="164"/>
      <c r="EW34" s="164"/>
      <c r="EX34" s="164"/>
      <c r="EY34" s="164"/>
    </row>
    <row r="35" spans="1:155" s="64" customFormat="1" ht="12.75" customHeight="1" outlineLevel="1">
      <c r="A35" s="171"/>
      <c r="B35" s="137"/>
      <c r="C35" s="137"/>
      <c r="D35" s="164"/>
      <c r="E35" s="163"/>
      <c r="F35" s="164"/>
      <c r="G35" s="164"/>
      <c r="H35" s="164"/>
      <c r="I35" s="164"/>
      <c r="J35" s="164"/>
      <c r="K35" s="164"/>
      <c r="L35" s="164"/>
      <c r="M35" s="164"/>
      <c r="N35" s="164"/>
      <c r="O35" s="164"/>
      <c r="P35" s="164"/>
      <c r="Q35" s="164"/>
      <c r="R35" s="164"/>
      <c r="S35" s="164"/>
      <c r="T35" s="164"/>
      <c r="U35" s="164"/>
      <c r="V35" s="164"/>
      <c r="W35" s="164"/>
      <c r="X35" s="164"/>
      <c r="Y35" s="164"/>
      <c r="Z35" s="164"/>
      <c r="AA35" s="164"/>
      <c r="AB35" s="164"/>
      <c r="AC35" s="164"/>
      <c r="AD35" s="164"/>
      <c r="AE35" s="164"/>
      <c r="AF35" s="164"/>
      <c r="AG35" s="164"/>
      <c r="AH35" s="164"/>
      <c r="AI35" s="164"/>
      <c r="AJ35" s="164"/>
      <c r="AK35" s="164"/>
      <c r="AL35" s="164"/>
      <c r="AM35" s="164"/>
      <c r="AN35" s="164"/>
      <c r="AO35" s="164"/>
      <c r="AP35" s="164"/>
      <c r="AQ35" s="164"/>
      <c r="AR35" s="164"/>
      <c r="AS35" s="164"/>
      <c r="AT35" s="164"/>
      <c r="AU35" s="164"/>
      <c r="AV35" s="164"/>
      <c r="AW35" s="164"/>
      <c r="AX35" s="164"/>
      <c r="AY35" s="164"/>
      <c r="AZ35" s="164"/>
      <c r="BA35" s="164"/>
      <c r="BB35" s="164"/>
      <c r="BC35" s="164"/>
      <c r="BD35" s="164"/>
      <c r="BE35" s="164"/>
      <c r="BF35" s="164"/>
      <c r="BG35" s="164"/>
      <c r="BH35" s="164"/>
      <c r="BI35" s="164"/>
      <c r="BJ35" s="164"/>
      <c r="BK35" s="164"/>
      <c r="BL35" s="164"/>
      <c r="BM35" s="164"/>
      <c r="BN35" s="164"/>
      <c r="BO35" s="164"/>
      <c r="BP35" s="164"/>
      <c r="BQ35" s="164"/>
      <c r="BR35" s="164"/>
      <c r="BS35" s="164"/>
      <c r="BT35" s="164"/>
      <c r="BU35" s="164"/>
      <c r="BV35" s="164"/>
      <c r="BW35" s="164"/>
      <c r="BX35" s="164"/>
      <c r="BY35" s="164"/>
      <c r="BZ35" s="164"/>
      <c r="CA35" s="164"/>
      <c r="CB35" s="164"/>
      <c r="CC35" s="164"/>
      <c r="CD35" s="164"/>
      <c r="CE35" s="164"/>
      <c r="CF35" s="164"/>
      <c r="CG35" s="164"/>
      <c r="CH35" s="164"/>
      <c r="CI35" s="164"/>
      <c r="CJ35" s="164"/>
      <c r="CK35" s="164"/>
      <c r="CL35" s="164"/>
      <c r="CM35" s="164"/>
      <c r="CN35" s="164"/>
      <c r="CO35" s="164"/>
      <c r="CP35" s="164"/>
      <c r="CQ35" s="164"/>
      <c r="CR35" s="164"/>
      <c r="CS35" s="164"/>
      <c r="CT35" s="164"/>
      <c r="CU35" s="164"/>
      <c r="CV35" s="164"/>
      <c r="CW35" s="164"/>
      <c r="CX35" s="164"/>
      <c r="CY35" s="164"/>
      <c r="CZ35" s="164"/>
      <c r="DA35" s="164"/>
      <c r="DB35" s="164"/>
      <c r="DC35" s="164"/>
      <c r="DD35" s="164"/>
      <c r="DE35" s="164"/>
      <c r="DF35" s="164"/>
      <c r="DG35" s="164"/>
      <c r="DH35" s="164"/>
      <c r="DI35" s="164"/>
      <c r="DJ35" s="164"/>
      <c r="DK35" s="164"/>
      <c r="DL35" s="164"/>
      <c r="DM35" s="164"/>
      <c r="DN35" s="164"/>
      <c r="DO35" s="164"/>
      <c r="DP35" s="164"/>
      <c r="DQ35" s="164"/>
      <c r="DR35" s="164"/>
      <c r="DS35" s="164"/>
      <c r="DT35" s="164"/>
      <c r="DU35" s="164"/>
      <c r="DV35" s="164"/>
      <c r="DW35" s="164"/>
      <c r="DX35" s="164"/>
      <c r="DY35" s="164"/>
      <c r="DZ35" s="164"/>
      <c r="EA35" s="164"/>
      <c r="EB35" s="164"/>
      <c r="EC35" s="164"/>
      <c r="ED35" s="164"/>
      <c r="EE35" s="164"/>
      <c r="EF35" s="164"/>
      <c r="EG35" s="164"/>
      <c r="EH35" s="164"/>
      <c r="EI35" s="164"/>
      <c r="EJ35" s="164"/>
      <c r="EK35" s="164"/>
      <c r="EL35" s="164"/>
      <c r="EM35" s="164"/>
      <c r="EN35" s="164"/>
      <c r="EO35" s="164"/>
      <c r="EP35" s="164"/>
      <c r="EQ35" s="164"/>
      <c r="ER35" s="164"/>
      <c r="ES35" s="164"/>
      <c r="ET35" s="164"/>
      <c r="EU35" s="164"/>
      <c r="EV35" s="164"/>
      <c r="EW35" s="164"/>
      <c r="EX35" s="164"/>
      <c r="EY35" s="164"/>
    </row>
    <row r="36" spans="1:155" s="64" customFormat="1" ht="12.75" customHeight="1" outlineLevel="1">
      <c r="A36" s="171"/>
      <c r="B36" s="137"/>
      <c r="C36" s="137"/>
      <c r="D36" s="164"/>
      <c r="E36" s="137"/>
      <c r="F36" s="137"/>
      <c r="G36" s="164"/>
      <c r="H36" s="164"/>
      <c r="I36" s="164"/>
      <c r="J36" s="164"/>
      <c r="K36" s="164"/>
      <c r="L36" s="164"/>
      <c r="M36" s="164"/>
      <c r="N36" s="164"/>
      <c r="O36" s="164"/>
      <c r="P36" s="164"/>
      <c r="Q36" s="164"/>
      <c r="R36" s="164"/>
      <c r="S36" s="164"/>
      <c r="T36" s="164"/>
      <c r="U36" s="164"/>
      <c r="V36" s="164"/>
      <c r="W36" s="164"/>
      <c r="X36" s="164"/>
      <c r="Y36" s="164"/>
      <c r="Z36" s="164"/>
      <c r="AA36" s="164"/>
      <c r="AB36" s="164"/>
      <c r="AC36" s="164"/>
      <c r="AD36" s="164"/>
      <c r="AE36" s="164"/>
      <c r="AF36" s="164"/>
      <c r="AG36" s="164"/>
      <c r="AH36" s="164"/>
      <c r="AI36" s="164"/>
      <c r="AJ36" s="164"/>
      <c r="AK36" s="164"/>
      <c r="AL36" s="164"/>
      <c r="AM36" s="164"/>
      <c r="AN36" s="164"/>
      <c r="AO36" s="164"/>
      <c r="AP36" s="164"/>
      <c r="AQ36" s="164"/>
      <c r="AR36" s="164"/>
      <c r="AS36" s="164"/>
      <c r="AT36" s="164"/>
      <c r="AU36" s="164"/>
      <c r="AV36" s="164"/>
      <c r="AW36" s="164"/>
      <c r="AX36" s="164"/>
      <c r="AY36" s="164"/>
      <c r="AZ36" s="164"/>
      <c r="BA36" s="164"/>
      <c r="BB36" s="164"/>
      <c r="BC36" s="164"/>
      <c r="BD36" s="164"/>
      <c r="BE36" s="164"/>
      <c r="BF36" s="164"/>
      <c r="BG36" s="164"/>
      <c r="BH36" s="164"/>
      <c r="BI36" s="164"/>
      <c r="BJ36" s="164"/>
      <c r="BK36" s="164"/>
      <c r="BL36" s="164"/>
      <c r="BM36" s="164"/>
      <c r="BN36" s="164"/>
      <c r="BO36" s="164"/>
      <c r="BP36" s="164"/>
      <c r="BQ36" s="164"/>
      <c r="BR36" s="164"/>
      <c r="BS36" s="164"/>
      <c r="BT36" s="164"/>
      <c r="BU36" s="164"/>
      <c r="BV36" s="164"/>
      <c r="BW36" s="164"/>
      <c r="BX36" s="164"/>
      <c r="BY36" s="164"/>
      <c r="BZ36" s="164"/>
      <c r="CA36" s="164"/>
      <c r="CB36" s="164"/>
      <c r="CC36" s="164"/>
      <c r="CD36" s="164"/>
      <c r="CE36" s="164"/>
      <c r="CF36" s="164"/>
      <c r="CG36" s="164"/>
      <c r="CH36" s="164"/>
      <c r="CI36" s="164"/>
      <c r="CJ36" s="164"/>
      <c r="CK36" s="164"/>
      <c r="CL36" s="164"/>
      <c r="CM36" s="164"/>
      <c r="CN36" s="164"/>
      <c r="CO36" s="164"/>
      <c r="CP36" s="164"/>
      <c r="CQ36" s="164"/>
      <c r="CR36" s="164"/>
      <c r="CS36" s="164"/>
      <c r="CT36" s="164"/>
      <c r="CU36" s="164"/>
      <c r="CV36" s="164"/>
      <c r="CW36" s="164"/>
      <c r="CX36" s="164"/>
      <c r="CY36" s="164"/>
      <c r="CZ36" s="164"/>
      <c r="DA36" s="164"/>
      <c r="DB36" s="164"/>
      <c r="DC36" s="164"/>
      <c r="DD36" s="164"/>
      <c r="DE36" s="164"/>
      <c r="DF36" s="164"/>
      <c r="DG36" s="164"/>
      <c r="DH36" s="164"/>
      <c r="DI36" s="164"/>
      <c r="DJ36" s="164"/>
      <c r="DK36" s="164"/>
      <c r="DL36" s="164"/>
      <c r="DM36" s="164"/>
      <c r="DN36" s="164"/>
      <c r="DO36" s="164"/>
      <c r="DP36" s="164"/>
      <c r="DQ36" s="164"/>
      <c r="DR36" s="164"/>
      <c r="DS36" s="164"/>
      <c r="DT36" s="164"/>
      <c r="DU36" s="164"/>
      <c r="DV36" s="164"/>
      <c r="DW36" s="164"/>
      <c r="DX36" s="164"/>
      <c r="DY36" s="164"/>
      <c r="DZ36" s="164"/>
      <c r="EA36" s="164"/>
      <c r="EB36" s="164"/>
      <c r="EC36" s="164"/>
      <c r="ED36" s="164"/>
      <c r="EE36" s="164"/>
      <c r="EF36" s="164"/>
      <c r="EG36" s="164"/>
      <c r="EH36" s="164"/>
      <c r="EI36" s="164"/>
      <c r="EJ36" s="164"/>
      <c r="EK36" s="164"/>
      <c r="EL36" s="164"/>
      <c r="EM36" s="164"/>
      <c r="EN36" s="164"/>
      <c r="EO36" s="164"/>
      <c r="EP36" s="164"/>
      <c r="EQ36" s="164"/>
      <c r="ER36" s="164"/>
      <c r="ES36" s="164"/>
      <c r="ET36" s="164"/>
      <c r="EU36" s="164"/>
      <c r="EV36" s="164"/>
      <c r="EW36" s="164"/>
      <c r="EX36" s="164"/>
      <c r="EY36" s="164"/>
    </row>
    <row r="37" spans="1:155" s="64" customFormat="1" ht="12.75" customHeight="1" outlineLevel="1">
      <c r="A37" s="171"/>
      <c r="B37" s="137"/>
      <c r="C37" s="137"/>
      <c r="D37" s="164"/>
      <c r="E37" s="137"/>
      <c r="F37" s="137"/>
      <c r="G37" s="164"/>
      <c r="H37" s="164"/>
      <c r="I37" s="164"/>
      <c r="J37" s="164"/>
      <c r="K37" s="164"/>
      <c r="L37" s="164"/>
      <c r="M37" s="164"/>
      <c r="N37" s="164"/>
      <c r="O37" s="164"/>
      <c r="P37" s="164"/>
      <c r="Q37" s="164"/>
      <c r="R37" s="164"/>
      <c r="S37" s="164"/>
      <c r="T37" s="164"/>
      <c r="U37" s="164"/>
      <c r="V37" s="164"/>
      <c r="W37" s="164"/>
      <c r="X37" s="164"/>
      <c r="Y37" s="164"/>
      <c r="Z37" s="164"/>
      <c r="AA37" s="164"/>
      <c r="AB37" s="164"/>
      <c r="AC37" s="164"/>
      <c r="AD37" s="164"/>
      <c r="AE37" s="164"/>
      <c r="AF37" s="164"/>
      <c r="AG37" s="164"/>
      <c r="AH37" s="164"/>
      <c r="AI37" s="164"/>
      <c r="AJ37" s="164"/>
      <c r="AK37" s="164"/>
      <c r="AL37" s="164"/>
      <c r="AM37" s="164"/>
      <c r="AN37" s="164"/>
      <c r="AO37" s="164"/>
      <c r="AP37" s="164"/>
      <c r="AQ37" s="164"/>
      <c r="AR37" s="164"/>
      <c r="AS37" s="164"/>
      <c r="AT37" s="164"/>
      <c r="AU37" s="164"/>
      <c r="AV37" s="164"/>
      <c r="AW37" s="164"/>
      <c r="AX37" s="164"/>
      <c r="AY37" s="164"/>
      <c r="AZ37" s="164"/>
      <c r="BA37" s="164"/>
      <c r="BB37" s="164"/>
      <c r="BC37" s="164"/>
      <c r="BD37" s="164"/>
      <c r="BE37" s="164"/>
      <c r="BF37" s="164"/>
      <c r="BG37" s="164"/>
      <c r="BH37" s="164"/>
      <c r="BI37" s="164"/>
      <c r="BJ37" s="164"/>
      <c r="BK37" s="164"/>
      <c r="BL37" s="164"/>
      <c r="BM37" s="164"/>
      <c r="BN37" s="164"/>
      <c r="BO37" s="164"/>
      <c r="BP37" s="164"/>
      <c r="BQ37" s="164"/>
      <c r="BR37" s="164"/>
      <c r="BS37" s="164"/>
      <c r="BT37" s="164"/>
      <c r="BU37" s="164"/>
      <c r="BV37" s="164"/>
      <c r="BW37" s="164"/>
      <c r="BX37" s="164"/>
      <c r="BY37" s="164"/>
      <c r="BZ37" s="164"/>
      <c r="CA37" s="164"/>
      <c r="CB37" s="164"/>
      <c r="CC37" s="164"/>
      <c r="CD37" s="164"/>
      <c r="CE37" s="164"/>
      <c r="CF37" s="164"/>
      <c r="CG37" s="164"/>
      <c r="CH37" s="164"/>
      <c r="CI37" s="164"/>
      <c r="CJ37" s="164"/>
      <c r="CK37" s="164"/>
      <c r="CL37" s="164"/>
      <c r="CM37" s="164"/>
      <c r="CN37" s="164"/>
      <c r="CO37" s="164"/>
      <c r="CP37" s="164"/>
      <c r="CQ37" s="164"/>
      <c r="CR37" s="164"/>
      <c r="CS37" s="164"/>
      <c r="CT37" s="164"/>
      <c r="CU37" s="164"/>
      <c r="CV37" s="164"/>
      <c r="CW37" s="164"/>
      <c r="CX37" s="164"/>
      <c r="CY37" s="164"/>
      <c r="CZ37" s="164"/>
      <c r="DA37" s="164"/>
      <c r="DB37" s="164"/>
      <c r="DC37" s="164"/>
      <c r="DD37" s="164"/>
      <c r="DE37" s="164"/>
      <c r="DF37" s="164"/>
      <c r="DG37" s="164"/>
      <c r="DH37" s="164"/>
      <c r="DI37" s="164"/>
      <c r="DJ37" s="164"/>
      <c r="DK37" s="164"/>
      <c r="DL37" s="164"/>
      <c r="DM37" s="164"/>
      <c r="DN37" s="164"/>
      <c r="DO37" s="164"/>
      <c r="DP37" s="164"/>
      <c r="DQ37" s="164"/>
      <c r="DR37" s="164"/>
      <c r="DS37" s="164"/>
      <c r="DT37" s="164"/>
      <c r="DU37" s="164"/>
      <c r="DV37" s="164"/>
      <c r="DW37" s="164"/>
      <c r="DX37" s="164"/>
      <c r="DY37" s="164"/>
      <c r="DZ37" s="164"/>
      <c r="EA37" s="164"/>
      <c r="EB37" s="164"/>
      <c r="EC37" s="164"/>
      <c r="ED37" s="164"/>
      <c r="EE37" s="164"/>
      <c r="EF37" s="164"/>
      <c r="EG37" s="164"/>
      <c r="EH37" s="164"/>
      <c r="EI37" s="164"/>
      <c r="EJ37" s="164"/>
      <c r="EK37" s="164"/>
      <c r="EL37" s="164"/>
      <c r="EM37" s="164"/>
      <c r="EN37" s="164"/>
      <c r="EO37" s="164"/>
      <c r="EP37" s="164"/>
      <c r="EQ37" s="164"/>
      <c r="ER37" s="164"/>
      <c r="ES37" s="164"/>
      <c r="ET37" s="164"/>
      <c r="EU37" s="164"/>
      <c r="EV37" s="164"/>
      <c r="EW37" s="164"/>
      <c r="EX37" s="164"/>
      <c r="EY37" s="164"/>
    </row>
    <row r="38" spans="1:155" s="64" customFormat="1" ht="12.75" customHeight="1" outlineLevel="1">
      <c r="A38" s="171"/>
      <c r="B38" s="137"/>
      <c r="C38" s="137"/>
      <c r="D38" s="163"/>
      <c r="E38" s="137"/>
      <c r="F38" s="137"/>
      <c r="G38" s="163"/>
      <c r="H38" s="163"/>
      <c r="I38" s="163"/>
      <c r="J38" s="163"/>
      <c r="K38" s="163"/>
      <c r="L38" s="163"/>
      <c r="M38" s="163"/>
      <c r="N38" s="164"/>
      <c r="O38" s="164"/>
      <c r="P38" s="164"/>
      <c r="Q38" s="164"/>
      <c r="R38" s="164"/>
      <c r="S38" s="164"/>
      <c r="T38" s="164"/>
      <c r="U38" s="164"/>
      <c r="V38" s="164"/>
      <c r="W38" s="164"/>
      <c r="X38" s="164"/>
      <c r="Y38" s="164"/>
      <c r="Z38" s="164"/>
      <c r="AA38" s="164"/>
      <c r="AB38" s="164"/>
      <c r="AC38" s="164"/>
      <c r="AD38" s="164"/>
      <c r="AE38" s="164"/>
      <c r="AF38" s="164"/>
      <c r="AG38" s="164"/>
      <c r="AH38" s="164"/>
      <c r="AI38" s="164"/>
      <c r="AJ38" s="164"/>
      <c r="AK38" s="164"/>
      <c r="AL38" s="164"/>
      <c r="AM38" s="164"/>
      <c r="AN38" s="164"/>
      <c r="AO38" s="164"/>
      <c r="AP38" s="164"/>
      <c r="AQ38" s="164"/>
      <c r="AR38" s="164"/>
      <c r="AS38" s="164"/>
      <c r="AT38" s="164"/>
      <c r="AU38" s="164"/>
      <c r="AV38" s="164"/>
      <c r="AW38" s="164"/>
      <c r="AX38" s="164"/>
      <c r="AY38" s="164"/>
      <c r="AZ38" s="164"/>
      <c r="BA38" s="164"/>
      <c r="BB38" s="164"/>
      <c r="BC38" s="164"/>
      <c r="BD38" s="164"/>
      <c r="BE38" s="164"/>
      <c r="BF38" s="164"/>
      <c r="BG38" s="164"/>
      <c r="BH38" s="164"/>
      <c r="BI38" s="164"/>
      <c r="BJ38" s="164"/>
      <c r="BK38" s="164"/>
      <c r="BL38" s="164"/>
      <c r="BM38" s="164"/>
      <c r="BN38" s="164"/>
      <c r="BO38" s="164"/>
      <c r="BP38" s="164"/>
      <c r="BQ38" s="164"/>
      <c r="BR38" s="164"/>
      <c r="BS38" s="164"/>
      <c r="BT38" s="164"/>
      <c r="BU38" s="164"/>
      <c r="BV38" s="164"/>
      <c r="BW38" s="164"/>
      <c r="BX38" s="164"/>
      <c r="BY38" s="164"/>
      <c r="BZ38" s="164"/>
      <c r="CA38" s="164"/>
      <c r="CB38" s="164"/>
      <c r="CC38" s="164"/>
      <c r="CD38" s="164"/>
      <c r="CE38" s="164"/>
      <c r="CF38" s="164"/>
      <c r="CG38" s="164"/>
      <c r="CH38" s="164"/>
      <c r="CI38" s="164"/>
      <c r="CJ38" s="164"/>
      <c r="CK38" s="164"/>
      <c r="CL38" s="164"/>
      <c r="CM38" s="164"/>
      <c r="CN38" s="164"/>
      <c r="CO38" s="164"/>
      <c r="CP38" s="164"/>
      <c r="CQ38" s="164"/>
      <c r="CR38" s="164"/>
      <c r="CS38" s="164"/>
      <c r="CT38" s="164"/>
      <c r="CU38" s="164"/>
      <c r="CV38" s="164"/>
      <c r="CW38" s="164"/>
      <c r="CX38" s="164"/>
      <c r="CY38" s="164"/>
      <c r="CZ38" s="164"/>
      <c r="DA38" s="164"/>
      <c r="DB38" s="164"/>
      <c r="DC38" s="164"/>
      <c r="DD38" s="164"/>
      <c r="DE38" s="164"/>
      <c r="DF38" s="164"/>
      <c r="DG38" s="164"/>
      <c r="DH38" s="164"/>
      <c r="DI38" s="164"/>
      <c r="DJ38" s="164"/>
      <c r="DK38" s="164"/>
      <c r="DL38" s="164"/>
      <c r="DM38" s="164"/>
      <c r="DN38" s="164"/>
      <c r="DO38" s="164"/>
      <c r="DP38" s="164"/>
      <c r="DQ38" s="164"/>
      <c r="DR38" s="164"/>
      <c r="DS38" s="164"/>
      <c r="DT38" s="164"/>
      <c r="DU38" s="164"/>
      <c r="DV38" s="164"/>
      <c r="DW38" s="164"/>
      <c r="DX38" s="164"/>
      <c r="DY38" s="164"/>
      <c r="DZ38" s="164"/>
      <c r="EA38" s="164"/>
      <c r="EB38" s="164"/>
      <c r="EC38" s="164"/>
      <c r="ED38" s="164"/>
      <c r="EE38" s="164"/>
      <c r="EF38" s="164"/>
      <c r="EG38" s="164"/>
      <c r="EH38" s="164"/>
      <c r="EI38" s="164"/>
      <c r="EJ38" s="164"/>
      <c r="EK38" s="164"/>
      <c r="EL38" s="164"/>
      <c r="EM38" s="164"/>
      <c r="EN38" s="164"/>
      <c r="EO38" s="164"/>
      <c r="EP38" s="164"/>
      <c r="EQ38" s="164"/>
      <c r="ER38" s="164"/>
      <c r="ES38" s="164"/>
      <c r="ET38" s="164"/>
      <c r="EU38" s="164"/>
      <c r="EV38" s="164"/>
      <c r="EW38" s="164"/>
      <c r="EX38" s="164"/>
      <c r="EY38" s="164"/>
    </row>
    <row r="39" spans="1:155" s="64" customFormat="1" ht="12.75" customHeight="1" outlineLevel="1">
      <c r="A39" s="171"/>
      <c r="B39" s="137"/>
      <c r="C39" s="137"/>
      <c r="D39" s="163"/>
      <c r="E39" s="137"/>
      <c r="F39" s="137"/>
      <c r="G39" s="163"/>
      <c r="H39" s="163"/>
      <c r="I39" s="163"/>
      <c r="J39" s="163"/>
      <c r="K39" s="163"/>
      <c r="L39" s="163"/>
      <c r="M39" s="163"/>
      <c r="N39" s="164"/>
      <c r="O39" s="164"/>
      <c r="P39" s="164"/>
      <c r="Q39" s="164"/>
      <c r="R39" s="164"/>
      <c r="S39" s="164"/>
      <c r="T39" s="164"/>
      <c r="U39" s="164"/>
      <c r="V39" s="164"/>
      <c r="W39" s="164"/>
      <c r="X39" s="164"/>
      <c r="Y39" s="164"/>
      <c r="Z39" s="164"/>
      <c r="AA39" s="164"/>
      <c r="AB39" s="164"/>
      <c r="AC39" s="164"/>
      <c r="AD39" s="164"/>
      <c r="AE39" s="164"/>
      <c r="AF39" s="164"/>
      <c r="AG39" s="164"/>
      <c r="AH39" s="164"/>
      <c r="AI39" s="164"/>
      <c r="AJ39" s="164"/>
      <c r="AK39" s="164"/>
      <c r="AL39" s="164"/>
      <c r="AM39" s="164"/>
      <c r="AN39" s="164"/>
      <c r="AO39" s="164"/>
      <c r="AP39" s="164"/>
      <c r="AQ39" s="164"/>
      <c r="AR39" s="164"/>
      <c r="AS39" s="164"/>
      <c r="AT39" s="164"/>
      <c r="AU39" s="164"/>
      <c r="AV39" s="164"/>
      <c r="AW39" s="164"/>
      <c r="AX39" s="164"/>
      <c r="AY39" s="164"/>
      <c r="AZ39" s="164"/>
      <c r="BA39" s="164"/>
      <c r="BB39" s="164"/>
      <c r="BC39" s="164"/>
      <c r="BD39" s="164"/>
      <c r="BE39" s="164"/>
      <c r="BF39" s="164"/>
      <c r="BG39" s="164"/>
      <c r="BH39" s="164"/>
      <c r="BI39" s="164"/>
      <c r="BJ39" s="164"/>
      <c r="BK39" s="164"/>
      <c r="BL39" s="164"/>
      <c r="BM39" s="164"/>
      <c r="BN39" s="164"/>
      <c r="BO39" s="164"/>
      <c r="BP39" s="164"/>
      <c r="BQ39" s="164"/>
      <c r="BR39" s="164"/>
      <c r="BS39" s="164"/>
      <c r="BT39" s="164"/>
      <c r="BU39" s="164"/>
      <c r="BV39" s="164"/>
      <c r="BW39" s="164"/>
      <c r="BX39" s="164"/>
      <c r="BY39" s="164"/>
      <c r="BZ39" s="164"/>
      <c r="CA39" s="164"/>
      <c r="CB39" s="164"/>
      <c r="CC39" s="164"/>
      <c r="CD39" s="164"/>
      <c r="CE39" s="164"/>
      <c r="CF39" s="164"/>
      <c r="CG39" s="164"/>
      <c r="CH39" s="164"/>
      <c r="CI39" s="164"/>
      <c r="CJ39" s="164"/>
      <c r="CK39" s="164"/>
      <c r="CL39" s="164"/>
      <c r="CM39" s="164"/>
      <c r="CN39" s="164"/>
      <c r="CO39" s="164"/>
      <c r="CP39" s="164"/>
      <c r="CQ39" s="164"/>
      <c r="CR39" s="164"/>
      <c r="CS39" s="164"/>
      <c r="CT39" s="164"/>
      <c r="CU39" s="164"/>
      <c r="CV39" s="164"/>
      <c r="CW39" s="164"/>
      <c r="CX39" s="164"/>
      <c r="CY39" s="164"/>
      <c r="CZ39" s="164"/>
      <c r="DA39" s="164"/>
      <c r="DB39" s="164"/>
      <c r="DC39" s="164"/>
      <c r="DD39" s="164"/>
      <c r="DE39" s="164"/>
      <c r="DF39" s="164"/>
      <c r="DG39" s="164"/>
      <c r="DH39" s="164"/>
      <c r="DI39" s="164"/>
      <c r="DJ39" s="164"/>
      <c r="DK39" s="164"/>
      <c r="DL39" s="164"/>
      <c r="DM39" s="164"/>
      <c r="DN39" s="164"/>
      <c r="DO39" s="164"/>
      <c r="DP39" s="164"/>
      <c r="DQ39" s="164"/>
      <c r="DR39" s="164"/>
      <c r="DS39" s="164"/>
      <c r="DT39" s="164"/>
      <c r="DU39" s="164"/>
      <c r="DV39" s="164"/>
      <c r="DW39" s="164"/>
      <c r="DX39" s="164"/>
      <c r="DY39" s="164"/>
      <c r="DZ39" s="164"/>
      <c r="EA39" s="164"/>
      <c r="EB39" s="164"/>
      <c r="EC39" s="164"/>
      <c r="ED39" s="164"/>
      <c r="EE39" s="164"/>
      <c r="EF39" s="164"/>
      <c r="EG39" s="164"/>
      <c r="EH39" s="164"/>
      <c r="EI39" s="164"/>
      <c r="EJ39" s="164"/>
      <c r="EK39" s="164"/>
      <c r="EL39" s="164"/>
      <c r="EM39" s="164"/>
      <c r="EN39" s="164"/>
      <c r="EO39" s="164"/>
      <c r="EP39" s="164"/>
      <c r="EQ39" s="164"/>
      <c r="ER39" s="164"/>
      <c r="ES39" s="164"/>
      <c r="ET39" s="164"/>
      <c r="EU39" s="164"/>
      <c r="EV39" s="164"/>
      <c r="EW39" s="164"/>
      <c r="EX39" s="164"/>
      <c r="EY39" s="164"/>
    </row>
    <row r="40" spans="1:155" s="64" customFormat="1" ht="12.75" customHeight="1" outlineLevel="1">
      <c r="A40" s="171"/>
      <c r="B40" s="137"/>
      <c r="C40" s="137"/>
      <c r="D40" s="163"/>
      <c r="E40" s="137"/>
      <c r="F40" s="137"/>
      <c r="G40" s="163"/>
      <c r="H40" s="163"/>
      <c r="I40" s="163"/>
      <c r="J40" s="163"/>
      <c r="K40" s="163"/>
      <c r="L40" s="163"/>
      <c r="M40" s="163"/>
      <c r="N40" s="164"/>
      <c r="O40" s="164"/>
      <c r="P40" s="164"/>
      <c r="Q40" s="164"/>
      <c r="R40" s="164"/>
      <c r="S40" s="164"/>
      <c r="T40" s="164"/>
      <c r="U40" s="164"/>
      <c r="V40" s="164"/>
      <c r="W40" s="164"/>
      <c r="X40" s="164"/>
      <c r="Y40" s="164"/>
      <c r="Z40" s="164"/>
      <c r="AA40" s="164"/>
      <c r="AB40" s="164"/>
      <c r="AC40" s="164"/>
      <c r="AD40" s="164"/>
      <c r="AE40" s="164"/>
      <c r="AF40" s="164"/>
      <c r="AG40" s="164"/>
      <c r="AH40" s="164"/>
      <c r="AI40" s="164"/>
      <c r="AJ40" s="164"/>
      <c r="AK40" s="164"/>
      <c r="AL40" s="164"/>
      <c r="AM40" s="164"/>
      <c r="AN40" s="164"/>
      <c r="AO40" s="164"/>
      <c r="AP40" s="164"/>
      <c r="AQ40" s="164"/>
      <c r="AR40" s="164"/>
      <c r="AS40" s="164"/>
      <c r="AT40" s="164"/>
      <c r="AU40" s="164"/>
      <c r="AV40" s="164"/>
      <c r="AW40" s="164"/>
      <c r="AX40" s="164"/>
      <c r="AY40" s="164"/>
      <c r="AZ40" s="164"/>
      <c r="BA40" s="164"/>
      <c r="BB40" s="164"/>
      <c r="BC40" s="164"/>
      <c r="BD40" s="164"/>
      <c r="BE40" s="164"/>
      <c r="BF40" s="164"/>
      <c r="BG40" s="164"/>
      <c r="BH40" s="164"/>
      <c r="BI40" s="164"/>
      <c r="BJ40" s="164"/>
      <c r="BK40" s="164"/>
      <c r="BL40" s="164"/>
      <c r="BM40" s="164"/>
      <c r="BN40" s="164"/>
      <c r="BO40" s="164"/>
      <c r="BP40" s="164"/>
      <c r="BQ40" s="164"/>
      <c r="BR40" s="164"/>
      <c r="BS40" s="164"/>
      <c r="BT40" s="164"/>
      <c r="BU40" s="164"/>
      <c r="BV40" s="164"/>
      <c r="BW40" s="164"/>
      <c r="BX40" s="164"/>
      <c r="BY40" s="164"/>
      <c r="BZ40" s="164"/>
      <c r="CA40" s="164"/>
      <c r="CB40" s="164"/>
      <c r="CC40" s="164"/>
      <c r="CD40" s="164"/>
      <c r="CE40" s="164"/>
      <c r="CF40" s="164"/>
      <c r="CG40" s="164"/>
      <c r="CH40" s="164"/>
      <c r="CI40" s="164"/>
      <c r="CJ40" s="164"/>
      <c r="CK40" s="164"/>
      <c r="CL40" s="164"/>
      <c r="CM40" s="164"/>
      <c r="CN40" s="164"/>
      <c r="CO40" s="164"/>
      <c r="CP40" s="164"/>
      <c r="CQ40" s="164"/>
      <c r="CR40" s="164"/>
      <c r="CS40" s="164"/>
      <c r="CT40" s="164"/>
      <c r="CU40" s="164"/>
      <c r="CV40" s="164"/>
      <c r="CW40" s="164"/>
      <c r="CX40" s="164"/>
      <c r="CY40" s="164"/>
      <c r="CZ40" s="164"/>
      <c r="DA40" s="164"/>
      <c r="DB40" s="164"/>
      <c r="DC40" s="164"/>
      <c r="DD40" s="164"/>
      <c r="DE40" s="164"/>
      <c r="DF40" s="164"/>
      <c r="DG40" s="164"/>
      <c r="DH40" s="164"/>
      <c r="DI40" s="164"/>
      <c r="DJ40" s="164"/>
      <c r="DK40" s="164"/>
      <c r="DL40" s="164"/>
      <c r="DM40" s="164"/>
      <c r="DN40" s="164"/>
      <c r="DO40" s="164"/>
      <c r="DP40" s="164"/>
      <c r="DQ40" s="164"/>
      <c r="DR40" s="164"/>
      <c r="DS40" s="164"/>
      <c r="DT40" s="164"/>
      <c r="DU40" s="164"/>
      <c r="DV40" s="164"/>
      <c r="DW40" s="164"/>
      <c r="DX40" s="164"/>
      <c r="DY40" s="164"/>
      <c r="DZ40" s="164"/>
      <c r="EA40" s="164"/>
      <c r="EB40" s="164"/>
      <c r="EC40" s="164"/>
      <c r="ED40" s="164"/>
      <c r="EE40" s="164"/>
      <c r="EF40" s="164"/>
      <c r="EG40" s="164"/>
      <c r="EH40" s="164"/>
      <c r="EI40" s="164"/>
      <c r="EJ40" s="164"/>
      <c r="EK40" s="164"/>
      <c r="EL40" s="164"/>
      <c r="EM40" s="164"/>
      <c r="EN40" s="164"/>
      <c r="EO40" s="164"/>
      <c r="EP40" s="164"/>
      <c r="EQ40" s="164"/>
      <c r="ER40" s="164"/>
      <c r="ES40" s="164"/>
      <c r="ET40" s="164"/>
      <c r="EU40" s="164"/>
      <c r="EV40" s="164"/>
      <c r="EW40" s="164"/>
      <c r="EX40" s="164"/>
      <c r="EY40" s="164"/>
    </row>
    <row r="41" spans="1:155" s="64" customFormat="1" ht="12.75" customHeight="1" outlineLevel="1">
      <c r="A41" s="171"/>
      <c r="B41" s="137"/>
      <c r="C41" s="137"/>
      <c r="D41" s="163"/>
      <c r="E41" s="137"/>
      <c r="F41" s="137"/>
      <c r="G41" s="163"/>
      <c r="H41" s="163"/>
      <c r="I41" s="163"/>
      <c r="J41" s="163"/>
      <c r="K41" s="163"/>
      <c r="L41" s="163"/>
      <c r="M41" s="163"/>
      <c r="N41" s="164"/>
      <c r="O41" s="164"/>
      <c r="P41" s="164"/>
      <c r="Q41" s="164"/>
      <c r="R41" s="164"/>
      <c r="S41" s="164"/>
      <c r="T41" s="164"/>
      <c r="U41" s="164"/>
      <c r="V41" s="164"/>
      <c r="W41" s="164"/>
      <c r="X41" s="164"/>
      <c r="Y41" s="164"/>
      <c r="Z41" s="164"/>
      <c r="AA41" s="164"/>
      <c r="AB41" s="164"/>
      <c r="AC41" s="164"/>
      <c r="AD41" s="164"/>
      <c r="AE41" s="164"/>
      <c r="AF41" s="164"/>
      <c r="AG41" s="164"/>
      <c r="AH41" s="164"/>
      <c r="AI41" s="164"/>
      <c r="AJ41" s="164"/>
      <c r="AK41" s="164"/>
      <c r="AL41" s="164"/>
      <c r="AM41" s="164"/>
      <c r="AN41" s="164"/>
      <c r="AO41" s="164"/>
      <c r="AP41" s="164"/>
      <c r="AQ41" s="164"/>
      <c r="AR41" s="164"/>
      <c r="AS41" s="164"/>
      <c r="AT41" s="164"/>
      <c r="AU41" s="164"/>
      <c r="AV41" s="164"/>
      <c r="AW41" s="164"/>
      <c r="AX41" s="164"/>
      <c r="AY41" s="164"/>
      <c r="AZ41" s="164"/>
      <c r="BA41" s="164"/>
      <c r="BB41" s="164"/>
      <c r="BC41" s="164"/>
      <c r="BD41" s="164"/>
      <c r="BE41" s="164"/>
      <c r="BF41" s="164"/>
      <c r="BG41" s="164"/>
      <c r="BH41" s="164"/>
      <c r="BI41" s="164"/>
      <c r="BJ41" s="164"/>
      <c r="BK41" s="164"/>
      <c r="BL41" s="164"/>
      <c r="BM41" s="164"/>
      <c r="BN41" s="164"/>
      <c r="BO41" s="164"/>
      <c r="BP41" s="164"/>
      <c r="BQ41" s="164"/>
      <c r="BR41" s="164"/>
      <c r="BS41" s="164"/>
      <c r="BT41" s="164"/>
      <c r="BU41" s="164"/>
      <c r="BV41" s="164"/>
      <c r="BW41" s="164"/>
      <c r="BX41" s="164"/>
      <c r="BY41" s="164"/>
      <c r="BZ41" s="164"/>
      <c r="CA41" s="164"/>
      <c r="CB41" s="164"/>
      <c r="CC41" s="164"/>
      <c r="CD41" s="164"/>
      <c r="CE41" s="164"/>
      <c r="CF41" s="164"/>
      <c r="CG41" s="164"/>
      <c r="CH41" s="164"/>
      <c r="CI41" s="164"/>
      <c r="CJ41" s="164"/>
      <c r="CK41" s="164"/>
      <c r="CL41" s="164"/>
      <c r="CM41" s="164"/>
      <c r="CN41" s="164"/>
      <c r="CO41" s="164"/>
      <c r="CP41" s="164"/>
      <c r="CQ41" s="164"/>
      <c r="CR41" s="164"/>
      <c r="CS41" s="164"/>
      <c r="CT41" s="164"/>
      <c r="CU41" s="164"/>
      <c r="CV41" s="164"/>
      <c r="CW41" s="164"/>
      <c r="CX41" s="164"/>
      <c r="CY41" s="164"/>
      <c r="CZ41" s="164"/>
      <c r="DA41" s="164"/>
      <c r="DB41" s="164"/>
      <c r="DC41" s="164"/>
      <c r="DD41" s="164"/>
      <c r="DE41" s="164"/>
      <c r="DF41" s="164"/>
      <c r="DG41" s="164"/>
      <c r="DH41" s="164"/>
      <c r="DI41" s="164"/>
      <c r="DJ41" s="164"/>
      <c r="DK41" s="164"/>
      <c r="DL41" s="164"/>
      <c r="DM41" s="164"/>
      <c r="DN41" s="164"/>
      <c r="DO41" s="164"/>
      <c r="DP41" s="164"/>
      <c r="DQ41" s="164"/>
      <c r="DR41" s="164"/>
      <c r="DS41" s="164"/>
      <c r="DT41" s="164"/>
      <c r="DU41" s="164"/>
      <c r="DV41" s="164"/>
      <c r="DW41" s="164"/>
      <c r="DX41" s="164"/>
      <c r="DY41" s="164"/>
      <c r="DZ41" s="164"/>
      <c r="EA41" s="164"/>
      <c r="EB41" s="164"/>
      <c r="EC41" s="164"/>
      <c r="ED41" s="164"/>
      <c r="EE41" s="164"/>
      <c r="EF41" s="164"/>
      <c r="EG41" s="164"/>
      <c r="EH41" s="164"/>
      <c r="EI41" s="164"/>
      <c r="EJ41" s="164"/>
      <c r="EK41" s="164"/>
      <c r="EL41" s="164"/>
      <c r="EM41" s="164"/>
      <c r="EN41" s="164"/>
      <c r="EO41" s="164"/>
      <c r="EP41" s="164"/>
      <c r="EQ41" s="164"/>
      <c r="ER41" s="164"/>
      <c r="ES41" s="164"/>
      <c r="ET41" s="164"/>
      <c r="EU41" s="164"/>
      <c r="EV41" s="164"/>
      <c r="EW41" s="164"/>
      <c r="EX41" s="164"/>
      <c r="EY41" s="164"/>
    </row>
    <row r="42" spans="1:155" outlineLevel="1">
      <c r="A42" s="171"/>
      <c r="B42" s="176"/>
      <c r="C42" s="145"/>
      <c r="D42" s="177"/>
      <c r="E42" s="178"/>
      <c r="F42" s="177"/>
      <c r="G42" s="177"/>
      <c r="H42" s="177"/>
      <c r="I42" s="177"/>
      <c r="J42" s="177"/>
      <c r="K42" s="177"/>
      <c r="L42" s="177"/>
      <c r="M42" s="177"/>
      <c r="N42" s="177"/>
      <c r="O42" s="177"/>
      <c r="P42" s="177"/>
      <c r="Q42" s="177"/>
      <c r="R42" s="177"/>
      <c r="S42" s="177"/>
      <c r="T42" s="177"/>
      <c r="U42" s="177"/>
      <c r="V42" s="177"/>
      <c r="W42" s="177"/>
      <c r="X42" s="177"/>
      <c r="Y42" s="177"/>
      <c r="Z42" s="177"/>
      <c r="AA42" s="177"/>
      <c r="AB42" s="177"/>
      <c r="AC42" s="177"/>
      <c r="AD42" s="177"/>
      <c r="AE42" s="177"/>
      <c r="AF42" s="177"/>
      <c r="AG42" s="177"/>
      <c r="AH42" s="177"/>
      <c r="AI42" s="177"/>
      <c r="AJ42" s="177"/>
      <c r="AK42" s="177"/>
      <c r="AL42" s="177"/>
      <c r="AM42" s="177"/>
      <c r="AN42" s="177"/>
      <c r="AO42" s="177"/>
      <c r="AP42" s="177"/>
      <c r="AQ42" s="177"/>
      <c r="AR42" s="177"/>
      <c r="AS42" s="177"/>
      <c r="AT42" s="177"/>
      <c r="AU42" s="177"/>
      <c r="AV42" s="177"/>
      <c r="AW42" s="177"/>
      <c r="AX42" s="177"/>
      <c r="AY42" s="177"/>
      <c r="AZ42" s="177"/>
      <c r="BA42" s="177"/>
      <c r="BB42" s="177"/>
      <c r="BC42" s="177"/>
      <c r="BD42" s="177"/>
      <c r="BE42" s="177"/>
      <c r="BF42" s="177"/>
      <c r="BG42" s="177"/>
      <c r="BH42" s="177"/>
      <c r="BI42" s="177"/>
      <c r="BJ42" s="177"/>
      <c r="BK42" s="177"/>
      <c r="BL42" s="177"/>
      <c r="BM42" s="177"/>
      <c r="BN42" s="177"/>
      <c r="BO42" s="177"/>
      <c r="BP42" s="177"/>
      <c r="BQ42" s="177"/>
      <c r="BR42" s="177"/>
      <c r="BS42" s="177"/>
      <c r="BT42" s="177"/>
      <c r="BU42" s="177"/>
      <c r="BV42" s="177"/>
      <c r="BW42" s="177"/>
      <c r="BX42" s="177"/>
      <c r="BY42" s="177"/>
      <c r="BZ42" s="177"/>
      <c r="CA42" s="177"/>
      <c r="CB42" s="177"/>
      <c r="CC42" s="177"/>
      <c r="CD42" s="177"/>
      <c r="CE42" s="177"/>
      <c r="CF42" s="177"/>
      <c r="CG42" s="177"/>
      <c r="CH42" s="177"/>
      <c r="CI42" s="177"/>
      <c r="CJ42" s="177"/>
      <c r="CK42" s="177"/>
      <c r="CL42" s="177"/>
      <c r="CM42" s="177"/>
      <c r="CN42" s="177"/>
      <c r="CO42" s="177"/>
      <c r="CP42" s="177"/>
      <c r="CQ42" s="177"/>
      <c r="CR42" s="177"/>
      <c r="CS42" s="177"/>
      <c r="CT42" s="177"/>
      <c r="CU42" s="177"/>
      <c r="CV42" s="177"/>
      <c r="CW42" s="177"/>
      <c r="CX42" s="177"/>
      <c r="CY42" s="177"/>
      <c r="CZ42" s="177"/>
      <c r="DA42" s="177"/>
      <c r="DB42" s="177"/>
      <c r="DC42" s="177"/>
      <c r="DD42" s="177"/>
      <c r="DE42" s="177"/>
      <c r="DF42" s="177"/>
      <c r="DG42" s="177"/>
      <c r="DH42" s="177"/>
      <c r="DI42" s="177"/>
      <c r="DJ42" s="177"/>
      <c r="DK42" s="177"/>
      <c r="DL42" s="177"/>
      <c r="DM42" s="177"/>
      <c r="DN42" s="177"/>
      <c r="DO42" s="177"/>
      <c r="DP42" s="177"/>
      <c r="DQ42" s="177"/>
      <c r="DR42" s="177"/>
      <c r="DS42" s="177"/>
      <c r="DT42" s="177"/>
      <c r="DU42" s="177"/>
      <c r="DV42" s="177"/>
      <c r="DW42" s="177"/>
      <c r="DX42" s="177"/>
      <c r="DY42" s="177"/>
      <c r="DZ42" s="177"/>
      <c r="EA42" s="177"/>
      <c r="EB42" s="177"/>
      <c r="EC42" s="177"/>
      <c r="ED42" s="177"/>
      <c r="EE42" s="177"/>
      <c r="EF42" s="177"/>
      <c r="EG42" s="177"/>
      <c r="EH42" s="177"/>
      <c r="EI42" s="177"/>
      <c r="EJ42" s="177"/>
      <c r="EK42" s="177"/>
      <c r="EL42" s="177"/>
      <c r="EM42" s="177"/>
      <c r="EN42" s="177"/>
      <c r="EO42" s="177"/>
      <c r="EP42" s="177"/>
      <c r="EQ42" s="177"/>
      <c r="ER42" s="177"/>
      <c r="ES42" s="177"/>
      <c r="ET42" s="177"/>
      <c r="EU42" s="177"/>
      <c r="EV42" s="177"/>
      <c r="EW42" s="177"/>
      <c r="EX42" s="177"/>
      <c r="EY42" s="177"/>
    </row>
    <row r="43" spans="1:155" s="181" customFormat="1" ht="4.5" customHeight="1" outlineLevel="1">
      <c r="A43" s="179"/>
      <c r="B43" s="180"/>
      <c r="C43" s="180"/>
      <c r="D43" s="180"/>
      <c r="E43" s="180"/>
      <c r="F43" s="180"/>
      <c r="G43" s="180"/>
      <c r="H43" s="180"/>
      <c r="I43" s="180"/>
      <c r="J43" s="180"/>
      <c r="K43" s="180"/>
      <c r="L43" s="180"/>
      <c r="M43" s="180"/>
      <c r="N43" s="180"/>
      <c r="O43" s="180"/>
      <c r="P43" s="180"/>
      <c r="Q43" s="180"/>
      <c r="R43" s="180"/>
      <c r="S43" s="180"/>
      <c r="T43" s="180"/>
      <c r="U43" s="180"/>
      <c r="V43" s="180"/>
      <c r="W43" s="180"/>
      <c r="X43" s="180"/>
      <c r="Y43" s="180"/>
      <c r="Z43" s="180"/>
      <c r="AA43" s="180"/>
      <c r="AB43" s="180"/>
      <c r="AC43" s="180"/>
      <c r="AD43" s="180"/>
      <c r="AE43" s="180"/>
      <c r="AF43" s="180"/>
      <c r="AG43" s="180"/>
      <c r="AH43" s="180"/>
      <c r="AI43" s="180"/>
      <c r="AJ43" s="180"/>
      <c r="AK43" s="180"/>
      <c r="AL43" s="180"/>
      <c r="AM43" s="180"/>
      <c r="AN43" s="180"/>
      <c r="AO43" s="180"/>
      <c r="AP43" s="180"/>
      <c r="AQ43" s="180"/>
      <c r="AR43" s="180"/>
      <c r="AS43" s="180"/>
      <c r="AT43" s="180"/>
      <c r="AU43" s="180"/>
      <c r="AV43" s="180"/>
      <c r="AW43" s="180"/>
      <c r="AX43" s="180"/>
      <c r="AY43" s="180"/>
      <c r="AZ43" s="180"/>
      <c r="BA43" s="180"/>
      <c r="BB43" s="180"/>
      <c r="BC43" s="180"/>
      <c r="BD43" s="180"/>
      <c r="BE43" s="180"/>
      <c r="BF43" s="180"/>
      <c r="BG43" s="180"/>
      <c r="BH43" s="180"/>
      <c r="BI43" s="180"/>
      <c r="BJ43" s="180"/>
      <c r="BK43" s="180"/>
      <c r="BL43" s="180"/>
      <c r="BM43" s="180"/>
      <c r="BN43" s="180"/>
      <c r="BO43" s="180"/>
      <c r="BP43" s="180"/>
      <c r="BQ43" s="180"/>
      <c r="BR43" s="180"/>
      <c r="BS43" s="180"/>
      <c r="BT43" s="180"/>
      <c r="BU43" s="180"/>
      <c r="BV43" s="180"/>
      <c r="BW43" s="180"/>
      <c r="BX43" s="180"/>
      <c r="BY43" s="180"/>
      <c r="BZ43" s="180"/>
      <c r="CA43" s="180"/>
      <c r="CB43" s="180"/>
      <c r="CC43" s="180"/>
      <c r="CD43" s="180"/>
      <c r="CE43" s="180"/>
      <c r="CF43" s="180"/>
      <c r="CG43" s="180"/>
      <c r="CH43" s="180"/>
      <c r="CI43" s="180"/>
      <c r="CJ43" s="180"/>
      <c r="CK43" s="180"/>
      <c r="CL43" s="180"/>
      <c r="CM43" s="180"/>
      <c r="CN43" s="180"/>
      <c r="CO43" s="180"/>
      <c r="CP43" s="180"/>
      <c r="CQ43" s="180"/>
      <c r="CR43" s="180"/>
      <c r="CS43" s="180"/>
      <c r="CT43" s="180"/>
      <c r="CU43" s="180"/>
      <c r="CV43" s="180"/>
      <c r="CW43" s="180"/>
      <c r="CX43" s="180"/>
      <c r="CY43" s="180"/>
      <c r="CZ43" s="180"/>
      <c r="DA43" s="180"/>
      <c r="DB43" s="180"/>
      <c r="DC43" s="180"/>
      <c r="DD43" s="180"/>
      <c r="DE43" s="180"/>
      <c r="DF43" s="180"/>
      <c r="DG43" s="180"/>
      <c r="DH43" s="180"/>
      <c r="DI43" s="180"/>
      <c r="DJ43" s="180"/>
      <c r="DK43" s="180"/>
      <c r="DL43" s="180"/>
      <c r="DM43" s="180"/>
      <c r="DN43" s="180"/>
      <c r="DO43" s="180"/>
      <c r="DP43" s="180"/>
      <c r="DQ43" s="180"/>
      <c r="DR43" s="180"/>
      <c r="DS43" s="180"/>
      <c r="DT43" s="180"/>
      <c r="DU43" s="180"/>
      <c r="DV43" s="180"/>
      <c r="DW43" s="180"/>
      <c r="DX43" s="180"/>
      <c r="DY43" s="180"/>
      <c r="DZ43" s="180"/>
      <c r="EA43" s="180"/>
      <c r="EB43" s="180"/>
      <c r="EC43" s="180"/>
      <c r="ED43" s="180"/>
      <c r="EE43" s="180"/>
      <c r="EF43" s="180"/>
      <c r="EG43" s="180"/>
      <c r="EH43" s="180"/>
      <c r="EI43" s="180"/>
      <c r="EJ43" s="180"/>
      <c r="EK43" s="180"/>
      <c r="EL43" s="180"/>
      <c r="EM43" s="180"/>
      <c r="EN43" s="180"/>
      <c r="EO43" s="180"/>
      <c r="EP43" s="180"/>
      <c r="EQ43" s="180"/>
      <c r="ER43" s="180"/>
      <c r="ES43" s="180"/>
      <c r="ET43" s="180"/>
      <c r="EU43" s="180"/>
      <c r="EV43" s="180"/>
      <c r="EW43" s="180"/>
      <c r="EX43" s="180"/>
      <c r="EY43" s="180"/>
    </row>
    <row r="44" spans="1:155" s="64" customFormat="1">
      <c r="A44" s="137"/>
      <c r="B44" s="133"/>
      <c r="C44" s="133"/>
      <c r="D44" s="133"/>
      <c r="E44" s="133"/>
      <c r="F44" s="133"/>
      <c r="G44" s="133"/>
      <c r="H44" s="133"/>
      <c r="I44" s="133"/>
      <c r="J44" s="133"/>
      <c r="K44" s="133"/>
      <c r="L44" s="133"/>
      <c r="M44" s="133"/>
      <c r="N44" s="137"/>
      <c r="O44" s="137"/>
      <c r="P44" s="137"/>
      <c r="Q44" s="137"/>
      <c r="R44" s="137"/>
      <c r="S44" s="137"/>
      <c r="T44" s="137"/>
      <c r="U44" s="137"/>
      <c r="V44" s="137"/>
      <c r="W44" s="137"/>
      <c r="X44" s="137"/>
      <c r="Y44" s="137"/>
      <c r="Z44" s="137"/>
      <c r="AA44" s="137"/>
      <c r="AB44" s="137"/>
      <c r="AC44" s="137"/>
      <c r="AD44" s="137"/>
      <c r="AE44" s="137"/>
      <c r="AF44" s="137"/>
      <c r="AG44" s="137"/>
      <c r="AH44" s="137"/>
      <c r="AI44" s="137"/>
      <c r="AJ44" s="137"/>
      <c r="AK44" s="137"/>
      <c r="AL44" s="137"/>
      <c r="AM44" s="137"/>
      <c r="AN44" s="137"/>
      <c r="AO44" s="137"/>
      <c r="AP44" s="137"/>
      <c r="AQ44" s="137"/>
      <c r="AR44" s="137"/>
      <c r="AS44" s="137"/>
      <c r="AT44" s="137"/>
      <c r="AU44" s="137"/>
      <c r="AV44" s="137"/>
      <c r="AW44" s="137"/>
      <c r="AX44" s="137"/>
      <c r="AY44" s="137"/>
      <c r="AZ44" s="137"/>
      <c r="BA44" s="137"/>
      <c r="BB44" s="137"/>
      <c r="BC44" s="137"/>
      <c r="BD44" s="137"/>
      <c r="BE44" s="137"/>
      <c r="BF44" s="137"/>
      <c r="BG44" s="137"/>
      <c r="BH44" s="137"/>
      <c r="BI44" s="137"/>
      <c r="BJ44" s="137"/>
      <c r="BK44" s="137"/>
      <c r="BL44" s="137"/>
      <c r="BM44" s="137"/>
      <c r="BN44" s="137"/>
      <c r="BO44" s="137"/>
      <c r="BP44" s="137"/>
      <c r="BQ44" s="137"/>
      <c r="BR44" s="137"/>
      <c r="BS44" s="137"/>
      <c r="BT44" s="137"/>
      <c r="BU44" s="137"/>
      <c r="BV44" s="137"/>
      <c r="BW44" s="137"/>
      <c r="BX44" s="137"/>
      <c r="BY44" s="137"/>
      <c r="BZ44" s="137"/>
      <c r="CA44" s="137"/>
      <c r="CB44" s="137"/>
      <c r="CC44" s="137"/>
      <c r="CD44" s="137"/>
      <c r="CE44" s="137"/>
      <c r="CF44" s="137"/>
      <c r="CG44" s="137"/>
      <c r="CH44" s="137"/>
      <c r="CI44" s="137"/>
      <c r="CJ44" s="137"/>
      <c r="CK44" s="137"/>
      <c r="CL44" s="137"/>
      <c r="CM44" s="137"/>
      <c r="CN44" s="137"/>
      <c r="CO44" s="137"/>
      <c r="CP44" s="137"/>
      <c r="CQ44" s="137"/>
      <c r="CR44" s="137"/>
      <c r="CS44" s="137"/>
      <c r="CT44" s="137"/>
      <c r="CU44" s="137"/>
      <c r="CV44" s="137"/>
      <c r="CW44" s="137"/>
      <c r="CX44" s="137"/>
      <c r="CY44" s="137"/>
      <c r="CZ44" s="137"/>
      <c r="DA44" s="137"/>
      <c r="DB44" s="137"/>
      <c r="DC44" s="137"/>
      <c r="DD44" s="137"/>
      <c r="DE44" s="137"/>
      <c r="DF44" s="137"/>
      <c r="DG44" s="137"/>
      <c r="DH44" s="137"/>
      <c r="DI44" s="137"/>
      <c r="DJ44" s="137"/>
      <c r="DK44" s="137"/>
      <c r="DL44" s="137"/>
      <c r="DM44" s="137"/>
      <c r="DN44" s="137"/>
      <c r="DO44" s="137"/>
      <c r="DP44" s="137"/>
      <c r="DQ44" s="137"/>
      <c r="DR44" s="137"/>
      <c r="DS44" s="137"/>
      <c r="DT44" s="137"/>
      <c r="DU44" s="137"/>
      <c r="DV44" s="137"/>
      <c r="DW44" s="137"/>
      <c r="DX44" s="137"/>
      <c r="DY44" s="137"/>
      <c r="DZ44" s="137"/>
      <c r="EA44" s="137"/>
      <c r="EB44" s="137"/>
      <c r="EC44" s="137"/>
      <c r="ED44" s="137"/>
      <c r="EE44" s="137"/>
      <c r="EF44" s="137"/>
      <c r="EG44" s="137"/>
      <c r="EH44" s="137"/>
      <c r="EI44" s="137"/>
      <c r="EJ44" s="137"/>
      <c r="EK44" s="137"/>
      <c r="EL44" s="137"/>
      <c r="EM44" s="137"/>
      <c r="EN44" s="137"/>
      <c r="EO44" s="137"/>
      <c r="EP44" s="137"/>
      <c r="EQ44" s="137"/>
      <c r="ER44" s="137"/>
      <c r="ES44" s="137"/>
      <c r="ET44" s="137"/>
      <c r="EU44" s="137"/>
      <c r="EV44" s="137"/>
      <c r="EW44" s="137"/>
      <c r="EX44" s="137"/>
      <c r="EY44" s="137"/>
    </row>
    <row r="45" spans="1:155">
      <c r="A45" s="145"/>
      <c r="B45" s="145"/>
      <c r="C45" s="145"/>
      <c r="D45" s="145"/>
      <c r="E45" s="190"/>
      <c r="F45" s="145"/>
      <c r="G45" s="145"/>
      <c r="H45" s="145"/>
      <c r="I45" s="145"/>
      <c r="J45" s="145"/>
      <c r="K45" s="145"/>
      <c r="L45" s="145"/>
      <c r="M45" s="145"/>
      <c r="N45" s="145"/>
      <c r="O45" s="145"/>
      <c r="P45" s="145"/>
      <c r="Q45" s="145"/>
      <c r="R45" s="145"/>
      <c r="S45" s="145"/>
      <c r="T45" s="145"/>
      <c r="U45" s="145"/>
      <c r="V45" s="145"/>
      <c r="W45" s="145"/>
      <c r="X45" s="145"/>
      <c r="Y45" s="145"/>
      <c r="Z45" s="145"/>
      <c r="AA45" s="145"/>
      <c r="AB45" s="145"/>
      <c r="AC45" s="145"/>
      <c r="AD45" s="145"/>
      <c r="AE45" s="145"/>
      <c r="AF45" s="145"/>
      <c r="AG45" s="145"/>
      <c r="AH45" s="145"/>
      <c r="AI45" s="145"/>
      <c r="AJ45" s="145"/>
      <c r="AK45" s="145"/>
      <c r="AL45" s="145"/>
      <c r="AM45" s="145"/>
      <c r="AN45" s="145"/>
      <c r="AO45" s="145"/>
      <c r="AP45" s="145"/>
      <c r="AQ45" s="145"/>
      <c r="AR45" s="145"/>
      <c r="AS45" s="145"/>
      <c r="AT45" s="145"/>
      <c r="AU45" s="145"/>
      <c r="AV45" s="145"/>
      <c r="AW45" s="145"/>
      <c r="AX45" s="145"/>
      <c r="AY45" s="145"/>
      <c r="AZ45" s="145"/>
      <c r="BA45" s="145"/>
      <c r="BB45" s="145"/>
      <c r="BC45" s="145"/>
      <c r="BD45" s="145"/>
      <c r="BE45" s="145"/>
      <c r="BF45" s="145"/>
      <c r="BG45" s="145"/>
      <c r="BH45" s="145"/>
      <c r="BI45" s="145"/>
      <c r="BJ45" s="145"/>
      <c r="BK45" s="145"/>
      <c r="BL45" s="145"/>
      <c r="BM45" s="145"/>
      <c r="BN45" s="145"/>
      <c r="BO45" s="145"/>
      <c r="BP45" s="145"/>
      <c r="BQ45" s="145"/>
      <c r="BR45" s="145"/>
      <c r="BS45" s="145"/>
      <c r="BT45" s="145"/>
      <c r="BU45" s="145"/>
      <c r="BV45" s="145"/>
      <c r="BW45" s="145"/>
      <c r="BX45" s="145"/>
      <c r="BY45" s="145"/>
      <c r="BZ45" s="145"/>
      <c r="CA45" s="145"/>
      <c r="CB45" s="145"/>
      <c r="CC45" s="145"/>
      <c r="CD45" s="145"/>
      <c r="CE45" s="145"/>
      <c r="CF45" s="145"/>
      <c r="CG45" s="145"/>
      <c r="CH45" s="145"/>
      <c r="CI45" s="145"/>
      <c r="CJ45" s="145"/>
      <c r="CK45" s="145"/>
      <c r="CL45" s="145"/>
      <c r="CM45" s="145"/>
      <c r="CN45" s="145"/>
      <c r="CO45" s="145"/>
      <c r="CP45" s="145"/>
      <c r="CQ45" s="145"/>
      <c r="CR45" s="145"/>
      <c r="CS45" s="145"/>
      <c r="CT45" s="145"/>
      <c r="CU45" s="145"/>
      <c r="CV45" s="145"/>
      <c r="CW45" s="145"/>
      <c r="CX45" s="145"/>
      <c r="CY45" s="145"/>
      <c r="CZ45" s="145"/>
      <c r="DA45" s="145"/>
      <c r="DB45" s="145"/>
      <c r="DC45" s="145"/>
      <c r="DD45" s="145"/>
      <c r="DE45" s="145"/>
      <c r="DF45" s="145"/>
      <c r="DG45" s="145"/>
      <c r="DH45" s="145"/>
      <c r="DI45" s="145"/>
      <c r="DJ45" s="145"/>
      <c r="DK45" s="145"/>
      <c r="DL45" s="145"/>
      <c r="DM45" s="145"/>
      <c r="DN45" s="145"/>
      <c r="DO45" s="145"/>
      <c r="DP45" s="145"/>
      <c r="DQ45" s="145"/>
      <c r="DR45" s="145"/>
      <c r="DS45" s="145"/>
      <c r="DT45" s="145"/>
      <c r="DU45" s="145"/>
      <c r="DV45" s="145"/>
      <c r="DW45" s="145"/>
      <c r="DX45" s="145"/>
      <c r="DY45" s="145"/>
      <c r="DZ45" s="145"/>
      <c r="EA45" s="145"/>
      <c r="EB45" s="145"/>
      <c r="EC45" s="145"/>
      <c r="ED45" s="145"/>
      <c r="EE45" s="145"/>
      <c r="EF45" s="145"/>
      <c r="EG45" s="145"/>
      <c r="EH45" s="145"/>
      <c r="EI45" s="145"/>
      <c r="EJ45" s="145"/>
      <c r="EK45" s="145"/>
      <c r="EL45" s="145"/>
      <c r="EM45" s="145"/>
      <c r="EN45" s="145"/>
      <c r="EO45" s="145"/>
      <c r="EP45" s="145"/>
      <c r="EQ45" s="145"/>
      <c r="ER45" s="145"/>
      <c r="ES45" s="145"/>
      <c r="ET45" s="145"/>
      <c r="EU45" s="145"/>
      <c r="EV45" s="145"/>
      <c r="EW45" s="145"/>
      <c r="EX45" s="145"/>
      <c r="EY45" s="145"/>
    </row>
    <row r="46" spans="1:155">
      <c r="A46" s="150" t="s">
        <v>373</v>
      </c>
      <c r="B46" s="151"/>
      <c r="C46" s="151"/>
      <c r="D46" s="151"/>
      <c r="E46" s="151"/>
      <c r="F46" s="152"/>
      <c r="G46" s="152"/>
      <c r="H46" s="152"/>
      <c r="I46" s="152"/>
      <c r="J46" s="152"/>
      <c r="K46" s="152"/>
      <c r="L46" s="152"/>
      <c r="M46" s="152"/>
      <c r="N46" s="153"/>
      <c r="O46" s="153"/>
      <c r="P46" s="153"/>
      <c r="Q46" s="153"/>
      <c r="R46" s="153"/>
      <c r="S46" s="153"/>
      <c r="T46" s="153"/>
      <c r="U46" s="153"/>
      <c r="V46" s="153"/>
      <c r="W46" s="153"/>
      <c r="X46" s="153"/>
      <c r="Y46" s="153"/>
      <c r="Z46" s="153"/>
      <c r="AA46" s="153"/>
      <c r="AB46" s="153"/>
      <c r="AC46" s="153"/>
      <c r="AD46" s="153"/>
      <c r="AE46" s="153"/>
      <c r="AF46" s="153"/>
      <c r="AG46" s="153"/>
      <c r="AH46" s="153"/>
      <c r="AI46" s="153"/>
      <c r="AJ46" s="153"/>
      <c r="AK46" s="153"/>
      <c r="AL46" s="153"/>
      <c r="AM46" s="153"/>
      <c r="AN46" s="153"/>
      <c r="AO46" s="153"/>
      <c r="AP46" s="153"/>
      <c r="AQ46" s="153"/>
      <c r="AR46" s="153"/>
      <c r="AS46" s="153"/>
      <c r="AT46" s="153"/>
      <c r="AU46" s="153"/>
      <c r="AV46" s="153"/>
      <c r="AW46" s="153"/>
      <c r="AX46" s="153"/>
      <c r="AY46" s="153"/>
      <c r="AZ46" s="153"/>
      <c r="BA46" s="153"/>
      <c r="BB46" s="153"/>
      <c r="BC46" s="153"/>
      <c r="BD46" s="153"/>
      <c r="BE46" s="153"/>
      <c r="BF46" s="153"/>
      <c r="BG46" s="153"/>
      <c r="BH46" s="153"/>
      <c r="BI46" s="153"/>
      <c r="BJ46" s="153"/>
      <c r="BK46" s="153"/>
      <c r="BL46" s="153"/>
      <c r="BM46" s="153"/>
      <c r="BN46" s="153"/>
      <c r="BO46" s="153"/>
      <c r="BP46" s="153"/>
      <c r="BQ46" s="153"/>
      <c r="BR46" s="153"/>
      <c r="BS46" s="153"/>
      <c r="BT46" s="153"/>
      <c r="BU46" s="153"/>
      <c r="BV46" s="153"/>
      <c r="BW46" s="153"/>
      <c r="BX46" s="153"/>
      <c r="BY46" s="153"/>
      <c r="BZ46" s="153"/>
      <c r="CA46" s="153"/>
      <c r="CB46" s="153"/>
      <c r="CC46" s="153"/>
      <c r="CD46" s="153"/>
      <c r="CE46" s="153"/>
      <c r="CF46" s="153"/>
      <c r="CG46" s="153"/>
      <c r="CH46" s="153"/>
      <c r="CI46" s="153"/>
      <c r="CJ46" s="153"/>
      <c r="CK46" s="153"/>
      <c r="CL46" s="153"/>
      <c r="CM46" s="153"/>
      <c r="CN46" s="153"/>
      <c r="CO46" s="153"/>
      <c r="CP46" s="153"/>
      <c r="CQ46" s="153"/>
      <c r="CR46" s="153"/>
      <c r="CS46" s="153"/>
      <c r="CT46" s="153"/>
      <c r="CU46" s="153"/>
      <c r="CV46" s="153"/>
      <c r="CW46" s="153"/>
      <c r="CX46" s="153"/>
      <c r="CY46" s="153"/>
      <c r="CZ46" s="153"/>
      <c r="DA46" s="153"/>
      <c r="DB46" s="153"/>
      <c r="DC46" s="153"/>
      <c r="DD46" s="153"/>
      <c r="DE46" s="153"/>
      <c r="DF46" s="153"/>
      <c r="DG46" s="153"/>
      <c r="DH46" s="153"/>
      <c r="DI46" s="153"/>
      <c r="DJ46" s="153"/>
      <c r="DK46" s="153"/>
      <c r="DL46" s="153"/>
      <c r="DM46" s="153"/>
      <c r="DN46" s="153"/>
      <c r="DO46" s="153"/>
      <c r="DP46" s="153"/>
      <c r="DQ46" s="153"/>
      <c r="DR46" s="153"/>
      <c r="DS46" s="153"/>
      <c r="DT46" s="153"/>
      <c r="DU46" s="153"/>
      <c r="DV46" s="153"/>
      <c r="DW46" s="153"/>
      <c r="DX46" s="153"/>
      <c r="DY46" s="153"/>
      <c r="DZ46" s="153"/>
      <c r="EA46" s="153"/>
      <c r="EB46" s="153"/>
      <c r="EC46" s="153"/>
      <c r="ED46" s="153"/>
      <c r="EE46" s="153"/>
      <c r="EF46" s="153"/>
      <c r="EG46" s="153"/>
      <c r="EH46" s="153"/>
      <c r="EI46" s="153"/>
      <c r="EJ46" s="153"/>
      <c r="EK46" s="153"/>
      <c r="EL46" s="153"/>
      <c r="EM46" s="153"/>
      <c r="EN46" s="153"/>
      <c r="EO46" s="153"/>
      <c r="EP46" s="153"/>
      <c r="EQ46" s="153"/>
      <c r="ER46" s="153"/>
      <c r="ES46" s="153"/>
      <c r="ET46" s="153"/>
      <c r="EU46" s="153"/>
      <c r="EV46" s="153"/>
      <c r="EW46" s="153"/>
      <c r="EX46" s="153"/>
      <c r="EY46" s="153"/>
    </row>
    <row r="47" spans="1:155" s="64" customFormat="1" ht="12.75" customHeight="1" outlineLevel="1">
      <c r="A47" s="137"/>
      <c r="B47" s="133"/>
      <c r="C47" s="133"/>
      <c r="D47" s="133"/>
      <c r="E47" s="133"/>
      <c r="F47" s="176"/>
      <c r="G47" s="176"/>
      <c r="H47" s="133"/>
      <c r="I47" s="133"/>
      <c r="J47" s="133"/>
      <c r="K47" s="133"/>
      <c r="L47" s="133"/>
      <c r="M47" s="133"/>
      <c r="N47" s="137"/>
      <c r="O47" s="137"/>
      <c r="P47" s="137"/>
      <c r="Q47" s="137"/>
      <c r="R47" s="137"/>
      <c r="S47" s="137"/>
      <c r="T47" s="137"/>
      <c r="U47" s="137"/>
      <c r="V47" s="137"/>
      <c r="W47" s="137"/>
      <c r="X47" s="137"/>
      <c r="Y47" s="137"/>
      <c r="Z47" s="137"/>
      <c r="AA47" s="137"/>
      <c r="AB47" s="137"/>
      <c r="AC47" s="137"/>
      <c r="AD47" s="137"/>
      <c r="AE47" s="137"/>
      <c r="AF47" s="137"/>
      <c r="AG47" s="137"/>
      <c r="AH47" s="137"/>
      <c r="AI47" s="137"/>
      <c r="AJ47" s="137"/>
      <c r="AK47" s="137"/>
      <c r="AL47" s="137"/>
      <c r="AM47" s="137"/>
      <c r="AN47" s="137"/>
      <c r="AO47" s="137"/>
      <c r="AP47" s="137"/>
      <c r="AQ47" s="137"/>
      <c r="AR47" s="137"/>
      <c r="AS47" s="137"/>
      <c r="AT47" s="137"/>
      <c r="AU47" s="137"/>
      <c r="AV47" s="137"/>
      <c r="AW47" s="137"/>
      <c r="AX47" s="137"/>
      <c r="AY47" s="137"/>
      <c r="AZ47" s="137"/>
      <c r="BA47" s="137"/>
      <c r="BB47" s="137"/>
      <c r="BC47" s="137"/>
      <c r="BD47" s="137"/>
      <c r="BE47" s="137"/>
      <c r="BF47" s="137"/>
      <c r="BG47" s="137"/>
      <c r="BH47" s="137"/>
      <c r="BI47" s="137"/>
      <c r="BJ47" s="137"/>
      <c r="BK47" s="137"/>
      <c r="BL47" s="137"/>
      <c r="BM47" s="137"/>
      <c r="BN47" s="137"/>
      <c r="BO47" s="137"/>
      <c r="BP47" s="137"/>
      <c r="BQ47" s="137"/>
      <c r="BR47" s="137"/>
      <c r="BS47" s="137"/>
      <c r="BT47" s="137"/>
      <c r="BU47" s="137"/>
      <c r="BV47" s="137"/>
      <c r="BW47" s="137"/>
      <c r="BX47" s="137"/>
      <c r="BY47" s="137"/>
      <c r="BZ47" s="137"/>
      <c r="CA47" s="137"/>
      <c r="CB47" s="137"/>
      <c r="CC47" s="137"/>
      <c r="CD47" s="137"/>
      <c r="CE47" s="137"/>
      <c r="CF47" s="137"/>
      <c r="CG47" s="137"/>
      <c r="CH47" s="137"/>
      <c r="CI47" s="137"/>
      <c r="CJ47" s="137"/>
      <c r="CK47" s="137"/>
      <c r="CL47" s="137"/>
      <c r="CM47" s="137"/>
      <c r="CN47" s="137"/>
      <c r="CO47" s="137"/>
      <c r="CP47" s="137"/>
      <c r="CQ47" s="137"/>
      <c r="CR47" s="137"/>
      <c r="CS47" s="137"/>
      <c r="CT47" s="137"/>
      <c r="CU47" s="137"/>
      <c r="CV47" s="137"/>
      <c r="CW47" s="137"/>
      <c r="CX47" s="137"/>
      <c r="CY47" s="137"/>
      <c r="CZ47" s="137"/>
      <c r="DA47" s="137"/>
      <c r="DB47" s="137"/>
      <c r="DC47" s="137"/>
      <c r="DD47" s="137"/>
      <c r="DE47" s="137"/>
      <c r="DF47" s="137"/>
      <c r="DG47" s="137"/>
      <c r="DH47" s="137"/>
      <c r="DI47" s="137"/>
      <c r="DJ47" s="137"/>
      <c r="DK47" s="137"/>
      <c r="DL47" s="137"/>
      <c r="DM47" s="137"/>
      <c r="DN47" s="137"/>
      <c r="DO47" s="137"/>
      <c r="DP47" s="137"/>
      <c r="DQ47" s="137"/>
      <c r="DR47" s="137"/>
      <c r="DS47" s="137"/>
      <c r="DT47" s="137"/>
      <c r="DU47" s="137"/>
      <c r="DV47" s="137"/>
      <c r="DW47" s="137"/>
      <c r="DX47" s="137"/>
      <c r="DY47" s="137"/>
      <c r="DZ47" s="137"/>
      <c r="EA47" s="137"/>
      <c r="EB47" s="137"/>
      <c r="EC47" s="137"/>
      <c r="ED47" s="137"/>
      <c r="EE47" s="137"/>
      <c r="EF47" s="137"/>
      <c r="EG47" s="137"/>
      <c r="EH47" s="137"/>
      <c r="EI47" s="137"/>
      <c r="EJ47" s="137"/>
      <c r="EK47" s="137"/>
      <c r="EL47" s="137"/>
      <c r="EM47" s="137"/>
      <c r="EN47" s="137"/>
      <c r="EO47" s="137"/>
      <c r="EP47" s="137"/>
      <c r="EQ47" s="137"/>
      <c r="ER47" s="137"/>
      <c r="ES47" s="137"/>
      <c r="ET47" s="137"/>
      <c r="EU47" s="137"/>
      <c r="EV47" s="137"/>
      <c r="EW47" s="137"/>
      <c r="EX47" s="137"/>
      <c r="EY47" s="137"/>
    </row>
    <row r="48" spans="1:155" ht="4.5" customHeight="1" outlineLevel="1">
      <c r="A48" s="182"/>
      <c r="B48" s="183"/>
      <c r="C48" s="183"/>
      <c r="D48" s="183"/>
      <c r="E48" s="183"/>
      <c r="F48" s="183"/>
      <c r="G48" s="183"/>
      <c r="H48" s="185"/>
      <c r="I48" s="145"/>
      <c r="J48" s="145"/>
      <c r="K48" s="145"/>
      <c r="L48" s="145"/>
      <c r="M48" s="145"/>
      <c r="N48" s="145"/>
      <c r="O48" s="145"/>
      <c r="P48" s="145"/>
      <c r="Q48" s="145"/>
      <c r="R48" s="145"/>
      <c r="S48" s="145"/>
      <c r="T48" s="145"/>
      <c r="U48" s="145"/>
      <c r="V48" s="145"/>
      <c r="W48" s="145"/>
      <c r="X48" s="145"/>
      <c r="Y48" s="145"/>
      <c r="Z48" s="145"/>
      <c r="AA48" s="145"/>
      <c r="AB48" s="145"/>
      <c r="AC48" s="145"/>
      <c r="AD48" s="145"/>
      <c r="AE48" s="145"/>
      <c r="AF48" s="145"/>
      <c r="AG48" s="145"/>
      <c r="AH48" s="145"/>
      <c r="AI48" s="145"/>
      <c r="AJ48" s="145"/>
      <c r="AK48" s="145"/>
      <c r="AL48" s="145"/>
      <c r="AM48" s="145"/>
      <c r="AN48" s="145"/>
      <c r="AO48" s="145"/>
      <c r="AP48" s="145"/>
      <c r="AQ48" s="145"/>
      <c r="AR48" s="145"/>
      <c r="AS48" s="145"/>
      <c r="AT48" s="145"/>
      <c r="AU48" s="145"/>
      <c r="AV48" s="145"/>
      <c r="AW48" s="145"/>
      <c r="AX48" s="145"/>
      <c r="AY48" s="145"/>
      <c r="AZ48" s="145"/>
      <c r="BA48" s="145"/>
      <c r="BB48" s="145"/>
      <c r="BC48" s="145"/>
      <c r="BD48" s="145"/>
      <c r="BE48" s="145"/>
      <c r="BF48" s="145"/>
      <c r="BG48" s="145"/>
      <c r="BH48" s="145"/>
      <c r="BI48" s="145"/>
      <c r="BJ48" s="145"/>
      <c r="BK48" s="145"/>
      <c r="BL48" s="145"/>
      <c r="BM48" s="145"/>
      <c r="BN48" s="145"/>
      <c r="BO48" s="145"/>
      <c r="BP48" s="145"/>
      <c r="BQ48" s="145"/>
      <c r="BR48" s="145"/>
      <c r="BS48" s="145"/>
      <c r="BT48" s="145"/>
      <c r="BU48" s="145"/>
      <c r="BV48" s="145"/>
      <c r="BW48" s="145"/>
      <c r="BX48" s="145"/>
      <c r="BY48" s="145"/>
      <c r="BZ48" s="145"/>
      <c r="CA48" s="145"/>
      <c r="CB48" s="145"/>
      <c r="CC48" s="145"/>
      <c r="CD48" s="145"/>
      <c r="CE48" s="145"/>
      <c r="CF48" s="145"/>
      <c r="CG48" s="145"/>
      <c r="CH48" s="145"/>
      <c r="CI48" s="145"/>
      <c r="CJ48" s="145"/>
      <c r="CK48" s="145"/>
      <c r="CL48" s="145"/>
      <c r="CM48" s="145"/>
      <c r="CN48" s="145"/>
      <c r="CO48" s="145"/>
      <c r="CP48" s="145"/>
      <c r="CQ48" s="145"/>
      <c r="CR48" s="145"/>
      <c r="CS48" s="145"/>
      <c r="CT48" s="145"/>
      <c r="CU48" s="145"/>
      <c r="CV48" s="145"/>
      <c r="CW48" s="145"/>
      <c r="CX48" s="145"/>
      <c r="CY48" s="145"/>
      <c r="CZ48" s="145"/>
      <c r="DA48" s="145"/>
      <c r="DB48" s="145"/>
      <c r="DC48" s="145"/>
      <c r="DD48" s="145"/>
      <c r="DE48" s="145"/>
      <c r="DF48" s="145"/>
      <c r="DG48" s="145"/>
      <c r="DH48" s="145"/>
      <c r="DI48" s="145"/>
      <c r="DJ48" s="145"/>
      <c r="DK48" s="145"/>
      <c r="DL48" s="145"/>
      <c r="DM48" s="145"/>
      <c r="DN48" s="145"/>
      <c r="DO48" s="145"/>
      <c r="DP48" s="145"/>
      <c r="DQ48" s="145"/>
      <c r="DR48" s="145"/>
      <c r="DS48" s="145"/>
      <c r="DT48" s="145"/>
      <c r="DU48" s="145"/>
      <c r="DV48" s="145"/>
      <c r="DW48" s="145"/>
      <c r="DX48" s="145"/>
      <c r="DY48" s="145"/>
      <c r="DZ48" s="145"/>
      <c r="EA48" s="145"/>
      <c r="EB48" s="145"/>
      <c r="EC48" s="145"/>
      <c r="ED48" s="145"/>
      <c r="EE48" s="145"/>
      <c r="EF48" s="145"/>
      <c r="EG48" s="145"/>
      <c r="EH48" s="145"/>
      <c r="EI48" s="145"/>
      <c r="EJ48" s="145"/>
      <c r="EK48" s="145"/>
      <c r="EL48" s="145"/>
      <c r="EM48" s="145"/>
      <c r="EN48" s="145"/>
      <c r="EO48" s="145"/>
      <c r="EP48" s="145"/>
      <c r="EQ48" s="145"/>
      <c r="ER48" s="145"/>
      <c r="ES48" s="145"/>
      <c r="ET48" s="145"/>
      <c r="EU48" s="145"/>
      <c r="EV48" s="145"/>
      <c r="EW48" s="145"/>
      <c r="EX48" s="145"/>
      <c r="EY48" s="145"/>
    </row>
    <row r="49" spans="1:155" ht="12.75" customHeight="1" outlineLevel="1">
      <c r="A49" s="186">
        <v>1</v>
      </c>
      <c r="B49" s="188" t="str">
        <f>B14</f>
        <v>Indexation</v>
      </c>
      <c r="C49" s="187" t="str">
        <f>B49&amp;" is "&amp;Indexation</f>
        <v>Indexation is ON</v>
      </c>
      <c r="D49" s="188"/>
      <c r="E49" s="191" t="b">
        <f>IF(Indexation="ON",TRUE,FALSE)</f>
        <v>1</v>
      </c>
      <c r="F49" s="188"/>
      <c r="G49" s="188"/>
      <c r="H49" s="189"/>
      <c r="I49" s="145"/>
      <c r="J49" s="145"/>
      <c r="K49" s="145"/>
      <c r="L49" s="145"/>
      <c r="M49" s="145"/>
      <c r="N49" s="145"/>
      <c r="O49" s="145"/>
      <c r="P49" s="145"/>
      <c r="Q49" s="145"/>
      <c r="R49" s="145"/>
      <c r="S49" s="145"/>
      <c r="T49" s="145"/>
      <c r="U49" s="145"/>
      <c r="V49" s="145"/>
      <c r="W49" s="145"/>
      <c r="X49" s="145"/>
      <c r="Y49" s="145"/>
      <c r="Z49" s="145"/>
      <c r="AA49" s="145"/>
      <c r="AB49" s="145"/>
      <c r="AC49" s="145"/>
      <c r="AD49" s="145"/>
      <c r="AE49" s="145"/>
      <c r="AF49" s="145"/>
      <c r="AG49" s="145"/>
      <c r="AH49" s="145"/>
      <c r="AI49" s="145"/>
      <c r="AJ49" s="145"/>
      <c r="AK49" s="145"/>
      <c r="AL49" s="145"/>
      <c r="AM49" s="145"/>
      <c r="AN49" s="145"/>
      <c r="AO49" s="145"/>
      <c r="AP49" s="145"/>
      <c r="AQ49" s="145"/>
      <c r="AR49" s="145"/>
      <c r="AS49" s="145"/>
      <c r="AT49" s="145"/>
      <c r="AU49" s="145"/>
      <c r="AV49" s="145"/>
      <c r="AW49" s="145"/>
      <c r="AX49" s="145"/>
      <c r="AY49" s="145"/>
      <c r="AZ49" s="145"/>
      <c r="BA49" s="145"/>
      <c r="BB49" s="145"/>
      <c r="BC49" s="145"/>
      <c r="BD49" s="145"/>
      <c r="BE49" s="145"/>
      <c r="BF49" s="145"/>
      <c r="BG49" s="145"/>
      <c r="BH49" s="145"/>
      <c r="BI49" s="145"/>
      <c r="BJ49" s="145"/>
      <c r="BK49" s="145"/>
      <c r="BL49" s="145"/>
      <c r="BM49" s="145"/>
      <c r="BN49" s="145"/>
      <c r="BO49" s="145"/>
      <c r="BP49" s="145"/>
      <c r="BQ49" s="145"/>
      <c r="BR49" s="145"/>
      <c r="BS49" s="145"/>
      <c r="BT49" s="145"/>
      <c r="BU49" s="145"/>
      <c r="BV49" s="145"/>
      <c r="BW49" s="145"/>
      <c r="BX49" s="145"/>
      <c r="BY49" s="145"/>
      <c r="BZ49" s="145"/>
      <c r="CA49" s="145"/>
      <c r="CB49" s="145"/>
      <c r="CC49" s="145"/>
      <c r="CD49" s="145"/>
      <c r="CE49" s="145"/>
      <c r="CF49" s="145"/>
      <c r="CG49" s="145"/>
      <c r="CH49" s="145"/>
      <c r="CI49" s="145"/>
      <c r="CJ49" s="145"/>
      <c r="CK49" s="145"/>
      <c r="CL49" s="145"/>
      <c r="CM49" s="145"/>
      <c r="CN49" s="145"/>
      <c r="CO49" s="145"/>
      <c r="CP49" s="145"/>
      <c r="CQ49" s="145"/>
      <c r="CR49" s="145"/>
      <c r="CS49" s="145"/>
      <c r="CT49" s="145"/>
      <c r="CU49" s="145"/>
      <c r="CV49" s="145"/>
      <c r="CW49" s="145"/>
      <c r="CX49" s="145"/>
      <c r="CY49" s="145"/>
      <c r="CZ49" s="145"/>
      <c r="DA49" s="145"/>
      <c r="DB49" s="145"/>
      <c r="DC49" s="145"/>
      <c r="DD49" s="145"/>
      <c r="DE49" s="145"/>
      <c r="DF49" s="145"/>
      <c r="DG49" s="145"/>
      <c r="DH49" s="145"/>
      <c r="DI49" s="145"/>
      <c r="DJ49" s="145"/>
      <c r="DK49" s="145"/>
      <c r="DL49" s="145"/>
      <c r="DM49" s="145"/>
      <c r="DN49" s="145"/>
      <c r="DO49" s="145"/>
      <c r="DP49" s="145"/>
      <c r="DQ49" s="145"/>
      <c r="DR49" s="145"/>
      <c r="DS49" s="145"/>
      <c r="DT49" s="145"/>
      <c r="DU49" s="145"/>
      <c r="DV49" s="145"/>
      <c r="DW49" s="145"/>
      <c r="DX49" s="145"/>
      <c r="DY49" s="145"/>
      <c r="DZ49" s="145"/>
      <c r="EA49" s="145"/>
      <c r="EB49" s="145"/>
      <c r="EC49" s="145"/>
      <c r="ED49" s="145"/>
      <c r="EE49" s="145"/>
      <c r="EF49" s="145"/>
      <c r="EG49" s="145"/>
      <c r="EH49" s="145"/>
      <c r="EI49" s="145"/>
      <c r="EJ49" s="145"/>
      <c r="EK49" s="145"/>
      <c r="EL49" s="145"/>
      <c r="EM49" s="145"/>
      <c r="EN49" s="145"/>
      <c r="EO49" s="145"/>
      <c r="EP49" s="145"/>
      <c r="EQ49" s="145"/>
      <c r="ER49" s="145"/>
      <c r="ES49" s="145"/>
      <c r="ET49" s="145"/>
      <c r="EU49" s="145"/>
      <c r="EV49" s="145"/>
      <c r="EW49" s="145"/>
      <c r="EX49" s="145"/>
      <c r="EY49" s="145"/>
    </row>
    <row r="50" spans="1:155" ht="12.75" customHeight="1" outlineLevel="1">
      <c r="A50" s="186">
        <v>2</v>
      </c>
      <c r="B50" s="188" t="str">
        <f>B16</f>
        <v>Margin</v>
      </c>
      <c r="C50" s="187" t="str">
        <f>B50&amp;" is "&amp;Margin</f>
        <v>Margin is ON</v>
      </c>
      <c r="D50" s="188"/>
      <c r="E50" s="192" t="b">
        <f>IF(Margin="ON",TRUE,FALSE)</f>
        <v>1</v>
      </c>
      <c r="F50" s="188"/>
      <c r="G50" s="188"/>
      <c r="H50" s="189"/>
      <c r="I50" s="145"/>
      <c r="J50" s="145"/>
      <c r="K50" s="145"/>
      <c r="L50" s="145"/>
      <c r="M50" s="145"/>
      <c r="N50" s="145"/>
      <c r="O50" s="145"/>
      <c r="P50" s="145"/>
      <c r="Q50" s="145"/>
      <c r="R50" s="145"/>
      <c r="S50" s="145"/>
      <c r="T50" s="145"/>
      <c r="U50" s="145"/>
      <c r="V50" s="145"/>
      <c r="W50" s="145"/>
      <c r="X50" s="145"/>
      <c r="Y50" s="145"/>
      <c r="Z50" s="145"/>
      <c r="AA50" s="145"/>
      <c r="AB50" s="145"/>
      <c r="AC50" s="145"/>
      <c r="AD50" s="145"/>
      <c r="AE50" s="145"/>
      <c r="AF50" s="145"/>
      <c r="AG50" s="145"/>
      <c r="AH50" s="145"/>
      <c r="AI50" s="145"/>
      <c r="AJ50" s="145"/>
      <c r="AK50" s="145"/>
      <c r="AL50" s="145"/>
      <c r="AM50" s="145"/>
      <c r="AN50" s="145"/>
      <c r="AO50" s="145"/>
      <c r="AP50" s="145"/>
      <c r="AQ50" s="145"/>
      <c r="AR50" s="145"/>
      <c r="AS50" s="145"/>
      <c r="AT50" s="145"/>
      <c r="AU50" s="145"/>
      <c r="AV50" s="145"/>
      <c r="AW50" s="145"/>
      <c r="AX50" s="145"/>
      <c r="AY50" s="145"/>
      <c r="AZ50" s="145"/>
      <c r="BA50" s="145"/>
      <c r="BB50" s="145"/>
      <c r="BC50" s="145"/>
      <c r="BD50" s="145"/>
      <c r="BE50" s="145"/>
      <c r="BF50" s="145"/>
      <c r="BG50" s="145"/>
      <c r="BH50" s="145"/>
      <c r="BI50" s="145"/>
      <c r="BJ50" s="145"/>
      <c r="BK50" s="145"/>
      <c r="BL50" s="145"/>
      <c r="BM50" s="145"/>
      <c r="BN50" s="145"/>
      <c r="BO50" s="145"/>
      <c r="BP50" s="145"/>
      <c r="BQ50" s="145"/>
      <c r="BR50" s="145"/>
      <c r="BS50" s="145"/>
      <c r="BT50" s="145"/>
      <c r="BU50" s="145"/>
      <c r="BV50" s="145"/>
      <c r="BW50" s="145"/>
      <c r="BX50" s="145"/>
      <c r="BY50" s="145"/>
      <c r="BZ50" s="145"/>
      <c r="CA50" s="145"/>
      <c r="CB50" s="145"/>
      <c r="CC50" s="145"/>
      <c r="CD50" s="145"/>
      <c r="CE50" s="145"/>
      <c r="CF50" s="145"/>
      <c r="CG50" s="145"/>
      <c r="CH50" s="145"/>
      <c r="CI50" s="145"/>
      <c r="CJ50" s="145"/>
      <c r="CK50" s="145"/>
      <c r="CL50" s="145"/>
      <c r="CM50" s="145"/>
      <c r="CN50" s="145"/>
      <c r="CO50" s="145"/>
      <c r="CP50" s="145"/>
      <c r="CQ50" s="145"/>
      <c r="CR50" s="145"/>
      <c r="CS50" s="145"/>
      <c r="CT50" s="145"/>
      <c r="CU50" s="145"/>
      <c r="CV50" s="145"/>
      <c r="CW50" s="145"/>
      <c r="CX50" s="145"/>
      <c r="CY50" s="145"/>
      <c r="CZ50" s="145"/>
      <c r="DA50" s="145"/>
      <c r="DB50" s="145"/>
      <c r="DC50" s="145"/>
      <c r="DD50" s="145"/>
      <c r="DE50" s="145"/>
      <c r="DF50" s="145"/>
      <c r="DG50" s="145"/>
      <c r="DH50" s="145"/>
      <c r="DI50" s="145"/>
      <c r="DJ50" s="145"/>
      <c r="DK50" s="145"/>
      <c r="DL50" s="145"/>
      <c r="DM50" s="145"/>
      <c r="DN50" s="145"/>
      <c r="DO50" s="145"/>
      <c r="DP50" s="145"/>
      <c r="DQ50" s="145"/>
      <c r="DR50" s="145"/>
      <c r="DS50" s="145"/>
      <c r="DT50" s="145"/>
      <c r="DU50" s="145"/>
      <c r="DV50" s="145"/>
      <c r="DW50" s="145"/>
      <c r="DX50" s="145"/>
      <c r="DY50" s="145"/>
      <c r="DZ50" s="145"/>
      <c r="EA50" s="145"/>
      <c r="EB50" s="145"/>
      <c r="EC50" s="145"/>
      <c r="ED50" s="145"/>
      <c r="EE50" s="145"/>
      <c r="EF50" s="145"/>
      <c r="EG50" s="145"/>
      <c r="EH50" s="145"/>
      <c r="EI50" s="145"/>
      <c r="EJ50" s="145"/>
      <c r="EK50" s="145"/>
      <c r="EL50" s="145"/>
      <c r="EM50" s="145"/>
      <c r="EN50" s="145"/>
      <c r="EO50" s="145"/>
      <c r="EP50" s="145"/>
      <c r="EQ50" s="145"/>
      <c r="ER50" s="145"/>
      <c r="ES50" s="145"/>
      <c r="ET50" s="145"/>
      <c r="EU50" s="145"/>
      <c r="EV50" s="145"/>
      <c r="EW50" s="145"/>
      <c r="EX50" s="145"/>
      <c r="EY50" s="145"/>
    </row>
    <row r="51" spans="1:155" ht="12.75" customHeight="1" outlineLevel="1">
      <c r="A51" s="186">
        <v>3</v>
      </c>
      <c r="B51" s="188" t="str">
        <f>E15</f>
        <v>Discount</v>
      </c>
      <c r="C51" s="187" t="str">
        <f>B51&amp;"s are "&amp;Discount</f>
        <v>Discounts are ON</v>
      </c>
      <c r="D51" s="188"/>
      <c r="E51" s="192" t="b">
        <f>IF(Discount="ON",TRUE,FALSE)</f>
        <v>1</v>
      </c>
      <c r="F51" s="188"/>
      <c r="G51" s="188"/>
      <c r="H51" s="189"/>
      <c r="I51" s="145"/>
      <c r="J51" s="145"/>
      <c r="K51" s="145"/>
      <c r="L51" s="145"/>
      <c r="M51" s="145"/>
      <c r="N51" s="145"/>
      <c r="O51" s="145"/>
      <c r="P51" s="145"/>
      <c r="Q51" s="145"/>
      <c r="R51" s="145"/>
      <c r="S51" s="145"/>
      <c r="T51" s="145"/>
      <c r="U51" s="145"/>
      <c r="V51" s="145"/>
      <c r="W51" s="145"/>
      <c r="X51" s="145"/>
      <c r="Y51" s="145"/>
      <c r="Z51" s="145"/>
      <c r="AA51" s="145"/>
      <c r="AB51" s="145"/>
      <c r="AC51" s="145"/>
      <c r="AD51" s="145"/>
      <c r="AE51" s="145"/>
      <c r="AF51" s="145"/>
      <c r="AG51" s="145"/>
      <c r="AH51" s="145"/>
      <c r="AI51" s="145"/>
      <c r="AJ51" s="145"/>
      <c r="AK51" s="145"/>
      <c r="AL51" s="145"/>
      <c r="AM51" s="145"/>
      <c r="AN51" s="145"/>
      <c r="AO51" s="145"/>
      <c r="AP51" s="145"/>
      <c r="AQ51" s="145"/>
      <c r="AR51" s="145"/>
      <c r="AS51" s="145"/>
      <c r="AT51" s="145"/>
      <c r="AU51" s="145"/>
      <c r="AV51" s="145"/>
      <c r="AW51" s="145"/>
      <c r="AX51" s="145"/>
      <c r="AY51" s="145"/>
      <c r="AZ51" s="145"/>
      <c r="BA51" s="145"/>
      <c r="BB51" s="145"/>
      <c r="BC51" s="145"/>
      <c r="BD51" s="145"/>
      <c r="BE51" s="145"/>
      <c r="BF51" s="145"/>
      <c r="BG51" s="145"/>
      <c r="BH51" s="145"/>
      <c r="BI51" s="145"/>
      <c r="BJ51" s="145"/>
      <c r="BK51" s="145"/>
      <c r="BL51" s="145"/>
      <c r="BM51" s="145"/>
      <c r="BN51" s="145"/>
      <c r="BO51" s="145"/>
      <c r="BP51" s="145"/>
      <c r="BQ51" s="145"/>
      <c r="BR51" s="145"/>
      <c r="BS51" s="145"/>
      <c r="BT51" s="145"/>
      <c r="BU51" s="145"/>
      <c r="BV51" s="145"/>
      <c r="BW51" s="145"/>
      <c r="BX51" s="145"/>
      <c r="BY51" s="145"/>
      <c r="BZ51" s="145"/>
      <c r="CA51" s="145"/>
      <c r="CB51" s="145"/>
      <c r="CC51" s="145"/>
      <c r="CD51" s="145"/>
      <c r="CE51" s="145"/>
      <c r="CF51" s="145"/>
      <c r="CG51" s="145"/>
      <c r="CH51" s="145"/>
      <c r="CI51" s="145"/>
      <c r="CJ51" s="145"/>
      <c r="CK51" s="145"/>
      <c r="CL51" s="145"/>
      <c r="CM51" s="145"/>
      <c r="CN51" s="145"/>
      <c r="CO51" s="145"/>
      <c r="CP51" s="145"/>
      <c r="CQ51" s="145"/>
      <c r="CR51" s="145"/>
      <c r="CS51" s="145"/>
      <c r="CT51" s="145"/>
      <c r="CU51" s="145"/>
      <c r="CV51" s="145"/>
      <c r="CW51" s="145"/>
      <c r="CX51" s="145"/>
      <c r="CY51" s="145"/>
      <c r="CZ51" s="145"/>
      <c r="DA51" s="145"/>
      <c r="DB51" s="145"/>
      <c r="DC51" s="145"/>
      <c r="DD51" s="145"/>
      <c r="DE51" s="145"/>
      <c r="DF51" s="145"/>
      <c r="DG51" s="145"/>
      <c r="DH51" s="145"/>
      <c r="DI51" s="145"/>
      <c r="DJ51" s="145"/>
      <c r="DK51" s="145"/>
      <c r="DL51" s="145"/>
      <c r="DM51" s="145"/>
      <c r="DN51" s="145"/>
      <c r="DO51" s="145"/>
      <c r="DP51" s="145"/>
      <c r="DQ51" s="145"/>
      <c r="DR51" s="145"/>
      <c r="DS51" s="145"/>
      <c r="DT51" s="145"/>
      <c r="DU51" s="145"/>
      <c r="DV51" s="145"/>
      <c r="DW51" s="145"/>
      <c r="DX51" s="145"/>
      <c r="DY51" s="145"/>
      <c r="DZ51" s="145"/>
      <c r="EA51" s="145"/>
      <c r="EB51" s="145"/>
      <c r="EC51" s="145"/>
      <c r="ED51" s="145"/>
      <c r="EE51" s="145"/>
      <c r="EF51" s="145"/>
      <c r="EG51" s="145"/>
      <c r="EH51" s="145"/>
      <c r="EI51" s="145"/>
      <c r="EJ51" s="145"/>
      <c r="EK51" s="145"/>
      <c r="EL51" s="145"/>
      <c r="EM51" s="145"/>
      <c r="EN51" s="145"/>
      <c r="EO51" s="145"/>
      <c r="EP51" s="145"/>
      <c r="EQ51" s="145"/>
      <c r="ER51" s="145"/>
      <c r="ES51" s="145"/>
      <c r="ET51" s="145"/>
      <c r="EU51" s="145"/>
      <c r="EV51" s="145"/>
      <c r="EW51" s="145"/>
      <c r="EX51" s="145"/>
      <c r="EY51" s="145"/>
    </row>
    <row r="52" spans="1:155" ht="12.75" customHeight="1" outlineLevel="1">
      <c r="A52" s="186">
        <v>4</v>
      </c>
      <c r="B52" s="188" t="str">
        <f>E14</f>
        <v>Charging Profiles</v>
      </c>
      <c r="C52" s="187" t="str">
        <f>B52&amp;" are "&amp;Milestones</f>
        <v>Charging Profiles are ON</v>
      </c>
      <c r="D52" s="188"/>
      <c r="E52" s="192" t="b">
        <f>IF(Milestones="ON",TRUE,FALSE)</f>
        <v>1</v>
      </c>
      <c r="F52" s="188"/>
      <c r="G52" s="188"/>
      <c r="H52" s="189"/>
      <c r="I52" s="145"/>
      <c r="J52" s="145"/>
      <c r="K52" s="145"/>
      <c r="L52" s="145"/>
      <c r="M52" s="145"/>
      <c r="N52" s="145"/>
      <c r="O52" s="145"/>
      <c r="P52" s="145"/>
      <c r="Q52" s="145"/>
      <c r="R52" s="145"/>
      <c r="S52" s="145"/>
      <c r="T52" s="145"/>
      <c r="U52" s="145"/>
      <c r="V52" s="145"/>
      <c r="W52" s="145"/>
      <c r="X52" s="145"/>
      <c r="Y52" s="145"/>
      <c r="Z52" s="145"/>
      <c r="AA52" s="145"/>
      <c r="AB52" s="145"/>
      <c r="AC52" s="145"/>
      <c r="AD52" s="145"/>
      <c r="AE52" s="145"/>
      <c r="AF52" s="145"/>
      <c r="AG52" s="145"/>
      <c r="AH52" s="145"/>
      <c r="AI52" s="145"/>
      <c r="AJ52" s="145"/>
      <c r="AK52" s="145"/>
      <c r="AL52" s="145"/>
      <c r="AM52" s="145"/>
      <c r="AN52" s="145"/>
      <c r="AO52" s="145"/>
      <c r="AP52" s="145"/>
      <c r="AQ52" s="145"/>
      <c r="AR52" s="145"/>
      <c r="AS52" s="145"/>
      <c r="AT52" s="145"/>
      <c r="AU52" s="145"/>
      <c r="AV52" s="145"/>
      <c r="AW52" s="145"/>
      <c r="AX52" s="145"/>
      <c r="AY52" s="145"/>
      <c r="AZ52" s="145"/>
      <c r="BA52" s="145"/>
      <c r="BB52" s="145"/>
      <c r="BC52" s="145"/>
      <c r="BD52" s="145"/>
      <c r="BE52" s="145"/>
      <c r="BF52" s="145"/>
      <c r="BG52" s="145"/>
      <c r="BH52" s="145"/>
      <c r="BI52" s="145"/>
      <c r="BJ52" s="145"/>
      <c r="BK52" s="145"/>
      <c r="BL52" s="145"/>
      <c r="BM52" s="145"/>
      <c r="BN52" s="145"/>
      <c r="BO52" s="145"/>
      <c r="BP52" s="145"/>
      <c r="BQ52" s="145"/>
      <c r="BR52" s="145"/>
      <c r="BS52" s="145"/>
      <c r="BT52" s="145"/>
      <c r="BU52" s="145"/>
      <c r="BV52" s="145"/>
      <c r="BW52" s="145"/>
      <c r="BX52" s="145"/>
      <c r="BY52" s="145"/>
      <c r="BZ52" s="145"/>
      <c r="CA52" s="145"/>
      <c r="CB52" s="145"/>
      <c r="CC52" s="145"/>
      <c r="CD52" s="145"/>
      <c r="CE52" s="145"/>
      <c r="CF52" s="145"/>
      <c r="CG52" s="145"/>
      <c r="CH52" s="145"/>
      <c r="CI52" s="145"/>
      <c r="CJ52" s="145"/>
      <c r="CK52" s="145"/>
      <c r="CL52" s="145"/>
      <c r="CM52" s="145"/>
      <c r="CN52" s="145"/>
      <c r="CO52" s="145"/>
      <c r="CP52" s="145"/>
      <c r="CQ52" s="145"/>
      <c r="CR52" s="145"/>
      <c r="CS52" s="145"/>
      <c r="CT52" s="145"/>
      <c r="CU52" s="145"/>
      <c r="CV52" s="145"/>
      <c r="CW52" s="145"/>
      <c r="CX52" s="145"/>
      <c r="CY52" s="145"/>
      <c r="CZ52" s="145"/>
      <c r="DA52" s="145"/>
      <c r="DB52" s="145"/>
      <c r="DC52" s="145"/>
      <c r="DD52" s="145"/>
      <c r="DE52" s="145"/>
      <c r="DF52" s="145"/>
      <c r="DG52" s="145"/>
      <c r="DH52" s="145"/>
      <c r="DI52" s="145"/>
      <c r="DJ52" s="145"/>
      <c r="DK52" s="145"/>
      <c r="DL52" s="145"/>
      <c r="DM52" s="145"/>
      <c r="DN52" s="145"/>
      <c r="DO52" s="145"/>
      <c r="DP52" s="145"/>
      <c r="DQ52" s="145"/>
      <c r="DR52" s="145"/>
      <c r="DS52" s="145"/>
      <c r="DT52" s="145"/>
      <c r="DU52" s="145"/>
      <c r="DV52" s="145"/>
      <c r="DW52" s="145"/>
      <c r="DX52" s="145"/>
      <c r="DY52" s="145"/>
      <c r="DZ52" s="145"/>
      <c r="EA52" s="145"/>
      <c r="EB52" s="145"/>
      <c r="EC52" s="145"/>
      <c r="ED52" s="145"/>
      <c r="EE52" s="145"/>
      <c r="EF52" s="145"/>
      <c r="EG52" s="145"/>
      <c r="EH52" s="145"/>
      <c r="EI52" s="145"/>
      <c r="EJ52" s="145"/>
      <c r="EK52" s="145"/>
      <c r="EL52" s="145"/>
      <c r="EM52" s="145"/>
      <c r="EN52" s="145"/>
      <c r="EO52" s="145"/>
      <c r="EP52" s="145"/>
      <c r="EQ52" s="145"/>
      <c r="ER52" s="145"/>
      <c r="ES52" s="145"/>
      <c r="ET52" s="145"/>
      <c r="EU52" s="145"/>
      <c r="EV52" s="145"/>
      <c r="EW52" s="145"/>
      <c r="EX52" s="145"/>
      <c r="EY52" s="145"/>
    </row>
    <row r="53" spans="1:155" ht="12.75" customHeight="1" outlineLevel="1">
      <c r="A53" s="186">
        <v>5</v>
      </c>
      <c r="B53" s="188" t="str">
        <f>E16</f>
        <v>Cost Of Money</v>
      </c>
      <c r="C53" s="187" t="str">
        <f>B53&amp;" is "&amp;CostOfMoney</f>
        <v>Cost Of Money is ON</v>
      </c>
      <c r="D53" s="188"/>
      <c r="E53" s="192" t="b">
        <f>IF(CostOfMoney="ON",TRUE,FALSE)</f>
        <v>1</v>
      </c>
      <c r="F53" s="188"/>
      <c r="G53" s="188"/>
      <c r="H53" s="189"/>
      <c r="I53" s="145"/>
      <c r="J53" s="145"/>
      <c r="K53" s="145"/>
      <c r="L53" s="145"/>
      <c r="M53" s="145"/>
      <c r="N53" s="145"/>
      <c r="O53" s="145"/>
      <c r="P53" s="145"/>
      <c r="Q53" s="145"/>
      <c r="R53" s="145"/>
      <c r="S53" s="145"/>
      <c r="T53" s="145"/>
      <c r="U53" s="145"/>
      <c r="V53" s="145"/>
      <c r="W53" s="145"/>
      <c r="X53" s="145"/>
      <c r="Y53" s="145"/>
      <c r="Z53" s="145"/>
      <c r="AA53" s="145"/>
      <c r="AB53" s="145"/>
      <c r="AC53" s="145"/>
      <c r="AD53" s="145"/>
      <c r="AE53" s="145"/>
      <c r="AF53" s="145"/>
      <c r="AG53" s="145"/>
      <c r="AH53" s="145"/>
      <c r="AI53" s="145"/>
      <c r="AJ53" s="145"/>
      <c r="AK53" s="145"/>
      <c r="AL53" s="145"/>
      <c r="AM53" s="145"/>
      <c r="AN53" s="145"/>
      <c r="AO53" s="145"/>
      <c r="AP53" s="145"/>
      <c r="AQ53" s="145"/>
      <c r="AR53" s="145"/>
      <c r="AS53" s="145"/>
      <c r="AT53" s="145"/>
      <c r="AU53" s="145"/>
      <c r="AV53" s="145"/>
      <c r="AW53" s="145"/>
      <c r="AX53" s="145"/>
      <c r="AY53" s="145"/>
      <c r="AZ53" s="145"/>
      <c r="BA53" s="145"/>
      <c r="BB53" s="145"/>
      <c r="BC53" s="145"/>
      <c r="BD53" s="145"/>
      <c r="BE53" s="145"/>
      <c r="BF53" s="145"/>
      <c r="BG53" s="145"/>
      <c r="BH53" s="145"/>
      <c r="BI53" s="145"/>
      <c r="BJ53" s="145"/>
      <c r="BK53" s="145"/>
      <c r="BL53" s="145"/>
      <c r="BM53" s="145"/>
      <c r="BN53" s="145"/>
      <c r="BO53" s="145"/>
      <c r="BP53" s="145"/>
      <c r="BQ53" s="145"/>
      <c r="BR53" s="145"/>
      <c r="BS53" s="145"/>
      <c r="BT53" s="145"/>
      <c r="BU53" s="145"/>
      <c r="BV53" s="145"/>
      <c r="BW53" s="145"/>
      <c r="BX53" s="145"/>
      <c r="BY53" s="145"/>
      <c r="BZ53" s="145"/>
      <c r="CA53" s="145"/>
      <c r="CB53" s="145"/>
      <c r="CC53" s="145"/>
      <c r="CD53" s="145"/>
      <c r="CE53" s="145"/>
      <c r="CF53" s="145"/>
      <c r="CG53" s="145"/>
      <c r="CH53" s="145"/>
      <c r="CI53" s="145"/>
      <c r="CJ53" s="145"/>
      <c r="CK53" s="145"/>
      <c r="CL53" s="145"/>
      <c r="CM53" s="145"/>
      <c r="CN53" s="145"/>
      <c r="CO53" s="145"/>
      <c r="CP53" s="145"/>
      <c r="CQ53" s="145"/>
      <c r="CR53" s="145"/>
      <c r="CS53" s="145"/>
      <c r="CT53" s="145"/>
      <c r="CU53" s="145"/>
      <c r="CV53" s="145"/>
      <c r="CW53" s="145"/>
      <c r="CX53" s="145"/>
      <c r="CY53" s="145"/>
      <c r="CZ53" s="145"/>
      <c r="DA53" s="145"/>
      <c r="DB53" s="145"/>
      <c r="DC53" s="145"/>
      <c r="DD53" s="145"/>
      <c r="DE53" s="145"/>
      <c r="DF53" s="145"/>
      <c r="DG53" s="145"/>
      <c r="DH53" s="145"/>
      <c r="DI53" s="145"/>
      <c r="DJ53" s="145"/>
      <c r="DK53" s="145"/>
      <c r="DL53" s="145"/>
      <c r="DM53" s="145"/>
      <c r="DN53" s="145"/>
      <c r="DO53" s="145"/>
      <c r="DP53" s="145"/>
      <c r="DQ53" s="145"/>
      <c r="DR53" s="145"/>
      <c r="DS53" s="145"/>
      <c r="DT53" s="145"/>
      <c r="DU53" s="145"/>
      <c r="DV53" s="145"/>
      <c r="DW53" s="145"/>
      <c r="DX53" s="145"/>
      <c r="DY53" s="145"/>
      <c r="DZ53" s="145"/>
      <c r="EA53" s="145"/>
      <c r="EB53" s="145"/>
      <c r="EC53" s="145"/>
      <c r="ED53" s="145"/>
      <c r="EE53" s="145"/>
      <c r="EF53" s="145"/>
      <c r="EG53" s="145"/>
      <c r="EH53" s="145"/>
      <c r="EI53" s="145"/>
      <c r="EJ53" s="145"/>
      <c r="EK53" s="145"/>
      <c r="EL53" s="145"/>
      <c r="EM53" s="145"/>
      <c r="EN53" s="145"/>
      <c r="EO53" s="145"/>
      <c r="EP53" s="145"/>
      <c r="EQ53" s="145"/>
      <c r="ER53" s="145"/>
      <c r="ES53" s="145"/>
      <c r="ET53" s="145"/>
      <c r="EU53" s="145"/>
      <c r="EV53" s="145"/>
      <c r="EW53" s="145"/>
      <c r="EX53" s="145"/>
      <c r="EY53" s="145"/>
    </row>
    <row r="54" spans="1:155" ht="12.75" customHeight="1" outlineLevel="1">
      <c r="A54" s="186">
        <v>6</v>
      </c>
      <c r="B54" s="188" t="str">
        <f>H14</f>
        <v>Financing</v>
      </c>
      <c r="C54" s="187" t="str">
        <f>B54&amp;" is "&amp;Financing</f>
        <v>Financing is ON</v>
      </c>
      <c r="D54" s="188"/>
      <c r="E54" s="192" t="b">
        <f>IF(Financing="ON",TRUE,FALSE)</f>
        <v>1</v>
      </c>
      <c r="F54" s="188"/>
      <c r="G54" s="188"/>
      <c r="H54" s="189"/>
      <c r="I54" s="145"/>
      <c r="J54" s="145"/>
      <c r="K54" s="145"/>
      <c r="L54" s="145"/>
      <c r="M54" s="145"/>
      <c r="N54" s="145"/>
      <c r="O54" s="145"/>
      <c r="P54" s="145"/>
      <c r="Q54" s="145"/>
      <c r="R54" s="145"/>
      <c r="S54" s="145"/>
      <c r="T54" s="145"/>
      <c r="U54" s="145"/>
      <c r="V54" s="145"/>
      <c r="W54" s="145"/>
      <c r="X54" s="145"/>
      <c r="Y54" s="145"/>
      <c r="Z54" s="145"/>
      <c r="AA54" s="145"/>
      <c r="AB54" s="145"/>
      <c r="AC54" s="145"/>
      <c r="AD54" s="145"/>
      <c r="AE54" s="145"/>
      <c r="AF54" s="145"/>
      <c r="AG54" s="145"/>
      <c r="AH54" s="145"/>
      <c r="AI54" s="145"/>
      <c r="AJ54" s="145"/>
      <c r="AK54" s="145"/>
      <c r="AL54" s="145"/>
      <c r="AM54" s="145"/>
      <c r="AN54" s="145"/>
      <c r="AO54" s="145"/>
      <c r="AP54" s="145"/>
      <c r="AQ54" s="145"/>
      <c r="AR54" s="145"/>
      <c r="AS54" s="145"/>
      <c r="AT54" s="145"/>
      <c r="AU54" s="145"/>
      <c r="AV54" s="145"/>
      <c r="AW54" s="145"/>
      <c r="AX54" s="145"/>
      <c r="AY54" s="145"/>
      <c r="AZ54" s="145"/>
      <c r="BA54" s="145"/>
      <c r="BB54" s="145"/>
      <c r="BC54" s="145"/>
      <c r="BD54" s="145"/>
      <c r="BE54" s="145"/>
      <c r="BF54" s="145"/>
      <c r="BG54" s="145"/>
      <c r="BH54" s="145"/>
      <c r="BI54" s="145"/>
      <c r="BJ54" s="145"/>
      <c r="BK54" s="145"/>
      <c r="BL54" s="145"/>
      <c r="BM54" s="145"/>
      <c r="BN54" s="145"/>
      <c r="BO54" s="145"/>
      <c r="BP54" s="145"/>
      <c r="BQ54" s="145"/>
      <c r="BR54" s="145"/>
      <c r="BS54" s="145"/>
      <c r="BT54" s="145"/>
      <c r="BU54" s="145"/>
      <c r="BV54" s="145"/>
      <c r="BW54" s="145"/>
      <c r="BX54" s="145"/>
      <c r="BY54" s="145"/>
      <c r="BZ54" s="145"/>
      <c r="CA54" s="145"/>
      <c r="CB54" s="145"/>
      <c r="CC54" s="145"/>
      <c r="CD54" s="145"/>
      <c r="CE54" s="145"/>
      <c r="CF54" s="145"/>
      <c r="CG54" s="145"/>
      <c r="CH54" s="145"/>
      <c r="CI54" s="145"/>
      <c r="CJ54" s="145"/>
      <c r="CK54" s="145"/>
      <c r="CL54" s="145"/>
      <c r="CM54" s="145"/>
      <c r="CN54" s="145"/>
      <c r="CO54" s="145"/>
      <c r="CP54" s="145"/>
      <c r="CQ54" s="145"/>
      <c r="CR54" s="145"/>
      <c r="CS54" s="145"/>
      <c r="CT54" s="145"/>
      <c r="CU54" s="145"/>
      <c r="CV54" s="145"/>
      <c r="CW54" s="145"/>
      <c r="CX54" s="145"/>
      <c r="CY54" s="145"/>
      <c r="CZ54" s="145"/>
      <c r="DA54" s="145"/>
      <c r="DB54" s="145"/>
      <c r="DC54" s="145"/>
      <c r="DD54" s="145"/>
      <c r="DE54" s="145"/>
      <c r="DF54" s="145"/>
      <c r="DG54" s="145"/>
      <c r="DH54" s="145"/>
      <c r="DI54" s="145"/>
      <c r="DJ54" s="145"/>
      <c r="DK54" s="145"/>
      <c r="DL54" s="145"/>
      <c r="DM54" s="145"/>
      <c r="DN54" s="145"/>
      <c r="DO54" s="145"/>
      <c r="DP54" s="145"/>
      <c r="DQ54" s="145"/>
      <c r="DR54" s="145"/>
      <c r="DS54" s="145"/>
      <c r="DT54" s="145"/>
      <c r="DU54" s="145"/>
      <c r="DV54" s="145"/>
      <c r="DW54" s="145"/>
      <c r="DX54" s="145"/>
      <c r="DY54" s="145"/>
      <c r="DZ54" s="145"/>
      <c r="EA54" s="145"/>
      <c r="EB54" s="145"/>
      <c r="EC54" s="145"/>
      <c r="ED54" s="145"/>
      <c r="EE54" s="145"/>
      <c r="EF54" s="145"/>
      <c r="EG54" s="145"/>
      <c r="EH54" s="145"/>
      <c r="EI54" s="145"/>
      <c r="EJ54" s="145"/>
      <c r="EK54" s="145"/>
      <c r="EL54" s="145"/>
      <c r="EM54" s="145"/>
      <c r="EN54" s="145"/>
      <c r="EO54" s="145"/>
      <c r="EP54" s="145"/>
      <c r="EQ54" s="145"/>
      <c r="ER54" s="145"/>
      <c r="ES54" s="145"/>
      <c r="ET54" s="145"/>
      <c r="EU54" s="145"/>
      <c r="EV54" s="145"/>
      <c r="EW54" s="145"/>
      <c r="EX54" s="145"/>
      <c r="EY54" s="145"/>
    </row>
    <row r="55" spans="1:155" ht="12.75" customHeight="1" outlineLevel="1">
      <c r="A55" s="186">
        <v>7</v>
      </c>
      <c r="B55" s="188" t="str">
        <f>K16</f>
        <v>Output Currency</v>
      </c>
      <c r="C55" s="187" t="e">
        <f>B55&amp;" is "&amp;E55</f>
        <v>#VALUE!</v>
      </c>
      <c r="D55" s="188"/>
      <c r="E55" s="193" t="e">
        <v>#VALUE!</v>
      </c>
      <c r="F55" s="194"/>
      <c r="G55" s="188"/>
      <c r="H55" s="189"/>
      <c r="I55" s="145"/>
      <c r="J55" s="145"/>
      <c r="K55" s="145"/>
      <c r="L55" s="145"/>
      <c r="M55" s="145"/>
      <c r="N55" s="145"/>
      <c r="O55" s="145"/>
      <c r="P55" s="145"/>
      <c r="Q55" s="145"/>
      <c r="R55" s="145"/>
      <c r="S55" s="145"/>
      <c r="T55" s="145"/>
      <c r="U55" s="145"/>
      <c r="V55" s="145"/>
      <c r="W55" s="145"/>
      <c r="X55" s="145"/>
      <c r="Y55" s="145"/>
      <c r="Z55" s="145"/>
      <c r="AA55" s="145"/>
      <c r="AB55" s="145"/>
      <c r="AC55" s="145"/>
      <c r="AD55" s="145"/>
      <c r="AE55" s="145"/>
      <c r="AF55" s="145"/>
      <c r="AG55" s="145"/>
      <c r="AH55" s="145"/>
      <c r="AI55" s="145"/>
      <c r="AJ55" s="145"/>
      <c r="AK55" s="145"/>
      <c r="AL55" s="145"/>
      <c r="AM55" s="145"/>
      <c r="AN55" s="145"/>
      <c r="AO55" s="145"/>
      <c r="AP55" s="145"/>
      <c r="AQ55" s="145"/>
      <c r="AR55" s="145"/>
      <c r="AS55" s="145"/>
      <c r="AT55" s="145"/>
      <c r="AU55" s="145"/>
      <c r="AV55" s="145"/>
      <c r="AW55" s="145"/>
      <c r="AX55" s="145"/>
      <c r="AY55" s="145"/>
      <c r="AZ55" s="145"/>
      <c r="BA55" s="145"/>
      <c r="BB55" s="145"/>
      <c r="BC55" s="145"/>
      <c r="BD55" s="145"/>
      <c r="BE55" s="145"/>
      <c r="BF55" s="145"/>
      <c r="BG55" s="145"/>
      <c r="BH55" s="145"/>
      <c r="BI55" s="145"/>
      <c r="BJ55" s="145"/>
      <c r="BK55" s="145"/>
      <c r="BL55" s="145"/>
      <c r="BM55" s="145"/>
      <c r="BN55" s="145"/>
      <c r="BO55" s="145"/>
      <c r="BP55" s="145"/>
      <c r="BQ55" s="145"/>
      <c r="BR55" s="145"/>
      <c r="BS55" s="145"/>
      <c r="BT55" s="145"/>
      <c r="BU55" s="145"/>
      <c r="BV55" s="145"/>
      <c r="BW55" s="145"/>
      <c r="BX55" s="145"/>
      <c r="BY55" s="145"/>
      <c r="BZ55" s="145"/>
      <c r="CA55" s="145"/>
      <c r="CB55" s="145"/>
      <c r="CC55" s="145"/>
      <c r="CD55" s="145"/>
      <c r="CE55" s="145"/>
      <c r="CF55" s="145"/>
      <c r="CG55" s="145"/>
      <c r="CH55" s="145"/>
      <c r="CI55" s="145"/>
      <c r="CJ55" s="145"/>
      <c r="CK55" s="145"/>
      <c r="CL55" s="145"/>
      <c r="CM55" s="145"/>
      <c r="CN55" s="145"/>
      <c r="CO55" s="145"/>
      <c r="CP55" s="145"/>
      <c r="CQ55" s="145"/>
      <c r="CR55" s="145"/>
      <c r="CS55" s="145"/>
      <c r="CT55" s="145"/>
      <c r="CU55" s="145"/>
      <c r="CV55" s="145"/>
      <c r="CW55" s="145"/>
      <c r="CX55" s="145"/>
      <c r="CY55" s="145"/>
      <c r="CZ55" s="145"/>
      <c r="DA55" s="145"/>
      <c r="DB55" s="145"/>
      <c r="DC55" s="145"/>
      <c r="DD55" s="145"/>
      <c r="DE55" s="145"/>
      <c r="DF55" s="145"/>
      <c r="DG55" s="145"/>
      <c r="DH55" s="145"/>
      <c r="DI55" s="145"/>
      <c r="DJ55" s="145"/>
      <c r="DK55" s="145"/>
      <c r="DL55" s="145"/>
      <c r="DM55" s="145"/>
      <c r="DN55" s="145"/>
      <c r="DO55" s="145"/>
      <c r="DP55" s="145"/>
      <c r="DQ55" s="145"/>
      <c r="DR55" s="145"/>
      <c r="DS55" s="145"/>
      <c r="DT55" s="145"/>
      <c r="DU55" s="145"/>
      <c r="DV55" s="145"/>
      <c r="DW55" s="145"/>
      <c r="DX55" s="145"/>
      <c r="DY55" s="145"/>
      <c r="DZ55" s="145"/>
      <c r="EA55" s="145"/>
      <c r="EB55" s="145"/>
      <c r="EC55" s="145"/>
      <c r="ED55" s="145"/>
      <c r="EE55" s="145"/>
      <c r="EF55" s="145"/>
      <c r="EG55" s="145"/>
      <c r="EH55" s="145"/>
      <c r="EI55" s="145"/>
      <c r="EJ55" s="145"/>
      <c r="EK55" s="145"/>
      <c r="EL55" s="145"/>
      <c r="EM55" s="145"/>
      <c r="EN55" s="145"/>
      <c r="EO55" s="145"/>
      <c r="EP55" s="145"/>
      <c r="EQ55" s="145"/>
      <c r="ER55" s="145"/>
      <c r="ES55" s="145"/>
      <c r="ET55" s="145"/>
      <c r="EU55" s="145"/>
      <c r="EV55" s="145"/>
      <c r="EW55" s="145"/>
      <c r="EX55" s="145"/>
      <c r="EY55" s="145"/>
    </row>
    <row r="56" spans="1:155" ht="12.75" customHeight="1" outlineLevel="1">
      <c r="A56" s="186">
        <v>8</v>
      </c>
      <c r="B56" s="188" t="str">
        <f>H15</f>
        <v>Overhead Spread</v>
      </c>
      <c r="C56" s="187" t="str">
        <f>B56&amp;" is "&amp;Servicing</f>
        <v>Overhead Spread is ON</v>
      </c>
      <c r="D56" s="188"/>
      <c r="E56" s="192" t="b">
        <f>IF(Servicing="ON",TRUE,FALSE)</f>
        <v>1</v>
      </c>
      <c r="F56" s="188"/>
      <c r="G56" s="188"/>
      <c r="H56" s="189"/>
      <c r="I56" s="145"/>
      <c r="J56" s="145"/>
      <c r="K56" s="145"/>
      <c r="L56" s="145"/>
      <c r="M56" s="145"/>
      <c r="N56" s="145"/>
      <c r="O56" s="145"/>
      <c r="P56" s="145"/>
      <c r="Q56" s="145"/>
      <c r="R56" s="145"/>
      <c r="S56" s="145"/>
      <c r="T56" s="145"/>
      <c r="U56" s="145"/>
      <c r="V56" s="145"/>
      <c r="W56" s="145"/>
      <c r="X56" s="145"/>
      <c r="Y56" s="145"/>
      <c r="Z56" s="145"/>
      <c r="AA56" s="145"/>
      <c r="AB56" s="145"/>
      <c r="AC56" s="145"/>
      <c r="AD56" s="145"/>
      <c r="AE56" s="145"/>
      <c r="AF56" s="145"/>
      <c r="AG56" s="145"/>
      <c r="AH56" s="145"/>
      <c r="AI56" s="145"/>
      <c r="AJ56" s="145"/>
      <c r="AK56" s="145"/>
      <c r="AL56" s="145"/>
      <c r="AM56" s="145"/>
      <c r="AN56" s="145"/>
      <c r="AO56" s="145"/>
      <c r="AP56" s="145"/>
      <c r="AQ56" s="145"/>
      <c r="AR56" s="145"/>
      <c r="AS56" s="145"/>
      <c r="AT56" s="145"/>
      <c r="AU56" s="145"/>
      <c r="AV56" s="145"/>
      <c r="AW56" s="145"/>
      <c r="AX56" s="145"/>
      <c r="AY56" s="145"/>
      <c r="AZ56" s="145"/>
      <c r="BA56" s="145"/>
      <c r="BB56" s="145"/>
      <c r="BC56" s="145"/>
      <c r="BD56" s="145"/>
      <c r="BE56" s="145"/>
      <c r="BF56" s="145"/>
      <c r="BG56" s="145"/>
      <c r="BH56" s="145"/>
      <c r="BI56" s="145"/>
      <c r="BJ56" s="145"/>
      <c r="BK56" s="145"/>
      <c r="BL56" s="145"/>
      <c r="BM56" s="145"/>
      <c r="BN56" s="145"/>
      <c r="BO56" s="145"/>
      <c r="BP56" s="145"/>
      <c r="BQ56" s="145"/>
      <c r="BR56" s="145"/>
      <c r="BS56" s="145"/>
      <c r="BT56" s="145"/>
      <c r="BU56" s="145"/>
      <c r="BV56" s="145"/>
      <c r="BW56" s="145"/>
      <c r="BX56" s="145"/>
      <c r="BY56" s="145"/>
      <c r="BZ56" s="145"/>
      <c r="CA56" s="145"/>
      <c r="CB56" s="145"/>
      <c r="CC56" s="145"/>
      <c r="CD56" s="145"/>
      <c r="CE56" s="145"/>
      <c r="CF56" s="145"/>
      <c r="CG56" s="145"/>
      <c r="CH56" s="145"/>
      <c r="CI56" s="145"/>
      <c r="CJ56" s="145"/>
      <c r="CK56" s="145"/>
      <c r="CL56" s="145"/>
      <c r="CM56" s="145"/>
      <c r="CN56" s="145"/>
      <c r="CO56" s="145"/>
      <c r="CP56" s="145"/>
      <c r="CQ56" s="145"/>
      <c r="CR56" s="145"/>
      <c r="CS56" s="145"/>
      <c r="CT56" s="145"/>
      <c r="CU56" s="145"/>
      <c r="CV56" s="145"/>
      <c r="CW56" s="145"/>
      <c r="CX56" s="145"/>
      <c r="CY56" s="145"/>
      <c r="CZ56" s="145"/>
      <c r="DA56" s="145"/>
      <c r="DB56" s="145"/>
      <c r="DC56" s="145"/>
      <c r="DD56" s="145"/>
      <c r="DE56" s="145"/>
      <c r="DF56" s="145"/>
      <c r="DG56" s="145"/>
      <c r="DH56" s="145"/>
      <c r="DI56" s="145"/>
      <c r="DJ56" s="145"/>
      <c r="DK56" s="145"/>
      <c r="DL56" s="145"/>
      <c r="DM56" s="145"/>
      <c r="DN56" s="145"/>
      <c r="DO56" s="145"/>
      <c r="DP56" s="145"/>
      <c r="DQ56" s="145"/>
      <c r="DR56" s="145"/>
      <c r="DS56" s="145"/>
      <c r="DT56" s="145"/>
      <c r="DU56" s="145"/>
      <c r="DV56" s="145"/>
      <c r="DW56" s="145"/>
      <c r="DX56" s="145"/>
      <c r="DY56" s="145"/>
      <c r="DZ56" s="145"/>
      <c r="EA56" s="145"/>
      <c r="EB56" s="145"/>
      <c r="EC56" s="145"/>
      <c r="ED56" s="145"/>
      <c r="EE56" s="145"/>
      <c r="EF56" s="145"/>
      <c r="EG56" s="145"/>
      <c r="EH56" s="145"/>
      <c r="EI56" s="145"/>
      <c r="EJ56" s="145"/>
      <c r="EK56" s="145"/>
      <c r="EL56" s="145"/>
      <c r="EM56" s="145"/>
      <c r="EN56" s="145"/>
      <c r="EO56" s="145"/>
      <c r="EP56" s="145"/>
      <c r="EQ56" s="145"/>
      <c r="ER56" s="145"/>
      <c r="ES56" s="145"/>
      <c r="ET56" s="145"/>
      <c r="EU56" s="145"/>
      <c r="EV56" s="145"/>
      <c r="EW56" s="145"/>
      <c r="EX56" s="145"/>
      <c r="EY56" s="145"/>
    </row>
    <row r="57" spans="1:155" ht="12.75" customHeight="1" outlineLevel="1">
      <c r="A57" s="186">
        <v>9</v>
      </c>
      <c r="B57" s="188" t="str">
        <f>B15</f>
        <v>Variable Charging</v>
      </c>
      <c r="C57" s="187" t="str">
        <f>B57&amp;" is "&amp;Servicing</f>
        <v>Variable Charging is ON</v>
      </c>
      <c r="D57" s="188"/>
      <c r="E57" s="192" t="b">
        <f>IF(Depreciation="ON",TRUE,FALSE)</f>
        <v>1</v>
      </c>
      <c r="F57" s="188"/>
      <c r="G57" s="188"/>
      <c r="H57" s="189"/>
      <c r="I57" s="145"/>
      <c r="J57" s="145"/>
      <c r="K57" s="145"/>
      <c r="L57" s="145"/>
      <c r="M57" s="145"/>
      <c r="N57" s="145"/>
      <c r="O57" s="145"/>
      <c r="P57" s="145"/>
      <c r="Q57" s="145"/>
      <c r="R57" s="145"/>
      <c r="S57" s="145"/>
      <c r="T57" s="145"/>
      <c r="U57" s="145"/>
      <c r="V57" s="145"/>
      <c r="W57" s="145"/>
      <c r="X57" s="145"/>
      <c r="Y57" s="145"/>
      <c r="Z57" s="145"/>
      <c r="AA57" s="145"/>
      <c r="AB57" s="145"/>
      <c r="AC57" s="145"/>
      <c r="AD57" s="145"/>
      <c r="AE57" s="145"/>
      <c r="AF57" s="145"/>
      <c r="AG57" s="145"/>
      <c r="AH57" s="145"/>
      <c r="AI57" s="145"/>
      <c r="AJ57" s="145"/>
      <c r="AK57" s="145"/>
      <c r="AL57" s="145"/>
      <c r="AM57" s="145"/>
      <c r="AN57" s="145"/>
      <c r="AO57" s="145"/>
      <c r="AP57" s="145"/>
      <c r="AQ57" s="145"/>
      <c r="AR57" s="145"/>
      <c r="AS57" s="145"/>
      <c r="AT57" s="145"/>
      <c r="AU57" s="145"/>
      <c r="AV57" s="145"/>
      <c r="AW57" s="145"/>
      <c r="AX57" s="145"/>
      <c r="AY57" s="145"/>
      <c r="AZ57" s="145"/>
      <c r="BA57" s="145"/>
      <c r="BB57" s="145"/>
      <c r="BC57" s="145"/>
      <c r="BD57" s="145"/>
      <c r="BE57" s="145"/>
      <c r="BF57" s="145"/>
      <c r="BG57" s="145"/>
      <c r="BH57" s="145"/>
      <c r="BI57" s="145"/>
      <c r="BJ57" s="145"/>
      <c r="BK57" s="145"/>
      <c r="BL57" s="145"/>
      <c r="BM57" s="145"/>
      <c r="BN57" s="145"/>
      <c r="BO57" s="145"/>
      <c r="BP57" s="145"/>
      <c r="BQ57" s="145"/>
      <c r="BR57" s="145"/>
      <c r="BS57" s="145"/>
      <c r="BT57" s="145"/>
      <c r="BU57" s="145"/>
      <c r="BV57" s="145"/>
      <c r="BW57" s="145"/>
      <c r="BX57" s="145"/>
      <c r="BY57" s="145"/>
      <c r="BZ57" s="145"/>
      <c r="CA57" s="145"/>
      <c r="CB57" s="145"/>
      <c r="CC57" s="145"/>
      <c r="CD57" s="145"/>
      <c r="CE57" s="145"/>
      <c r="CF57" s="145"/>
      <c r="CG57" s="145"/>
      <c r="CH57" s="145"/>
      <c r="CI57" s="145"/>
      <c r="CJ57" s="145"/>
      <c r="CK57" s="145"/>
      <c r="CL57" s="145"/>
      <c r="CM57" s="145"/>
      <c r="CN57" s="145"/>
      <c r="CO57" s="145"/>
      <c r="CP57" s="145"/>
      <c r="CQ57" s="145"/>
      <c r="CR57" s="145"/>
      <c r="CS57" s="145"/>
      <c r="CT57" s="145"/>
      <c r="CU57" s="145"/>
      <c r="CV57" s="145"/>
      <c r="CW57" s="145"/>
      <c r="CX57" s="145"/>
      <c r="CY57" s="145"/>
      <c r="CZ57" s="145"/>
      <c r="DA57" s="145"/>
      <c r="DB57" s="145"/>
      <c r="DC57" s="145"/>
      <c r="DD57" s="145"/>
      <c r="DE57" s="145"/>
      <c r="DF57" s="145"/>
      <c r="DG57" s="145"/>
      <c r="DH57" s="145"/>
      <c r="DI57" s="145"/>
      <c r="DJ57" s="145"/>
      <c r="DK57" s="145"/>
      <c r="DL57" s="145"/>
      <c r="DM57" s="145"/>
      <c r="DN57" s="145"/>
      <c r="DO57" s="145"/>
      <c r="DP57" s="145"/>
      <c r="DQ57" s="145"/>
      <c r="DR57" s="145"/>
      <c r="DS57" s="145"/>
      <c r="DT57" s="145"/>
      <c r="DU57" s="145"/>
      <c r="DV57" s="145"/>
      <c r="DW57" s="145"/>
      <c r="DX57" s="145"/>
      <c r="DY57" s="145"/>
      <c r="DZ57" s="145"/>
      <c r="EA57" s="145"/>
      <c r="EB57" s="145"/>
      <c r="EC57" s="145"/>
      <c r="ED57" s="145"/>
      <c r="EE57" s="145"/>
      <c r="EF57" s="145"/>
      <c r="EG57" s="145"/>
      <c r="EH57" s="145"/>
      <c r="EI57" s="145"/>
      <c r="EJ57" s="145"/>
      <c r="EK57" s="145"/>
      <c r="EL57" s="145"/>
      <c r="EM57" s="145"/>
      <c r="EN57" s="145"/>
      <c r="EO57" s="145"/>
      <c r="EP57" s="145"/>
      <c r="EQ57" s="145"/>
      <c r="ER57" s="145"/>
      <c r="ES57" s="145"/>
      <c r="ET57" s="145"/>
      <c r="EU57" s="145"/>
      <c r="EV57" s="145"/>
      <c r="EW57" s="145"/>
      <c r="EX57" s="145"/>
      <c r="EY57" s="145"/>
    </row>
    <row r="58" spans="1:155" ht="12.75" customHeight="1" outlineLevel="1">
      <c r="A58" s="186">
        <v>10</v>
      </c>
      <c r="B58" s="188" t="str">
        <f>H16</f>
        <v>Overhead Profiling</v>
      </c>
      <c r="C58" s="187" t="str">
        <f>B58&amp;" is "&amp;Servicing</f>
        <v>Overhead Profiling is ON</v>
      </c>
      <c r="D58" s="188"/>
      <c r="E58" s="192" t="b">
        <f>IF(OverProf="ON",TRUE,FALSE)</f>
        <v>1</v>
      </c>
      <c r="F58" s="188"/>
      <c r="G58" s="188"/>
      <c r="H58" s="189"/>
      <c r="I58" s="145"/>
      <c r="J58" s="145"/>
      <c r="K58" s="145"/>
      <c r="L58" s="145"/>
      <c r="M58" s="145"/>
      <c r="N58" s="145"/>
      <c r="O58" s="145"/>
      <c r="P58" s="145"/>
      <c r="Q58" s="145"/>
      <c r="R58" s="145"/>
      <c r="S58" s="145"/>
      <c r="T58" s="145"/>
      <c r="U58" s="145"/>
      <c r="V58" s="145"/>
      <c r="W58" s="145"/>
      <c r="X58" s="145"/>
      <c r="Y58" s="145"/>
      <c r="Z58" s="145"/>
      <c r="AA58" s="145"/>
      <c r="AB58" s="145"/>
      <c r="AC58" s="145"/>
      <c r="AD58" s="145"/>
      <c r="AE58" s="145"/>
      <c r="AF58" s="145"/>
      <c r="AG58" s="145"/>
      <c r="AH58" s="145"/>
      <c r="AI58" s="145"/>
      <c r="AJ58" s="145"/>
      <c r="AK58" s="145"/>
      <c r="AL58" s="145"/>
      <c r="AM58" s="145"/>
      <c r="AN58" s="145"/>
      <c r="AO58" s="145"/>
      <c r="AP58" s="145"/>
      <c r="AQ58" s="145"/>
      <c r="AR58" s="145"/>
      <c r="AS58" s="145"/>
      <c r="AT58" s="145"/>
      <c r="AU58" s="145"/>
      <c r="AV58" s="145"/>
      <c r="AW58" s="145"/>
      <c r="AX58" s="145"/>
      <c r="AY58" s="145"/>
      <c r="AZ58" s="145"/>
      <c r="BA58" s="145"/>
      <c r="BB58" s="145"/>
      <c r="BC58" s="145"/>
      <c r="BD58" s="145"/>
      <c r="BE58" s="145"/>
      <c r="BF58" s="145"/>
      <c r="BG58" s="145"/>
      <c r="BH58" s="145"/>
      <c r="BI58" s="145"/>
      <c r="BJ58" s="145"/>
      <c r="BK58" s="145"/>
      <c r="BL58" s="145"/>
      <c r="BM58" s="145"/>
      <c r="BN58" s="145"/>
      <c r="BO58" s="145"/>
      <c r="BP58" s="145"/>
      <c r="BQ58" s="145"/>
      <c r="BR58" s="145"/>
      <c r="BS58" s="145"/>
      <c r="BT58" s="145"/>
      <c r="BU58" s="145"/>
      <c r="BV58" s="145"/>
      <c r="BW58" s="145"/>
      <c r="BX58" s="145"/>
      <c r="BY58" s="145"/>
      <c r="BZ58" s="145"/>
      <c r="CA58" s="145"/>
      <c r="CB58" s="145"/>
      <c r="CC58" s="145"/>
      <c r="CD58" s="145"/>
      <c r="CE58" s="145"/>
      <c r="CF58" s="145"/>
      <c r="CG58" s="145"/>
      <c r="CH58" s="145"/>
      <c r="CI58" s="145"/>
      <c r="CJ58" s="145"/>
      <c r="CK58" s="145"/>
      <c r="CL58" s="145"/>
      <c r="CM58" s="145"/>
      <c r="CN58" s="145"/>
      <c r="CO58" s="145"/>
      <c r="CP58" s="145"/>
      <c r="CQ58" s="145"/>
      <c r="CR58" s="145"/>
      <c r="CS58" s="145"/>
      <c r="CT58" s="145"/>
      <c r="CU58" s="145"/>
      <c r="CV58" s="145"/>
      <c r="CW58" s="145"/>
      <c r="CX58" s="145"/>
      <c r="CY58" s="145"/>
      <c r="CZ58" s="145"/>
      <c r="DA58" s="145"/>
      <c r="DB58" s="145"/>
      <c r="DC58" s="145"/>
      <c r="DD58" s="145"/>
      <c r="DE58" s="145"/>
      <c r="DF58" s="145"/>
      <c r="DG58" s="145"/>
      <c r="DH58" s="145"/>
      <c r="DI58" s="145"/>
      <c r="DJ58" s="145"/>
      <c r="DK58" s="145"/>
      <c r="DL58" s="145"/>
      <c r="DM58" s="145"/>
      <c r="DN58" s="145"/>
      <c r="DO58" s="145"/>
      <c r="DP58" s="145"/>
      <c r="DQ58" s="145"/>
      <c r="DR58" s="145"/>
      <c r="DS58" s="145"/>
      <c r="DT58" s="145"/>
      <c r="DU58" s="145"/>
      <c r="DV58" s="145"/>
      <c r="DW58" s="145"/>
      <c r="DX58" s="145"/>
      <c r="DY58" s="145"/>
      <c r="DZ58" s="145"/>
      <c r="EA58" s="145"/>
      <c r="EB58" s="145"/>
      <c r="EC58" s="145"/>
      <c r="ED58" s="145"/>
      <c r="EE58" s="145"/>
      <c r="EF58" s="145"/>
      <c r="EG58" s="145"/>
      <c r="EH58" s="145"/>
      <c r="EI58" s="145"/>
      <c r="EJ58" s="145"/>
      <c r="EK58" s="145"/>
      <c r="EL58" s="145"/>
      <c r="EM58" s="145"/>
      <c r="EN58" s="145"/>
      <c r="EO58" s="145"/>
      <c r="EP58" s="145"/>
      <c r="EQ58" s="145"/>
      <c r="ER58" s="145"/>
      <c r="ES58" s="145"/>
      <c r="ET58" s="145"/>
      <c r="EU58" s="145"/>
      <c r="EV58" s="145"/>
      <c r="EW58" s="145"/>
      <c r="EX58" s="145"/>
      <c r="EY58" s="145"/>
    </row>
    <row r="59" spans="1:155" ht="4.5" customHeight="1" outlineLevel="1">
      <c r="A59" s="182"/>
      <c r="B59" s="183"/>
      <c r="C59" s="183"/>
      <c r="D59" s="183"/>
      <c r="E59" s="183"/>
      <c r="F59" s="183"/>
      <c r="G59" s="183"/>
      <c r="H59" s="185"/>
      <c r="I59" s="145"/>
      <c r="J59" s="145"/>
      <c r="K59" s="145"/>
      <c r="L59" s="145"/>
      <c r="M59" s="145"/>
      <c r="N59" s="145"/>
      <c r="O59" s="145"/>
      <c r="P59" s="145"/>
      <c r="Q59" s="145"/>
      <c r="R59" s="145"/>
      <c r="S59" s="145"/>
      <c r="T59" s="145"/>
      <c r="U59" s="145"/>
      <c r="V59" s="145"/>
      <c r="W59" s="145"/>
      <c r="X59" s="145"/>
      <c r="Y59" s="145"/>
      <c r="Z59" s="145"/>
      <c r="AA59" s="145"/>
      <c r="AB59" s="145"/>
      <c r="AC59" s="145"/>
      <c r="AD59" s="145"/>
      <c r="AE59" s="145"/>
      <c r="AF59" s="145"/>
      <c r="AG59" s="145"/>
      <c r="AH59" s="145"/>
      <c r="AI59" s="145"/>
      <c r="AJ59" s="145"/>
      <c r="AK59" s="145"/>
      <c r="AL59" s="145"/>
      <c r="AM59" s="145"/>
      <c r="AN59" s="145"/>
      <c r="AO59" s="145"/>
      <c r="AP59" s="145"/>
      <c r="AQ59" s="145"/>
      <c r="AR59" s="145"/>
      <c r="AS59" s="145"/>
      <c r="AT59" s="145"/>
      <c r="AU59" s="145"/>
      <c r="AV59" s="145"/>
      <c r="AW59" s="145"/>
      <c r="AX59" s="145"/>
      <c r="AY59" s="145"/>
      <c r="AZ59" s="145"/>
      <c r="BA59" s="145"/>
      <c r="BB59" s="145"/>
      <c r="BC59" s="145"/>
      <c r="BD59" s="145"/>
      <c r="BE59" s="145"/>
      <c r="BF59" s="145"/>
      <c r="BG59" s="145"/>
      <c r="BH59" s="145"/>
      <c r="BI59" s="145"/>
      <c r="BJ59" s="145"/>
      <c r="BK59" s="145"/>
      <c r="BL59" s="145"/>
      <c r="BM59" s="145"/>
      <c r="BN59" s="145"/>
      <c r="BO59" s="145"/>
      <c r="BP59" s="145"/>
      <c r="BQ59" s="145"/>
      <c r="BR59" s="145"/>
      <c r="BS59" s="145"/>
      <c r="BT59" s="145"/>
      <c r="BU59" s="145"/>
      <c r="BV59" s="145"/>
      <c r="BW59" s="145"/>
      <c r="BX59" s="145"/>
      <c r="BY59" s="145"/>
      <c r="BZ59" s="145"/>
      <c r="CA59" s="145"/>
      <c r="CB59" s="145"/>
      <c r="CC59" s="145"/>
      <c r="CD59" s="145"/>
      <c r="CE59" s="145"/>
      <c r="CF59" s="145"/>
      <c r="CG59" s="145"/>
      <c r="CH59" s="145"/>
      <c r="CI59" s="145"/>
      <c r="CJ59" s="145"/>
      <c r="CK59" s="145"/>
      <c r="CL59" s="145"/>
      <c r="CM59" s="145"/>
      <c r="CN59" s="145"/>
      <c r="CO59" s="145"/>
      <c r="CP59" s="145"/>
      <c r="CQ59" s="145"/>
      <c r="CR59" s="145"/>
      <c r="CS59" s="145"/>
      <c r="CT59" s="145"/>
      <c r="CU59" s="145"/>
      <c r="CV59" s="145"/>
      <c r="CW59" s="145"/>
      <c r="CX59" s="145"/>
      <c r="CY59" s="145"/>
      <c r="CZ59" s="145"/>
      <c r="DA59" s="145"/>
      <c r="DB59" s="145"/>
      <c r="DC59" s="145"/>
      <c r="DD59" s="145"/>
      <c r="DE59" s="145"/>
      <c r="DF59" s="145"/>
      <c r="DG59" s="145"/>
      <c r="DH59" s="145"/>
      <c r="DI59" s="145"/>
      <c r="DJ59" s="145"/>
      <c r="DK59" s="145"/>
      <c r="DL59" s="145"/>
      <c r="DM59" s="145"/>
      <c r="DN59" s="145"/>
      <c r="DO59" s="145"/>
      <c r="DP59" s="145"/>
      <c r="DQ59" s="145"/>
      <c r="DR59" s="145"/>
      <c r="DS59" s="145"/>
      <c r="DT59" s="145"/>
      <c r="DU59" s="145"/>
      <c r="DV59" s="145"/>
      <c r="DW59" s="145"/>
      <c r="DX59" s="145"/>
      <c r="DY59" s="145"/>
      <c r="DZ59" s="145"/>
      <c r="EA59" s="145"/>
      <c r="EB59" s="145"/>
      <c r="EC59" s="145"/>
      <c r="ED59" s="145"/>
      <c r="EE59" s="145"/>
      <c r="EF59" s="145"/>
      <c r="EG59" s="145"/>
      <c r="EH59" s="145"/>
      <c r="EI59" s="145"/>
      <c r="EJ59" s="145"/>
      <c r="EK59" s="145"/>
      <c r="EL59" s="145"/>
      <c r="EM59" s="145"/>
      <c r="EN59" s="145"/>
      <c r="EO59" s="145"/>
      <c r="EP59" s="145"/>
      <c r="EQ59" s="145"/>
      <c r="ER59" s="145"/>
      <c r="ES59" s="145"/>
      <c r="ET59" s="145"/>
      <c r="EU59" s="145"/>
      <c r="EV59" s="145"/>
      <c r="EW59" s="145"/>
      <c r="EX59" s="145"/>
      <c r="EY59" s="145"/>
    </row>
    <row r="60" spans="1:155">
      <c r="A60" s="145"/>
      <c r="B60" s="145"/>
      <c r="C60" s="145"/>
      <c r="D60" s="145"/>
      <c r="E60" s="190"/>
      <c r="F60" s="145"/>
      <c r="G60" s="145"/>
      <c r="H60" s="145"/>
      <c r="I60" s="145"/>
      <c r="J60" s="145"/>
      <c r="K60" s="145"/>
      <c r="L60" s="145"/>
      <c r="M60" s="145"/>
      <c r="N60" s="145"/>
      <c r="O60" s="145"/>
      <c r="P60" s="145"/>
      <c r="Q60" s="145"/>
      <c r="R60" s="145"/>
      <c r="S60" s="145"/>
      <c r="T60" s="145"/>
      <c r="U60" s="145"/>
      <c r="V60" s="145"/>
      <c r="W60" s="145"/>
      <c r="X60" s="145"/>
      <c r="Y60" s="145"/>
      <c r="Z60" s="145"/>
      <c r="AA60" s="145"/>
      <c r="AB60" s="145"/>
      <c r="AC60" s="145"/>
      <c r="AD60" s="145"/>
      <c r="AE60" s="145"/>
      <c r="AF60" s="145"/>
      <c r="AG60" s="145"/>
      <c r="AH60" s="145"/>
      <c r="AI60" s="145"/>
      <c r="AJ60" s="145"/>
      <c r="AK60" s="145"/>
      <c r="AL60" s="145"/>
      <c r="AM60" s="145"/>
      <c r="AN60" s="145"/>
      <c r="AO60" s="145"/>
      <c r="AP60" s="145"/>
      <c r="AQ60" s="145"/>
      <c r="AR60" s="145"/>
      <c r="AS60" s="145"/>
      <c r="AT60" s="145"/>
      <c r="AU60" s="145"/>
      <c r="AV60" s="145"/>
      <c r="AW60" s="145"/>
      <c r="AX60" s="145"/>
      <c r="AY60" s="145"/>
      <c r="AZ60" s="145"/>
      <c r="BA60" s="145"/>
      <c r="BB60" s="145"/>
      <c r="BC60" s="145"/>
      <c r="BD60" s="145"/>
      <c r="BE60" s="145"/>
      <c r="BF60" s="145"/>
      <c r="BG60" s="145"/>
      <c r="BH60" s="145"/>
      <c r="BI60" s="145"/>
      <c r="BJ60" s="145"/>
      <c r="BK60" s="145"/>
      <c r="BL60" s="145"/>
      <c r="BM60" s="145"/>
      <c r="BN60" s="145"/>
      <c r="BO60" s="145"/>
      <c r="BP60" s="145"/>
      <c r="BQ60" s="145"/>
      <c r="BR60" s="145"/>
      <c r="BS60" s="145"/>
      <c r="BT60" s="145"/>
      <c r="BU60" s="145"/>
      <c r="BV60" s="145"/>
      <c r="BW60" s="145"/>
      <c r="BX60" s="145"/>
      <c r="BY60" s="145"/>
      <c r="BZ60" s="145"/>
      <c r="CA60" s="145"/>
      <c r="CB60" s="145"/>
      <c r="CC60" s="145"/>
      <c r="CD60" s="145"/>
      <c r="CE60" s="145"/>
      <c r="CF60" s="145"/>
      <c r="CG60" s="145"/>
      <c r="CH60" s="145"/>
      <c r="CI60" s="145"/>
      <c r="CJ60" s="145"/>
      <c r="CK60" s="145"/>
      <c r="CL60" s="145"/>
      <c r="CM60" s="145"/>
      <c r="CN60" s="145"/>
      <c r="CO60" s="145"/>
      <c r="CP60" s="145"/>
      <c r="CQ60" s="145"/>
      <c r="CR60" s="145"/>
      <c r="CS60" s="145"/>
      <c r="CT60" s="145"/>
      <c r="CU60" s="145"/>
      <c r="CV60" s="145"/>
      <c r="CW60" s="145"/>
      <c r="CX60" s="145"/>
      <c r="CY60" s="145"/>
      <c r="CZ60" s="145"/>
      <c r="DA60" s="145"/>
      <c r="DB60" s="145"/>
      <c r="DC60" s="145"/>
      <c r="DD60" s="145"/>
      <c r="DE60" s="145"/>
      <c r="DF60" s="145"/>
      <c r="DG60" s="145"/>
      <c r="DH60" s="145"/>
      <c r="DI60" s="145"/>
      <c r="DJ60" s="145"/>
      <c r="DK60" s="145"/>
      <c r="DL60" s="145"/>
      <c r="DM60" s="145"/>
      <c r="DN60" s="145"/>
      <c r="DO60" s="145"/>
      <c r="DP60" s="145"/>
      <c r="DQ60" s="145"/>
      <c r="DR60" s="145"/>
      <c r="DS60" s="145"/>
      <c r="DT60" s="145"/>
      <c r="DU60" s="145"/>
      <c r="DV60" s="145"/>
      <c r="DW60" s="145"/>
      <c r="DX60" s="145"/>
      <c r="DY60" s="145"/>
      <c r="DZ60" s="145"/>
      <c r="EA60" s="145"/>
      <c r="EB60" s="145"/>
      <c r="EC60" s="145"/>
      <c r="ED60" s="145"/>
      <c r="EE60" s="145"/>
      <c r="EF60" s="145"/>
      <c r="EG60" s="145"/>
      <c r="EH60" s="145"/>
      <c r="EI60" s="145"/>
      <c r="EJ60" s="145"/>
      <c r="EK60" s="145"/>
      <c r="EL60" s="145"/>
      <c r="EM60" s="145"/>
      <c r="EN60" s="145"/>
      <c r="EO60" s="145"/>
      <c r="EP60" s="145"/>
      <c r="EQ60" s="145"/>
      <c r="ER60" s="145"/>
      <c r="ES60" s="145"/>
      <c r="ET60" s="145"/>
      <c r="EU60" s="145"/>
      <c r="EV60" s="145"/>
      <c r="EW60" s="145"/>
      <c r="EX60" s="145"/>
      <c r="EY60" s="145"/>
    </row>
    <row r="61" spans="1:155">
      <c r="A61" s="150" t="s">
        <v>374</v>
      </c>
      <c r="B61" s="151"/>
      <c r="C61" s="151"/>
      <c r="D61" s="151"/>
      <c r="E61" s="151"/>
      <c r="F61" s="152"/>
      <c r="G61" s="152"/>
      <c r="H61" s="152"/>
      <c r="I61" s="152"/>
      <c r="J61" s="152"/>
      <c r="K61" s="152"/>
      <c r="L61" s="152"/>
      <c r="M61" s="152"/>
      <c r="N61" s="153"/>
      <c r="O61" s="153"/>
      <c r="P61" s="153"/>
      <c r="Q61" s="153"/>
      <c r="R61" s="153"/>
      <c r="S61" s="153"/>
      <c r="T61" s="153"/>
      <c r="U61" s="153"/>
      <c r="V61" s="153"/>
      <c r="W61" s="153"/>
      <c r="X61" s="153"/>
      <c r="Y61" s="153"/>
      <c r="Z61" s="153"/>
      <c r="AA61" s="153"/>
      <c r="AB61" s="153"/>
      <c r="AC61" s="153"/>
      <c r="AD61" s="153"/>
      <c r="AE61" s="153"/>
      <c r="AF61" s="153"/>
      <c r="AG61" s="153"/>
      <c r="AH61" s="153"/>
      <c r="AI61" s="153"/>
      <c r="AJ61" s="153"/>
      <c r="AK61" s="153"/>
      <c r="AL61" s="153"/>
      <c r="AM61" s="153"/>
      <c r="AN61" s="153"/>
      <c r="AO61" s="153"/>
      <c r="AP61" s="153"/>
      <c r="AQ61" s="153"/>
      <c r="AR61" s="153"/>
      <c r="AS61" s="153"/>
      <c r="AT61" s="153"/>
      <c r="AU61" s="153"/>
      <c r="AV61" s="153"/>
      <c r="AW61" s="153"/>
      <c r="AX61" s="153"/>
      <c r="AY61" s="153"/>
      <c r="AZ61" s="153"/>
      <c r="BA61" s="153"/>
      <c r="BB61" s="153"/>
      <c r="BC61" s="153"/>
      <c r="BD61" s="153"/>
      <c r="BE61" s="153"/>
      <c r="BF61" s="153"/>
      <c r="BG61" s="153"/>
      <c r="BH61" s="153"/>
      <c r="BI61" s="153"/>
      <c r="BJ61" s="153"/>
      <c r="BK61" s="153"/>
      <c r="BL61" s="153"/>
      <c r="BM61" s="153"/>
      <c r="BN61" s="153"/>
      <c r="BO61" s="153"/>
      <c r="BP61" s="153"/>
      <c r="BQ61" s="153"/>
      <c r="BR61" s="153"/>
      <c r="BS61" s="153"/>
      <c r="BT61" s="153"/>
      <c r="BU61" s="153"/>
      <c r="BV61" s="153"/>
      <c r="BW61" s="153"/>
      <c r="BX61" s="153"/>
      <c r="BY61" s="153"/>
      <c r="BZ61" s="153"/>
      <c r="CA61" s="153"/>
      <c r="CB61" s="153"/>
      <c r="CC61" s="153"/>
      <c r="CD61" s="153"/>
      <c r="CE61" s="153"/>
      <c r="CF61" s="153"/>
      <c r="CG61" s="153"/>
      <c r="CH61" s="153"/>
      <c r="CI61" s="153"/>
      <c r="CJ61" s="153"/>
      <c r="CK61" s="153"/>
      <c r="CL61" s="153"/>
      <c r="CM61" s="153"/>
      <c r="CN61" s="153"/>
      <c r="CO61" s="153"/>
      <c r="CP61" s="153"/>
      <c r="CQ61" s="153"/>
      <c r="CR61" s="153"/>
      <c r="CS61" s="153"/>
      <c r="CT61" s="153"/>
      <c r="CU61" s="153"/>
      <c r="CV61" s="153"/>
      <c r="CW61" s="153"/>
      <c r="CX61" s="153"/>
      <c r="CY61" s="153"/>
      <c r="CZ61" s="153"/>
      <c r="DA61" s="153"/>
      <c r="DB61" s="153"/>
      <c r="DC61" s="153"/>
      <c r="DD61" s="153"/>
      <c r="DE61" s="153"/>
      <c r="DF61" s="153"/>
      <c r="DG61" s="153"/>
      <c r="DH61" s="153"/>
      <c r="DI61" s="153"/>
      <c r="DJ61" s="153"/>
      <c r="DK61" s="153"/>
      <c r="DL61" s="153"/>
      <c r="DM61" s="153"/>
      <c r="DN61" s="153"/>
      <c r="DO61" s="153"/>
      <c r="DP61" s="153"/>
      <c r="DQ61" s="153"/>
      <c r="DR61" s="153"/>
      <c r="DS61" s="153"/>
      <c r="DT61" s="153"/>
      <c r="DU61" s="153"/>
      <c r="DV61" s="153"/>
      <c r="DW61" s="153"/>
      <c r="DX61" s="153"/>
      <c r="DY61" s="153"/>
      <c r="DZ61" s="153"/>
      <c r="EA61" s="153"/>
      <c r="EB61" s="153"/>
      <c r="EC61" s="153"/>
      <c r="ED61" s="153"/>
      <c r="EE61" s="153"/>
      <c r="EF61" s="153"/>
      <c r="EG61" s="153"/>
      <c r="EH61" s="153"/>
      <c r="EI61" s="153"/>
      <c r="EJ61" s="153"/>
      <c r="EK61" s="153"/>
      <c r="EL61" s="153"/>
      <c r="EM61" s="153"/>
      <c r="EN61" s="153"/>
      <c r="EO61" s="153"/>
      <c r="EP61" s="153"/>
      <c r="EQ61" s="153"/>
      <c r="ER61" s="153"/>
      <c r="ES61" s="153"/>
      <c r="ET61" s="153"/>
      <c r="EU61" s="153"/>
      <c r="EV61" s="153"/>
      <c r="EW61" s="153"/>
      <c r="EX61" s="153"/>
      <c r="EY61" s="153"/>
    </row>
    <row r="62" spans="1:155" s="64" customFormat="1" ht="12.75" customHeight="1" outlineLevel="1">
      <c r="A62" s="164" t="s">
        <v>375</v>
      </c>
      <c r="B62" s="133"/>
      <c r="C62" s="133"/>
      <c r="D62" s="133"/>
      <c r="E62" s="133"/>
      <c r="F62" s="176"/>
      <c r="G62" s="176"/>
      <c r="H62" s="133"/>
      <c r="I62" s="133"/>
      <c r="J62" s="133"/>
      <c r="K62" s="133"/>
      <c r="L62" s="133"/>
      <c r="M62" s="133"/>
      <c r="N62" s="137"/>
      <c r="O62" s="137"/>
      <c r="P62" s="137"/>
      <c r="Q62" s="137"/>
      <c r="R62" s="137"/>
      <c r="S62" s="137"/>
      <c r="T62" s="137"/>
      <c r="U62" s="137"/>
      <c r="V62" s="137"/>
      <c r="W62" s="137"/>
      <c r="X62" s="137"/>
      <c r="Y62" s="137"/>
      <c r="Z62" s="137"/>
      <c r="AA62" s="137"/>
      <c r="AB62" s="137"/>
      <c r="AC62" s="137"/>
      <c r="AD62" s="137"/>
      <c r="AE62" s="137"/>
      <c r="AF62" s="137"/>
      <c r="AG62" s="137"/>
      <c r="AH62" s="137"/>
      <c r="AI62" s="137"/>
      <c r="AJ62" s="137"/>
      <c r="AK62" s="137"/>
      <c r="AL62" s="137"/>
      <c r="AM62" s="137"/>
      <c r="AN62" s="137"/>
      <c r="AO62" s="137"/>
      <c r="AP62" s="137"/>
      <c r="AQ62" s="137"/>
      <c r="AR62" s="137"/>
      <c r="AS62" s="137"/>
      <c r="AT62" s="137"/>
      <c r="AU62" s="137"/>
      <c r="AV62" s="137"/>
      <c r="AW62" s="137"/>
      <c r="AX62" s="137"/>
      <c r="AY62" s="137"/>
      <c r="AZ62" s="137"/>
      <c r="BA62" s="137"/>
      <c r="BB62" s="137"/>
      <c r="BC62" s="137"/>
      <c r="BD62" s="137"/>
      <c r="BE62" s="137"/>
      <c r="BF62" s="137"/>
      <c r="BG62" s="137"/>
      <c r="BH62" s="137"/>
      <c r="BI62" s="137"/>
      <c r="BJ62" s="137"/>
      <c r="BK62" s="137"/>
      <c r="BL62" s="137"/>
      <c r="BM62" s="137"/>
      <c r="BN62" s="137"/>
      <c r="BO62" s="137"/>
      <c r="BP62" s="137"/>
      <c r="BQ62" s="137"/>
      <c r="BR62" s="137"/>
      <c r="BS62" s="137"/>
      <c r="BT62" s="137"/>
      <c r="BU62" s="137"/>
      <c r="BV62" s="137"/>
      <c r="BW62" s="137"/>
      <c r="BX62" s="137"/>
      <c r="BY62" s="137"/>
      <c r="BZ62" s="137"/>
      <c r="CA62" s="137"/>
      <c r="CB62" s="137"/>
      <c r="CC62" s="137"/>
      <c r="CD62" s="137"/>
      <c r="CE62" s="137"/>
      <c r="CF62" s="137"/>
      <c r="CG62" s="137"/>
      <c r="CH62" s="137"/>
      <c r="CI62" s="137"/>
      <c r="CJ62" s="137"/>
      <c r="CK62" s="137"/>
      <c r="CL62" s="137"/>
      <c r="CM62" s="137"/>
      <c r="CN62" s="137"/>
      <c r="CO62" s="137"/>
      <c r="CP62" s="137"/>
      <c r="CQ62" s="137"/>
      <c r="CR62" s="137"/>
      <c r="CS62" s="137"/>
      <c r="CT62" s="137"/>
      <c r="CU62" s="137"/>
      <c r="CV62" s="137"/>
      <c r="CW62" s="137"/>
      <c r="CX62" s="137"/>
      <c r="CY62" s="137"/>
      <c r="CZ62" s="137"/>
      <c r="DA62" s="137"/>
      <c r="DB62" s="137"/>
      <c r="DC62" s="137"/>
      <c r="DD62" s="137"/>
      <c r="DE62" s="137"/>
      <c r="DF62" s="137"/>
      <c r="DG62" s="137"/>
      <c r="DH62" s="137"/>
      <c r="DI62" s="137"/>
      <c r="DJ62" s="137"/>
      <c r="DK62" s="137"/>
      <c r="DL62" s="137"/>
      <c r="DM62" s="137"/>
      <c r="DN62" s="137"/>
      <c r="DO62" s="137"/>
      <c r="DP62" s="137"/>
      <c r="DQ62" s="137"/>
      <c r="DR62" s="137"/>
      <c r="DS62" s="137"/>
      <c r="DT62" s="137"/>
      <c r="DU62" s="137"/>
      <c r="DV62" s="137"/>
      <c r="DW62" s="137"/>
      <c r="DX62" s="137"/>
      <c r="DY62" s="137"/>
      <c r="DZ62" s="137"/>
      <c r="EA62" s="137"/>
      <c r="EB62" s="137"/>
      <c r="EC62" s="137"/>
      <c r="ED62" s="137"/>
      <c r="EE62" s="137"/>
      <c r="EF62" s="137"/>
      <c r="EG62" s="137"/>
      <c r="EH62" s="137"/>
      <c r="EI62" s="137"/>
      <c r="EJ62" s="137"/>
      <c r="EK62" s="137"/>
      <c r="EL62" s="137"/>
      <c r="EM62" s="137"/>
      <c r="EN62" s="137"/>
      <c r="EO62" s="137"/>
      <c r="EP62" s="137"/>
      <c r="EQ62" s="137"/>
      <c r="ER62" s="137"/>
      <c r="ES62" s="137"/>
      <c r="ET62" s="137"/>
      <c r="EU62" s="137"/>
      <c r="EV62" s="137"/>
      <c r="EW62" s="137"/>
      <c r="EX62" s="137"/>
      <c r="EY62" s="137"/>
    </row>
    <row r="63" spans="1:155" ht="4.5" customHeight="1" outlineLevel="1">
      <c r="A63" s="182"/>
      <c r="B63" s="183"/>
      <c r="C63" s="183"/>
      <c r="D63" s="183"/>
      <c r="E63" s="183"/>
      <c r="F63" s="183"/>
      <c r="G63" s="183"/>
      <c r="H63" s="185"/>
      <c r="I63" s="145"/>
      <c r="J63" s="145"/>
      <c r="K63" s="145"/>
      <c r="L63" s="145"/>
      <c r="M63" s="145"/>
      <c r="N63" s="145"/>
      <c r="O63" s="145"/>
      <c r="P63" s="145"/>
      <c r="Q63" s="145"/>
      <c r="R63" s="145"/>
      <c r="S63" s="145"/>
      <c r="T63" s="145"/>
      <c r="U63" s="145"/>
      <c r="V63" s="145"/>
      <c r="W63" s="145"/>
      <c r="X63" s="145"/>
      <c r="Y63" s="145"/>
      <c r="Z63" s="145"/>
      <c r="AA63" s="145"/>
      <c r="AB63" s="145"/>
      <c r="AC63" s="145"/>
      <c r="AD63" s="145"/>
      <c r="AE63" s="145"/>
      <c r="AF63" s="145"/>
      <c r="AG63" s="145"/>
      <c r="AH63" s="145"/>
      <c r="AI63" s="145"/>
      <c r="AJ63" s="145"/>
      <c r="AK63" s="145"/>
      <c r="AL63" s="145"/>
      <c r="AM63" s="145"/>
      <c r="AN63" s="145"/>
      <c r="AO63" s="145"/>
      <c r="AP63" s="145"/>
      <c r="AQ63" s="145"/>
      <c r="AR63" s="145"/>
      <c r="AS63" s="145"/>
      <c r="AT63" s="145"/>
      <c r="AU63" s="145"/>
      <c r="AV63" s="145"/>
      <c r="AW63" s="145"/>
      <c r="AX63" s="145"/>
      <c r="AY63" s="145"/>
      <c r="AZ63" s="145"/>
      <c r="BA63" s="145"/>
      <c r="BB63" s="145"/>
      <c r="BC63" s="145"/>
      <c r="BD63" s="145"/>
      <c r="BE63" s="145"/>
      <c r="BF63" s="145"/>
      <c r="BG63" s="145"/>
      <c r="BH63" s="145"/>
      <c r="BI63" s="145"/>
      <c r="BJ63" s="145"/>
      <c r="BK63" s="145"/>
      <c r="BL63" s="145"/>
      <c r="BM63" s="145"/>
      <c r="BN63" s="145"/>
      <c r="BO63" s="145"/>
      <c r="BP63" s="145"/>
      <c r="BQ63" s="145"/>
      <c r="BR63" s="145"/>
      <c r="BS63" s="145"/>
      <c r="BT63" s="145"/>
      <c r="BU63" s="145"/>
      <c r="BV63" s="145"/>
      <c r="BW63" s="145"/>
      <c r="BX63" s="145"/>
      <c r="BY63" s="145"/>
      <c r="BZ63" s="145"/>
      <c r="CA63" s="145"/>
      <c r="CB63" s="145"/>
      <c r="CC63" s="145"/>
      <c r="CD63" s="145"/>
      <c r="CE63" s="145"/>
      <c r="CF63" s="145"/>
      <c r="CG63" s="145"/>
      <c r="CH63" s="145"/>
      <c r="CI63" s="145"/>
      <c r="CJ63" s="145"/>
      <c r="CK63" s="145"/>
      <c r="CL63" s="145"/>
      <c r="CM63" s="145"/>
      <c r="CN63" s="145"/>
      <c r="CO63" s="145"/>
      <c r="CP63" s="145"/>
      <c r="CQ63" s="145"/>
      <c r="CR63" s="145"/>
      <c r="CS63" s="145"/>
      <c r="CT63" s="145"/>
      <c r="CU63" s="145"/>
      <c r="CV63" s="145"/>
      <c r="CW63" s="145"/>
      <c r="CX63" s="145"/>
      <c r="CY63" s="145"/>
      <c r="CZ63" s="145"/>
      <c r="DA63" s="145"/>
      <c r="DB63" s="145"/>
      <c r="DC63" s="145"/>
      <c r="DD63" s="145"/>
      <c r="DE63" s="145"/>
      <c r="DF63" s="145"/>
      <c r="DG63" s="145"/>
      <c r="DH63" s="145"/>
      <c r="DI63" s="145"/>
      <c r="DJ63" s="145"/>
      <c r="DK63" s="145"/>
      <c r="DL63" s="145"/>
      <c r="DM63" s="145"/>
      <c r="DN63" s="145"/>
      <c r="DO63" s="145"/>
      <c r="DP63" s="145"/>
      <c r="DQ63" s="145"/>
      <c r="DR63" s="145"/>
      <c r="DS63" s="145"/>
      <c r="DT63" s="145"/>
      <c r="DU63" s="145"/>
      <c r="DV63" s="145"/>
      <c r="DW63" s="145"/>
      <c r="DX63" s="145"/>
      <c r="DY63" s="145"/>
      <c r="DZ63" s="145"/>
      <c r="EA63" s="145"/>
      <c r="EB63" s="145"/>
      <c r="EC63" s="145"/>
      <c r="ED63" s="145"/>
      <c r="EE63" s="145"/>
      <c r="EF63" s="145"/>
      <c r="EG63" s="145"/>
      <c r="EH63" s="145"/>
      <c r="EI63" s="145"/>
      <c r="EJ63" s="145"/>
      <c r="EK63" s="145"/>
      <c r="EL63" s="145"/>
      <c r="EM63" s="145"/>
      <c r="EN63" s="145"/>
      <c r="EO63" s="145"/>
      <c r="EP63" s="145"/>
      <c r="EQ63" s="145"/>
      <c r="ER63" s="145"/>
      <c r="ES63" s="145"/>
      <c r="ET63" s="145"/>
      <c r="EU63" s="145"/>
      <c r="EV63" s="145"/>
      <c r="EW63" s="145"/>
      <c r="EX63" s="145"/>
      <c r="EY63" s="145"/>
    </row>
    <row r="64" spans="1:155" ht="12.75" customHeight="1" outlineLevel="1">
      <c r="A64" s="186">
        <v>1</v>
      </c>
      <c r="B64" s="188"/>
      <c r="C64" s="195" t="s">
        <v>376</v>
      </c>
      <c r="D64" s="188"/>
      <c r="E64" s="196">
        <v>3</v>
      </c>
      <c r="F64" s="188" t="s">
        <v>377</v>
      </c>
      <c r="G64" s="188"/>
      <c r="H64" s="189"/>
      <c r="I64" s="145"/>
      <c r="J64" s="145"/>
      <c r="K64" s="145"/>
      <c r="L64" s="145"/>
      <c r="M64" s="145"/>
      <c r="N64" s="145"/>
      <c r="O64" s="145"/>
      <c r="P64" s="145"/>
      <c r="Q64" s="145"/>
      <c r="R64" s="145"/>
      <c r="S64" s="145"/>
      <c r="T64" s="145"/>
      <c r="U64" s="145"/>
      <c r="V64" s="145"/>
      <c r="W64" s="145"/>
      <c r="X64" s="145"/>
      <c r="Y64" s="145"/>
      <c r="Z64" s="145"/>
      <c r="AA64" s="145"/>
      <c r="AB64" s="145"/>
      <c r="AC64" s="145"/>
      <c r="AD64" s="145"/>
      <c r="AE64" s="145"/>
      <c r="AF64" s="145"/>
      <c r="AG64" s="145"/>
      <c r="AH64" s="145"/>
      <c r="AI64" s="145"/>
      <c r="AJ64" s="145"/>
      <c r="AK64" s="145"/>
      <c r="AL64" s="145"/>
      <c r="AM64" s="145"/>
      <c r="AN64" s="145"/>
      <c r="AO64" s="145"/>
      <c r="AP64" s="145"/>
      <c r="AQ64" s="145"/>
      <c r="AR64" s="145"/>
      <c r="AS64" s="145"/>
      <c r="AT64" s="145"/>
      <c r="AU64" s="145"/>
      <c r="AV64" s="145"/>
      <c r="AW64" s="145"/>
      <c r="AX64" s="145"/>
      <c r="AY64" s="145"/>
      <c r="AZ64" s="145"/>
      <c r="BA64" s="145"/>
      <c r="BB64" s="145"/>
      <c r="BC64" s="145"/>
      <c r="BD64" s="145"/>
      <c r="BE64" s="145"/>
      <c r="BF64" s="145"/>
      <c r="BG64" s="145"/>
      <c r="BH64" s="145"/>
      <c r="BI64" s="145"/>
      <c r="BJ64" s="145"/>
      <c r="BK64" s="145"/>
      <c r="BL64" s="145"/>
      <c r="BM64" s="145"/>
      <c r="BN64" s="145"/>
      <c r="BO64" s="145"/>
      <c r="BP64" s="145"/>
      <c r="BQ64" s="145"/>
      <c r="BR64" s="145"/>
      <c r="BS64" s="145"/>
      <c r="BT64" s="145"/>
      <c r="BU64" s="145"/>
      <c r="BV64" s="145"/>
      <c r="BW64" s="145"/>
      <c r="BX64" s="145"/>
      <c r="BY64" s="145"/>
      <c r="BZ64" s="145"/>
      <c r="CA64" s="145"/>
      <c r="CB64" s="145"/>
      <c r="CC64" s="145"/>
      <c r="CD64" s="145"/>
      <c r="CE64" s="145"/>
      <c r="CF64" s="145"/>
      <c r="CG64" s="145"/>
      <c r="CH64" s="145"/>
      <c r="CI64" s="145"/>
      <c r="CJ64" s="145"/>
      <c r="CK64" s="145"/>
      <c r="CL64" s="145"/>
      <c r="CM64" s="145"/>
      <c r="CN64" s="145"/>
      <c r="CO64" s="145"/>
      <c r="CP64" s="145"/>
      <c r="CQ64" s="145"/>
      <c r="CR64" s="145"/>
      <c r="CS64" s="145"/>
      <c r="CT64" s="145"/>
      <c r="CU64" s="145"/>
      <c r="CV64" s="145"/>
      <c r="CW64" s="145"/>
      <c r="CX64" s="145"/>
      <c r="CY64" s="145"/>
      <c r="CZ64" s="145"/>
      <c r="DA64" s="145"/>
      <c r="DB64" s="145"/>
      <c r="DC64" s="145"/>
      <c r="DD64" s="145"/>
      <c r="DE64" s="145"/>
      <c r="DF64" s="145"/>
      <c r="DG64" s="145"/>
      <c r="DH64" s="145"/>
      <c r="DI64" s="145"/>
      <c r="DJ64" s="145"/>
      <c r="DK64" s="145"/>
      <c r="DL64" s="145"/>
      <c r="DM64" s="145"/>
      <c r="DN64" s="145"/>
      <c r="DO64" s="145"/>
      <c r="DP64" s="145"/>
      <c r="DQ64" s="145"/>
      <c r="DR64" s="145"/>
      <c r="DS64" s="145"/>
      <c r="DT64" s="145"/>
      <c r="DU64" s="145"/>
      <c r="DV64" s="145"/>
      <c r="DW64" s="145"/>
      <c r="DX64" s="145"/>
      <c r="DY64" s="145"/>
      <c r="DZ64" s="145"/>
      <c r="EA64" s="145"/>
      <c r="EB64" s="145"/>
      <c r="EC64" s="145"/>
      <c r="ED64" s="145"/>
      <c r="EE64" s="145"/>
      <c r="EF64" s="145"/>
      <c r="EG64" s="145"/>
      <c r="EH64" s="145"/>
      <c r="EI64" s="145"/>
      <c r="EJ64" s="145"/>
      <c r="EK64" s="145"/>
      <c r="EL64" s="145"/>
      <c r="EM64" s="145"/>
      <c r="EN64" s="145"/>
      <c r="EO64" s="145"/>
      <c r="EP64" s="145"/>
      <c r="EQ64" s="145"/>
      <c r="ER64" s="145"/>
      <c r="ES64" s="145"/>
      <c r="ET64" s="145"/>
      <c r="EU64" s="145"/>
      <c r="EV64" s="145"/>
      <c r="EW64" s="145"/>
      <c r="EX64" s="145"/>
      <c r="EY64" s="145"/>
    </row>
    <row r="65" spans="1:155" ht="12.75" customHeight="1" outlineLevel="1">
      <c r="A65" s="186">
        <v>2</v>
      </c>
      <c r="B65" s="188"/>
      <c r="C65" s="195" t="s">
        <v>378</v>
      </c>
      <c r="D65" s="188"/>
      <c r="E65" s="191" t="s">
        <v>393</v>
      </c>
      <c r="F65" s="188"/>
      <c r="G65" s="188"/>
      <c r="H65" s="189"/>
      <c r="I65" s="145"/>
      <c r="J65" s="145"/>
      <c r="K65" s="145"/>
      <c r="L65" s="145"/>
      <c r="M65" s="145"/>
      <c r="N65" s="145"/>
      <c r="O65" s="145"/>
      <c r="P65" s="145"/>
      <c r="Q65" s="145"/>
      <c r="R65" s="145"/>
      <c r="S65" s="145"/>
      <c r="T65" s="145"/>
      <c r="U65" s="145"/>
      <c r="V65" s="145"/>
      <c r="W65" s="145"/>
      <c r="X65" s="145"/>
      <c r="Y65" s="145"/>
      <c r="Z65" s="145"/>
      <c r="AA65" s="145"/>
      <c r="AB65" s="145"/>
      <c r="AC65" s="145"/>
      <c r="AD65" s="145"/>
      <c r="AE65" s="145"/>
      <c r="AF65" s="145"/>
      <c r="AG65" s="145"/>
      <c r="AH65" s="145"/>
      <c r="AI65" s="145"/>
      <c r="AJ65" s="145"/>
      <c r="AK65" s="145"/>
      <c r="AL65" s="145"/>
      <c r="AM65" s="145"/>
      <c r="AN65" s="145"/>
      <c r="AO65" s="145"/>
      <c r="AP65" s="145"/>
      <c r="AQ65" s="145"/>
      <c r="AR65" s="145"/>
      <c r="AS65" s="145"/>
      <c r="AT65" s="145"/>
      <c r="AU65" s="145"/>
      <c r="AV65" s="145"/>
      <c r="AW65" s="145"/>
      <c r="AX65" s="145"/>
      <c r="AY65" s="145"/>
      <c r="AZ65" s="145"/>
      <c r="BA65" s="145"/>
      <c r="BB65" s="145"/>
      <c r="BC65" s="145"/>
      <c r="BD65" s="145"/>
      <c r="BE65" s="145"/>
      <c r="BF65" s="145"/>
      <c r="BG65" s="145"/>
      <c r="BH65" s="145"/>
      <c r="BI65" s="145"/>
      <c r="BJ65" s="145"/>
      <c r="BK65" s="145"/>
      <c r="BL65" s="145"/>
      <c r="BM65" s="145"/>
      <c r="BN65" s="145"/>
      <c r="BO65" s="145"/>
      <c r="BP65" s="145"/>
      <c r="BQ65" s="145"/>
      <c r="BR65" s="145"/>
      <c r="BS65" s="145"/>
      <c r="BT65" s="145"/>
      <c r="BU65" s="145"/>
      <c r="BV65" s="145"/>
      <c r="BW65" s="145"/>
      <c r="BX65" s="145"/>
      <c r="BY65" s="145"/>
      <c r="BZ65" s="145"/>
      <c r="CA65" s="145"/>
      <c r="CB65" s="145"/>
      <c r="CC65" s="145"/>
      <c r="CD65" s="145"/>
      <c r="CE65" s="145"/>
      <c r="CF65" s="145"/>
      <c r="CG65" s="145"/>
      <c r="CH65" s="145"/>
      <c r="CI65" s="145"/>
      <c r="CJ65" s="145"/>
      <c r="CK65" s="145"/>
      <c r="CL65" s="145"/>
      <c r="CM65" s="145"/>
      <c r="CN65" s="145"/>
      <c r="CO65" s="145"/>
      <c r="CP65" s="145"/>
      <c r="CQ65" s="145"/>
      <c r="CR65" s="145"/>
      <c r="CS65" s="145"/>
      <c r="CT65" s="145"/>
      <c r="CU65" s="145"/>
      <c r="CV65" s="145"/>
      <c r="CW65" s="145"/>
      <c r="CX65" s="145"/>
      <c r="CY65" s="145"/>
      <c r="CZ65" s="145"/>
      <c r="DA65" s="145"/>
      <c r="DB65" s="145"/>
      <c r="DC65" s="145"/>
      <c r="DD65" s="145"/>
      <c r="DE65" s="145"/>
      <c r="DF65" s="145"/>
      <c r="DG65" s="145"/>
      <c r="DH65" s="145"/>
      <c r="DI65" s="145"/>
      <c r="DJ65" s="145"/>
      <c r="DK65" s="145"/>
      <c r="DL65" s="145"/>
      <c r="DM65" s="145"/>
      <c r="DN65" s="145"/>
      <c r="DO65" s="145"/>
      <c r="DP65" s="145"/>
      <c r="DQ65" s="145"/>
      <c r="DR65" s="145"/>
      <c r="DS65" s="145"/>
      <c r="DT65" s="145"/>
      <c r="DU65" s="145"/>
      <c r="DV65" s="145"/>
      <c r="DW65" s="145"/>
      <c r="DX65" s="145"/>
      <c r="DY65" s="145"/>
      <c r="DZ65" s="145"/>
      <c r="EA65" s="145"/>
      <c r="EB65" s="145"/>
      <c r="EC65" s="145"/>
      <c r="ED65" s="145"/>
      <c r="EE65" s="145"/>
      <c r="EF65" s="145"/>
      <c r="EG65" s="145"/>
      <c r="EH65" s="145"/>
      <c r="EI65" s="145"/>
      <c r="EJ65" s="145"/>
      <c r="EK65" s="145"/>
      <c r="EL65" s="145"/>
      <c r="EM65" s="145"/>
      <c r="EN65" s="145"/>
      <c r="EO65" s="145"/>
      <c r="EP65" s="145"/>
      <c r="EQ65" s="145"/>
      <c r="ER65" s="145"/>
      <c r="ES65" s="145"/>
      <c r="ET65" s="145"/>
      <c r="EU65" s="145"/>
      <c r="EV65" s="145"/>
      <c r="EW65" s="145"/>
      <c r="EX65" s="145"/>
      <c r="EY65" s="145"/>
    </row>
    <row r="66" spans="1:155" ht="12.75" customHeight="1" outlineLevel="1">
      <c r="A66" s="186">
        <v>3</v>
      </c>
      <c r="B66" s="188"/>
      <c r="C66" s="195" t="s">
        <v>379</v>
      </c>
      <c r="D66" s="188"/>
      <c r="E66" s="191" t="s">
        <v>394</v>
      </c>
      <c r="F66" s="188"/>
      <c r="G66" s="188"/>
      <c r="H66" s="189"/>
      <c r="I66" s="145"/>
      <c r="J66" s="145"/>
      <c r="K66" s="145"/>
      <c r="L66" s="145"/>
      <c r="M66" s="145"/>
      <c r="N66" s="145"/>
      <c r="O66" s="145"/>
      <c r="P66" s="145"/>
      <c r="Q66" s="145"/>
      <c r="R66" s="145"/>
      <c r="S66" s="145"/>
      <c r="T66" s="145"/>
      <c r="U66" s="145"/>
      <c r="V66" s="145"/>
      <c r="W66" s="145"/>
      <c r="X66" s="145"/>
      <c r="Y66" s="145"/>
      <c r="Z66" s="145"/>
      <c r="AA66" s="145"/>
      <c r="AB66" s="145"/>
      <c r="AC66" s="145"/>
      <c r="AD66" s="145"/>
      <c r="AE66" s="145"/>
      <c r="AF66" s="145"/>
      <c r="AG66" s="145"/>
      <c r="AH66" s="145"/>
      <c r="AI66" s="145"/>
      <c r="AJ66" s="145"/>
      <c r="AK66" s="145"/>
      <c r="AL66" s="145"/>
      <c r="AM66" s="145"/>
      <c r="AN66" s="145"/>
      <c r="AO66" s="145"/>
      <c r="AP66" s="145"/>
      <c r="AQ66" s="145"/>
      <c r="AR66" s="145"/>
      <c r="AS66" s="145"/>
      <c r="AT66" s="145"/>
      <c r="AU66" s="145"/>
      <c r="AV66" s="145"/>
      <c r="AW66" s="145"/>
      <c r="AX66" s="145"/>
      <c r="AY66" s="145"/>
      <c r="AZ66" s="145"/>
      <c r="BA66" s="145"/>
      <c r="BB66" s="145"/>
      <c r="BC66" s="145"/>
      <c r="BD66" s="145"/>
      <c r="BE66" s="145"/>
      <c r="BF66" s="145"/>
      <c r="BG66" s="145"/>
      <c r="BH66" s="145"/>
      <c r="BI66" s="145"/>
      <c r="BJ66" s="145"/>
      <c r="BK66" s="145"/>
      <c r="BL66" s="145"/>
      <c r="BM66" s="145"/>
      <c r="BN66" s="145"/>
      <c r="BO66" s="145"/>
      <c r="BP66" s="145"/>
      <c r="BQ66" s="145"/>
      <c r="BR66" s="145"/>
      <c r="BS66" s="145"/>
      <c r="BT66" s="145"/>
      <c r="BU66" s="145"/>
      <c r="BV66" s="145"/>
      <c r="BW66" s="145"/>
      <c r="BX66" s="145"/>
      <c r="BY66" s="145"/>
      <c r="BZ66" s="145"/>
      <c r="CA66" s="145"/>
      <c r="CB66" s="145"/>
      <c r="CC66" s="145"/>
      <c r="CD66" s="145"/>
      <c r="CE66" s="145"/>
      <c r="CF66" s="145"/>
      <c r="CG66" s="145"/>
      <c r="CH66" s="145"/>
      <c r="CI66" s="145"/>
      <c r="CJ66" s="145"/>
      <c r="CK66" s="145"/>
      <c r="CL66" s="145"/>
      <c r="CM66" s="145"/>
      <c r="CN66" s="145"/>
      <c r="CO66" s="145"/>
      <c r="CP66" s="145"/>
      <c r="CQ66" s="145"/>
      <c r="CR66" s="145"/>
      <c r="CS66" s="145"/>
      <c r="CT66" s="145"/>
      <c r="CU66" s="145"/>
      <c r="CV66" s="145"/>
      <c r="CW66" s="145"/>
      <c r="CX66" s="145"/>
      <c r="CY66" s="145"/>
      <c r="CZ66" s="145"/>
      <c r="DA66" s="145"/>
      <c r="DB66" s="145"/>
      <c r="DC66" s="145"/>
      <c r="DD66" s="145"/>
      <c r="DE66" s="145"/>
      <c r="DF66" s="145"/>
      <c r="DG66" s="145"/>
      <c r="DH66" s="145"/>
      <c r="DI66" s="145"/>
      <c r="DJ66" s="145"/>
      <c r="DK66" s="145"/>
      <c r="DL66" s="145"/>
      <c r="DM66" s="145"/>
      <c r="DN66" s="145"/>
      <c r="DO66" s="145"/>
      <c r="DP66" s="145"/>
      <c r="DQ66" s="145"/>
      <c r="DR66" s="145"/>
      <c r="DS66" s="145"/>
      <c r="DT66" s="145"/>
      <c r="DU66" s="145"/>
      <c r="DV66" s="145"/>
      <c r="DW66" s="145"/>
      <c r="DX66" s="145"/>
      <c r="DY66" s="145"/>
      <c r="DZ66" s="145"/>
      <c r="EA66" s="145"/>
      <c r="EB66" s="145"/>
      <c r="EC66" s="145"/>
      <c r="ED66" s="145"/>
      <c r="EE66" s="145"/>
      <c r="EF66" s="145"/>
      <c r="EG66" s="145"/>
      <c r="EH66" s="145"/>
      <c r="EI66" s="145"/>
      <c r="EJ66" s="145"/>
      <c r="EK66" s="145"/>
      <c r="EL66" s="145"/>
      <c r="EM66" s="145"/>
      <c r="EN66" s="145"/>
      <c r="EO66" s="145"/>
      <c r="EP66" s="145"/>
      <c r="EQ66" s="145"/>
      <c r="ER66" s="145"/>
      <c r="ES66" s="145"/>
      <c r="ET66" s="145"/>
      <c r="EU66" s="145"/>
      <c r="EV66" s="145"/>
      <c r="EW66" s="145"/>
      <c r="EX66" s="145"/>
      <c r="EY66" s="145"/>
    </row>
    <row r="67" spans="1:155" ht="12.75" customHeight="1" outlineLevel="1">
      <c r="A67" s="186">
        <v>4</v>
      </c>
      <c r="B67" s="188"/>
      <c r="C67" s="195" t="s">
        <v>380</v>
      </c>
      <c r="D67" s="188"/>
      <c r="E67" s="191" t="s">
        <v>395</v>
      </c>
      <c r="F67" s="188"/>
      <c r="G67" s="188"/>
      <c r="H67" s="189"/>
      <c r="I67" s="145"/>
      <c r="J67" s="145"/>
      <c r="K67" s="145"/>
      <c r="L67" s="145"/>
      <c r="M67" s="145"/>
      <c r="N67" s="145"/>
      <c r="O67" s="145"/>
      <c r="P67" s="145"/>
      <c r="Q67" s="145"/>
      <c r="R67" s="145"/>
      <c r="S67" s="145"/>
      <c r="T67" s="145"/>
      <c r="U67" s="145"/>
      <c r="V67" s="145"/>
      <c r="W67" s="145"/>
      <c r="X67" s="145"/>
      <c r="Y67" s="145"/>
      <c r="Z67" s="145"/>
      <c r="AA67" s="145"/>
      <c r="AB67" s="145"/>
      <c r="AC67" s="145"/>
      <c r="AD67" s="145"/>
      <c r="AE67" s="145"/>
      <c r="AF67" s="145"/>
      <c r="AG67" s="145"/>
      <c r="AH67" s="145"/>
      <c r="AI67" s="145"/>
      <c r="AJ67" s="145"/>
      <c r="AK67" s="145"/>
      <c r="AL67" s="145"/>
      <c r="AM67" s="145"/>
      <c r="AN67" s="145"/>
      <c r="AO67" s="145"/>
      <c r="AP67" s="145"/>
      <c r="AQ67" s="145"/>
      <c r="AR67" s="145"/>
      <c r="AS67" s="145"/>
      <c r="AT67" s="145"/>
      <c r="AU67" s="145"/>
      <c r="AV67" s="145"/>
      <c r="AW67" s="145"/>
      <c r="AX67" s="145"/>
      <c r="AY67" s="145"/>
      <c r="AZ67" s="145"/>
      <c r="BA67" s="145"/>
      <c r="BB67" s="145"/>
      <c r="BC67" s="145"/>
      <c r="BD67" s="145"/>
      <c r="BE67" s="145"/>
      <c r="BF67" s="145"/>
      <c r="BG67" s="145"/>
      <c r="BH67" s="145"/>
      <c r="BI67" s="145"/>
      <c r="BJ67" s="145"/>
      <c r="BK67" s="145"/>
      <c r="BL67" s="145"/>
      <c r="BM67" s="145"/>
      <c r="BN67" s="145"/>
      <c r="BO67" s="145"/>
      <c r="BP67" s="145"/>
      <c r="BQ67" s="145"/>
      <c r="BR67" s="145"/>
      <c r="BS67" s="145"/>
      <c r="BT67" s="145"/>
      <c r="BU67" s="145"/>
      <c r="BV67" s="145"/>
      <c r="BW67" s="145"/>
      <c r="BX67" s="145"/>
      <c r="BY67" s="145"/>
      <c r="BZ67" s="145"/>
      <c r="CA67" s="145"/>
      <c r="CB67" s="145"/>
      <c r="CC67" s="145"/>
      <c r="CD67" s="145"/>
      <c r="CE67" s="145"/>
      <c r="CF67" s="145"/>
      <c r="CG67" s="145"/>
      <c r="CH67" s="145"/>
      <c r="CI67" s="145"/>
      <c r="CJ67" s="145"/>
      <c r="CK67" s="145"/>
      <c r="CL67" s="145"/>
      <c r="CM67" s="145"/>
      <c r="CN67" s="145"/>
      <c r="CO67" s="145"/>
      <c r="CP67" s="145"/>
      <c r="CQ67" s="145"/>
      <c r="CR67" s="145"/>
      <c r="CS67" s="145"/>
      <c r="CT67" s="145"/>
      <c r="CU67" s="145"/>
      <c r="CV67" s="145"/>
      <c r="CW67" s="145"/>
      <c r="CX67" s="145"/>
      <c r="CY67" s="145"/>
      <c r="CZ67" s="145"/>
      <c r="DA67" s="145"/>
      <c r="DB67" s="145"/>
      <c r="DC67" s="145"/>
      <c r="DD67" s="145"/>
      <c r="DE67" s="145"/>
      <c r="DF67" s="145"/>
      <c r="DG67" s="145"/>
      <c r="DH67" s="145"/>
      <c r="DI67" s="145"/>
      <c r="DJ67" s="145"/>
      <c r="DK67" s="145"/>
      <c r="DL67" s="145"/>
      <c r="DM67" s="145"/>
      <c r="DN67" s="145"/>
      <c r="DO67" s="145"/>
      <c r="DP67" s="145"/>
      <c r="DQ67" s="145"/>
      <c r="DR67" s="145"/>
      <c r="DS67" s="145"/>
      <c r="DT67" s="145"/>
      <c r="DU67" s="145"/>
      <c r="DV67" s="145"/>
      <c r="DW67" s="145"/>
      <c r="DX67" s="145"/>
      <c r="DY67" s="145"/>
      <c r="DZ67" s="145"/>
      <c r="EA67" s="145"/>
      <c r="EB67" s="145"/>
      <c r="EC67" s="145"/>
      <c r="ED67" s="145"/>
      <c r="EE67" s="145"/>
      <c r="EF67" s="145"/>
      <c r="EG67" s="145"/>
      <c r="EH67" s="145"/>
      <c r="EI67" s="145"/>
      <c r="EJ67" s="145"/>
      <c r="EK67" s="145"/>
      <c r="EL67" s="145"/>
      <c r="EM67" s="145"/>
      <c r="EN67" s="145"/>
      <c r="EO67" s="145"/>
      <c r="EP67" s="145"/>
      <c r="EQ67" s="145"/>
      <c r="ER67" s="145"/>
      <c r="ES67" s="145"/>
      <c r="ET67" s="145"/>
      <c r="EU67" s="145"/>
      <c r="EV67" s="145"/>
      <c r="EW67" s="145"/>
      <c r="EX67" s="145"/>
      <c r="EY67" s="145"/>
    </row>
    <row r="68" spans="1:155" ht="12.75" customHeight="1" outlineLevel="1">
      <c r="A68" s="186">
        <v>5</v>
      </c>
      <c r="B68" s="188"/>
      <c r="C68" s="195"/>
      <c r="D68" s="188"/>
      <c r="E68" s="191"/>
      <c r="F68" s="194"/>
      <c r="G68" s="188"/>
      <c r="H68" s="189"/>
      <c r="I68" s="145"/>
      <c r="J68" s="145"/>
      <c r="K68" s="145"/>
      <c r="L68" s="145"/>
      <c r="M68" s="145"/>
      <c r="N68" s="145"/>
      <c r="O68" s="145"/>
      <c r="P68" s="145"/>
      <c r="Q68" s="145"/>
      <c r="R68" s="145"/>
      <c r="S68" s="145"/>
      <c r="T68" s="145"/>
      <c r="U68" s="145"/>
      <c r="V68" s="145"/>
      <c r="W68" s="145"/>
      <c r="X68" s="145"/>
      <c r="Y68" s="145"/>
      <c r="Z68" s="145"/>
      <c r="AA68" s="145"/>
      <c r="AB68" s="145"/>
      <c r="AC68" s="145"/>
      <c r="AD68" s="145"/>
      <c r="AE68" s="145"/>
      <c r="AF68" s="145"/>
      <c r="AG68" s="145"/>
      <c r="AH68" s="145"/>
      <c r="AI68" s="145"/>
      <c r="AJ68" s="145"/>
      <c r="AK68" s="145"/>
      <c r="AL68" s="145"/>
      <c r="AM68" s="145"/>
      <c r="AN68" s="145"/>
      <c r="AO68" s="145"/>
      <c r="AP68" s="145"/>
      <c r="AQ68" s="145"/>
      <c r="AR68" s="145"/>
      <c r="AS68" s="145"/>
      <c r="AT68" s="145"/>
      <c r="AU68" s="145"/>
      <c r="AV68" s="145"/>
      <c r="AW68" s="145"/>
      <c r="AX68" s="145"/>
      <c r="AY68" s="145"/>
      <c r="AZ68" s="145"/>
      <c r="BA68" s="145"/>
      <c r="BB68" s="145"/>
      <c r="BC68" s="145"/>
      <c r="BD68" s="145"/>
      <c r="BE68" s="145"/>
      <c r="BF68" s="145"/>
      <c r="BG68" s="145"/>
      <c r="BH68" s="145"/>
      <c r="BI68" s="145"/>
      <c r="BJ68" s="145"/>
      <c r="BK68" s="145"/>
      <c r="BL68" s="145"/>
      <c r="BM68" s="145"/>
      <c r="BN68" s="145"/>
      <c r="BO68" s="145"/>
      <c r="BP68" s="145"/>
      <c r="BQ68" s="145"/>
      <c r="BR68" s="145"/>
      <c r="BS68" s="145"/>
      <c r="BT68" s="145"/>
      <c r="BU68" s="145"/>
      <c r="BV68" s="145"/>
      <c r="BW68" s="145"/>
      <c r="BX68" s="145"/>
      <c r="BY68" s="145"/>
      <c r="BZ68" s="145"/>
      <c r="CA68" s="145"/>
      <c r="CB68" s="145"/>
      <c r="CC68" s="145"/>
      <c r="CD68" s="145"/>
      <c r="CE68" s="145"/>
      <c r="CF68" s="145"/>
      <c r="CG68" s="145"/>
      <c r="CH68" s="145"/>
      <c r="CI68" s="145"/>
      <c r="CJ68" s="145"/>
      <c r="CK68" s="145"/>
      <c r="CL68" s="145"/>
      <c r="CM68" s="145"/>
      <c r="CN68" s="145"/>
      <c r="CO68" s="145"/>
      <c r="CP68" s="145"/>
      <c r="CQ68" s="145"/>
      <c r="CR68" s="145"/>
      <c r="CS68" s="145"/>
      <c r="CT68" s="145"/>
      <c r="CU68" s="145"/>
      <c r="CV68" s="145"/>
      <c r="CW68" s="145"/>
      <c r="CX68" s="145"/>
      <c r="CY68" s="145"/>
      <c r="CZ68" s="145"/>
      <c r="DA68" s="145"/>
      <c r="DB68" s="145"/>
      <c r="DC68" s="145"/>
      <c r="DD68" s="145"/>
      <c r="DE68" s="145"/>
      <c r="DF68" s="145"/>
      <c r="DG68" s="145"/>
      <c r="DH68" s="145"/>
      <c r="DI68" s="145"/>
      <c r="DJ68" s="145"/>
      <c r="DK68" s="145"/>
      <c r="DL68" s="145"/>
      <c r="DM68" s="145"/>
      <c r="DN68" s="145"/>
      <c r="DO68" s="145"/>
      <c r="DP68" s="145"/>
      <c r="DQ68" s="145"/>
      <c r="DR68" s="145"/>
      <c r="DS68" s="145"/>
      <c r="DT68" s="145"/>
      <c r="DU68" s="145"/>
      <c r="DV68" s="145"/>
      <c r="DW68" s="145"/>
      <c r="DX68" s="145"/>
      <c r="DY68" s="145"/>
      <c r="DZ68" s="145"/>
      <c r="EA68" s="145"/>
      <c r="EB68" s="145"/>
      <c r="EC68" s="145"/>
      <c r="ED68" s="145"/>
      <c r="EE68" s="145"/>
      <c r="EF68" s="145"/>
      <c r="EG68" s="145"/>
      <c r="EH68" s="145"/>
      <c r="EI68" s="145"/>
      <c r="EJ68" s="145"/>
      <c r="EK68" s="145"/>
      <c r="EL68" s="145"/>
      <c r="EM68" s="145"/>
      <c r="EN68" s="145"/>
      <c r="EO68" s="145"/>
      <c r="EP68" s="145"/>
      <c r="EQ68" s="145"/>
      <c r="ER68" s="145"/>
      <c r="ES68" s="145"/>
      <c r="ET68" s="145"/>
      <c r="EU68" s="145"/>
      <c r="EV68" s="145"/>
      <c r="EW68" s="145"/>
      <c r="EX68" s="145"/>
      <c r="EY68" s="145"/>
    </row>
    <row r="69" spans="1:155" ht="12.75" customHeight="1" outlineLevel="1">
      <c r="A69" s="186">
        <v>6</v>
      </c>
      <c r="B69" s="188"/>
      <c r="C69" s="195"/>
      <c r="D69" s="188"/>
      <c r="E69" s="191"/>
      <c r="F69" s="188"/>
      <c r="G69" s="188"/>
      <c r="H69" s="189"/>
      <c r="I69" s="145"/>
      <c r="J69" s="145"/>
      <c r="K69" s="145"/>
      <c r="L69" s="145"/>
      <c r="M69" s="145"/>
      <c r="N69" s="145"/>
      <c r="O69" s="145"/>
      <c r="P69" s="145"/>
      <c r="Q69" s="145"/>
      <c r="R69" s="145"/>
      <c r="S69" s="145"/>
      <c r="T69" s="145"/>
      <c r="U69" s="145"/>
      <c r="V69" s="145"/>
      <c r="W69" s="145"/>
      <c r="X69" s="145"/>
      <c r="Y69" s="145"/>
      <c r="Z69" s="145"/>
      <c r="AA69" s="145"/>
      <c r="AB69" s="145"/>
      <c r="AC69" s="145"/>
      <c r="AD69" s="145"/>
      <c r="AE69" s="145"/>
      <c r="AF69" s="145"/>
      <c r="AG69" s="145"/>
      <c r="AH69" s="145"/>
      <c r="AI69" s="145"/>
      <c r="AJ69" s="145"/>
      <c r="AK69" s="145"/>
      <c r="AL69" s="145"/>
      <c r="AM69" s="145"/>
      <c r="AN69" s="145"/>
      <c r="AO69" s="145"/>
      <c r="AP69" s="145"/>
      <c r="AQ69" s="145"/>
      <c r="AR69" s="145"/>
      <c r="AS69" s="145"/>
      <c r="AT69" s="145"/>
      <c r="AU69" s="145"/>
      <c r="AV69" s="145"/>
      <c r="AW69" s="145"/>
      <c r="AX69" s="145"/>
      <c r="AY69" s="145"/>
      <c r="AZ69" s="145"/>
      <c r="BA69" s="145"/>
      <c r="BB69" s="145"/>
      <c r="BC69" s="145"/>
      <c r="BD69" s="145"/>
      <c r="BE69" s="145"/>
      <c r="BF69" s="145"/>
      <c r="BG69" s="145"/>
      <c r="BH69" s="145"/>
      <c r="BI69" s="145"/>
      <c r="BJ69" s="145"/>
      <c r="BK69" s="145"/>
      <c r="BL69" s="145"/>
      <c r="BM69" s="145"/>
      <c r="BN69" s="145"/>
      <c r="BO69" s="145"/>
      <c r="BP69" s="145"/>
      <c r="BQ69" s="145"/>
      <c r="BR69" s="145"/>
      <c r="BS69" s="145"/>
      <c r="BT69" s="145"/>
      <c r="BU69" s="145"/>
      <c r="BV69" s="145"/>
      <c r="BW69" s="145"/>
      <c r="BX69" s="145"/>
      <c r="BY69" s="145"/>
      <c r="BZ69" s="145"/>
      <c r="CA69" s="145"/>
      <c r="CB69" s="145"/>
      <c r="CC69" s="145"/>
      <c r="CD69" s="145"/>
      <c r="CE69" s="145"/>
      <c r="CF69" s="145"/>
      <c r="CG69" s="145"/>
      <c r="CH69" s="145"/>
      <c r="CI69" s="145"/>
      <c r="CJ69" s="145"/>
      <c r="CK69" s="145"/>
      <c r="CL69" s="145"/>
      <c r="CM69" s="145"/>
      <c r="CN69" s="145"/>
      <c r="CO69" s="145"/>
      <c r="CP69" s="145"/>
      <c r="CQ69" s="145"/>
      <c r="CR69" s="145"/>
      <c r="CS69" s="145"/>
      <c r="CT69" s="145"/>
      <c r="CU69" s="145"/>
      <c r="CV69" s="145"/>
      <c r="CW69" s="145"/>
      <c r="CX69" s="145"/>
      <c r="CY69" s="145"/>
      <c r="CZ69" s="145"/>
      <c r="DA69" s="145"/>
      <c r="DB69" s="145"/>
      <c r="DC69" s="145"/>
      <c r="DD69" s="145"/>
      <c r="DE69" s="145"/>
      <c r="DF69" s="145"/>
      <c r="DG69" s="145"/>
      <c r="DH69" s="145"/>
      <c r="DI69" s="145"/>
      <c r="DJ69" s="145"/>
      <c r="DK69" s="145"/>
      <c r="DL69" s="145"/>
      <c r="DM69" s="145"/>
      <c r="DN69" s="145"/>
      <c r="DO69" s="145"/>
      <c r="DP69" s="145"/>
      <c r="DQ69" s="145"/>
      <c r="DR69" s="145"/>
      <c r="DS69" s="145"/>
      <c r="DT69" s="145"/>
      <c r="DU69" s="145"/>
      <c r="DV69" s="145"/>
      <c r="DW69" s="145"/>
      <c r="DX69" s="145"/>
      <c r="DY69" s="145"/>
      <c r="DZ69" s="145"/>
      <c r="EA69" s="145"/>
      <c r="EB69" s="145"/>
      <c r="EC69" s="145"/>
      <c r="ED69" s="145"/>
      <c r="EE69" s="145"/>
      <c r="EF69" s="145"/>
      <c r="EG69" s="145"/>
      <c r="EH69" s="145"/>
      <c r="EI69" s="145"/>
      <c r="EJ69" s="145"/>
      <c r="EK69" s="145"/>
      <c r="EL69" s="145"/>
      <c r="EM69" s="145"/>
      <c r="EN69" s="145"/>
      <c r="EO69" s="145"/>
      <c r="EP69" s="145"/>
      <c r="EQ69" s="145"/>
      <c r="ER69" s="145"/>
      <c r="ES69" s="145"/>
      <c r="ET69" s="145"/>
      <c r="EU69" s="145"/>
      <c r="EV69" s="145"/>
      <c r="EW69" s="145"/>
      <c r="EX69" s="145"/>
      <c r="EY69" s="145"/>
    </row>
    <row r="70" spans="1:155" ht="12.75" customHeight="1" outlineLevel="1">
      <c r="A70" s="186">
        <v>7</v>
      </c>
      <c r="B70" s="188"/>
      <c r="C70" s="195"/>
      <c r="D70" s="188"/>
      <c r="E70" s="191"/>
      <c r="F70" s="188"/>
      <c r="G70" s="188"/>
      <c r="H70" s="189"/>
      <c r="I70" s="145"/>
      <c r="J70" s="145"/>
      <c r="K70" s="145"/>
      <c r="L70" s="145"/>
      <c r="M70" s="145"/>
      <c r="N70" s="145"/>
      <c r="O70" s="145"/>
      <c r="P70" s="145"/>
      <c r="Q70" s="145"/>
      <c r="R70" s="145"/>
      <c r="S70" s="145"/>
      <c r="T70" s="145"/>
      <c r="U70" s="145"/>
      <c r="V70" s="145"/>
      <c r="W70" s="145"/>
      <c r="X70" s="145"/>
      <c r="Y70" s="145"/>
      <c r="Z70" s="145"/>
      <c r="AA70" s="145"/>
      <c r="AB70" s="145"/>
      <c r="AC70" s="145"/>
      <c r="AD70" s="145"/>
      <c r="AE70" s="145"/>
      <c r="AF70" s="145"/>
      <c r="AG70" s="145"/>
      <c r="AH70" s="145"/>
      <c r="AI70" s="145"/>
      <c r="AJ70" s="145"/>
      <c r="AK70" s="145"/>
      <c r="AL70" s="145"/>
      <c r="AM70" s="145"/>
      <c r="AN70" s="145"/>
      <c r="AO70" s="145"/>
      <c r="AP70" s="145"/>
      <c r="AQ70" s="145"/>
      <c r="AR70" s="145"/>
      <c r="AS70" s="145"/>
      <c r="AT70" s="145"/>
      <c r="AU70" s="145"/>
      <c r="AV70" s="145"/>
      <c r="AW70" s="145"/>
      <c r="AX70" s="145"/>
      <c r="AY70" s="145"/>
      <c r="AZ70" s="145"/>
      <c r="BA70" s="145"/>
      <c r="BB70" s="145"/>
      <c r="BC70" s="145"/>
      <c r="BD70" s="145"/>
      <c r="BE70" s="145"/>
      <c r="BF70" s="145"/>
      <c r="BG70" s="145"/>
      <c r="BH70" s="145"/>
      <c r="BI70" s="145"/>
      <c r="BJ70" s="145"/>
      <c r="BK70" s="145"/>
      <c r="BL70" s="145"/>
      <c r="BM70" s="145"/>
      <c r="BN70" s="145"/>
      <c r="BO70" s="145"/>
      <c r="BP70" s="145"/>
      <c r="BQ70" s="145"/>
      <c r="BR70" s="145"/>
      <c r="BS70" s="145"/>
      <c r="BT70" s="145"/>
      <c r="BU70" s="145"/>
      <c r="BV70" s="145"/>
      <c r="BW70" s="145"/>
      <c r="BX70" s="145"/>
      <c r="BY70" s="145"/>
      <c r="BZ70" s="145"/>
      <c r="CA70" s="145"/>
      <c r="CB70" s="145"/>
      <c r="CC70" s="145"/>
      <c r="CD70" s="145"/>
      <c r="CE70" s="145"/>
      <c r="CF70" s="145"/>
      <c r="CG70" s="145"/>
      <c r="CH70" s="145"/>
      <c r="CI70" s="145"/>
      <c r="CJ70" s="145"/>
      <c r="CK70" s="145"/>
      <c r="CL70" s="145"/>
      <c r="CM70" s="145"/>
      <c r="CN70" s="145"/>
      <c r="CO70" s="145"/>
      <c r="CP70" s="145"/>
      <c r="CQ70" s="145"/>
      <c r="CR70" s="145"/>
      <c r="CS70" s="145"/>
      <c r="CT70" s="145"/>
      <c r="CU70" s="145"/>
      <c r="CV70" s="145"/>
      <c r="CW70" s="145"/>
      <c r="CX70" s="145"/>
      <c r="CY70" s="145"/>
      <c r="CZ70" s="145"/>
      <c r="DA70" s="145"/>
      <c r="DB70" s="145"/>
      <c r="DC70" s="145"/>
      <c r="DD70" s="145"/>
      <c r="DE70" s="145"/>
      <c r="DF70" s="145"/>
      <c r="DG70" s="145"/>
      <c r="DH70" s="145"/>
      <c r="DI70" s="145"/>
      <c r="DJ70" s="145"/>
      <c r="DK70" s="145"/>
      <c r="DL70" s="145"/>
      <c r="DM70" s="145"/>
      <c r="DN70" s="145"/>
      <c r="DO70" s="145"/>
      <c r="DP70" s="145"/>
      <c r="DQ70" s="145"/>
      <c r="DR70" s="145"/>
      <c r="DS70" s="145"/>
      <c r="DT70" s="145"/>
      <c r="DU70" s="145"/>
      <c r="DV70" s="145"/>
      <c r="DW70" s="145"/>
      <c r="DX70" s="145"/>
      <c r="DY70" s="145"/>
      <c r="DZ70" s="145"/>
      <c r="EA70" s="145"/>
      <c r="EB70" s="145"/>
      <c r="EC70" s="145"/>
      <c r="ED70" s="145"/>
      <c r="EE70" s="145"/>
      <c r="EF70" s="145"/>
      <c r="EG70" s="145"/>
      <c r="EH70" s="145"/>
      <c r="EI70" s="145"/>
      <c r="EJ70" s="145"/>
      <c r="EK70" s="145"/>
      <c r="EL70" s="145"/>
      <c r="EM70" s="145"/>
      <c r="EN70" s="145"/>
      <c r="EO70" s="145"/>
      <c r="EP70" s="145"/>
      <c r="EQ70" s="145"/>
      <c r="ER70" s="145"/>
      <c r="ES70" s="145"/>
      <c r="ET70" s="145"/>
      <c r="EU70" s="145"/>
      <c r="EV70" s="145"/>
      <c r="EW70" s="145"/>
      <c r="EX70" s="145"/>
      <c r="EY70" s="145"/>
    </row>
    <row r="71" spans="1:155" ht="4.5" customHeight="1" outlineLevel="1">
      <c r="A71" s="182"/>
      <c r="B71" s="183"/>
      <c r="C71" s="183"/>
      <c r="D71" s="183"/>
      <c r="E71" s="183"/>
      <c r="F71" s="183"/>
      <c r="G71" s="183"/>
      <c r="H71" s="185"/>
      <c r="I71" s="145"/>
      <c r="J71" s="145"/>
      <c r="K71" s="145"/>
      <c r="L71" s="145"/>
      <c r="M71" s="145"/>
      <c r="N71" s="145"/>
      <c r="O71" s="145"/>
      <c r="P71" s="145"/>
      <c r="Q71" s="145"/>
      <c r="R71" s="145"/>
      <c r="S71" s="145"/>
      <c r="T71" s="145"/>
      <c r="U71" s="145"/>
      <c r="V71" s="145"/>
      <c r="W71" s="145"/>
      <c r="X71" s="145"/>
      <c r="Y71" s="145"/>
      <c r="Z71" s="145"/>
      <c r="AA71" s="145"/>
      <c r="AB71" s="145"/>
      <c r="AC71" s="145"/>
      <c r="AD71" s="145"/>
      <c r="AE71" s="145"/>
      <c r="AF71" s="145"/>
      <c r="AG71" s="145"/>
      <c r="AH71" s="145"/>
      <c r="AI71" s="145"/>
      <c r="AJ71" s="145"/>
      <c r="AK71" s="145"/>
      <c r="AL71" s="145"/>
      <c r="AM71" s="145"/>
      <c r="AN71" s="145"/>
      <c r="AO71" s="145"/>
      <c r="AP71" s="145"/>
      <c r="AQ71" s="145"/>
      <c r="AR71" s="145"/>
      <c r="AS71" s="145"/>
      <c r="AT71" s="145"/>
      <c r="AU71" s="145"/>
      <c r="AV71" s="145"/>
      <c r="AW71" s="145"/>
      <c r="AX71" s="145"/>
      <c r="AY71" s="145"/>
      <c r="AZ71" s="145"/>
      <c r="BA71" s="145"/>
      <c r="BB71" s="145"/>
      <c r="BC71" s="145"/>
      <c r="BD71" s="145"/>
      <c r="BE71" s="145"/>
      <c r="BF71" s="145"/>
      <c r="BG71" s="145"/>
      <c r="BH71" s="145"/>
      <c r="BI71" s="145"/>
      <c r="BJ71" s="145"/>
      <c r="BK71" s="145"/>
      <c r="BL71" s="145"/>
      <c r="BM71" s="145"/>
      <c r="BN71" s="145"/>
      <c r="BO71" s="145"/>
      <c r="BP71" s="145"/>
      <c r="BQ71" s="145"/>
      <c r="BR71" s="145"/>
      <c r="BS71" s="145"/>
      <c r="BT71" s="145"/>
      <c r="BU71" s="145"/>
      <c r="BV71" s="145"/>
      <c r="BW71" s="145"/>
      <c r="BX71" s="145"/>
      <c r="BY71" s="145"/>
      <c r="BZ71" s="145"/>
      <c r="CA71" s="145"/>
      <c r="CB71" s="145"/>
      <c r="CC71" s="145"/>
      <c r="CD71" s="145"/>
      <c r="CE71" s="145"/>
      <c r="CF71" s="145"/>
      <c r="CG71" s="145"/>
      <c r="CH71" s="145"/>
      <c r="CI71" s="145"/>
      <c r="CJ71" s="145"/>
      <c r="CK71" s="145"/>
      <c r="CL71" s="145"/>
      <c r="CM71" s="145"/>
      <c r="CN71" s="145"/>
      <c r="CO71" s="145"/>
      <c r="CP71" s="145"/>
      <c r="CQ71" s="145"/>
      <c r="CR71" s="145"/>
      <c r="CS71" s="145"/>
      <c r="CT71" s="145"/>
      <c r="CU71" s="145"/>
      <c r="CV71" s="145"/>
      <c r="CW71" s="145"/>
      <c r="CX71" s="145"/>
      <c r="CY71" s="145"/>
      <c r="CZ71" s="145"/>
      <c r="DA71" s="145"/>
      <c r="DB71" s="145"/>
      <c r="DC71" s="145"/>
      <c r="DD71" s="145"/>
      <c r="DE71" s="145"/>
      <c r="DF71" s="145"/>
      <c r="DG71" s="145"/>
      <c r="DH71" s="145"/>
      <c r="DI71" s="145"/>
      <c r="DJ71" s="145"/>
      <c r="DK71" s="145"/>
      <c r="DL71" s="145"/>
      <c r="DM71" s="145"/>
      <c r="DN71" s="145"/>
      <c r="DO71" s="145"/>
      <c r="DP71" s="145"/>
      <c r="DQ71" s="145"/>
      <c r="DR71" s="145"/>
      <c r="DS71" s="145"/>
      <c r="DT71" s="145"/>
      <c r="DU71" s="145"/>
      <c r="DV71" s="145"/>
      <c r="DW71" s="145"/>
      <c r="DX71" s="145"/>
      <c r="DY71" s="145"/>
      <c r="DZ71" s="145"/>
      <c r="EA71" s="145"/>
      <c r="EB71" s="145"/>
      <c r="EC71" s="145"/>
      <c r="ED71" s="145"/>
      <c r="EE71" s="145"/>
      <c r="EF71" s="145"/>
      <c r="EG71" s="145"/>
      <c r="EH71" s="145"/>
      <c r="EI71" s="145"/>
      <c r="EJ71" s="145"/>
      <c r="EK71" s="145"/>
      <c r="EL71" s="145"/>
      <c r="EM71" s="145"/>
      <c r="EN71" s="145"/>
      <c r="EO71" s="145"/>
      <c r="EP71" s="145"/>
      <c r="EQ71" s="145"/>
      <c r="ER71" s="145"/>
      <c r="ES71" s="145"/>
      <c r="ET71" s="145"/>
      <c r="EU71" s="145"/>
      <c r="EV71" s="145"/>
      <c r="EW71" s="145"/>
      <c r="EX71" s="145"/>
      <c r="EY71" s="145"/>
    </row>
    <row r="72" spans="1:155">
      <c r="A72" s="145"/>
      <c r="B72" s="145"/>
      <c r="C72" s="145"/>
      <c r="D72" s="145"/>
      <c r="E72" s="190"/>
      <c r="F72" s="145"/>
      <c r="G72" s="145"/>
      <c r="H72" s="145"/>
      <c r="I72" s="145"/>
      <c r="J72" s="145"/>
      <c r="K72" s="145"/>
      <c r="L72" s="145"/>
      <c r="M72" s="145"/>
      <c r="N72" s="145"/>
      <c r="O72" s="145"/>
      <c r="P72" s="145"/>
      <c r="Q72" s="145"/>
      <c r="R72" s="145"/>
      <c r="S72" s="145"/>
      <c r="T72" s="145"/>
      <c r="U72" s="145"/>
      <c r="V72" s="145"/>
      <c r="W72" s="145"/>
      <c r="X72" s="145"/>
      <c r="Y72" s="145"/>
      <c r="Z72" s="145"/>
      <c r="AA72" s="145"/>
      <c r="AB72" s="145"/>
      <c r="AC72" s="145"/>
      <c r="AD72" s="145"/>
      <c r="AE72" s="145"/>
      <c r="AF72" s="145"/>
      <c r="AG72" s="145"/>
      <c r="AH72" s="145"/>
      <c r="AI72" s="145"/>
      <c r="AJ72" s="145"/>
      <c r="AK72" s="145"/>
      <c r="AL72" s="145"/>
      <c r="AM72" s="145"/>
      <c r="AN72" s="145"/>
      <c r="AO72" s="145"/>
      <c r="AP72" s="145"/>
      <c r="AQ72" s="145"/>
      <c r="AR72" s="145"/>
      <c r="AS72" s="145"/>
      <c r="AT72" s="145"/>
      <c r="AU72" s="145"/>
      <c r="AV72" s="145"/>
      <c r="AW72" s="145"/>
      <c r="AX72" s="145"/>
      <c r="AY72" s="145"/>
      <c r="AZ72" s="145"/>
      <c r="BA72" s="145"/>
      <c r="BB72" s="145"/>
      <c r="BC72" s="145"/>
      <c r="BD72" s="145"/>
      <c r="BE72" s="145"/>
      <c r="BF72" s="145"/>
      <c r="BG72" s="145"/>
      <c r="BH72" s="145"/>
      <c r="BI72" s="145"/>
      <c r="BJ72" s="145"/>
      <c r="BK72" s="145"/>
      <c r="BL72" s="145"/>
      <c r="BM72" s="145"/>
      <c r="BN72" s="145"/>
      <c r="BO72" s="145"/>
      <c r="BP72" s="145"/>
      <c r="BQ72" s="145"/>
      <c r="BR72" s="145"/>
      <c r="BS72" s="145"/>
      <c r="BT72" s="145"/>
      <c r="BU72" s="145"/>
      <c r="BV72" s="145"/>
      <c r="BW72" s="145"/>
      <c r="BX72" s="145"/>
      <c r="BY72" s="145"/>
      <c r="BZ72" s="145"/>
      <c r="CA72" s="145"/>
      <c r="CB72" s="145"/>
      <c r="CC72" s="145"/>
      <c r="CD72" s="145"/>
      <c r="CE72" s="145"/>
      <c r="CF72" s="145"/>
      <c r="CG72" s="145"/>
      <c r="CH72" s="145"/>
      <c r="CI72" s="145"/>
      <c r="CJ72" s="145"/>
      <c r="CK72" s="145"/>
      <c r="CL72" s="145"/>
      <c r="CM72" s="145"/>
      <c r="CN72" s="145"/>
      <c r="CO72" s="145"/>
      <c r="CP72" s="145"/>
      <c r="CQ72" s="145"/>
      <c r="CR72" s="145"/>
      <c r="CS72" s="145"/>
      <c r="CT72" s="145"/>
      <c r="CU72" s="145"/>
      <c r="CV72" s="145"/>
      <c r="CW72" s="145"/>
      <c r="CX72" s="145"/>
      <c r="CY72" s="145"/>
      <c r="CZ72" s="145"/>
      <c r="DA72" s="145"/>
      <c r="DB72" s="145"/>
      <c r="DC72" s="145"/>
      <c r="DD72" s="145"/>
      <c r="DE72" s="145"/>
      <c r="DF72" s="145"/>
      <c r="DG72" s="145"/>
      <c r="DH72" s="145"/>
      <c r="DI72" s="145"/>
      <c r="DJ72" s="145"/>
      <c r="DK72" s="145"/>
      <c r="DL72" s="145"/>
      <c r="DM72" s="145"/>
      <c r="DN72" s="145"/>
      <c r="DO72" s="145"/>
      <c r="DP72" s="145"/>
      <c r="DQ72" s="145"/>
      <c r="DR72" s="145"/>
      <c r="DS72" s="145"/>
      <c r="DT72" s="145"/>
      <c r="DU72" s="145"/>
      <c r="DV72" s="145"/>
      <c r="DW72" s="145"/>
      <c r="DX72" s="145"/>
      <c r="DY72" s="145"/>
      <c r="DZ72" s="145"/>
      <c r="EA72" s="145"/>
      <c r="EB72" s="145"/>
      <c r="EC72" s="145"/>
      <c r="ED72" s="145"/>
      <c r="EE72" s="145"/>
      <c r="EF72" s="145"/>
      <c r="EG72" s="145"/>
      <c r="EH72" s="145"/>
      <c r="EI72" s="145"/>
      <c r="EJ72" s="145"/>
      <c r="EK72" s="145"/>
      <c r="EL72" s="145"/>
      <c r="EM72" s="145"/>
      <c r="EN72" s="145"/>
      <c r="EO72" s="145"/>
      <c r="EP72" s="145"/>
      <c r="EQ72" s="145"/>
      <c r="ER72" s="145"/>
      <c r="ES72" s="145"/>
      <c r="ET72" s="145"/>
      <c r="EU72" s="145"/>
      <c r="EV72" s="145"/>
      <c r="EW72" s="145"/>
      <c r="EX72" s="145"/>
      <c r="EY72" s="145"/>
    </row>
    <row r="73" spans="1:155">
      <c r="A73" s="150" t="s">
        <v>381</v>
      </c>
      <c r="B73" s="151"/>
      <c r="C73" s="151"/>
      <c r="D73" s="151"/>
      <c r="E73" s="151"/>
      <c r="F73" s="152"/>
      <c r="G73" s="152"/>
      <c r="H73" s="152"/>
      <c r="I73" s="152"/>
      <c r="J73" s="152"/>
      <c r="K73" s="152"/>
      <c r="L73" s="152"/>
      <c r="M73" s="152"/>
      <c r="N73" s="153"/>
      <c r="O73" s="153"/>
      <c r="P73" s="153"/>
      <c r="Q73" s="153"/>
      <c r="R73" s="153"/>
      <c r="S73" s="153"/>
      <c r="T73" s="153"/>
      <c r="U73" s="153"/>
      <c r="V73" s="153"/>
      <c r="W73" s="153"/>
      <c r="X73" s="153"/>
      <c r="Y73" s="153"/>
      <c r="Z73" s="153"/>
      <c r="AA73" s="153"/>
      <c r="AB73" s="153"/>
      <c r="AC73" s="153"/>
      <c r="AD73" s="153"/>
      <c r="AE73" s="153"/>
      <c r="AF73" s="153"/>
      <c r="AG73" s="153"/>
      <c r="AH73" s="153"/>
      <c r="AI73" s="153"/>
      <c r="AJ73" s="153"/>
      <c r="AK73" s="153"/>
      <c r="AL73" s="153"/>
      <c r="AM73" s="153"/>
      <c r="AN73" s="153"/>
      <c r="AO73" s="153"/>
      <c r="AP73" s="153"/>
      <c r="AQ73" s="153"/>
      <c r="AR73" s="153"/>
      <c r="AS73" s="153"/>
      <c r="AT73" s="153"/>
      <c r="AU73" s="153"/>
      <c r="AV73" s="153"/>
      <c r="AW73" s="153"/>
      <c r="AX73" s="153"/>
      <c r="AY73" s="153"/>
      <c r="AZ73" s="153"/>
      <c r="BA73" s="153"/>
      <c r="BB73" s="153"/>
      <c r="BC73" s="153"/>
      <c r="BD73" s="153"/>
      <c r="BE73" s="153"/>
      <c r="BF73" s="153"/>
      <c r="BG73" s="153"/>
      <c r="BH73" s="153"/>
      <c r="BI73" s="153"/>
      <c r="BJ73" s="153"/>
      <c r="BK73" s="153"/>
      <c r="BL73" s="153"/>
      <c r="BM73" s="153"/>
      <c r="BN73" s="153"/>
      <c r="BO73" s="153"/>
      <c r="BP73" s="153"/>
      <c r="BQ73" s="153"/>
      <c r="BR73" s="153"/>
      <c r="BS73" s="153"/>
      <c r="BT73" s="153"/>
      <c r="BU73" s="153"/>
      <c r="BV73" s="153"/>
      <c r="BW73" s="153"/>
      <c r="BX73" s="153"/>
      <c r="BY73" s="153"/>
      <c r="BZ73" s="153"/>
      <c r="CA73" s="153"/>
      <c r="CB73" s="153"/>
      <c r="CC73" s="153"/>
      <c r="CD73" s="153"/>
      <c r="CE73" s="153"/>
      <c r="CF73" s="153"/>
      <c r="CG73" s="153"/>
      <c r="CH73" s="153"/>
      <c r="CI73" s="153"/>
      <c r="CJ73" s="153"/>
      <c r="CK73" s="153"/>
      <c r="CL73" s="153"/>
      <c r="CM73" s="153"/>
      <c r="CN73" s="153"/>
      <c r="CO73" s="153"/>
      <c r="CP73" s="153"/>
      <c r="CQ73" s="153"/>
      <c r="CR73" s="153"/>
      <c r="CS73" s="153"/>
      <c r="CT73" s="153"/>
      <c r="CU73" s="153"/>
      <c r="CV73" s="153"/>
      <c r="CW73" s="153"/>
      <c r="CX73" s="153"/>
      <c r="CY73" s="153"/>
      <c r="CZ73" s="153"/>
      <c r="DA73" s="153"/>
      <c r="DB73" s="153"/>
      <c r="DC73" s="153"/>
      <c r="DD73" s="153"/>
      <c r="DE73" s="153"/>
      <c r="DF73" s="153"/>
      <c r="DG73" s="153"/>
      <c r="DH73" s="153"/>
      <c r="DI73" s="153"/>
      <c r="DJ73" s="153"/>
      <c r="DK73" s="153"/>
      <c r="DL73" s="153"/>
      <c r="DM73" s="153"/>
      <c r="DN73" s="153"/>
      <c r="DO73" s="153"/>
      <c r="DP73" s="153"/>
      <c r="DQ73" s="153"/>
      <c r="DR73" s="153"/>
      <c r="DS73" s="153"/>
      <c r="DT73" s="153"/>
      <c r="DU73" s="153"/>
      <c r="DV73" s="153"/>
      <c r="DW73" s="153"/>
      <c r="DX73" s="153"/>
      <c r="DY73" s="153"/>
      <c r="DZ73" s="153"/>
      <c r="EA73" s="153"/>
      <c r="EB73" s="153"/>
      <c r="EC73" s="153"/>
      <c r="ED73" s="153"/>
      <c r="EE73" s="153"/>
      <c r="EF73" s="153"/>
      <c r="EG73" s="153"/>
      <c r="EH73" s="153"/>
      <c r="EI73" s="153"/>
      <c r="EJ73" s="153"/>
      <c r="EK73" s="153"/>
      <c r="EL73" s="153"/>
      <c r="EM73" s="153"/>
      <c r="EN73" s="153"/>
      <c r="EO73" s="153"/>
      <c r="EP73" s="153"/>
      <c r="EQ73" s="153"/>
      <c r="ER73" s="153"/>
      <c r="ES73" s="153"/>
      <c r="ET73" s="153"/>
      <c r="EU73" s="153"/>
      <c r="EV73" s="153"/>
      <c r="EW73" s="153"/>
      <c r="EX73" s="153"/>
      <c r="EY73" s="153"/>
    </row>
    <row r="74" spans="1:155" ht="12.75" customHeight="1" outlineLevel="1">
      <c r="A74" s="145"/>
      <c r="B74" s="145"/>
      <c r="C74" s="145"/>
      <c r="D74" s="145"/>
      <c r="E74" s="190"/>
      <c r="F74" s="145"/>
      <c r="G74" s="145"/>
      <c r="H74" s="145"/>
      <c r="I74" s="145"/>
      <c r="J74" s="145"/>
      <c r="K74" s="145"/>
      <c r="L74" s="145"/>
      <c r="M74" s="145"/>
      <c r="N74" s="145"/>
      <c r="O74" s="145"/>
      <c r="P74" s="145"/>
      <c r="Q74" s="145"/>
      <c r="R74" s="145"/>
      <c r="S74" s="145"/>
      <c r="T74" s="145"/>
      <c r="U74" s="145"/>
      <c r="V74" s="145"/>
      <c r="W74" s="145"/>
      <c r="X74" s="145"/>
      <c r="Y74" s="145"/>
      <c r="Z74" s="145"/>
      <c r="AA74" s="145"/>
      <c r="AB74" s="145"/>
      <c r="AC74" s="145"/>
      <c r="AD74" s="145"/>
      <c r="AE74" s="145"/>
      <c r="AF74" s="145"/>
      <c r="AG74" s="145"/>
      <c r="AH74" s="145"/>
      <c r="AI74" s="145"/>
      <c r="AJ74" s="145"/>
      <c r="AK74" s="145"/>
      <c r="AL74" s="145"/>
      <c r="AM74" s="145"/>
      <c r="AN74" s="145"/>
      <c r="AO74" s="145"/>
      <c r="AP74" s="145"/>
      <c r="AQ74" s="145"/>
      <c r="AR74" s="145"/>
      <c r="AS74" s="145"/>
      <c r="AT74" s="145"/>
      <c r="AU74" s="145"/>
      <c r="AV74" s="145"/>
      <c r="AW74" s="145"/>
      <c r="AX74" s="145"/>
      <c r="AY74" s="145"/>
      <c r="AZ74" s="145"/>
      <c r="BA74" s="145"/>
      <c r="BB74" s="145"/>
      <c r="BC74" s="145"/>
      <c r="BD74" s="145"/>
      <c r="BE74" s="145"/>
      <c r="BF74" s="145"/>
      <c r="BG74" s="145"/>
      <c r="BH74" s="145"/>
      <c r="BI74" s="145"/>
      <c r="BJ74" s="145"/>
      <c r="BK74" s="145"/>
      <c r="BL74" s="145"/>
      <c r="BM74" s="145"/>
      <c r="BN74" s="145"/>
      <c r="BO74" s="145"/>
      <c r="BP74" s="145"/>
      <c r="BQ74" s="145"/>
      <c r="BR74" s="145"/>
      <c r="BS74" s="145"/>
      <c r="BT74" s="145"/>
      <c r="BU74" s="145"/>
      <c r="BV74" s="145"/>
      <c r="BW74" s="145"/>
      <c r="BX74" s="145"/>
      <c r="BY74" s="145"/>
      <c r="BZ74" s="145"/>
      <c r="CA74" s="145"/>
      <c r="CB74" s="145"/>
      <c r="CC74" s="145"/>
      <c r="CD74" s="145"/>
      <c r="CE74" s="145"/>
      <c r="CF74" s="145"/>
      <c r="CG74" s="145"/>
      <c r="CH74" s="145"/>
      <c r="CI74" s="145"/>
      <c r="CJ74" s="145"/>
      <c r="CK74" s="145"/>
      <c r="CL74" s="145"/>
      <c r="CM74" s="145"/>
      <c r="CN74" s="145"/>
      <c r="CO74" s="145"/>
      <c r="CP74" s="145"/>
      <c r="CQ74" s="145"/>
      <c r="CR74" s="145"/>
      <c r="CS74" s="145"/>
      <c r="CT74" s="145"/>
      <c r="CU74" s="145"/>
      <c r="CV74" s="145"/>
      <c r="CW74" s="145"/>
      <c r="CX74" s="145"/>
      <c r="CY74" s="145"/>
      <c r="CZ74" s="145"/>
      <c r="DA74" s="145"/>
      <c r="DB74" s="145"/>
      <c r="DC74" s="145"/>
      <c r="DD74" s="145"/>
      <c r="DE74" s="145"/>
      <c r="DF74" s="145"/>
      <c r="DG74" s="145"/>
      <c r="DH74" s="145"/>
      <c r="DI74" s="145"/>
      <c r="DJ74" s="145"/>
      <c r="DK74" s="145"/>
      <c r="DL74" s="145"/>
      <c r="DM74" s="145"/>
      <c r="DN74" s="145"/>
      <c r="DO74" s="145"/>
      <c r="DP74" s="145"/>
      <c r="DQ74" s="145"/>
      <c r="DR74" s="145"/>
      <c r="DS74" s="145"/>
      <c r="DT74" s="145"/>
      <c r="DU74" s="145"/>
      <c r="DV74" s="145"/>
      <c r="DW74" s="145"/>
      <c r="DX74" s="145"/>
      <c r="DY74" s="145"/>
      <c r="DZ74" s="145"/>
      <c r="EA74" s="145"/>
      <c r="EB74" s="145"/>
      <c r="EC74" s="145"/>
      <c r="ED74" s="145"/>
      <c r="EE74" s="145"/>
      <c r="EF74" s="145"/>
      <c r="EG74" s="145"/>
      <c r="EH74" s="145"/>
      <c r="EI74" s="145"/>
      <c r="EJ74" s="145"/>
      <c r="EK74" s="145"/>
      <c r="EL74" s="145"/>
      <c r="EM74" s="145"/>
      <c r="EN74" s="145"/>
      <c r="EO74" s="145"/>
      <c r="EP74" s="145"/>
      <c r="EQ74" s="145"/>
      <c r="ER74" s="145"/>
      <c r="ES74" s="145"/>
      <c r="ET74" s="145"/>
      <c r="EU74" s="145"/>
      <c r="EV74" s="145"/>
      <c r="EW74" s="145"/>
      <c r="EX74" s="145"/>
      <c r="EY74" s="145"/>
    </row>
    <row r="75" spans="1:155" ht="12.75" customHeight="1" outlineLevel="1">
      <c r="A75" s="145"/>
      <c r="B75" s="190" t="s">
        <v>382</v>
      </c>
      <c r="C75" s="190" t="s">
        <v>383</v>
      </c>
      <c r="D75" s="145"/>
      <c r="E75" s="190"/>
      <c r="F75" s="145"/>
      <c r="G75" s="145"/>
      <c r="H75" s="145"/>
      <c r="I75" s="145"/>
      <c r="J75" s="145"/>
      <c r="K75" s="145"/>
      <c r="L75" s="145"/>
      <c r="M75" s="145"/>
      <c r="N75" s="145"/>
      <c r="O75" s="145"/>
      <c r="P75" s="145"/>
      <c r="Q75" s="145"/>
      <c r="R75" s="145"/>
      <c r="S75" s="145"/>
      <c r="T75" s="145"/>
      <c r="U75" s="145"/>
      <c r="V75" s="145"/>
      <c r="W75" s="145"/>
      <c r="X75" s="145"/>
      <c r="Y75" s="145"/>
      <c r="Z75" s="145"/>
      <c r="AA75" s="145"/>
      <c r="AB75" s="145"/>
      <c r="AC75" s="145"/>
      <c r="AD75" s="145"/>
      <c r="AE75" s="145"/>
      <c r="AF75" s="145"/>
      <c r="AG75" s="145"/>
      <c r="AH75" s="145"/>
      <c r="AI75" s="145"/>
      <c r="AJ75" s="145"/>
      <c r="AK75" s="145"/>
      <c r="AL75" s="145"/>
      <c r="AM75" s="145"/>
      <c r="AN75" s="145"/>
      <c r="AO75" s="145"/>
      <c r="AP75" s="145"/>
      <c r="AQ75" s="145"/>
      <c r="AR75" s="145"/>
      <c r="AS75" s="145"/>
      <c r="AT75" s="145"/>
      <c r="AU75" s="145"/>
      <c r="AV75" s="145"/>
      <c r="AW75" s="145"/>
      <c r="AX75" s="145"/>
      <c r="AY75" s="145"/>
      <c r="AZ75" s="145"/>
      <c r="BA75" s="145"/>
      <c r="BB75" s="145"/>
      <c r="BC75" s="145"/>
      <c r="BD75" s="145"/>
      <c r="BE75" s="145"/>
      <c r="BF75" s="145"/>
      <c r="BG75" s="145"/>
      <c r="BH75" s="145"/>
      <c r="BI75" s="145"/>
      <c r="BJ75" s="145"/>
      <c r="BK75" s="145"/>
      <c r="BL75" s="145"/>
      <c r="BM75" s="145"/>
      <c r="BN75" s="145"/>
      <c r="BO75" s="145"/>
      <c r="BP75" s="145"/>
      <c r="BQ75" s="145"/>
      <c r="BR75" s="145"/>
      <c r="BS75" s="145"/>
      <c r="BT75" s="145"/>
      <c r="BU75" s="145"/>
      <c r="BV75" s="145"/>
      <c r="BW75" s="145"/>
      <c r="BX75" s="145"/>
      <c r="BY75" s="145"/>
      <c r="BZ75" s="145"/>
      <c r="CA75" s="145"/>
      <c r="CB75" s="145"/>
      <c r="CC75" s="145"/>
      <c r="CD75" s="145"/>
      <c r="CE75" s="145"/>
      <c r="CF75" s="145"/>
      <c r="CG75" s="145"/>
      <c r="CH75" s="145"/>
      <c r="CI75" s="145"/>
      <c r="CJ75" s="145"/>
      <c r="CK75" s="145"/>
      <c r="CL75" s="145"/>
      <c r="CM75" s="145"/>
      <c r="CN75" s="145"/>
      <c r="CO75" s="145"/>
      <c r="CP75" s="145"/>
      <c r="CQ75" s="145"/>
      <c r="CR75" s="145"/>
      <c r="CS75" s="145"/>
      <c r="CT75" s="145"/>
      <c r="CU75" s="145"/>
      <c r="CV75" s="145"/>
      <c r="CW75" s="145"/>
      <c r="CX75" s="145"/>
      <c r="CY75" s="145"/>
      <c r="CZ75" s="145"/>
      <c r="DA75" s="145"/>
      <c r="DB75" s="145"/>
      <c r="DC75" s="145"/>
      <c r="DD75" s="145"/>
      <c r="DE75" s="145"/>
      <c r="DF75" s="145"/>
      <c r="DG75" s="145"/>
      <c r="DH75" s="145"/>
      <c r="DI75" s="145"/>
      <c r="DJ75" s="145"/>
      <c r="DK75" s="145"/>
      <c r="DL75" s="145"/>
      <c r="DM75" s="145"/>
      <c r="DN75" s="145"/>
      <c r="DO75" s="145"/>
      <c r="DP75" s="145"/>
      <c r="DQ75" s="145"/>
      <c r="DR75" s="145"/>
      <c r="DS75" s="145"/>
      <c r="DT75" s="145"/>
      <c r="DU75" s="145"/>
      <c r="DV75" s="145"/>
      <c r="DW75" s="145"/>
      <c r="DX75" s="145"/>
      <c r="DY75" s="145"/>
      <c r="DZ75" s="145"/>
      <c r="EA75" s="145"/>
      <c r="EB75" s="145"/>
      <c r="EC75" s="145"/>
      <c r="ED75" s="145"/>
      <c r="EE75" s="145"/>
      <c r="EF75" s="145"/>
      <c r="EG75" s="145"/>
      <c r="EH75" s="145"/>
      <c r="EI75" s="145"/>
      <c r="EJ75" s="145"/>
      <c r="EK75" s="145"/>
      <c r="EL75" s="145"/>
      <c r="EM75" s="145"/>
      <c r="EN75" s="145"/>
      <c r="EO75" s="145"/>
      <c r="EP75" s="145"/>
      <c r="EQ75" s="145"/>
      <c r="ER75" s="145"/>
      <c r="ES75" s="145"/>
      <c r="ET75" s="145"/>
      <c r="EU75" s="145"/>
      <c r="EV75" s="145"/>
      <c r="EW75" s="145"/>
      <c r="EX75" s="145"/>
      <c r="EY75" s="197"/>
    </row>
    <row r="76" spans="1:155" ht="4.5" customHeight="1" outlineLevel="1">
      <c r="A76" s="145"/>
      <c r="B76" s="198"/>
      <c r="C76" s="199"/>
      <c r="D76" s="145"/>
      <c r="E76" s="190"/>
      <c r="F76" s="145"/>
      <c r="G76" s="145"/>
      <c r="H76" s="145"/>
      <c r="I76" s="145"/>
      <c r="J76" s="145"/>
      <c r="K76" s="145"/>
      <c r="L76" s="145"/>
      <c r="M76" s="145"/>
      <c r="N76" s="145"/>
      <c r="O76" s="145"/>
      <c r="P76" s="145"/>
      <c r="Q76" s="145"/>
      <c r="R76" s="145"/>
      <c r="S76" s="145"/>
      <c r="T76" s="145"/>
      <c r="U76" s="145"/>
      <c r="V76" s="145"/>
      <c r="W76" s="145"/>
      <c r="X76" s="145"/>
      <c r="Y76" s="145"/>
      <c r="Z76" s="145"/>
      <c r="AA76" s="145"/>
      <c r="AB76" s="145"/>
      <c r="AC76" s="145"/>
      <c r="AD76" s="145"/>
      <c r="AE76" s="145"/>
      <c r="AF76" s="145"/>
      <c r="AG76" s="145"/>
      <c r="AH76" s="145"/>
      <c r="AI76" s="145"/>
      <c r="AJ76" s="145"/>
      <c r="AK76" s="145"/>
      <c r="AL76" s="145"/>
      <c r="AM76" s="145"/>
      <c r="AN76" s="145"/>
      <c r="AO76" s="145"/>
      <c r="AP76" s="145"/>
      <c r="AQ76" s="145"/>
      <c r="AR76" s="145"/>
      <c r="AS76" s="145"/>
      <c r="AT76" s="145"/>
      <c r="AU76" s="145"/>
      <c r="AV76" s="145"/>
      <c r="AW76" s="145"/>
      <c r="AX76" s="145"/>
      <c r="AY76" s="145"/>
      <c r="AZ76" s="145"/>
      <c r="BA76" s="145"/>
      <c r="BB76" s="145"/>
      <c r="BC76" s="145"/>
      <c r="BD76" s="145"/>
      <c r="BE76" s="145"/>
      <c r="BF76" s="145"/>
      <c r="BG76" s="145"/>
      <c r="BH76" s="145"/>
      <c r="BI76" s="145"/>
      <c r="BJ76" s="145"/>
      <c r="BK76" s="145"/>
      <c r="BL76" s="145"/>
      <c r="BM76" s="145"/>
      <c r="BN76" s="145"/>
      <c r="BO76" s="145"/>
      <c r="BP76" s="145"/>
      <c r="BQ76" s="145"/>
      <c r="BR76" s="145"/>
      <c r="BS76" s="145"/>
      <c r="BT76" s="145"/>
      <c r="BU76" s="145"/>
      <c r="BV76" s="145"/>
      <c r="BW76" s="145"/>
      <c r="BX76" s="145"/>
      <c r="BY76" s="145"/>
      <c r="BZ76" s="145"/>
      <c r="CA76" s="145"/>
      <c r="CB76" s="145"/>
      <c r="CC76" s="145"/>
      <c r="CD76" s="145"/>
      <c r="CE76" s="145"/>
      <c r="CF76" s="145"/>
      <c r="CG76" s="145"/>
      <c r="CH76" s="145"/>
      <c r="CI76" s="145"/>
      <c r="CJ76" s="145"/>
      <c r="CK76" s="145"/>
      <c r="CL76" s="145"/>
      <c r="CM76" s="145"/>
      <c r="CN76" s="145"/>
      <c r="CO76" s="145"/>
      <c r="CP76" s="145"/>
      <c r="CQ76" s="145"/>
      <c r="CR76" s="145"/>
      <c r="CS76" s="145"/>
      <c r="CT76" s="145"/>
      <c r="CU76" s="145"/>
      <c r="CV76" s="145"/>
      <c r="CW76" s="145"/>
      <c r="CX76" s="145"/>
      <c r="CY76" s="145"/>
      <c r="CZ76" s="145"/>
      <c r="DA76" s="145"/>
      <c r="DB76" s="145"/>
      <c r="DC76" s="145"/>
      <c r="DD76" s="145"/>
      <c r="DE76" s="145"/>
      <c r="DF76" s="145"/>
      <c r="DG76" s="145"/>
      <c r="DH76" s="145"/>
      <c r="DI76" s="145"/>
      <c r="DJ76" s="145"/>
      <c r="DK76" s="145"/>
      <c r="DL76" s="145"/>
      <c r="DM76" s="145"/>
      <c r="DN76" s="145"/>
      <c r="DO76" s="145"/>
      <c r="DP76" s="145"/>
      <c r="DQ76" s="145"/>
      <c r="DR76" s="145"/>
      <c r="DS76" s="145"/>
      <c r="DT76" s="145"/>
      <c r="DU76" s="145"/>
      <c r="DV76" s="145"/>
      <c r="DW76" s="145"/>
      <c r="DX76" s="145"/>
      <c r="DY76" s="145"/>
      <c r="DZ76" s="145"/>
      <c r="EA76" s="145"/>
      <c r="EB76" s="145"/>
      <c r="EC76" s="145"/>
      <c r="ED76" s="145"/>
      <c r="EE76" s="145"/>
      <c r="EF76" s="145"/>
      <c r="EG76" s="145"/>
      <c r="EH76" s="145"/>
      <c r="EI76" s="145"/>
      <c r="EJ76" s="145"/>
      <c r="EK76" s="145"/>
      <c r="EL76" s="145"/>
      <c r="EM76" s="145"/>
      <c r="EN76" s="145"/>
      <c r="EO76" s="145"/>
      <c r="EP76" s="145"/>
      <c r="EQ76" s="145"/>
      <c r="ER76" s="145"/>
      <c r="ES76" s="145"/>
      <c r="ET76" s="145"/>
      <c r="EU76" s="145"/>
      <c r="EV76" s="145"/>
      <c r="EW76" s="145"/>
      <c r="EX76" s="145"/>
      <c r="EY76" s="197"/>
    </row>
    <row r="77" spans="1:155" ht="12.75" customHeight="1" outlineLevel="1">
      <c r="A77" s="145"/>
      <c r="B77" s="200" t="s">
        <v>384</v>
      </c>
      <c r="C77" s="201" t="s">
        <v>385</v>
      </c>
      <c r="D77" s="145"/>
      <c r="E77" s="190"/>
      <c r="F77" s="145"/>
      <c r="G77" s="145"/>
      <c r="H77" s="145"/>
      <c r="I77" s="145"/>
      <c r="J77" s="145"/>
      <c r="K77" s="145"/>
      <c r="L77" s="145"/>
      <c r="M77" s="145"/>
      <c r="N77" s="145"/>
      <c r="O77" s="145"/>
      <c r="P77" s="145"/>
      <c r="Q77" s="145"/>
      <c r="R77" s="145"/>
      <c r="S77" s="145"/>
      <c r="T77" s="145"/>
      <c r="U77" s="145"/>
      <c r="V77" s="145"/>
      <c r="W77" s="145"/>
      <c r="X77" s="145"/>
      <c r="Y77" s="145"/>
      <c r="Z77" s="145"/>
      <c r="AA77" s="145"/>
      <c r="AB77" s="145"/>
      <c r="AC77" s="145"/>
      <c r="AD77" s="145"/>
      <c r="AE77" s="145"/>
      <c r="AF77" s="145"/>
      <c r="AG77" s="145"/>
      <c r="AH77" s="145"/>
      <c r="AI77" s="145"/>
      <c r="AJ77" s="145"/>
      <c r="AK77" s="145"/>
      <c r="AL77" s="145"/>
      <c r="AM77" s="145"/>
      <c r="AN77" s="145"/>
      <c r="AO77" s="145"/>
      <c r="AP77" s="145"/>
      <c r="AQ77" s="145"/>
      <c r="AR77" s="145"/>
      <c r="AS77" s="145"/>
      <c r="AT77" s="145"/>
      <c r="AU77" s="145"/>
      <c r="AV77" s="145"/>
      <c r="AW77" s="145"/>
      <c r="AX77" s="145"/>
      <c r="AY77" s="145"/>
      <c r="AZ77" s="145"/>
      <c r="BA77" s="145"/>
      <c r="BB77" s="145"/>
      <c r="BC77" s="145"/>
      <c r="BD77" s="145"/>
      <c r="BE77" s="145"/>
      <c r="BF77" s="145"/>
      <c r="BG77" s="145"/>
      <c r="BH77" s="145"/>
      <c r="BI77" s="145"/>
      <c r="BJ77" s="145"/>
      <c r="BK77" s="145"/>
      <c r="BL77" s="145"/>
      <c r="BM77" s="145"/>
      <c r="BN77" s="145"/>
      <c r="BO77" s="145"/>
      <c r="BP77" s="145"/>
      <c r="BQ77" s="145"/>
      <c r="BR77" s="145"/>
      <c r="BS77" s="145"/>
      <c r="BT77" s="145"/>
      <c r="BU77" s="145"/>
      <c r="BV77" s="145"/>
      <c r="BW77" s="145"/>
      <c r="BX77" s="145"/>
      <c r="BY77" s="145"/>
      <c r="BZ77" s="145"/>
      <c r="CA77" s="145"/>
      <c r="CB77" s="145"/>
      <c r="CC77" s="145"/>
      <c r="CD77" s="145"/>
      <c r="CE77" s="145"/>
      <c r="CF77" s="145"/>
      <c r="CG77" s="145"/>
      <c r="CH77" s="145"/>
      <c r="CI77" s="145"/>
      <c r="CJ77" s="145"/>
      <c r="CK77" s="145"/>
      <c r="CL77" s="145"/>
      <c r="CM77" s="145"/>
      <c r="CN77" s="145"/>
      <c r="CO77" s="145"/>
      <c r="CP77" s="145"/>
      <c r="CQ77" s="145"/>
      <c r="CR77" s="145"/>
      <c r="CS77" s="145"/>
      <c r="CT77" s="145"/>
      <c r="CU77" s="145"/>
      <c r="CV77" s="145"/>
      <c r="CW77" s="145"/>
      <c r="CX77" s="145"/>
      <c r="CY77" s="145"/>
      <c r="CZ77" s="145"/>
      <c r="DA77" s="145"/>
      <c r="DB77" s="145"/>
      <c r="DC77" s="145"/>
      <c r="DD77" s="145"/>
      <c r="DE77" s="145"/>
      <c r="DF77" s="145"/>
      <c r="DG77" s="145"/>
      <c r="DH77" s="145"/>
      <c r="DI77" s="145"/>
      <c r="DJ77" s="145"/>
      <c r="DK77" s="145"/>
      <c r="DL77" s="145"/>
      <c r="DM77" s="145"/>
      <c r="DN77" s="145"/>
      <c r="DO77" s="145"/>
      <c r="DP77" s="145"/>
      <c r="DQ77" s="145"/>
      <c r="DR77" s="145"/>
      <c r="DS77" s="145"/>
      <c r="DT77" s="145"/>
      <c r="DU77" s="145"/>
      <c r="DV77" s="145"/>
      <c r="DW77" s="145"/>
      <c r="DX77" s="145"/>
      <c r="DY77" s="145"/>
      <c r="DZ77" s="145"/>
      <c r="EA77" s="145"/>
      <c r="EB77" s="145"/>
      <c r="EC77" s="145"/>
      <c r="ED77" s="145"/>
      <c r="EE77" s="145"/>
      <c r="EF77" s="145"/>
      <c r="EG77" s="145"/>
      <c r="EH77" s="145"/>
      <c r="EI77" s="145"/>
      <c r="EJ77" s="145"/>
      <c r="EK77" s="145"/>
      <c r="EL77" s="145"/>
      <c r="EM77" s="145"/>
      <c r="EN77" s="145"/>
      <c r="EO77" s="145"/>
      <c r="EP77" s="145"/>
      <c r="EQ77" s="145"/>
      <c r="ER77" s="145"/>
      <c r="ES77" s="145"/>
      <c r="ET77" s="145"/>
      <c r="EU77" s="145"/>
      <c r="EV77" s="145"/>
      <c r="EW77" s="145"/>
      <c r="EX77" s="145"/>
      <c r="EY77" s="197"/>
    </row>
    <row r="78" spans="1:155" ht="12.75" customHeight="1" outlineLevel="1">
      <c r="A78" s="145"/>
      <c r="B78" s="202" t="s">
        <v>386</v>
      </c>
      <c r="C78" s="201" t="s">
        <v>387</v>
      </c>
      <c r="D78" s="145"/>
      <c r="E78" s="190"/>
      <c r="F78" s="145"/>
      <c r="G78" s="145"/>
      <c r="H78" s="145"/>
      <c r="I78" s="145"/>
      <c r="J78" s="145"/>
      <c r="K78" s="145"/>
      <c r="L78" s="145"/>
      <c r="M78" s="145"/>
      <c r="N78" s="145"/>
      <c r="O78" s="145"/>
      <c r="P78" s="145"/>
      <c r="Q78" s="145"/>
      <c r="R78" s="145"/>
      <c r="S78" s="145"/>
      <c r="T78" s="145"/>
      <c r="U78" s="145"/>
      <c r="V78" s="145"/>
      <c r="W78" s="145"/>
      <c r="X78" s="145"/>
      <c r="Y78" s="145"/>
      <c r="Z78" s="145"/>
      <c r="AA78" s="145"/>
      <c r="AB78" s="145"/>
      <c r="AC78" s="145"/>
      <c r="AD78" s="145"/>
      <c r="AE78" s="145"/>
      <c r="AF78" s="145"/>
      <c r="AG78" s="145"/>
      <c r="AH78" s="145"/>
      <c r="AI78" s="145"/>
      <c r="AJ78" s="145"/>
      <c r="AK78" s="145"/>
      <c r="AL78" s="145"/>
      <c r="AM78" s="145"/>
      <c r="AN78" s="145"/>
      <c r="AO78" s="145"/>
      <c r="AP78" s="145"/>
      <c r="AQ78" s="145"/>
      <c r="AR78" s="145"/>
      <c r="AS78" s="145"/>
      <c r="AT78" s="145"/>
      <c r="AU78" s="145"/>
      <c r="AV78" s="145"/>
      <c r="AW78" s="145"/>
      <c r="AX78" s="145"/>
      <c r="AY78" s="145"/>
      <c r="AZ78" s="145"/>
      <c r="BA78" s="145"/>
      <c r="BB78" s="145"/>
      <c r="BC78" s="145"/>
      <c r="BD78" s="145"/>
      <c r="BE78" s="145"/>
      <c r="BF78" s="145"/>
      <c r="BG78" s="145"/>
      <c r="BH78" s="145"/>
      <c r="BI78" s="145"/>
      <c r="BJ78" s="145"/>
      <c r="BK78" s="145"/>
      <c r="BL78" s="145"/>
      <c r="BM78" s="145"/>
      <c r="BN78" s="145"/>
      <c r="BO78" s="145"/>
      <c r="BP78" s="145"/>
      <c r="BQ78" s="145"/>
      <c r="BR78" s="145"/>
      <c r="BS78" s="145"/>
      <c r="BT78" s="145"/>
      <c r="BU78" s="145"/>
      <c r="BV78" s="145"/>
      <c r="BW78" s="145"/>
      <c r="BX78" s="145"/>
      <c r="BY78" s="145"/>
      <c r="BZ78" s="145"/>
      <c r="CA78" s="145"/>
      <c r="CB78" s="145"/>
      <c r="CC78" s="145"/>
      <c r="CD78" s="145"/>
      <c r="CE78" s="145"/>
      <c r="CF78" s="145"/>
      <c r="CG78" s="145"/>
      <c r="CH78" s="145"/>
      <c r="CI78" s="145"/>
      <c r="CJ78" s="145"/>
      <c r="CK78" s="145"/>
      <c r="CL78" s="145"/>
      <c r="CM78" s="145"/>
      <c r="CN78" s="145"/>
      <c r="CO78" s="145"/>
      <c r="CP78" s="145"/>
      <c r="CQ78" s="145"/>
      <c r="CR78" s="145"/>
      <c r="CS78" s="145"/>
      <c r="CT78" s="145"/>
      <c r="CU78" s="145"/>
      <c r="CV78" s="145"/>
      <c r="CW78" s="145"/>
      <c r="CX78" s="145"/>
      <c r="CY78" s="145"/>
      <c r="CZ78" s="145"/>
      <c r="DA78" s="145"/>
      <c r="DB78" s="145"/>
      <c r="DC78" s="145"/>
      <c r="DD78" s="145"/>
      <c r="DE78" s="145"/>
      <c r="DF78" s="145"/>
      <c r="DG78" s="145"/>
      <c r="DH78" s="145"/>
      <c r="DI78" s="145"/>
      <c r="DJ78" s="145"/>
      <c r="DK78" s="145"/>
      <c r="DL78" s="145"/>
      <c r="DM78" s="145"/>
      <c r="DN78" s="145"/>
      <c r="DO78" s="145"/>
      <c r="DP78" s="145"/>
      <c r="DQ78" s="145"/>
      <c r="DR78" s="145"/>
      <c r="DS78" s="145"/>
      <c r="DT78" s="145"/>
      <c r="DU78" s="145"/>
      <c r="DV78" s="145"/>
      <c r="DW78" s="145"/>
      <c r="DX78" s="145"/>
      <c r="DY78" s="145"/>
      <c r="DZ78" s="145"/>
      <c r="EA78" s="145"/>
      <c r="EB78" s="145"/>
      <c r="EC78" s="145"/>
      <c r="ED78" s="145"/>
      <c r="EE78" s="145"/>
      <c r="EF78" s="145"/>
      <c r="EG78" s="145"/>
      <c r="EH78" s="145"/>
      <c r="EI78" s="145"/>
      <c r="EJ78" s="145"/>
      <c r="EK78" s="145"/>
      <c r="EL78" s="145"/>
      <c r="EM78" s="145"/>
      <c r="EN78" s="145"/>
      <c r="EO78" s="145"/>
      <c r="EP78" s="145"/>
      <c r="EQ78" s="145"/>
      <c r="ER78" s="145"/>
      <c r="ES78" s="145"/>
      <c r="ET78" s="145"/>
      <c r="EU78" s="145"/>
      <c r="EV78" s="145"/>
      <c r="EW78" s="145"/>
      <c r="EX78" s="145"/>
      <c r="EY78" s="197"/>
    </row>
    <row r="79" spans="1:155" ht="12.75" customHeight="1" outlineLevel="1">
      <c r="A79" s="145"/>
      <c r="B79" s="203"/>
      <c r="C79" s="204" t="s">
        <v>388</v>
      </c>
      <c r="D79" s="145"/>
      <c r="E79" s="190"/>
      <c r="F79" s="145"/>
      <c r="G79" s="145"/>
      <c r="H79" s="145"/>
      <c r="I79" s="145"/>
      <c r="J79" s="145"/>
      <c r="K79" s="145"/>
      <c r="L79" s="145"/>
      <c r="M79" s="145"/>
      <c r="N79" s="145"/>
      <c r="O79" s="145"/>
      <c r="P79" s="145"/>
      <c r="Q79" s="145"/>
      <c r="R79" s="145"/>
      <c r="S79" s="145"/>
      <c r="T79" s="145"/>
      <c r="U79" s="145"/>
      <c r="V79" s="145"/>
      <c r="W79" s="145"/>
      <c r="X79" s="145"/>
      <c r="Y79" s="145"/>
      <c r="Z79" s="145"/>
      <c r="AA79" s="145"/>
      <c r="AB79" s="145"/>
      <c r="AC79" s="145"/>
      <c r="AD79" s="145"/>
      <c r="AE79" s="145"/>
      <c r="AF79" s="145"/>
      <c r="AG79" s="145"/>
      <c r="AH79" s="145"/>
      <c r="AI79" s="145"/>
      <c r="AJ79" s="145"/>
      <c r="AK79" s="145"/>
      <c r="AL79" s="145"/>
      <c r="AM79" s="145"/>
      <c r="AN79" s="145"/>
      <c r="AO79" s="145"/>
      <c r="AP79" s="145"/>
      <c r="AQ79" s="145"/>
      <c r="AR79" s="145"/>
      <c r="AS79" s="145"/>
      <c r="AT79" s="145"/>
      <c r="AU79" s="145"/>
      <c r="AV79" s="145"/>
      <c r="AW79" s="145"/>
      <c r="AX79" s="145"/>
      <c r="AY79" s="145"/>
      <c r="AZ79" s="145"/>
      <c r="BA79" s="145"/>
      <c r="BB79" s="145"/>
      <c r="BC79" s="145"/>
      <c r="BD79" s="145"/>
      <c r="BE79" s="145"/>
      <c r="BF79" s="145"/>
      <c r="BG79" s="145"/>
      <c r="BH79" s="145"/>
      <c r="BI79" s="145"/>
      <c r="BJ79" s="145"/>
      <c r="BK79" s="145"/>
      <c r="BL79" s="145"/>
      <c r="BM79" s="145"/>
      <c r="BN79" s="145"/>
      <c r="BO79" s="145"/>
      <c r="BP79" s="145"/>
      <c r="BQ79" s="145"/>
      <c r="BR79" s="145"/>
      <c r="BS79" s="145"/>
      <c r="BT79" s="145"/>
      <c r="BU79" s="145"/>
      <c r="BV79" s="145"/>
      <c r="BW79" s="145"/>
      <c r="BX79" s="145"/>
      <c r="BY79" s="145"/>
      <c r="BZ79" s="145"/>
      <c r="CA79" s="145"/>
      <c r="CB79" s="145"/>
      <c r="CC79" s="145"/>
      <c r="CD79" s="145"/>
      <c r="CE79" s="145"/>
      <c r="CF79" s="145"/>
      <c r="CG79" s="145"/>
      <c r="CH79" s="145"/>
      <c r="CI79" s="145"/>
      <c r="CJ79" s="145"/>
      <c r="CK79" s="145"/>
      <c r="CL79" s="145"/>
      <c r="CM79" s="145"/>
      <c r="CN79" s="145"/>
      <c r="CO79" s="145"/>
      <c r="CP79" s="145"/>
      <c r="CQ79" s="145"/>
      <c r="CR79" s="145"/>
      <c r="CS79" s="145"/>
      <c r="CT79" s="145"/>
      <c r="CU79" s="145"/>
      <c r="CV79" s="145"/>
      <c r="CW79" s="145"/>
      <c r="CX79" s="145"/>
      <c r="CY79" s="145"/>
      <c r="CZ79" s="145"/>
      <c r="DA79" s="145"/>
      <c r="DB79" s="145"/>
      <c r="DC79" s="145"/>
      <c r="DD79" s="145"/>
      <c r="DE79" s="145"/>
      <c r="DF79" s="145"/>
      <c r="DG79" s="145"/>
      <c r="DH79" s="145"/>
      <c r="DI79" s="145"/>
      <c r="DJ79" s="145"/>
      <c r="DK79" s="145"/>
      <c r="DL79" s="145"/>
      <c r="DM79" s="145"/>
      <c r="DN79" s="145"/>
      <c r="DO79" s="145"/>
      <c r="DP79" s="145"/>
      <c r="DQ79" s="145"/>
      <c r="DR79" s="145"/>
      <c r="DS79" s="145"/>
      <c r="DT79" s="145"/>
      <c r="DU79" s="145"/>
      <c r="DV79" s="145"/>
      <c r="DW79" s="145"/>
      <c r="DX79" s="145"/>
      <c r="DY79" s="145"/>
      <c r="DZ79" s="145"/>
      <c r="EA79" s="145"/>
      <c r="EB79" s="145"/>
      <c r="EC79" s="145"/>
      <c r="ED79" s="145"/>
      <c r="EE79" s="145"/>
      <c r="EF79" s="145"/>
      <c r="EG79" s="145"/>
      <c r="EH79" s="145"/>
      <c r="EI79" s="145"/>
      <c r="EJ79" s="145"/>
      <c r="EK79" s="145"/>
      <c r="EL79" s="145"/>
      <c r="EM79" s="145"/>
      <c r="EN79" s="145"/>
      <c r="EO79" s="145"/>
      <c r="EP79" s="145"/>
      <c r="EQ79" s="145"/>
      <c r="ER79" s="145"/>
      <c r="ES79" s="145"/>
      <c r="ET79" s="145"/>
      <c r="EU79" s="145"/>
      <c r="EV79" s="145"/>
      <c r="EW79" s="145"/>
      <c r="EX79" s="145"/>
      <c r="EY79" s="197"/>
    </row>
    <row r="80" spans="1:155" ht="12.75" customHeight="1" outlineLevel="1">
      <c r="A80" s="145"/>
      <c r="B80" s="205">
        <f>COUNTA(CosDrop)</f>
        <v>2</v>
      </c>
      <c r="C80" s="206" t="s">
        <v>389</v>
      </c>
      <c r="D80" s="145"/>
      <c r="E80" s="190"/>
      <c r="F80" s="145"/>
      <c r="G80" s="145"/>
      <c r="H80" s="145"/>
      <c r="I80" s="145"/>
      <c r="J80" s="145"/>
      <c r="K80" s="145"/>
      <c r="L80" s="145"/>
      <c r="M80" s="145"/>
      <c r="N80" s="145"/>
      <c r="O80" s="145"/>
      <c r="P80" s="145"/>
      <c r="Q80" s="145"/>
      <c r="R80" s="145"/>
      <c r="S80" s="145"/>
      <c r="T80" s="145"/>
      <c r="U80" s="145"/>
      <c r="V80" s="145"/>
      <c r="W80" s="145"/>
      <c r="X80" s="145"/>
      <c r="Y80" s="145"/>
      <c r="Z80" s="145"/>
      <c r="AA80" s="145"/>
      <c r="AB80" s="145"/>
      <c r="AC80" s="145"/>
      <c r="AD80" s="145"/>
      <c r="AE80" s="145"/>
      <c r="AF80" s="145"/>
      <c r="AG80" s="145"/>
      <c r="AH80" s="145"/>
      <c r="AI80" s="145"/>
      <c r="AJ80" s="145"/>
      <c r="AK80" s="145"/>
      <c r="AL80" s="145"/>
      <c r="AM80" s="145"/>
      <c r="AN80" s="145"/>
      <c r="AO80" s="145"/>
      <c r="AP80" s="145"/>
      <c r="AQ80" s="145"/>
      <c r="AR80" s="145"/>
      <c r="AS80" s="145"/>
      <c r="AT80" s="145"/>
      <c r="AU80" s="145"/>
      <c r="AV80" s="145"/>
      <c r="AW80" s="145"/>
      <c r="AX80" s="145"/>
      <c r="AY80" s="145"/>
      <c r="AZ80" s="145"/>
      <c r="BA80" s="145"/>
      <c r="BB80" s="145"/>
      <c r="BC80" s="145"/>
      <c r="BD80" s="145"/>
      <c r="BE80" s="145"/>
      <c r="BF80" s="145"/>
      <c r="BG80" s="145"/>
      <c r="BH80" s="145"/>
      <c r="BI80" s="145"/>
      <c r="BJ80" s="145"/>
      <c r="BK80" s="145"/>
      <c r="BL80" s="145"/>
      <c r="BM80" s="145"/>
      <c r="BN80" s="145"/>
      <c r="BO80" s="145"/>
      <c r="BP80" s="145"/>
      <c r="BQ80" s="145"/>
      <c r="BR80" s="145"/>
      <c r="BS80" s="145"/>
      <c r="BT80" s="145"/>
      <c r="BU80" s="145"/>
      <c r="BV80" s="145"/>
      <c r="BW80" s="145"/>
      <c r="BX80" s="145"/>
      <c r="BY80" s="145"/>
      <c r="BZ80" s="145"/>
      <c r="CA80" s="145"/>
      <c r="CB80" s="145"/>
      <c r="CC80" s="145"/>
      <c r="CD80" s="145"/>
      <c r="CE80" s="145"/>
      <c r="CF80" s="145"/>
      <c r="CG80" s="145"/>
      <c r="CH80" s="145"/>
      <c r="CI80" s="145"/>
      <c r="CJ80" s="145"/>
      <c r="CK80" s="145"/>
      <c r="CL80" s="145"/>
      <c r="CM80" s="145"/>
      <c r="CN80" s="145"/>
      <c r="CO80" s="145"/>
      <c r="CP80" s="145"/>
      <c r="CQ80" s="145"/>
      <c r="CR80" s="145"/>
      <c r="CS80" s="145"/>
      <c r="CT80" s="145"/>
      <c r="CU80" s="145"/>
      <c r="CV80" s="145"/>
      <c r="CW80" s="145"/>
      <c r="CX80" s="145"/>
      <c r="CY80" s="145"/>
      <c r="CZ80" s="145"/>
      <c r="DA80" s="145"/>
      <c r="DB80" s="145"/>
      <c r="DC80" s="145"/>
      <c r="DD80" s="145"/>
      <c r="DE80" s="145"/>
      <c r="DF80" s="145"/>
      <c r="DG80" s="145"/>
      <c r="DH80" s="145"/>
      <c r="DI80" s="145"/>
      <c r="DJ80" s="145"/>
      <c r="DK80" s="145"/>
      <c r="DL80" s="145"/>
      <c r="DM80" s="145"/>
      <c r="DN80" s="145"/>
      <c r="DO80" s="145"/>
      <c r="DP80" s="145"/>
      <c r="DQ80" s="145"/>
      <c r="DR80" s="145"/>
      <c r="DS80" s="145"/>
      <c r="DT80" s="145"/>
      <c r="DU80" s="145"/>
      <c r="DV80" s="145"/>
      <c r="DW80" s="145"/>
      <c r="DX80" s="145"/>
      <c r="DY80" s="145"/>
      <c r="DZ80" s="145"/>
      <c r="EA80" s="145"/>
      <c r="EB80" s="145"/>
      <c r="EC80" s="145"/>
      <c r="ED80" s="145"/>
      <c r="EE80" s="145"/>
      <c r="EF80" s="145"/>
      <c r="EG80" s="145"/>
      <c r="EH80" s="145"/>
      <c r="EI80" s="145"/>
      <c r="EJ80" s="145"/>
      <c r="EK80" s="145"/>
      <c r="EL80" s="145"/>
      <c r="EM80" s="145"/>
      <c r="EN80" s="145"/>
      <c r="EO80" s="145"/>
      <c r="EP80" s="145"/>
      <c r="EQ80" s="145"/>
      <c r="ER80" s="145"/>
      <c r="ES80" s="145"/>
      <c r="ET80" s="145"/>
      <c r="EU80" s="145"/>
      <c r="EV80" s="145"/>
      <c r="EW80" s="145"/>
      <c r="EX80" s="145"/>
      <c r="EY80" s="197"/>
    </row>
    <row r="81" spans="1:155" ht="12.75" customHeight="1" outlineLevel="1">
      <c r="A81" s="145"/>
      <c r="C81" s="203"/>
      <c r="D81" s="145"/>
      <c r="E81" s="190"/>
      <c r="F81" s="145"/>
      <c r="G81" s="145"/>
      <c r="H81" s="145"/>
      <c r="I81" s="145"/>
      <c r="J81" s="145"/>
      <c r="K81" s="145"/>
      <c r="L81" s="145"/>
      <c r="M81" s="145"/>
      <c r="N81" s="145"/>
      <c r="O81" s="145"/>
      <c r="P81" s="145"/>
      <c r="Q81" s="145"/>
      <c r="R81" s="145"/>
      <c r="S81" s="145"/>
      <c r="T81" s="145"/>
      <c r="U81" s="145"/>
      <c r="V81" s="145"/>
      <c r="W81" s="145"/>
      <c r="X81" s="145"/>
      <c r="Y81" s="145"/>
      <c r="Z81" s="145"/>
      <c r="AA81" s="145"/>
      <c r="AB81" s="145"/>
      <c r="AC81" s="145"/>
      <c r="AD81" s="145"/>
      <c r="AE81" s="145"/>
      <c r="AF81" s="145"/>
      <c r="AG81" s="145"/>
      <c r="AH81" s="145"/>
      <c r="AI81" s="145"/>
      <c r="AJ81" s="145"/>
      <c r="AK81" s="145"/>
      <c r="AL81" s="145"/>
      <c r="AM81" s="145"/>
      <c r="AN81" s="145"/>
      <c r="AO81" s="145"/>
      <c r="AP81" s="145"/>
      <c r="AQ81" s="145"/>
      <c r="AR81" s="145"/>
      <c r="AS81" s="145"/>
      <c r="AT81" s="145"/>
      <c r="AU81" s="145"/>
      <c r="AV81" s="145"/>
      <c r="AW81" s="145"/>
      <c r="AX81" s="145"/>
      <c r="AY81" s="145"/>
      <c r="AZ81" s="145"/>
      <c r="BA81" s="145"/>
      <c r="BB81" s="145"/>
      <c r="BC81" s="145"/>
      <c r="BD81" s="145"/>
      <c r="BE81" s="145"/>
      <c r="BF81" s="145"/>
      <c r="BG81" s="145"/>
      <c r="BH81" s="145"/>
      <c r="BI81" s="145"/>
      <c r="BJ81" s="145"/>
      <c r="BK81" s="145"/>
      <c r="BL81" s="145"/>
      <c r="BM81" s="145"/>
      <c r="BN81" s="145"/>
      <c r="BO81" s="145"/>
      <c r="BP81" s="145"/>
      <c r="BQ81" s="145"/>
      <c r="BR81" s="145"/>
      <c r="BS81" s="145"/>
      <c r="BT81" s="145"/>
      <c r="BU81" s="145"/>
      <c r="BV81" s="145"/>
      <c r="BW81" s="145"/>
      <c r="BX81" s="145"/>
      <c r="BY81" s="145"/>
      <c r="BZ81" s="145"/>
      <c r="CA81" s="145"/>
      <c r="CB81" s="145"/>
      <c r="CC81" s="145"/>
      <c r="CD81" s="145"/>
      <c r="CE81" s="145"/>
      <c r="CF81" s="145"/>
      <c r="CG81" s="145"/>
      <c r="CH81" s="145"/>
      <c r="CI81" s="145"/>
      <c r="CJ81" s="145"/>
      <c r="CK81" s="145"/>
      <c r="CL81" s="145"/>
      <c r="CM81" s="145"/>
      <c r="CN81" s="145"/>
      <c r="CO81" s="145"/>
      <c r="CP81" s="145"/>
      <c r="CQ81" s="145"/>
      <c r="CR81" s="145"/>
      <c r="CS81" s="145"/>
      <c r="CT81" s="145"/>
      <c r="CU81" s="145"/>
      <c r="CV81" s="145"/>
      <c r="CW81" s="145"/>
      <c r="CX81" s="145"/>
      <c r="CY81" s="145"/>
      <c r="CZ81" s="145"/>
      <c r="DA81" s="145"/>
      <c r="DB81" s="145"/>
      <c r="DC81" s="145"/>
      <c r="DD81" s="145"/>
      <c r="DE81" s="145"/>
      <c r="DF81" s="145"/>
      <c r="DG81" s="145"/>
      <c r="DH81" s="145"/>
      <c r="DI81" s="145"/>
      <c r="DJ81" s="145"/>
      <c r="DK81" s="145"/>
      <c r="DL81" s="145"/>
      <c r="DM81" s="145"/>
      <c r="DN81" s="145"/>
      <c r="DO81" s="145"/>
      <c r="DP81" s="145"/>
      <c r="DQ81" s="145"/>
      <c r="DR81" s="145"/>
      <c r="DS81" s="145"/>
      <c r="DT81" s="145"/>
      <c r="DU81" s="145"/>
      <c r="DV81" s="145"/>
      <c r="DW81" s="145"/>
      <c r="DX81" s="145"/>
      <c r="DY81" s="145"/>
      <c r="DZ81" s="145"/>
      <c r="EA81" s="145"/>
      <c r="EB81" s="145"/>
      <c r="EC81" s="145"/>
      <c r="ED81" s="145"/>
      <c r="EE81" s="145"/>
      <c r="EF81" s="145"/>
      <c r="EG81" s="145"/>
      <c r="EH81" s="145"/>
      <c r="EI81" s="145"/>
      <c r="EJ81" s="145"/>
      <c r="EK81" s="145"/>
      <c r="EL81" s="145"/>
      <c r="EM81" s="145"/>
      <c r="EN81" s="145"/>
      <c r="EO81" s="145"/>
      <c r="EP81" s="145"/>
      <c r="EQ81" s="145"/>
      <c r="ER81" s="145"/>
      <c r="ES81" s="145"/>
      <c r="ET81" s="145"/>
      <c r="EU81" s="145"/>
      <c r="EV81" s="145"/>
      <c r="EW81" s="145"/>
      <c r="EX81" s="145"/>
      <c r="EY81" s="197"/>
    </row>
    <row r="82" spans="1:155" ht="12.75" customHeight="1" outlineLevel="1">
      <c r="A82" s="145"/>
      <c r="C82" s="205">
        <f>COUNTA(PriDrop)</f>
        <v>4</v>
      </c>
      <c r="D82" s="145"/>
      <c r="E82" s="190"/>
      <c r="F82" s="145"/>
      <c r="G82" s="145"/>
      <c r="H82" s="145"/>
      <c r="I82" s="145"/>
      <c r="J82" s="145"/>
      <c r="K82" s="145"/>
      <c r="L82" s="145"/>
      <c r="M82" s="145"/>
      <c r="N82" s="145"/>
      <c r="O82" s="145"/>
      <c r="P82" s="145"/>
      <c r="Q82" s="145"/>
      <c r="R82" s="145"/>
      <c r="S82" s="145"/>
      <c r="T82" s="145"/>
      <c r="U82" s="145"/>
      <c r="V82" s="145"/>
      <c r="W82" s="145"/>
      <c r="X82" s="145"/>
      <c r="Y82" s="145"/>
      <c r="Z82" s="145"/>
      <c r="AA82" s="145"/>
      <c r="AB82" s="145"/>
      <c r="AC82" s="145"/>
      <c r="AD82" s="145"/>
      <c r="AE82" s="145"/>
      <c r="AF82" s="145"/>
      <c r="AG82" s="145"/>
      <c r="AH82" s="145"/>
      <c r="AI82" s="145"/>
      <c r="AJ82" s="145"/>
      <c r="AK82" s="145"/>
      <c r="AL82" s="145"/>
      <c r="AM82" s="145"/>
      <c r="AN82" s="145"/>
      <c r="AO82" s="145"/>
      <c r="AP82" s="145"/>
      <c r="AQ82" s="145"/>
      <c r="AR82" s="145"/>
      <c r="AS82" s="145"/>
      <c r="AT82" s="145"/>
      <c r="AU82" s="145"/>
      <c r="AV82" s="145"/>
      <c r="AW82" s="145"/>
      <c r="AX82" s="145"/>
      <c r="AY82" s="145"/>
      <c r="AZ82" s="145"/>
      <c r="BA82" s="145"/>
      <c r="BB82" s="145"/>
      <c r="BC82" s="145"/>
      <c r="BD82" s="145"/>
      <c r="BE82" s="145"/>
      <c r="BF82" s="145"/>
      <c r="BG82" s="145"/>
      <c r="BH82" s="145"/>
      <c r="BI82" s="145"/>
      <c r="BJ82" s="145"/>
      <c r="BK82" s="145"/>
      <c r="BL82" s="145"/>
      <c r="BM82" s="145"/>
      <c r="BN82" s="145"/>
      <c r="BO82" s="145"/>
      <c r="BP82" s="145"/>
      <c r="BQ82" s="145"/>
      <c r="BR82" s="145"/>
      <c r="BS82" s="145"/>
      <c r="BT82" s="145"/>
      <c r="BU82" s="145"/>
      <c r="BV82" s="145"/>
      <c r="BW82" s="145"/>
      <c r="BX82" s="145"/>
      <c r="BY82" s="145"/>
      <c r="BZ82" s="145"/>
      <c r="CA82" s="145"/>
      <c r="CB82" s="145"/>
      <c r="CC82" s="145"/>
      <c r="CD82" s="145"/>
      <c r="CE82" s="145"/>
      <c r="CF82" s="145"/>
      <c r="CG82" s="145"/>
      <c r="CH82" s="145"/>
      <c r="CI82" s="145"/>
      <c r="CJ82" s="145"/>
      <c r="CK82" s="145"/>
      <c r="CL82" s="145"/>
      <c r="CM82" s="145"/>
      <c r="CN82" s="145"/>
      <c r="CO82" s="145"/>
      <c r="CP82" s="145"/>
      <c r="CQ82" s="145"/>
      <c r="CR82" s="145"/>
      <c r="CS82" s="145"/>
      <c r="CT82" s="145"/>
      <c r="CU82" s="145"/>
      <c r="CV82" s="145"/>
      <c r="CW82" s="145"/>
      <c r="CX82" s="145"/>
      <c r="CY82" s="145"/>
      <c r="CZ82" s="145"/>
      <c r="DA82" s="145"/>
      <c r="DB82" s="145"/>
      <c r="DC82" s="145"/>
      <c r="DD82" s="145"/>
      <c r="DE82" s="145"/>
      <c r="DF82" s="145"/>
      <c r="DG82" s="145"/>
      <c r="DH82" s="145"/>
      <c r="DI82" s="145"/>
      <c r="DJ82" s="145"/>
      <c r="DK82" s="145"/>
      <c r="DL82" s="145"/>
      <c r="DM82" s="145"/>
      <c r="DN82" s="145"/>
      <c r="DO82" s="145"/>
      <c r="DP82" s="145"/>
      <c r="DQ82" s="145"/>
      <c r="DR82" s="145"/>
      <c r="DS82" s="145"/>
      <c r="DT82" s="145"/>
      <c r="DU82" s="145"/>
      <c r="DV82" s="145"/>
      <c r="DW82" s="145"/>
      <c r="DX82" s="145"/>
      <c r="DY82" s="145"/>
      <c r="DZ82" s="145"/>
      <c r="EA82" s="145"/>
      <c r="EB82" s="145"/>
      <c r="EC82" s="145"/>
      <c r="ED82" s="145"/>
      <c r="EE82" s="145"/>
      <c r="EF82" s="145"/>
      <c r="EG82" s="145"/>
      <c r="EH82" s="145"/>
      <c r="EI82" s="145"/>
      <c r="EJ82" s="145"/>
      <c r="EK82" s="145"/>
      <c r="EL82" s="145"/>
      <c r="EM82" s="145"/>
      <c r="EN82" s="145"/>
      <c r="EO82" s="145"/>
      <c r="EP82" s="145"/>
      <c r="EQ82" s="145"/>
      <c r="ER82" s="145"/>
      <c r="ES82" s="145"/>
      <c r="ET82" s="145"/>
      <c r="EU82" s="145"/>
      <c r="EV82" s="145"/>
      <c r="EW82" s="145"/>
      <c r="EX82" s="145"/>
      <c r="EY82" s="197"/>
    </row>
    <row r="83" spans="1:155" ht="12.75" customHeight="1" outlineLevel="1">
      <c r="B83" s="145"/>
      <c r="D83" s="145"/>
      <c r="F83" s="145"/>
      <c r="G83" s="145"/>
      <c r="H83" s="145"/>
      <c r="I83" s="145"/>
      <c r="J83" s="145"/>
      <c r="K83" s="145"/>
      <c r="L83" s="145"/>
      <c r="M83" s="145"/>
      <c r="N83" s="145"/>
      <c r="O83" s="145"/>
      <c r="P83" s="145"/>
      <c r="Q83" s="145"/>
      <c r="R83" s="145"/>
      <c r="S83" s="145"/>
      <c r="T83" s="145"/>
      <c r="U83" s="145"/>
      <c r="V83" s="145"/>
      <c r="W83" s="145"/>
      <c r="X83" s="145"/>
      <c r="Y83" s="145"/>
      <c r="Z83" s="145"/>
      <c r="AA83" s="145"/>
      <c r="AB83" s="145"/>
      <c r="AC83" s="145"/>
      <c r="AD83" s="145"/>
      <c r="AE83" s="145"/>
      <c r="AF83" s="145"/>
      <c r="AG83" s="145"/>
      <c r="AH83" s="145"/>
      <c r="AI83" s="145"/>
      <c r="AJ83" s="145"/>
      <c r="AK83" s="145"/>
      <c r="AL83" s="145"/>
      <c r="AM83" s="145"/>
      <c r="AN83" s="145"/>
      <c r="AO83" s="145"/>
      <c r="AP83" s="145"/>
      <c r="AQ83" s="145"/>
      <c r="AR83" s="145"/>
      <c r="AS83" s="145"/>
      <c r="AT83" s="145"/>
      <c r="AU83" s="145"/>
      <c r="AV83" s="145"/>
      <c r="AW83" s="145"/>
      <c r="AX83" s="145"/>
      <c r="AY83" s="145"/>
      <c r="AZ83" s="145"/>
      <c r="BA83" s="145"/>
      <c r="BB83" s="145"/>
      <c r="BC83" s="145"/>
      <c r="BD83" s="145"/>
      <c r="BE83" s="145"/>
      <c r="BF83" s="145"/>
      <c r="BG83" s="145"/>
      <c r="BH83" s="145"/>
      <c r="BI83" s="145"/>
      <c r="BJ83" s="145"/>
      <c r="BK83" s="145"/>
      <c r="BL83" s="145"/>
      <c r="BM83" s="145"/>
      <c r="BN83" s="145"/>
      <c r="BO83" s="145"/>
      <c r="BP83" s="145"/>
      <c r="BQ83" s="145"/>
      <c r="BR83" s="145"/>
      <c r="BS83" s="145"/>
      <c r="BT83" s="145"/>
      <c r="BU83" s="145"/>
      <c r="BV83" s="145"/>
      <c r="BW83" s="145"/>
      <c r="BX83" s="145"/>
      <c r="BY83" s="145"/>
      <c r="BZ83" s="145"/>
      <c r="CA83" s="145"/>
      <c r="CB83" s="145"/>
      <c r="CC83" s="145"/>
      <c r="CD83" s="145"/>
      <c r="CE83" s="145"/>
      <c r="CF83" s="145"/>
      <c r="CG83" s="145"/>
      <c r="CH83" s="145"/>
      <c r="CI83" s="145"/>
      <c r="CJ83" s="145"/>
      <c r="CK83" s="145"/>
      <c r="CL83" s="145"/>
      <c r="CM83" s="145"/>
      <c r="CN83" s="145"/>
      <c r="CO83" s="145"/>
      <c r="CP83" s="145"/>
      <c r="CQ83" s="145"/>
      <c r="CR83" s="145"/>
      <c r="CS83" s="145"/>
      <c r="CT83" s="145"/>
      <c r="CU83" s="145"/>
      <c r="CV83" s="145"/>
      <c r="CW83" s="145"/>
      <c r="CX83" s="145"/>
      <c r="CY83" s="145"/>
      <c r="CZ83" s="145"/>
      <c r="DA83" s="145"/>
      <c r="DB83" s="145"/>
      <c r="DC83" s="145"/>
      <c r="DD83" s="145"/>
      <c r="DE83" s="145"/>
      <c r="DF83" s="145"/>
      <c r="DG83" s="145"/>
      <c r="DH83" s="145"/>
      <c r="DI83" s="145"/>
      <c r="DJ83" s="145"/>
      <c r="DK83" s="145"/>
      <c r="DL83" s="145"/>
      <c r="DM83" s="145"/>
      <c r="DN83" s="145"/>
      <c r="DO83" s="145"/>
      <c r="DP83" s="145"/>
      <c r="DQ83" s="145"/>
      <c r="DR83" s="145"/>
      <c r="DS83" s="145"/>
      <c r="DT83" s="145"/>
      <c r="DU83" s="145"/>
      <c r="DV83" s="145"/>
      <c r="DW83" s="145"/>
      <c r="DX83" s="145"/>
      <c r="DY83" s="145"/>
      <c r="DZ83" s="145"/>
      <c r="EA83" s="145"/>
      <c r="EB83" s="145"/>
      <c r="EC83" s="145"/>
      <c r="ED83" s="145"/>
      <c r="EE83" s="145"/>
      <c r="EF83" s="145"/>
      <c r="EG83" s="145"/>
      <c r="EH83" s="145"/>
      <c r="EI83" s="145"/>
      <c r="EJ83" s="145"/>
      <c r="EK83" s="145"/>
      <c r="EL83" s="145"/>
      <c r="EM83" s="145"/>
      <c r="EN83" s="145"/>
      <c r="EO83" s="145"/>
      <c r="EP83" s="145"/>
      <c r="EQ83" s="145"/>
      <c r="ER83" s="145"/>
      <c r="ES83" s="145"/>
      <c r="ET83" s="145"/>
      <c r="EU83" s="145"/>
      <c r="EV83" s="145"/>
      <c r="EW83" s="145"/>
      <c r="EX83" s="145"/>
      <c r="EY83" s="208"/>
    </row>
    <row r="84" spans="1:155">
      <c r="A84" s="145"/>
      <c r="B84" s="145"/>
      <c r="C84" s="145"/>
      <c r="D84" s="145"/>
      <c r="E84" s="190"/>
      <c r="F84" s="145"/>
      <c r="G84" s="145"/>
      <c r="H84" s="145"/>
      <c r="I84" s="145"/>
      <c r="J84" s="145"/>
      <c r="K84" s="145"/>
      <c r="L84" s="145"/>
      <c r="M84" s="145"/>
      <c r="N84" s="145"/>
      <c r="O84" s="145"/>
      <c r="P84" s="145"/>
      <c r="Q84" s="145"/>
      <c r="R84" s="145"/>
      <c r="S84" s="145"/>
      <c r="T84" s="145"/>
      <c r="U84" s="145"/>
      <c r="V84" s="145"/>
      <c r="W84" s="145"/>
      <c r="X84" s="145"/>
      <c r="Y84" s="145"/>
      <c r="Z84" s="145"/>
      <c r="AA84" s="145"/>
      <c r="AB84" s="145"/>
      <c r="AC84" s="145"/>
      <c r="AD84" s="145"/>
      <c r="AE84" s="145"/>
      <c r="AF84" s="145"/>
      <c r="AG84" s="145"/>
      <c r="AH84" s="145"/>
      <c r="AI84" s="145"/>
      <c r="AJ84" s="145"/>
      <c r="AK84" s="145"/>
      <c r="AL84" s="145"/>
      <c r="AM84" s="145"/>
      <c r="AN84" s="145"/>
      <c r="AO84" s="145"/>
      <c r="AP84" s="145"/>
      <c r="AQ84" s="145"/>
      <c r="AR84" s="145"/>
      <c r="AS84" s="145"/>
      <c r="AT84" s="145"/>
      <c r="AU84" s="145"/>
      <c r="AV84" s="145"/>
      <c r="AW84" s="145"/>
      <c r="AX84" s="145"/>
      <c r="AY84" s="145"/>
      <c r="AZ84" s="145"/>
      <c r="BA84" s="145"/>
      <c r="BB84" s="145"/>
      <c r="BC84" s="145"/>
      <c r="BD84" s="145"/>
      <c r="BE84" s="145"/>
      <c r="BF84" s="145"/>
      <c r="BG84" s="145"/>
      <c r="BH84" s="145"/>
      <c r="BI84" s="145"/>
      <c r="BJ84" s="145"/>
      <c r="BK84" s="145"/>
      <c r="BL84" s="145"/>
      <c r="BM84" s="145"/>
      <c r="BN84" s="145"/>
      <c r="BO84" s="145"/>
      <c r="BP84" s="145"/>
      <c r="BQ84" s="145"/>
      <c r="BR84" s="145"/>
      <c r="BS84" s="145"/>
      <c r="BT84" s="145"/>
      <c r="BU84" s="145"/>
      <c r="BV84" s="145"/>
      <c r="BW84" s="145"/>
      <c r="BX84" s="145"/>
      <c r="BY84" s="145"/>
      <c r="BZ84" s="145"/>
      <c r="CA84" s="145"/>
      <c r="CB84" s="145"/>
      <c r="CC84" s="145"/>
      <c r="CD84" s="145"/>
      <c r="CE84" s="145"/>
      <c r="CF84" s="145"/>
      <c r="CG84" s="145"/>
      <c r="CH84" s="145"/>
      <c r="CI84" s="145"/>
      <c r="CJ84" s="145"/>
      <c r="CK84" s="145"/>
      <c r="CL84" s="145"/>
      <c r="CM84" s="145"/>
      <c r="CN84" s="145"/>
      <c r="CO84" s="145"/>
      <c r="CP84" s="145"/>
      <c r="CQ84" s="145"/>
      <c r="CR84" s="145"/>
      <c r="CS84" s="145"/>
      <c r="CT84" s="145"/>
      <c r="CU84" s="145"/>
      <c r="CV84" s="145"/>
      <c r="CW84" s="145"/>
      <c r="CX84" s="145"/>
      <c r="CY84" s="145"/>
      <c r="CZ84" s="145"/>
      <c r="DA84" s="145"/>
      <c r="DB84" s="145"/>
      <c r="DC84" s="145"/>
      <c r="DD84" s="145"/>
      <c r="DE84" s="145"/>
      <c r="DF84" s="145"/>
      <c r="DG84" s="145"/>
      <c r="DH84" s="145"/>
      <c r="DI84" s="145"/>
      <c r="DJ84" s="145"/>
      <c r="DK84" s="145"/>
      <c r="DL84" s="145"/>
      <c r="DM84" s="145"/>
      <c r="DN84" s="145"/>
      <c r="DO84" s="145"/>
      <c r="DP84" s="145"/>
      <c r="DQ84" s="145"/>
      <c r="DR84" s="145"/>
      <c r="DS84" s="145"/>
      <c r="DT84" s="145"/>
      <c r="DU84" s="145"/>
      <c r="DV84" s="145"/>
      <c r="DW84" s="145"/>
      <c r="DX84" s="145"/>
      <c r="DY84" s="145"/>
      <c r="DZ84" s="145"/>
      <c r="EA84" s="145"/>
      <c r="EB84" s="145"/>
      <c r="EC84" s="145"/>
      <c r="ED84" s="145"/>
      <c r="EE84" s="145"/>
      <c r="EF84" s="145"/>
      <c r="EG84" s="145"/>
      <c r="EH84" s="145"/>
      <c r="EI84" s="145"/>
      <c r="EJ84" s="145"/>
      <c r="EK84" s="145"/>
      <c r="EL84" s="145"/>
      <c r="EM84" s="145"/>
      <c r="EN84" s="145"/>
      <c r="EO84" s="145"/>
      <c r="EP84" s="145"/>
      <c r="EQ84" s="145"/>
      <c r="ER84" s="145"/>
      <c r="ES84" s="145"/>
      <c r="ET84" s="145"/>
      <c r="EU84" s="145"/>
      <c r="EV84" s="145"/>
      <c r="EW84" s="145"/>
      <c r="EX84" s="145"/>
      <c r="EY84" s="145"/>
    </row>
    <row r="85" spans="1:155">
      <c r="A85" s="150" t="s">
        <v>390</v>
      </c>
      <c r="B85" s="151"/>
      <c r="C85" s="151"/>
      <c r="D85" s="151"/>
      <c r="E85" s="151"/>
      <c r="F85" s="152"/>
      <c r="G85" s="152"/>
      <c r="H85" s="152"/>
      <c r="I85" s="152"/>
      <c r="J85" s="152"/>
      <c r="K85" s="152"/>
      <c r="L85" s="152"/>
      <c r="M85" s="152"/>
      <c r="N85" s="153"/>
      <c r="O85" s="153"/>
      <c r="P85" s="153"/>
      <c r="Q85" s="153"/>
      <c r="R85" s="153"/>
      <c r="S85" s="153"/>
      <c r="T85" s="153"/>
      <c r="U85" s="153"/>
      <c r="V85" s="153"/>
      <c r="W85" s="153"/>
      <c r="X85" s="153"/>
      <c r="Y85" s="153"/>
      <c r="Z85" s="153"/>
      <c r="AA85" s="153"/>
      <c r="AB85" s="153"/>
      <c r="AC85" s="153"/>
      <c r="AD85" s="153"/>
      <c r="AE85" s="153"/>
      <c r="AF85" s="153"/>
      <c r="AG85" s="153"/>
      <c r="AH85" s="153"/>
      <c r="AI85" s="153"/>
      <c r="AJ85" s="153"/>
      <c r="AK85" s="153"/>
      <c r="AL85" s="153"/>
      <c r="AM85" s="153"/>
      <c r="AN85" s="153"/>
      <c r="AO85" s="153"/>
      <c r="AP85" s="153"/>
      <c r="AQ85" s="153"/>
      <c r="AR85" s="153"/>
      <c r="AS85" s="153"/>
      <c r="AT85" s="153"/>
      <c r="AU85" s="153"/>
      <c r="AV85" s="153"/>
      <c r="AW85" s="153"/>
      <c r="AX85" s="153"/>
      <c r="AY85" s="153"/>
      <c r="AZ85" s="153"/>
      <c r="BA85" s="153"/>
      <c r="BB85" s="153"/>
      <c r="BC85" s="153"/>
      <c r="BD85" s="153"/>
      <c r="BE85" s="153"/>
      <c r="BF85" s="153"/>
      <c r="BG85" s="153"/>
      <c r="BH85" s="153"/>
      <c r="BI85" s="153"/>
      <c r="BJ85" s="153"/>
      <c r="BK85" s="153"/>
      <c r="BL85" s="153"/>
      <c r="BM85" s="153"/>
      <c r="BN85" s="153"/>
      <c r="BO85" s="153"/>
      <c r="BP85" s="153"/>
      <c r="BQ85" s="153"/>
      <c r="BR85" s="153"/>
      <c r="BS85" s="153"/>
      <c r="BT85" s="153"/>
      <c r="BU85" s="153"/>
      <c r="BV85" s="153"/>
      <c r="BW85" s="153"/>
      <c r="BX85" s="153"/>
      <c r="BY85" s="153"/>
      <c r="BZ85" s="153"/>
      <c r="CA85" s="153"/>
      <c r="CB85" s="153"/>
      <c r="CC85" s="153"/>
      <c r="CD85" s="153"/>
      <c r="CE85" s="153"/>
      <c r="CF85" s="153"/>
      <c r="CG85" s="153"/>
      <c r="CH85" s="153"/>
      <c r="CI85" s="153"/>
      <c r="CJ85" s="153"/>
      <c r="CK85" s="153"/>
      <c r="CL85" s="153"/>
      <c r="CM85" s="153"/>
      <c r="CN85" s="153"/>
      <c r="CO85" s="153"/>
      <c r="CP85" s="153"/>
      <c r="CQ85" s="153"/>
      <c r="CR85" s="153"/>
      <c r="CS85" s="153"/>
      <c r="CT85" s="153"/>
      <c r="CU85" s="153"/>
      <c r="CV85" s="153"/>
      <c r="CW85" s="153"/>
      <c r="CX85" s="153"/>
      <c r="CY85" s="153"/>
      <c r="CZ85" s="153"/>
      <c r="DA85" s="153"/>
      <c r="DB85" s="153"/>
      <c r="DC85" s="153"/>
      <c r="DD85" s="153"/>
      <c r="DE85" s="153"/>
      <c r="DF85" s="153"/>
      <c r="DG85" s="153"/>
      <c r="DH85" s="153"/>
      <c r="DI85" s="153"/>
      <c r="DJ85" s="153"/>
      <c r="DK85" s="153"/>
      <c r="DL85" s="153"/>
      <c r="DM85" s="153"/>
      <c r="DN85" s="153"/>
      <c r="DO85" s="153"/>
      <c r="DP85" s="153"/>
      <c r="DQ85" s="153"/>
      <c r="DR85" s="153"/>
      <c r="DS85" s="153"/>
      <c r="DT85" s="153"/>
      <c r="DU85" s="153"/>
      <c r="DV85" s="153"/>
      <c r="DW85" s="153"/>
      <c r="DX85" s="153"/>
      <c r="DY85" s="153"/>
      <c r="DZ85" s="153"/>
      <c r="EA85" s="153"/>
      <c r="EB85" s="153"/>
      <c r="EC85" s="153"/>
      <c r="ED85" s="153"/>
      <c r="EE85" s="153"/>
      <c r="EF85" s="153"/>
      <c r="EG85" s="153"/>
      <c r="EH85" s="153"/>
      <c r="EI85" s="153"/>
      <c r="EJ85" s="153"/>
      <c r="EK85" s="153"/>
      <c r="EL85" s="153"/>
      <c r="EM85" s="153"/>
      <c r="EN85" s="153"/>
      <c r="EO85" s="153"/>
      <c r="EP85" s="153"/>
      <c r="EQ85" s="153"/>
      <c r="ER85" s="153"/>
      <c r="ES85" s="153"/>
      <c r="ET85" s="153"/>
      <c r="EU85" s="153"/>
      <c r="EV85" s="153"/>
      <c r="EW85" s="153"/>
      <c r="EX85" s="153"/>
      <c r="EY85" s="153"/>
    </row>
    <row r="86" spans="1:155">
      <c r="A86" s="145"/>
      <c r="B86" s="145"/>
      <c r="C86" s="145"/>
      <c r="D86" s="145"/>
      <c r="E86" s="190"/>
      <c r="F86" s="145"/>
      <c r="G86" s="145"/>
      <c r="H86" s="145"/>
      <c r="I86" s="145"/>
      <c r="J86" s="145"/>
      <c r="K86" s="145"/>
      <c r="L86" s="145"/>
      <c r="M86" s="145"/>
      <c r="N86" s="145"/>
      <c r="O86" s="145"/>
      <c r="P86" s="145"/>
      <c r="Q86" s="145"/>
      <c r="R86" s="145"/>
      <c r="S86" s="145"/>
      <c r="T86" s="145"/>
      <c r="U86" s="145"/>
      <c r="V86" s="145"/>
      <c r="W86" s="145"/>
      <c r="X86" s="145"/>
      <c r="Y86" s="145"/>
      <c r="Z86" s="145"/>
      <c r="AA86" s="145"/>
      <c r="AB86" s="145"/>
      <c r="AC86" s="145"/>
      <c r="AD86" s="145"/>
      <c r="AE86" s="145"/>
      <c r="AF86" s="145"/>
      <c r="AG86" s="145"/>
      <c r="AH86" s="145"/>
      <c r="AI86" s="145"/>
      <c r="AJ86" s="145"/>
      <c r="AK86" s="145"/>
      <c r="AL86" s="145"/>
      <c r="AM86" s="145"/>
      <c r="AN86" s="145"/>
      <c r="AO86" s="145"/>
      <c r="AP86" s="145"/>
      <c r="AQ86" s="145"/>
      <c r="AR86" s="145"/>
      <c r="AS86" s="145"/>
      <c r="AT86" s="145"/>
      <c r="AU86" s="145"/>
      <c r="AV86" s="145"/>
      <c r="AW86" s="145"/>
      <c r="AX86" s="145"/>
      <c r="AY86" s="145"/>
      <c r="AZ86" s="145"/>
      <c r="BA86" s="145"/>
      <c r="BB86" s="145"/>
      <c r="BC86" s="145"/>
      <c r="BD86" s="145"/>
      <c r="BE86" s="145"/>
      <c r="BF86" s="145"/>
      <c r="BG86" s="145"/>
      <c r="BH86" s="145"/>
      <c r="BI86" s="145"/>
      <c r="BJ86" s="145"/>
      <c r="BK86" s="145"/>
      <c r="BL86" s="145"/>
      <c r="BM86" s="145"/>
      <c r="BN86" s="145"/>
      <c r="BO86" s="145"/>
      <c r="BP86" s="145"/>
      <c r="BQ86" s="145"/>
      <c r="BR86" s="145"/>
      <c r="BS86" s="145"/>
      <c r="BT86" s="145"/>
      <c r="BU86" s="145"/>
      <c r="BV86" s="145"/>
      <c r="BW86" s="145"/>
      <c r="BX86" s="145"/>
      <c r="BY86" s="145"/>
      <c r="BZ86" s="145"/>
      <c r="CA86" s="145"/>
      <c r="CB86" s="145"/>
      <c r="CC86" s="145"/>
      <c r="CD86" s="145"/>
      <c r="CE86" s="145"/>
      <c r="CF86" s="145"/>
      <c r="CG86" s="145"/>
      <c r="CH86" s="145"/>
      <c r="CI86" s="145"/>
      <c r="CJ86" s="145"/>
      <c r="CK86" s="145"/>
      <c r="CL86" s="145"/>
      <c r="CM86" s="145"/>
      <c r="CN86" s="145"/>
      <c r="CO86" s="145"/>
      <c r="CP86" s="145"/>
      <c r="CQ86" s="145"/>
      <c r="CR86" s="145"/>
      <c r="CS86" s="145"/>
      <c r="CT86" s="145"/>
      <c r="CU86" s="145"/>
      <c r="CV86" s="145"/>
      <c r="CW86" s="145"/>
      <c r="CX86" s="145"/>
      <c r="CY86" s="145"/>
      <c r="CZ86" s="145"/>
      <c r="DA86" s="145"/>
      <c r="DB86" s="145"/>
      <c r="DC86" s="145"/>
      <c r="DD86" s="145"/>
      <c r="DE86" s="145"/>
      <c r="DF86" s="145"/>
      <c r="DG86" s="145"/>
      <c r="DH86" s="145"/>
      <c r="DI86" s="145"/>
      <c r="DJ86" s="145"/>
      <c r="DK86" s="145"/>
      <c r="DL86" s="145"/>
      <c r="DM86" s="145"/>
      <c r="DN86" s="145"/>
      <c r="DO86" s="145"/>
      <c r="DP86" s="145"/>
      <c r="DQ86" s="145"/>
      <c r="DR86" s="145"/>
      <c r="DS86" s="145"/>
      <c r="DT86" s="145"/>
      <c r="DU86" s="145"/>
      <c r="DV86" s="145"/>
      <c r="DW86" s="145"/>
      <c r="DX86" s="145"/>
      <c r="DY86" s="145"/>
      <c r="DZ86" s="145"/>
      <c r="EA86" s="145"/>
      <c r="EB86" s="145"/>
      <c r="EC86" s="145"/>
      <c r="ED86" s="145"/>
      <c r="EE86" s="145"/>
      <c r="EF86" s="145"/>
      <c r="EG86" s="145"/>
      <c r="EH86" s="145"/>
      <c r="EI86" s="145"/>
      <c r="EJ86" s="145"/>
      <c r="EK86" s="145"/>
      <c r="EL86" s="145"/>
      <c r="EM86" s="145"/>
      <c r="EN86" s="145"/>
      <c r="EO86" s="145"/>
      <c r="EP86" s="145"/>
      <c r="EQ86" s="145"/>
      <c r="ER86" s="145"/>
      <c r="ES86" s="145"/>
      <c r="ET86" s="145"/>
      <c r="EU86" s="145"/>
      <c r="EV86" s="145"/>
      <c r="EW86" s="145"/>
      <c r="EX86" s="145"/>
      <c r="EY86" s="145"/>
    </row>
    <row r="87" spans="1:155" ht="4.5" customHeight="1">
      <c r="A87" s="182"/>
      <c r="B87" s="183"/>
      <c r="C87" s="183"/>
      <c r="D87" s="183"/>
      <c r="E87" s="184"/>
      <c r="F87" s="183"/>
      <c r="G87" s="183"/>
      <c r="H87" s="185"/>
      <c r="I87" s="145"/>
      <c r="J87" s="145"/>
      <c r="K87" s="145"/>
      <c r="L87" s="145"/>
      <c r="M87" s="145"/>
      <c r="N87" s="145"/>
      <c r="O87" s="145"/>
      <c r="P87" s="145"/>
      <c r="Q87" s="145"/>
      <c r="R87" s="145"/>
      <c r="S87" s="145"/>
      <c r="T87" s="145"/>
      <c r="U87" s="145"/>
      <c r="V87" s="145"/>
      <c r="W87" s="145"/>
      <c r="X87" s="145"/>
      <c r="Y87" s="145"/>
      <c r="Z87" s="145"/>
      <c r="AA87" s="145"/>
      <c r="AB87" s="145"/>
      <c r="AC87" s="145"/>
      <c r="AD87" s="145"/>
      <c r="AE87" s="145"/>
      <c r="AF87" s="145"/>
      <c r="AG87" s="145"/>
      <c r="AH87" s="145"/>
      <c r="AI87" s="145"/>
      <c r="AJ87" s="145"/>
      <c r="AK87" s="145"/>
      <c r="AL87" s="145"/>
      <c r="AM87" s="145"/>
      <c r="AN87" s="145"/>
      <c r="AO87" s="145"/>
      <c r="AP87" s="145"/>
      <c r="AQ87" s="145"/>
      <c r="AR87" s="145"/>
      <c r="AS87" s="145"/>
      <c r="AT87" s="145"/>
      <c r="AU87" s="145"/>
      <c r="AV87" s="145"/>
      <c r="AW87" s="145"/>
      <c r="AX87" s="145"/>
      <c r="AY87" s="145"/>
      <c r="AZ87" s="145"/>
      <c r="BA87" s="145"/>
      <c r="BB87" s="145"/>
      <c r="BC87" s="145"/>
      <c r="BD87" s="145"/>
      <c r="BE87" s="145"/>
      <c r="BF87" s="145"/>
      <c r="BG87" s="145"/>
      <c r="BH87" s="145"/>
      <c r="BI87" s="145"/>
      <c r="BJ87" s="145"/>
      <c r="BK87" s="145"/>
      <c r="BL87" s="145"/>
      <c r="BM87" s="145"/>
      <c r="BN87" s="145"/>
      <c r="BO87" s="145"/>
      <c r="BP87" s="145"/>
      <c r="BQ87" s="145"/>
      <c r="BR87" s="145"/>
      <c r="BS87" s="145"/>
      <c r="BT87" s="145"/>
      <c r="BU87" s="145"/>
      <c r="BV87" s="145"/>
      <c r="BW87" s="145"/>
      <c r="BX87" s="145"/>
      <c r="BY87" s="145"/>
      <c r="BZ87" s="145"/>
      <c r="CA87" s="145"/>
      <c r="CB87" s="145"/>
      <c r="CC87" s="145"/>
      <c r="CD87" s="145"/>
      <c r="CE87" s="145"/>
      <c r="CF87" s="145"/>
      <c r="CG87" s="145"/>
      <c r="CH87" s="145"/>
      <c r="CI87" s="145"/>
      <c r="CJ87" s="145"/>
      <c r="CK87" s="145"/>
      <c r="CL87" s="145"/>
      <c r="CM87" s="145"/>
      <c r="CN87" s="145"/>
      <c r="CO87" s="145"/>
      <c r="CP87" s="145"/>
      <c r="CQ87" s="145"/>
      <c r="CR87" s="145"/>
      <c r="CS87" s="145"/>
      <c r="CT87" s="145"/>
      <c r="CU87" s="145"/>
      <c r="CV87" s="145"/>
      <c r="CW87" s="145"/>
      <c r="CX87" s="145"/>
      <c r="CY87" s="145"/>
      <c r="CZ87" s="145"/>
      <c r="DA87" s="145"/>
      <c r="DB87" s="145"/>
      <c r="DC87" s="145"/>
      <c r="DD87" s="145"/>
      <c r="DE87" s="145"/>
      <c r="DF87" s="145"/>
      <c r="DG87" s="145"/>
      <c r="DH87" s="145"/>
      <c r="DI87" s="145"/>
      <c r="DJ87" s="145"/>
      <c r="DK87" s="145"/>
      <c r="DL87" s="145"/>
      <c r="DM87" s="145"/>
      <c r="DN87" s="145"/>
      <c r="DO87" s="145"/>
      <c r="DP87" s="145"/>
      <c r="DQ87" s="145"/>
      <c r="DR87" s="145"/>
      <c r="DS87" s="145"/>
      <c r="DT87" s="145"/>
      <c r="DU87" s="145"/>
      <c r="DV87" s="145"/>
      <c r="DW87" s="145"/>
      <c r="DX87" s="145"/>
      <c r="DY87" s="145"/>
      <c r="DZ87" s="145"/>
      <c r="EA87" s="145"/>
      <c r="EB87" s="145"/>
      <c r="EC87" s="145"/>
      <c r="ED87" s="145"/>
      <c r="EE87" s="145"/>
      <c r="EF87" s="145"/>
      <c r="EG87" s="145"/>
      <c r="EH87" s="145"/>
      <c r="EI87" s="145"/>
      <c r="EJ87" s="145"/>
      <c r="EK87" s="145"/>
      <c r="EL87" s="145"/>
      <c r="EM87" s="145"/>
      <c r="EN87" s="145"/>
      <c r="EO87" s="145"/>
      <c r="EP87" s="145"/>
      <c r="EQ87" s="145"/>
      <c r="ER87" s="145"/>
      <c r="ES87" s="145"/>
      <c r="ET87" s="145"/>
      <c r="EU87" s="145"/>
      <c r="EV87" s="145"/>
      <c r="EW87" s="145"/>
      <c r="EX87" s="145"/>
      <c r="EY87" s="145"/>
    </row>
    <row r="88" spans="1:155">
      <c r="A88" s="209"/>
      <c r="B88" s="210" t="str">
        <f>[1]Constants!F243</f>
        <v>Contingency</v>
      </c>
      <c r="C88" s="211" t="e">
        <f>SUMIF([1]Conversion!C$14:C$114,$B88,[1]Conversion!AE$14:AE$114)</f>
        <v>#VALUE!</v>
      </c>
      <c r="D88" s="188"/>
      <c r="E88" s="212" t="e">
        <f t="shared" ref="E88:E98" si="0">IF($C$100=0,0,C88/$C$100)</f>
        <v>#VALUE!</v>
      </c>
      <c r="F88" s="188"/>
      <c r="G88" s="188"/>
      <c r="H88" s="189"/>
      <c r="I88" s="145"/>
      <c r="J88" s="145"/>
      <c r="K88" s="145"/>
      <c r="L88" s="145"/>
      <c r="M88" s="145"/>
      <c r="N88" s="145"/>
      <c r="O88" s="145"/>
      <c r="P88" s="145"/>
      <c r="Q88" s="145"/>
      <c r="R88" s="145"/>
      <c r="S88" s="145"/>
      <c r="T88" s="145"/>
      <c r="U88" s="145"/>
      <c r="V88" s="145"/>
      <c r="W88" s="145"/>
      <c r="X88" s="145"/>
      <c r="Y88" s="145"/>
      <c r="Z88" s="145"/>
      <c r="AA88" s="145"/>
      <c r="AB88" s="145"/>
      <c r="AC88" s="145"/>
      <c r="AD88" s="145"/>
      <c r="AE88" s="145"/>
      <c r="AF88" s="145"/>
      <c r="AG88" s="145"/>
      <c r="AH88" s="145"/>
      <c r="AI88" s="145"/>
      <c r="AJ88" s="145"/>
      <c r="AK88" s="145"/>
      <c r="AL88" s="145"/>
      <c r="AM88" s="145"/>
      <c r="AN88" s="145"/>
      <c r="AO88" s="145"/>
      <c r="AP88" s="145"/>
      <c r="AQ88" s="145"/>
      <c r="AR88" s="145"/>
      <c r="AS88" s="145"/>
      <c r="AT88" s="145"/>
      <c r="AU88" s="145"/>
      <c r="AV88" s="145"/>
      <c r="AW88" s="145"/>
      <c r="AX88" s="145"/>
      <c r="AY88" s="145"/>
      <c r="AZ88" s="145"/>
      <c r="BA88" s="145"/>
      <c r="BB88" s="145"/>
      <c r="BC88" s="145"/>
      <c r="BD88" s="145"/>
      <c r="BE88" s="145"/>
      <c r="BF88" s="145"/>
      <c r="BG88" s="145"/>
      <c r="BH88" s="145"/>
      <c r="BI88" s="145"/>
      <c r="BJ88" s="145"/>
      <c r="BK88" s="145"/>
      <c r="BL88" s="145"/>
      <c r="BM88" s="145"/>
      <c r="BN88" s="145"/>
      <c r="BO88" s="145"/>
      <c r="BP88" s="145"/>
      <c r="BQ88" s="145"/>
      <c r="BR88" s="145"/>
      <c r="BS88" s="145"/>
      <c r="BT88" s="145"/>
      <c r="BU88" s="145"/>
      <c r="BV88" s="145"/>
      <c r="BW88" s="145"/>
      <c r="BX88" s="145"/>
      <c r="BY88" s="145"/>
      <c r="BZ88" s="145"/>
      <c r="CA88" s="145"/>
      <c r="CB88" s="145"/>
      <c r="CC88" s="145"/>
      <c r="CD88" s="145"/>
      <c r="CE88" s="145"/>
      <c r="CF88" s="145"/>
      <c r="CG88" s="145"/>
      <c r="CH88" s="145"/>
      <c r="CI88" s="145"/>
      <c r="CJ88" s="145"/>
      <c r="CK88" s="145"/>
      <c r="CL88" s="145"/>
      <c r="CM88" s="145"/>
      <c r="CN88" s="145"/>
      <c r="CO88" s="145"/>
      <c r="CP88" s="145"/>
      <c r="CQ88" s="145"/>
      <c r="CR88" s="145"/>
      <c r="CS88" s="145"/>
      <c r="CT88" s="145"/>
      <c r="CU88" s="145"/>
      <c r="CV88" s="145"/>
      <c r="CW88" s="145"/>
      <c r="CX88" s="145"/>
      <c r="CY88" s="145"/>
      <c r="CZ88" s="145"/>
      <c r="DA88" s="145"/>
      <c r="DB88" s="145"/>
      <c r="DC88" s="145"/>
      <c r="DD88" s="145"/>
      <c r="DE88" s="145"/>
      <c r="DF88" s="145"/>
      <c r="DG88" s="145"/>
      <c r="DH88" s="145"/>
      <c r="DI88" s="145"/>
      <c r="DJ88" s="145"/>
      <c r="DK88" s="145"/>
      <c r="DL88" s="145"/>
      <c r="DM88" s="145"/>
      <c r="DN88" s="145"/>
      <c r="DO88" s="145"/>
      <c r="DP88" s="145"/>
      <c r="DQ88" s="145"/>
      <c r="DR88" s="145"/>
      <c r="DS88" s="145"/>
      <c r="DT88" s="145"/>
      <c r="DU88" s="145"/>
      <c r="DV88" s="145"/>
      <c r="DW88" s="145"/>
      <c r="DX88" s="145"/>
      <c r="DY88" s="145"/>
      <c r="DZ88" s="145"/>
      <c r="EA88" s="145"/>
      <c r="EB88" s="145"/>
      <c r="EC88" s="145"/>
      <c r="ED88" s="145"/>
      <c r="EE88" s="145"/>
      <c r="EF88" s="145"/>
      <c r="EG88" s="145"/>
      <c r="EH88" s="145"/>
      <c r="EI88" s="145"/>
      <c r="EJ88" s="145"/>
      <c r="EK88" s="145"/>
      <c r="EL88" s="145"/>
      <c r="EM88" s="145"/>
      <c r="EN88" s="145"/>
      <c r="EO88" s="145"/>
      <c r="EP88" s="145"/>
      <c r="EQ88" s="145"/>
      <c r="ER88" s="145"/>
      <c r="ES88" s="145"/>
      <c r="ET88" s="145"/>
      <c r="EU88" s="145"/>
      <c r="EV88" s="145"/>
      <c r="EW88" s="145"/>
      <c r="EX88" s="145"/>
      <c r="EY88" s="145"/>
    </row>
    <row r="89" spans="1:155">
      <c r="A89" s="209"/>
      <c r="B89" s="210" t="str">
        <f>[1]Constants!F244</f>
        <v>Hardware</v>
      </c>
      <c r="C89" s="211" t="e">
        <f>SUMIF([1]Conversion!C$14:C$114,$B89,[1]Conversion!AE$14:AE$114)</f>
        <v>#VALUE!</v>
      </c>
      <c r="D89" s="188"/>
      <c r="E89" s="212" t="e">
        <f t="shared" si="0"/>
        <v>#VALUE!</v>
      </c>
      <c r="F89" s="188"/>
      <c r="G89" s="188"/>
      <c r="H89" s="189"/>
      <c r="I89" s="145"/>
      <c r="J89" s="145"/>
      <c r="K89" s="145"/>
      <c r="L89" s="145"/>
      <c r="M89" s="145"/>
      <c r="N89" s="145"/>
      <c r="O89" s="145"/>
      <c r="P89" s="145"/>
      <c r="Q89" s="145"/>
      <c r="R89" s="145"/>
      <c r="S89" s="145"/>
      <c r="T89" s="145"/>
      <c r="U89" s="145"/>
      <c r="V89" s="145"/>
      <c r="W89" s="145"/>
      <c r="X89" s="145"/>
      <c r="Y89" s="145"/>
      <c r="Z89" s="145"/>
      <c r="AA89" s="145"/>
      <c r="AB89" s="145"/>
      <c r="AC89" s="145"/>
      <c r="AD89" s="145"/>
      <c r="AE89" s="145"/>
      <c r="AF89" s="145"/>
      <c r="AG89" s="145"/>
      <c r="AH89" s="145"/>
      <c r="AI89" s="145"/>
      <c r="AJ89" s="145"/>
      <c r="AK89" s="145"/>
      <c r="AL89" s="145"/>
      <c r="AM89" s="145"/>
      <c r="AN89" s="145"/>
      <c r="AO89" s="145"/>
      <c r="AP89" s="145"/>
      <c r="AQ89" s="145"/>
      <c r="AR89" s="145"/>
      <c r="AS89" s="145"/>
      <c r="AT89" s="145"/>
      <c r="AU89" s="145"/>
      <c r="AV89" s="145"/>
      <c r="AW89" s="145"/>
      <c r="AX89" s="145"/>
      <c r="AY89" s="145"/>
      <c r="AZ89" s="145"/>
      <c r="BA89" s="145"/>
      <c r="BB89" s="145"/>
      <c r="BC89" s="145"/>
      <c r="BD89" s="145"/>
      <c r="BE89" s="145"/>
      <c r="BF89" s="145"/>
      <c r="BG89" s="145"/>
      <c r="BH89" s="145"/>
      <c r="BI89" s="145"/>
      <c r="BJ89" s="145"/>
      <c r="BK89" s="145"/>
      <c r="BL89" s="145"/>
      <c r="BM89" s="145"/>
      <c r="BN89" s="145"/>
      <c r="BO89" s="145"/>
      <c r="BP89" s="145"/>
      <c r="BQ89" s="145"/>
      <c r="BR89" s="145"/>
      <c r="BS89" s="145"/>
      <c r="BT89" s="145"/>
      <c r="BU89" s="145"/>
      <c r="BV89" s="145"/>
      <c r="BW89" s="145"/>
      <c r="BX89" s="145"/>
      <c r="BY89" s="145"/>
      <c r="BZ89" s="145"/>
      <c r="CA89" s="145"/>
      <c r="CB89" s="145"/>
      <c r="CC89" s="145"/>
      <c r="CD89" s="145"/>
      <c r="CE89" s="145"/>
      <c r="CF89" s="145"/>
      <c r="CG89" s="145"/>
      <c r="CH89" s="145"/>
      <c r="CI89" s="145"/>
      <c r="CJ89" s="145"/>
      <c r="CK89" s="145"/>
      <c r="CL89" s="145"/>
      <c r="CM89" s="145"/>
      <c r="CN89" s="145"/>
      <c r="CO89" s="145"/>
      <c r="CP89" s="145"/>
      <c r="CQ89" s="145"/>
      <c r="CR89" s="145"/>
      <c r="CS89" s="145"/>
      <c r="CT89" s="145"/>
      <c r="CU89" s="145"/>
      <c r="CV89" s="145"/>
      <c r="CW89" s="145"/>
      <c r="CX89" s="145"/>
      <c r="CY89" s="145"/>
      <c r="CZ89" s="145"/>
      <c r="DA89" s="145"/>
      <c r="DB89" s="145"/>
      <c r="DC89" s="145"/>
      <c r="DD89" s="145"/>
      <c r="DE89" s="145"/>
      <c r="DF89" s="145"/>
      <c r="DG89" s="145"/>
      <c r="DH89" s="145"/>
      <c r="DI89" s="145"/>
      <c r="DJ89" s="145"/>
      <c r="DK89" s="145"/>
      <c r="DL89" s="145"/>
      <c r="DM89" s="145"/>
      <c r="DN89" s="145"/>
      <c r="DO89" s="145"/>
      <c r="DP89" s="145"/>
      <c r="DQ89" s="145"/>
      <c r="DR89" s="145"/>
      <c r="DS89" s="145"/>
      <c r="DT89" s="145"/>
      <c r="DU89" s="145"/>
      <c r="DV89" s="145"/>
      <c r="DW89" s="145"/>
      <c r="DX89" s="145"/>
      <c r="DY89" s="145"/>
      <c r="DZ89" s="145"/>
      <c r="EA89" s="145"/>
      <c r="EB89" s="145"/>
      <c r="EC89" s="145"/>
      <c r="ED89" s="145"/>
      <c r="EE89" s="145"/>
      <c r="EF89" s="145"/>
      <c r="EG89" s="145"/>
      <c r="EH89" s="145"/>
      <c r="EI89" s="145"/>
      <c r="EJ89" s="145"/>
      <c r="EK89" s="145"/>
      <c r="EL89" s="145"/>
      <c r="EM89" s="145"/>
      <c r="EN89" s="145"/>
      <c r="EO89" s="145"/>
      <c r="EP89" s="145"/>
      <c r="EQ89" s="145"/>
      <c r="ER89" s="145"/>
      <c r="ES89" s="145"/>
      <c r="ET89" s="145"/>
      <c r="EU89" s="145"/>
      <c r="EV89" s="145"/>
      <c r="EW89" s="145"/>
      <c r="EX89" s="145"/>
      <c r="EY89" s="145"/>
    </row>
    <row r="90" spans="1:155">
      <c r="A90" s="209"/>
      <c r="B90" s="210" t="str">
        <f>[1]Constants!F245</f>
        <v>Hardware Maint</v>
      </c>
      <c r="C90" s="211" t="e">
        <f>SUMIF([1]Conversion!C$14:C$114,$B90,[1]Conversion!AE$14:AE$114)</f>
        <v>#VALUE!</v>
      </c>
      <c r="D90" s="188"/>
      <c r="E90" s="212" t="e">
        <f t="shared" si="0"/>
        <v>#VALUE!</v>
      </c>
      <c r="F90" s="188"/>
      <c r="G90" s="188"/>
      <c r="H90" s="189"/>
      <c r="I90" s="145"/>
      <c r="J90" s="145"/>
      <c r="K90" s="145"/>
      <c r="L90" s="145"/>
      <c r="M90" s="145"/>
      <c r="N90" s="145"/>
      <c r="O90" s="145"/>
      <c r="P90" s="145"/>
      <c r="Q90" s="145"/>
      <c r="R90" s="145"/>
      <c r="S90" s="145"/>
      <c r="T90" s="145"/>
      <c r="U90" s="145"/>
      <c r="V90" s="145"/>
      <c r="W90" s="145"/>
      <c r="X90" s="145"/>
      <c r="Y90" s="145"/>
      <c r="Z90" s="145"/>
      <c r="AA90" s="145"/>
      <c r="AB90" s="145"/>
      <c r="AC90" s="145"/>
      <c r="AD90" s="145"/>
      <c r="AE90" s="145"/>
      <c r="AF90" s="145"/>
      <c r="AG90" s="145"/>
      <c r="AH90" s="145"/>
      <c r="AI90" s="145"/>
      <c r="AJ90" s="145"/>
      <c r="AK90" s="145"/>
      <c r="AL90" s="145"/>
      <c r="AM90" s="145"/>
      <c r="AN90" s="145"/>
      <c r="AO90" s="145"/>
      <c r="AP90" s="145"/>
      <c r="AQ90" s="145"/>
      <c r="AR90" s="145"/>
      <c r="AS90" s="145"/>
      <c r="AT90" s="145"/>
      <c r="AU90" s="145"/>
      <c r="AV90" s="145"/>
      <c r="AW90" s="145"/>
      <c r="AX90" s="145"/>
      <c r="AY90" s="145"/>
      <c r="AZ90" s="145"/>
      <c r="BA90" s="145"/>
      <c r="BB90" s="145"/>
      <c r="BC90" s="145"/>
      <c r="BD90" s="145"/>
      <c r="BE90" s="145"/>
      <c r="BF90" s="145"/>
      <c r="BG90" s="145"/>
      <c r="BH90" s="145"/>
      <c r="BI90" s="145"/>
      <c r="BJ90" s="145"/>
      <c r="BK90" s="145"/>
      <c r="BL90" s="145"/>
      <c r="BM90" s="145"/>
      <c r="BN90" s="145"/>
      <c r="BO90" s="145"/>
      <c r="BP90" s="145"/>
      <c r="BQ90" s="145"/>
      <c r="BR90" s="145"/>
      <c r="BS90" s="145"/>
      <c r="BT90" s="145"/>
      <c r="BU90" s="145"/>
      <c r="BV90" s="145"/>
      <c r="BW90" s="145"/>
      <c r="BX90" s="145"/>
      <c r="BY90" s="145"/>
      <c r="BZ90" s="145"/>
      <c r="CA90" s="145"/>
      <c r="CB90" s="145"/>
      <c r="CC90" s="145"/>
      <c r="CD90" s="145"/>
      <c r="CE90" s="145"/>
      <c r="CF90" s="145"/>
      <c r="CG90" s="145"/>
      <c r="CH90" s="145"/>
      <c r="CI90" s="145"/>
      <c r="CJ90" s="145"/>
      <c r="CK90" s="145"/>
      <c r="CL90" s="145"/>
      <c r="CM90" s="145"/>
      <c r="CN90" s="145"/>
      <c r="CO90" s="145"/>
      <c r="CP90" s="145"/>
      <c r="CQ90" s="145"/>
      <c r="CR90" s="145"/>
      <c r="CS90" s="145"/>
      <c r="CT90" s="145"/>
      <c r="CU90" s="145"/>
      <c r="CV90" s="145"/>
      <c r="CW90" s="145"/>
      <c r="CX90" s="145"/>
      <c r="CY90" s="145"/>
      <c r="CZ90" s="145"/>
      <c r="DA90" s="145"/>
      <c r="DB90" s="145"/>
      <c r="DC90" s="145"/>
      <c r="DD90" s="145"/>
      <c r="DE90" s="145"/>
      <c r="DF90" s="145"/>
      <c r="DG90" s="145"/>
      <c r="DH90" s="145"/>
      <c r="DI90" s="145"/>
      <c r="DJ90" s="145"/>
      <c r="DK90" s="145"/>
      <c r="DL90" s="145"/>
      <c r="DM90" s="145"/>
      <c r="DN90" s="145"/>
      <c r="DO90" s="145"/>
      <c r="DP90" s="145"/>
      <c r="DQ90" s="145"/>
      <c r="DR90" s="145"/>
      <c r="DS90" s="145"/>
      <c r="DT90" s="145"/>
      <c r="DU90" s="145"/>
      <c r="DV90" s="145"/>
      <c r="DW90" s="145"/>
      <c r="DX90" s="145"/>
      <c r="DY90" s="145"/>
      <c r="DZ90" s="145"/>
      <c r="EA90" s="145"/>
      <c r="EB90" s="145"/>
      <c r="EC90" s="145"/>
      <c r="ED90" s="145"/>
      <c r="EE90" s="145"/>
      <c r="EF90" s="145"/>
      <c r="EG90" s="145"/>
      <c r="EH90" s="145"/>
      <c r="EI90" s="145"/>
      <c r="EJ90" s="145"/>
      <c r="EK90" s="145"/>
      <c r="EL90" s="145"/>
      <c r="EM90" s="145"/>
      <c r="EN90" s="145"/>
      <c r="EO90" s="145"/>
      <c r="EP90" s="145"/>
      <c r="EQ90" s="145"/>
      <c r="ER90" s="145"/>
      <c r="ES90" s="145"/>
      <c r="ET90" s="145"/>
      <c r="EU90" s="145"/>
      <c r="EV90" s="145"/>
      <c r="EW90" s="145"/>
      <c r="EX90" s="145"/>
      <c r="EY90" s="145"/>
    </row>
    <row r="91" spans="1:155">
      <c r="A91" s="209"/>
      <c r="B91" s="210" t="str">
        <f>[1]Constants!F246</f>
        <v>Infrastructure</v>
      </c>
      <c r="C91" s="211" t="e">
        <f>SUMIF([1]Conversion!C$14:C$114,$B91,[1]Conversion!AE$14:AE$114)</f>
        <v>#VALUE!</v>
      </c>
      <c r="D91" s="188"/>
      <c r="E91" s="212" t="e">
        <f t="shared" si="0"/>
        <v>#VALUE!</v>
      </c>
      <c r="F91" s="188"/>
      <c r="G91" s="188"/>
      <c r="H91" s="189"/>
      <c r="I91" s="145"/>
      <c r="J91" s="145"/>
      <c r="K91" s="145"/>
      <c r="L91" s="145"/>
      <c r="M91" s="145"/>
      <c r="N91" s="145"/>
      <c r="O91" s="145"/>
      <c r="P91" s="145"/>
      <c r="Q91" s="145"/>
      <c r="R91" s="145"/>
      <c r="S91" s="145"/>
      <c r="T91" s="145"/>
      <c r="U91" s="145"/>
      <c r="V91" s="145"/>
      <c r="W91" s="145"/>
      <c r="X91" s="145"/>
      <c r="Y91" s="145"/>
      <c r="Z91" s="145"/>
      <c r="AA91" s="145"/>
      <c r="AB91" s="145"/>
      <c r="AC91" s="145"/>
      <c r="AD91" s="145"/>
      <c r="AE91" s="145"/>
      <c r="AF91" s="145"/>
      <c r="AG91" s="145"/>
      <c r="AH91" s="145"/>
      <c r="AI91" s="145"/>
      <c r="AJ91" s="145"/>
      <c r="AK91" s="145"/>
      <c r="AL91" s="145"/>
      <c r="AM91" s="145"/>
      <c r="AN91" s="145"/>
      <c r="AO91" s="145"/>
      <c r="AP91" s="145"/>
      <c r="AQ91" s="145"/>
      <c r="AR91" s="145"/>
      <c r="AS91" s="145"/>
      <c r="AT91" s="145"/>
      <c r="AU91" s="145"/>
      <c r="AV91" s="145"/>
      <c r="AW91" s="145"/>
      <c r="AX91" s="145"/>
      <c r="AY91" s="145"/>
      <c r="AZ91" s="145"/>
      <c r="BA91" s="145"/>
      <c r="BB91" s="145"/>
      <c r="BC91" s="145"/>
      <c r="BD91" s="145"/>
      <c r="BE91" s="145"/>
      <c r="BF91" s="145"/>
      <c r="BG91" s="145"/>
      <c r="BH91" s="145"/>
      <c r="BI91" s="145"/>
      <c r="BJ91" s="145"/>
      <c r="BK91" s="145"/>
      <c r="BL91" s="145"/>
      <c r="BM91" s="145"/>
      <c r="BN91" s="145"/>
      <c r="BO91" s="145"/>
      <c r="BP91" s="145"/>
      <c r="BQ91" s="145"/>
      <c r="BR91" s="145"/>
      <c r="BS91" s="145"/>
      <c r="BT91" s="145"/>
      <c r="BU91" s="145"/>
      <c r="BV91" s="145"/>
      <c r="BW91" s="145"/>
      <c r="BX91" s="145"/>
      <c r="BY91" s="145"/>
      <c r="BZ91" s="145"/>
      <c r="CA91" s="145"/>
      <c r="CB91" s="145"/>
      <c r="CC91" s="145"/>
      <c r="CD91" s="145"/>
      <c r="CE91" s="145"/>
      <c r="CF91" s="145"/>
      <c r="CG91" s="145"/>
      <c r="CH91" s="145"/>
      <c r="CI91" s="145"/>
      <c r="CJ91" s="145"/>
      <c r="CK91" s="145"/>
      <c r="CL91" s="145"/>
      <c r="CM91" s="145"/>
      <c r="CN91" s="145"/>
      <c r="CO91" s="145"/>
      <c r="CP91" s="145"/>
      <c r="CQ91" s="145"/>
      <c r="CR91" s="145"/>
      <c r="CS91" s="145"/>
      <c r="CT91" s="145"/>
      <c r="CU91" s="145"/>
      <c r="CV91" s="145"/>
      <c r="CW91" s="145"/>
      <c r="CX91" s="145"/>
      <c r="CY91" s="145"/>
      <c r="CZ91" s="145"/>
      <c r="DA91" s="145"/>
      <c r="DB91" s="145"/>
      <c r="DC91" s="145"/>
      <c r="DD91" s="145"/>
      <c r="DE91" s="145"/>
      <c r="DF91" s="145"/>
      <c r="DG91" s="145"/>
      <c r="DH91" s="145"/>
      <c r="DI91" s="145"/>
      <c r="DJ91" s="145"/>
      <c r="DK91" s="145"/>
      <c r="DL91" s="145"/>
      <c r="DM91" s="145"/>
      <c r="DN91" s="145"/>
      <c r="DO91" s="145"/>
      <c r="DP91" s="145"/>
      <c r="DQ91" s="145"/>
      <c r="DR91" s="145"/>
      <c r="DS91" s="145"/>
      <c r="DT91" s="145"/>
      <c r="DU91" s="145"/>
      <c r="DV91" s="145"/>
      <c r="DW91" s="145"/>
      <c r="DX91" s="145"/>
      <c r="DY91" s="145"/>
      <c r="DZ91" s="145"/>
      <c r="EA91" s="145"/>
      <c r="EB91" s="145"/>
      <c r="EC91" s="145"/>
      <c r="ED91" s="145"/>
      <c r="EE91" s="145"/>
      <c r="EF91" s="145"/>
      <c r="EG91" s="145"/>
      <c r="EH91" s="145"/>
      <c r="EI91" s="145"/>
      <c r="EJ91" s="145"/>
      <c r="EK91" s="145"/>
      <c r="EL91" s="145"/>
      <c r="EM91" s="145"/>
      <c r="EN91" s="145"/>
      <c r="EO91" s="145"/>
      <c r="EP91" s="145"/>
      <c r="EQ91" s="145"/>
      <c r="ER91" s="145"/>
      <c r="ES91" s="145"/>
      <c r="ET91" s="145"/>
      <c r="EU91" s="145"/>
      <c r="EV91" s="145"/>
      <c r="EW91" s="145"/>
      <c r="EX91" s="145"/>
      <c r="EY91" s="145"/>
    </row>
    <row r="92" spans="1:155">
      <c r="A92" s="209"/>
      <c r="B92" s="210" t="str">
        <f>[1]Constants!F247</f>
        <v>Labour</v>
      </c>
      <c r="C92" s="211" t="e">
        <f>SUMIF([1]Conversion!C$14:C$114,$B92,[1]Conversion!AE$14:AE$114)</f>
        <v>#VALUE!</v>
      </c>
      <c r="D92" s="188"/>
      <c r="E92" s="212" t="e">
        <f t="shared" si="0"/>
        <v>#VALUE!</v>
      </c>
      <c r="F92" s="188"/>
      <c r="G92" s="188"/>
      <c r="H92" s="189"/>
      <c r="I92" s="145"/>
      <c r="J92" s="145"/>
      <c r="K92" s="145"/>
      <c r="L92" s="145"/>
      <c r="M92" s="145"/>
      <c r="N92" s="145"/>
      <c r="O92" s="145"/>
      <c r="P92" s="145"/>
      <c r="Q92" s="145"/>
      <c r="R92" s="145"/>
      <c r="S92" s="145"/>
      <c r="T92" s="145"/>
      <c r="U92" s="145"/>
      <c r="V92" s="145"/>
      <c r="W92" s="145"/>
      <c r="X92" s="145"/>
      <c r="Y92" s="145"/>
      <c r="Z92" s="145"/>
      <c r="AA92" s="145"/>
      <c r="AB92" s="145"/>
      <c r="AC92" s="145"/>
      <c r="AD92" s="145"/>
      <c r="AE92" s="145"/>
      <c r="AF92" s="145"/>
      <c r="AG92" s="145"/>
      <c r="AH92" s="145"/>
      <c r="AI92" s="145"/>
      <c r="AJ92" s="145"/>
      <c r="AK92" s="145"/>
      <c r="AL92" s="145"/>
      <c r="AM92" s="145"/>
      <c r="AN92" s="145"/>
      <c r="AO92" s="145"/>
      <c r="AP92" s="145"/>
      <c r="AQ92" s="145"/>
      <c r="AR92" s="145"/>
      <c r="AS92" s="145"/>
      <c r="AT92" s="145"/>
      <c r="AU92" s="145"/>
      <c r="AV92" s="145"/>
      <c r="AW92" s="145"/>
      <c r="AX92" s="145"/>
      <c r="AY92" s="145"/>
      <c r="AZ92" s="145"/>
      <c r="BA92" s="145"/>
      <c r="BB92" s="145"/>
      <c r="BC92" s="145"/>
      <c r="BD92" s="145"/>
      <c r="BE92" s="145"/>
      <c r="BF92" s="145"/>
      <c r="BG92" s="145"/>
      <c r="BH92" s="145"/>
      <c r="BI92" s="145"/>
      <c r="BJ92" s="145"/>
      <c r="BK92" s="145"/>
      <c r="BL92" s="145"/>
      <c r="BM92" s="145"/>
      <c r="BN92" s="145"/>
      <c r="BO92" s="145"/>
      <c r="BP92" s="145"/>
      <c r="BQ92" s="145"/>
      <c r="BR92" s="145"/>
      <c r="BS92" s="145"/>
      <c r="BT92" s="145"/>
      <c r="BU92" s="145"/>
      <c r="BV92" s="145"/>
      <c r="BW92" s="145"/>
      <c r="BX92" s="145"/>
      <c r="BY92" s="145"/>
      <c r="BZ92" s="145"/>
      <c r="CA92" s="145"/>
      <c r="CB92" s="145"/>
      <c r="CC92" s="145"/>
      <c r="CD92" s="145"/>
      <c r="CE92" s="145"/>
      <c r="CF92" s="145"/>
      <c r="CG92" s="145"/>
      <c r="CH92" s="145"/>
      <c r="CI92" s="145"/>
      <c r="CJ92" s="145"/>
      <c r="CK92" s="145"/>
      <c r="CL92" s="145"/>
      <c r="CM92" s="145"/>
      <c r="CN92" s="145"/>
      <c r="CO92" s="145"/>
      <c r="CP92" s="145"/>
      <c r="CQ92" s="145"/>
      <c r="CR92" s="145"/>
      <c r="CS92" s="145"/>
      <c r="CT92" s="145"/>
      <c r="CU92" s="145"/>
      <c r="CV92" s="145"/>
      <c r="CW92" s="145"/>
      <c r="CX92" s="145"/>
      <c r="CY92" s="145"/>
      <c r="CZ92" s="145"/>
      <c r="DA92" s="145"/>
      <c r="DB92" s="145"/>
      <c r="DC92" s="145"/>
      <c r="DD92" s="145"/>
      <c r="DE92" s="145"/>
      <c r="DF92" s="145"/>
      <c r="DG92" s="145"/>
      <c r="DH92" s="145"/>
      <c r="DI92" s="145"/>
      <c r="DJ92" s="145"/>
      <c r="DK92" s="145"/>
      <c r="DL92" s="145"/>
      <c r="DM92" s="145"/>
      <c r="DN92" s="145"/>
      <c r="DO92" s="145"/>
      <c r="DP92" s="145"/>
      <c r="DQ92" s="145"/>
      <c r="DR92" s="145"/>
      <c r="DS92" s="145"/>
      <c r="DT92" s="145"/>
      <c r="DU92" s="145"/>
      <c r="DV92" s="145"/>
      <c r="DW92" s="145"/>
      <c r="DX92" s="145"/>
      <c r="DY92" s="145"/>
      <c r="DZ92" s="145"/>
      <c r="EA92" s="145"/>
      <c r="EB92" s="145"/>
      <c r="EC92" s="145"/>
      <c r="ED92" s="145"/>
      <c r="EE92" s="145"/>
      <c r="EF92" s="145"/>
      <c r="EG92" s="145"/>
      <c r="EH92" s="145"/>
      <c r="EI92" s="145"/>
      <c r="EJ92" s="145"/>
      <c r="EK92" s="145"/>
      <c r="EL92" s="145"/>
      <c r="EM92" s="145"/>
      <c r="EN92" s="145"/>
      <c r="EO92" s="145"/>
      <c r="EP92" s="145"/>
      <c r="EQ92" s="145"/>
      <c r="ER92" s="145"/>
      <c r="ES92" s="145"/>
      <c r="ET92" s="145"/>
      <c r="EU92" s="145"/>
      <c r="EV92" s="145"/>
      <c r="EW92" s="145"/>
      <c r="EX92" s="145"/>
      <c r="EY92" s="145"/>
    </row>
    <row r="93" spans="1:155">
      <c r="A93" s="209"/>
      <c r="B93" s="210" t="str">
        <f>[1]Constants!F248</f>
        <v>Data Network</v>
      </c>
      <c r="C93" s="211" t="e">
        <f>SUMIF([1]Conversion!C$14:C$114,$B93,[1]Conversion!AE$14:AE$114)</f>
        <v>#VALUE!</v>
      </c>
      <c r="D93" s="188"/>
      <c r="E93" s="212" t="e">
        <f t="shared" si="0"/>
        <v>#VALUE!</v>
      </c>
      <c r="F93" s="188"/>
      <c r="G93" s="188"/>
      <c r="H93" s="189"/>
      <c r="I93" s="145"/>
      <c r="J93" s="145"/>
      <c r="K93" s="145"/>
      <c r="L93" s="145"/>
      <c r="M93" s="145"/>
      <c r="N93" s="145"/>
      <c r="O93" s="145"/>
      <c r="P93" s="145"/>
      <c r="Q93" s="145"/>
      <c r="R93" s="145"/>
      <c r="S93" s="145"/>
      <c r="T93" s="145"/>
      <c r="U93" s="145"/>
      <c r="V93" s="145"/>
      <c r="W93" s="145"/>
      <c r="X93" s="145"/>
      <c r="Y93" s="145"/>
      <c r="Z93" s="145"/>
      <c r="AA93" s="145"/>
      <c r="AB93" s="145"/>
      <c r="AC93" s="145"/>
      <c r="AD93" s="145"/>
      <c r="AE93" s="145"/>
      <c r="AF93" s="145"/>
      <c r="AG93" s="145"/>
      <c r="AH93" s="145"/>
      <c r="AI93" s="145"/>
      <c r="AJ93" s="145"/>
      <c r="AK93" s="145"/>
      <c r="AL93" s="145"/>
      <c r="AM93" s="145"/>
      <c r="AN93" s="145"/>
      <c r="AO93" s="145"/>
      <c r="AP93" s="145"/>
      <c r="AQ93" s="145"/>
      <c r="AR93" s="145"/>
      <c r="AS93" s="145"/>
      <c r="AT93" s="145"/>
      <c r="AU93" s="145"/>
      <c r="AV93" s="145"/>
      <c r="AW93" s="145"/>
      <c r="AX93" s="145"/>
      <c r="AY93" s="145"/>
      <c r="AZ93" s="145"/>
      <c r="BA93" s="145"/>
      <c r="BB93" s="145"/>
      <c r="BC93" s="145"/>
      <c r="BD93" s="145"/>
      <c r="BE93" s="145"/>
      <c r="BF93" s="145"/>
      <c r="BG93" s="145"/>
      <c r="BH93" s="145"/>
      <c r="BI93" s="145"/>
      <c r="BJ93" s="145"/>
      <c r="BK93" s="145"/>
      <c r="BL93" s="145"/>
      <c r="BM93" s="145"/>
      <c r="BN93" s="145"/>
      <c r="BO93" s="145"/>
      <c r="BP93" s="145"/>
      <c r="BQ93" s="145"/>
      <c r="BR93" s="145"/>
      <c r="BS93" s="145"/>
      <c r="BT93" s="145"/>
      <c r="BU93" s="145"/>
      <c r="BV93" s="145"/>
      <c r="BW93" s="145"/>
      <c r="BX93" s="145"/>
      <c r="BY93" s="145"/>
      <c r="BZ93" s="145"/>
      <c r="CA93" s="145"/>
      <c r="CB93" s="145"/>
      <c r="CC93" s="145"/>
      <c r="CD93" s="145"/>
      <c r="CE93" s="145"/>
      <c r="CF93" s="145"/>
      <c r="CG93" s="145"/>
      <c r="CH93" s="145"/>
      <c r="CI93" s="145"/>
      <c r="CJ93" s="145"/>
      <c r="CK93" s="145"/>
      <c r="CL93" s="145"/>
      <c r="CM93" s="145"/>
      <c r="CN93" s="145"/>
      <c r="CO93" s="145"/>
      <c r="CP93" s="145"/>
      <c r="CQ93" s="145"/>
      <c r="CR93" s="145"/>
      <c r="CS93" s="145"/>
      <c r="CT93" s="145"/>
      <c r="CU93" s="145"/>
      <c r="CV93" s="145"/>
      <c r="CW93" s="145"/>
      <c r="CX93" s="145"/>
      <c r="CY93" s="145"/>
      <c r="CZ93" s="145"/>
      <c r="DA93" s="145"/>
      <c r="DB93" s="145"/>
      <c r="DC93" s="145"/>
      <c r="DD93" s="145"/>
      <c r="DE93" s="145"/>
      <c r="DF93" s="145"/>
      <c r="DG93" s="145"/>
      <c r="DH93" s="145"/>
      <c r="DI93" s="145"/>
      <c r="DJ93" s="145"/>
      <c r="DK93" s="145"/>
      <c r="DL93" s="145"/>
      <c r="DM93" s="145"/>
      <c r="DN93" s="145"/>
      <c r="DO93" s="145"/>
      <c r="DP93" s="145"/>
      <c r="DQ93" s="145"/>
      <c r="DR93" s="145"/>
      <c r="DS93" s="145"/>
      <c r="DT93" s="145"/>
      <c r="DU93" s="145"/>
      <c r="DV93" s="145"/>
      <c r="DW93" s="145"/>
      <c r="DX93" s="145"/>
      <c r="DY93" s="145"/>
      <c r="DZ93" s="145"/>
      <c r="EA93" s="145"/>
      <c r="EB93" s="145"/>
      <c r="EC93" s="145"/>
      <c r="ED93" s="145"/>
      <c r="EE93" s="145"/>
      <c r="EF93" s="145"/>
      <c r="EG93" s="145"/>
      <c r="EH93" s="145"/>
      <c r="EI93" s="145"/>
      <c r="EJ93" s="145"/>
      <c r="EK93" s="145"/>
      <c r="EL93" s="145"/>
      <c r="EM93" s="145"/>
      <c r="EN93" s="145"/>
      <c r="EO93" s="145"/>
      <c r="EP93" s="145"/>
      <c r="EQ93" s="145"/>
      <c r="ER93" s="145"/>
      <c r="ES93" s="145"/>
      <c r="ET93" s="145"/>
      <c r="EU93" s="145"/>
      <c r="EV93" s="145"/>
      <c r="EW93" s="145"/>
      <c r="EX93" s="145"/>
      <c r="EY93" s="145"/>
    </row>
    <row r="94" spans="1:155">
      <c r="A94" s="209"/>
      <c r="B94" s="210" t="str">
        <f>[1]Constants!F249</f>
        <v>Other</v>
      </c>
      <c r="C94" s="211" t="e">
        <f>SUMIF([1]Conversion!C$14:C$114,$B94,[1]Conversion!AE$14:AE$114)</f>
        <v>#VALUE!</v>
      </c>
      <c r="D94" s="188"/>
      <c r="E94" s="212" t="e">
        <f t="shared" si="0"/>
        <v>#VALUE!</v>
      </c>
      <c r="F94" s="188"/>
      <c r="G94" s="188"/>
      <c r="H94" s="189"/>
      <c r="I94" s="145"/>
      <c r="J94" s="145"/>
      <c r="K94" s="145"/>
      <c r="L94" s="145"/>
      <c r="M94" s="145"/>
      <c r="N94" s="145"/>
      <c r="O94" s="145"/>
      <c r="P94" s="145"/>
      <c r="Q94" s="145"/>
      <c r="R94" s="145"/>
      <c r="S94" s="145"/>
      <c r="T94" s="145"/>
      <c r="U94" s="145"/>
      <c r="V94" s="145"/>
      <c r="W94" s="145"/>
      <c r="X94" s="145"/>
      <c r="Y94" s="145"/>
      <c r="Z94" s="145"/>
      <c r="AA94" s="145"/>
      <c r="AB94" s="145"/>
      <c r="AC94" s="145"/>
      <c r="AD94" s="145"/>
      <c r="AE94" s="145"/>
      <c r="AF94" s="145"/>
      <c r="AG94" s="145"/>
      <c r="AH94" s="145"/>
      <c r="AI94" s="145"/>
      <c r="AJ94" s="145"/>
      <c r="AK94" s="145"/>
      <c r="AL94" s="145"/>
      <c r="AM94" s="145"/>
      <c r="AN94" s="145"/>
      <c r="AO94" s="145"/>
      <c r="AP94" s="145"/>
      <c r="AQ94" s="145"/>
      <c r="AR94" s="145"/>
      <c r="AS94" s="145"/>
      <c r="AT94" s="145"/>
      <c r="AU94" s="145"/>
      <c r="AV94" s="145"/>
      <c r="AW94" s="145"/>
      <c r="AX94" s="145"/>
      <c r="AY94" s="145"/>
      <c r="AZ94" s="145"/>
      <c r="BA94" s="145"/>
      <c r="BB94" s="145"/>
      <c r="BC94" s="145"/>
      <c r="BD94" s="145"/>
      <c r="BE94" s="145"/>
      <c r="BF94" s="145"/>
      <c r="BG94" s="145"/>
      <c r="BH94" s="145"/>
      <c r="BI94" s="145"/>
      <c r="BJ94" s="145"/>
      <c r="BK94" s="145"/>
      <c r="BL94" s="145"/>
      <c r="BM94" s="145"/>
      <c r="BN94" s="145"/>
      <c r="BO94" s="145"/>
      <c r="BP94" s="145"/>
      <c r="BQ94" s="145"/>
      <c r="BR94" s="145"/>
      <c r="BS94" s="145"/>
      <c r="BT94" s="145"/>
      <c r="BU94" s="145"/>
      <c r="BV94" s="145"/>
      <c r="BW94" s="145"/>
      <c r="BX94" s="145"/>
      <c r="BY94" s="145"/>
      <c r="BZ94" s="145"/>
      <c r="CA94" s="145"/>
      <c r="CB94" s="145"/>
      <c r="CC94" s="145"/>
      <c r="CD94" s="145"/>
      <c r="CE94" s="145"/>
      <c r="CF94" s="145"/>
      <c r="CG94" s="145"/>
      <c r="CH94" s="145"/>
      <c r="CI94" s="145"/>
      <c r="CJ94" s="145"/>
      <c r="CK94" s="145"/>
      <c r="CL94" s="145"/>
      <c r="CM94" s="145"/>
      <c r="CN94" s="145"/>
      <c r="CO94" s="145"/>
      <c r="CP94" s="145"/>
      <c r="CQ94" s="145"/>
      <c r="CR94" s="145"/>
      <c r="CS94" s="145"/>
      <c r="CT94" s="145"/>
      <c r="CU94" s="145"/>
      <c r="CV94" s="145"/>
      <c r="CW94" s="145"/>
      <c r="CX94" s="145"/>
      <c r="CY94" s="145"/>
      <c r="CZ94" s="145"/>
      <c r="DA94" s="145"/>
      <c r="DB94" s="145"/>
      <c r="DC94" s="145"/>
      <c r="DD94" s="145"/>
      <c r="DE94" s="145"/>
      <c r="DF94" s="145"/>
      <c r="DG94" s="145"/>
      <c r="DH94" s="145"/>
      <c r="DI94" s="145"/>
      <c r="DJ94" s="145"/>
      <c r="DK94" s="145"/>
      <c r="DL94" s="145"/>
      <c r="DM94" s="145"/>
      <c r="DN94" s="145"/>
      <c r="DO94" s="145"/>
      <c r="DP94" s="145"/>
      <c r="DQ94" s="145"/>
      <c r="DR94" s="145"/>
      <c r="DS94" s="145"/>
      <c r="DT94" s="145"/>
      <c r="DU94" s="145"/>
      <c r="DV94" s="145"/>
      <c r="DW94" s="145"/>
      <c r="DX94" s="145"/>
      <c r="DY94" s="145"/>
      <c r="DZ94" s="145"/>
      <c r="EA94" s="145"/>
      <c r="EB94" s="145"/>
      <c r="EC94" s="145"/>
      <c r="ED94" s="145"/>
      <c r="EE94" s="145"/>
      <c r="EF94" s="145"/>
      <c r="EG94" s="145"/>
      <c r="EH94" s="145"/>
      <c r="EI94" s="145"/>
      <c r="EJ94" s="145"/>
      <c r="EK94" s="145"/>
      <c r="EL94" s="145"/>
      <c r="EM94" s="145"/>
      <c r="EN94" s="145"/>
      <c r="EO94" s="145"/>
      <c r="EP94" s="145"/>
      <c r="EQ94" s="145"/>
      <c r="ER94" s="145"/>
      <c r="ES94" s="145"/>
      <c r="ET94" s="145"/>
      <c r="EU94" s="145"/>
      <c r="EV94" s="145"/>
      <c r="EW94" s="145"/>
      <c r="EX94" s="145"/>
      <c r="EY94" s="145"/>
    </row>
    <row r="95" spans="1:155">
      <c r="A95" s="209"/>
      <c r="B95" s="210" t="str">
        <f>[1]Constants!F250</f>
        <v>Pass through</v>
      </c>
      <c r="C95" s="211" t="e">
        <f>SUMIF([1]Conversion!C$14:C$114,$B95,[1]Conversion!AE$14:AE$114)</f>
        <v>#VALUE!</v>
      </c>
      <c r="D95" s="188"/>
      <c r="E95" s="212" t="e">
        <f t="shared" si="0"/>
        <v>#VALUE!</v>
      </c>
      <c r="F95" s="188"/>
      <c r="G95" s="188"/>
      <c r="H95" s="189"/>
      <c r="I95" s="145"/>
      <c r="J95" s="145"/>
      <c r="K95" s="145"/>
      <c r="L95" s="145"/>
      <c r="M95" s="145"/>
      <c r="N95" s="145"/>
      <c r="O95" s="145"/>
      <c r="P95" s="145"/>
      <c r="Q95" s="145"/>
      <c r="R95" s="145"/>
      <c r="S95" s="145"/>
      <c r="T95" s="145"/>
      <c r="U95" s="145"/>
      <c r="V95" s="145"/>
      <c r="W95" s="145"/>
      <c r="X95" s="145"/>
      <c r="Y95" s="145"/>
      <c r="Z95" s="145"/>
      <c r="AA95" s="145"/>
      <c r="AB95" s="145"/>
      <c r="AC95" s="145"/>
      <c r="AD95" s="145"/>
      <c r="AE95" s="145"/>
      <c r="AF95" s="145"/>
      <c r="AG95" s="145"/>
      <c r="AH95" s="145"/>
      <c r="AI95" s="145"/>
      <c r="AJ95" s="145"/>
      <c r="AK95" s="145"/>
      <c r="AL95" s="145"/>
      <c r="AM95" s="145"/>
      <c r="AN95" s="145"/>
      <c r="AO95" s="145"/>
      <c r="AP95" s="145"/>
      <c r="AQ95" s="145"/>
      <c r="AR95" s="145"/>
      <c r="AS95" s="145"/>
      <c r="AT95" s="145"/>
      <c r="AU95" s="145"/>
      <c r="AV95" s="145"/>
      <c r="AW95" s="145"/>
      <c r="AX95" s="145"/>
      <c r="AY95" s="145"/>
      <c r="AZ95" s="145"/>
      <c r="BA95" s="145"/>
      <c r="BB95" s="145"/>
      <c r="BC95" s="145"/>
      <c r="BD95" s="145"/>
      <c r="BE95" s="145"/>
      <c r="BF95" s="145"/>
      <c r="BG95" s="145"/>
      <c r="BH95" s="145"/>
      <c r="BI95" s="145"/>
      <c r="BJ95" s="145"/>
      <c r="BK95" s="145"/>
      <c r="BL95" s="145"/>
      <c r="BM95" s="145"/>
      <c r="BN95" s="145"/>
      <c r="BO95" s="145"/>
      <c r="BP95" s="145"/>
      <c r="BQ95" s="145"/>
      <c r="BR95" s="145"/>
      <c r="BS95" s="145"/>
      <c r="BT95" s="145"/>
      <c r="BU95" s="145"/>
      <c r="BV95" s="145"/>
      <c r="BW95" s="145"/>
      <c r="BX95" s="145"/>
      <c r="BY95" s="145"/>
      <c r="BZ95" s="145"/>
      <c r="CA95" s="145"/>
      <c r="CB95" s="145"/>
      <c r="CC95" s="145"/>
      <c r="CD95" s="145"/>
      <c r="CE95" s="145"/>
      <c r="CF95" s="145"/>
      <c r="CG95" s="145"/>
      <c r="CH95" s="145"/>
      <c r="CI95" s="145"/>
      <c r="CJ95" s="145"/>
      <c r="CK95" s="145"/>
      <c r="CL95" s="145"/>
      <c r="CM95" s="145"/>
      <c r="CN95" s="145"/>
      <c r="CO95" s="145"/>
      <c r="CP95" s="145"/>
      <c r="CQ95" s="145"/>
      <c r="CR95" s="145"/>
      <c r="CS95" s="145"/>
      <c r="CT95" s="145"/>
      <c r="CU95" s="145"/>
      <c r="CV95" s="145"/>
      <c r="CW95" s="145"/>
      <c r="CX95" s="145"/>
      <c r="CY95" s="145"/>
      <c r="CZ95" s="145"/>
      <c r="DA95" s="145"/>
      <c r="DB95" s="145"/>
      <c r="DC95" s="145"/>
      <c r="DD95" s="145"/>
      <c r="DE95" s="145"/>
      <c r="DF95" s="145"/>
      <c r="DG95" s="145"/>
      <c r="DH95" s="145"/>
      <c r="DI95" s="145"/>
      <c r="DJ95" s="145"/>
      <c r="DK95" s="145"/>
      <c r="DL95" s="145"/>
      <c r="DM95" s="145"/>
      <c r="DN95" s="145"/>
      <c r="DO95" s="145"/>
      <c r="DP95" s="145"/>
      <c r="DQ95" s="145"/>
      <c r="DR95" s="145"/>
      <c r="DS95" s="145"/>
      <c r="DT95" s="145"/>
      <c r="DU95" s="145"/>
      <c r="DV95" s="145"/>
      <c r="DW95" s="145"/>
      <c r="DX95" s="145"/>
      <c r="DY95" s="145"/>
      <c r="DZ95" s="145"/>
      <c r="EA95" s="145"/>
      <c r="EB95" s="145"/>
      <c r="EC95" s="145"/>
      <c r="ED95" s="145"/>
      <c r="EE95" s="145"/>
      <c r="EF95" s="145"/>
      <c r="EG95" s="145"/>
      <c r="EH95" s="145"/>
      <c r="EI95" s="145"/>
      <c r="EJ95" s="145"/>
      <c r="EK95" s="145"/>
      <c r="EL95" s="145"/>
      <c r="EM95" s="145"/>
      <c r="EN95" s="145"/>
      <c r="EO95" s="145"/>
      <c r="EP95" s="145"/>
      <c r="EQ95" s="145"/>
      <c r="ER95" s="145"/>
      <c r="ES95" s="145"/>
      <c r="ET95" s="145"/>
      <c r="EU95" s="145"/>
      <c r="EV95" s="145"/>
      <c r="EW95" s="145"/>
      <c r="EX95" s="145"/>
      <c r="EY95" s="145"/>
    </row>
    <row r="96" spans="1:155">
      <c r="A96" s="209"/>
      <c r="B96" s="210" t="str">
        <f>[1]Constants!F251</f>
        <v>Software</v>
      </c>
      <c r="C96" s="211" t="e">
        <f>SUMIF([1]Conversion!C$14:C$114,$B96,[1]Conversion!AE$14:AE$114)</f>
        <v>#VALUE!</v>
      </c>
      <c r="D96" s="188"/>
      <c r="E96" s="212" t="e">
        <f t="shared" si="0"/>
        <v>#VALUE!</v>
      </c>
      <c r="F96" s="188"/>
      <c r="G96" s="188"/>
      <c r="H96" s="189"/>
      <c r="I96" s="145"/>
      <c r="J96" s="145"/>
      <c r="K96" s="145"/>
      <c r="L96" s="145"/>
      <c r="M96" s="145"/>
      <c r="N96" s="145"/>
      <c r="O96" s="145"/>
      <c r="P96" s="145"/>
      <c r="Q96" s="145"/>
      <c r="R96" s="145"/>
      <c r="S96" s="145"/>
      <c r="T96" s="145"/>
      <c r="U96" s="145"/>
      <c r="V96" s="145"/>
      <c r="W96" s="145"/>
      <c r="X96" s="145"/>
      <c r="Y96" s="145"/>
      <c r="Z96" s="145"/>
      <c r="AA96" s="145"/>
      <c r="AB96" s="145"/>
      <c r="AC96" s="145"/>
      <c r="AD96" s="145"/>
      <c r="AE96" s="145"/>
      <c r="AF96" s="145"/>
      <c r="AG96" s="145"/>
      <c r="AH96" s="145"/>
      <c r="AI96" s="145"/>
      <c r="AJ96" s="145"/>
      <c r="AK96" s="145"/>
      <c r="AL96" s="145"/>
      <c r="AM96" s="145"/>
      <c r="AN96" s="145"/>
      <c r="AO96" s="145"/>
      <c r="AP96" s="145"/>
      <c r="AQ96" s="145"/>
      <c r="AR96" s="145"/>
      <c r="AS96" s="145"/>
      <c r="AT96" s="145"/>
      <c r="AU96" s="145"/>
      <c r="AV96" s="145"/>
      <c r="AW96" s="145"/>
      <c r="AX96" s="145"/>
      <c r="AY96" s="145"/>
      <c r="AZ96" s="145"/>
      <c r="BA96" s="145"/>
      <c r="BB96" s="145"/>
      <c r="BC96" s="145"/>
      <c r="BD96" s="145"/>
      <c r="BE96" s="145"/>
      <c r="BF96" s="145"/>
      <c r="BG96" s="145"/>
      <c r="BH96" s="145"/>
      <c r="BI96" s="145"/>
      <c r="BJ96" s="145"/>
      <c r="BK96" s="145"/>
      <c r="BL96" s="145"/>
      <c r="BM96" s="145"/>
      <c r="BN96" s="145"/>
      <c r="BO96" s="145"/>
      <c r="BP96" s="145"/>
      <c r="BQ96" s="145"/>
      <c r="BR96" s="145"/>
      <c r="BS96" s="145"/>
      <c r="BT96" s="145"/>
      <c r="BU96" s="145"/>
      <c r="BV96" s="145"/>
      <c r="BW96" s="145"/>
      <c r="BX96" s="145"/>
      <c r="BY96" s="145"/>
      <c r="BZ96" s="145"/>
      <c r="CA96" s="145"/>
      <c r="CB96" s="145"/>
      <c r="CC96" s="145"/>
      <c r="CD96" s="145"/>
      <c r="CE96" s="145"/>
      <c r="CF96" s="145"/>
      <c r="CG96" s="145"/>
      <c r="CH96" s="145"/>
      <c r="CI96" s="145"/>
      <c r="CJ96" s="145"/>
      <c r="CK96" s="145"/>
      <c r="CL96" s="145"/>
      <c r="CM96" s="145"/>
      <c r="CN96" s="145"/>
      <c r="CO96" s="145"/>
      <c r="CP96" s="145"/>
      <c r="CQ96" s="145"/>
      <c r="CR96" s="145"/>
      <c r="CS96" s="145"/>
      <c r="CT96" s="145"/>
      <c r="CU96" s="145"/>
      <c r="CV96" s="145"/>
      <c r="CW96" s="145"/>
      <c r="CX96" s="145"/>
      <c r="CY96" s="145"/>
      <c r="CZ96" s="145"/>
      <c r="DA96" s="145"/>
      <c r="DB96" s="145"/>
      <c r="DC96" s="145"/>
      <c r="DD96" s="145"/>
      <c r="DE96" s="145"/>
      <c r="DF96" s="145"/>
      <c r="DG96" s="145"/>
      <c r="DH96" s="145"/>
      <c r="DI96" s="145"/>
      <c r="DJ96" s="145"/>
      <c r="DK96" s="145"/>
      <c r="DL96" s="145"/>
      <c r="DM96" s="145"/>
      <c r="DN96" s="145"/>
      <c r="DO96" s="145"/>
      <c r="DP96" s="145"/>
      <c r="DQ96" s="145"/>
      <c r="DR96" s="145"/>
      <c r="DS96" s="145"/>
      <c r="DT96" s="145"/>
      <c r="DU96" s="145"/>
      <c r="DV96" s="145"/>
      <c r="DW96" s="145"/>
      <c r="DX96" s="145"/>
      <c r="DY96" s="145"/>
      <c r="DZ96" s="145"/>
      <c r="EA96" s="145"/>
      <c r="EB96" s="145"/>
      <c r="EC96" s="145"/>
      <c r="ED96" s="145"/>
      <c r="EE96" s="145"/>
      <c r="EF96" s="145"/>
      <c r="EG96" s="145"/>
      <c r="EH96" s="145"/>
      <c r="EI96" s="145"/>
      <c r="EJ96" s="145"/>
      <c r="EK96" s="145"/>
      <c r="EL96" s="145"/>
      <c r="EM96" s="145"/>
      <c r="EN96" s="145"/>
      <c r="EO96" s="145"/>
      <c r="EP96" s="145"/>
      <c r="EQ96" s="145"/>
      <c r="ER96" s="145"/>
      <c r="ES96" s="145"/>
      <c r="ET96" s="145"/>
      <c r="EU96" s="145"/>
      <c r="EV96" s="145"/>
      <c r="EW96" s="145"/>
      <c r="EX96" s="145"/>
      <c r="EY96" s="145"/>
    </row>
    <row r="97" spans="1:155">
      <c r="A97" s="209"/>
      <c r="B97" s="210" t="str">
        <f>[1]Constants!F252</f>
        <v>Software Maint</v>
      </c>
      <c r="C97" s="211" t="e">
        <f>SUMIF([1]Conversion!C$14:C$114,$B97,[1]Conversion!AE$14:AE$114)</f>
        <v>#VALUE!</v>
      </c>
      <c r="D97" s="188"/>
      <c r="E97" s="212" t="e">
        <f t="shared" si="0"/>
        <v>#VALUE!</v>
      </c>
      <c r="F97" s="188"/>
      <c r="G97" s="188"/>
      <c r="H97" s="189"/>
      <c r="I97" s="145"/>
      <c r="J97" s="145"/>
      <c r="K97" s="145"/>
      <c r="L97" s="145"/>
      <c r="M97" s="145"/>
      <c r="N97" s="145"/>
      <c r="O97" s="145"/>
      <c r="P97" s="145"/>
      <c r="Q97" s="145"/>
      <c r="R97" s="145"/>
      <c r="S97" s="145"/>
      <c r="T97" s="145"/>
      <c r="U97" s="145"/>
      <c r="V97" s="145"/>
      <c r="W97" s="145"/>
      <c r="X97" s="145"/>
      <c r="Y97" s="145"/>
      <c r="Z97" s="145"/>
      <c r="AA97" s="145"/>
      <c r="AB97" s="145"/>
      <c r="AC97" s="145"/>
      <c r="AD97" s="145"/>
      <c r="AE97" s="145"/>
      <c r="AF97" s="145"/>
      <c r="AG97" s="145"/>
      <c r="AH97" s="145"/>
      <c r="AI97" s="145"/>
      <c r="AJ97" s="145"/>
      <c r="AK97" s="145"/>
      <c r="AL97" s="145"/>
      <c r="AM97" s="145"/>
      <c r="AN97" s="145"/>
      <c r="AO97" s="145"/>
      <c r="AP97" s="145"/>
      <c r="AQ97" s="145"/>
      <c r="AR97" s="145"/>
      <c r="AS97" s="145"/>
      <c r="AT97" s="145"/>
      <c r="AU97" s="145"/>
      <c r="AV97" s="145"/>
      <c r="AW97" s="145"/>
      <c r="AX97" s="145"/>
      <c r="AY97" s="145"/>
      <c r="AZ97" s="145"/>
      <c r="BA97" s="145"/>
      <c r="BB97" s="145"/>
      <c r="BC97" s="145"/>
      <c r="BD97" s="145"/>
      <c r="BE97" s="145"/>
      <c r="BF97" s="145"/>
      <c r="BG97" s="145"/>
      <c r="BH97" s="145"/>
      <c r="BI97" s="145"/>
      <c r="BJ97" s="145"/>
      <c r="BK97" s="145"/>
      <c r="BL97" s="145"/>
      <c r="BM97" s="145"/>
      <c r="BN97" s="145"/>
      <c r="BO97" s="145"/>
      <c r="BP97" s="145"/>
      <c r="BQ97" s="145"/>
      <c r="BR97" s="145"/>
      <c r="BS97" s="145"/>
      <c r="BT97" s="145"/>
      <c r="BU97" s="145"/>
      <c r="BV97" s="145"/>
      <c r="BW97" s="145"/>
      <c r="BX97" s="145"/>
      <c r="BY97" s="145"/>
      <c r="BZ97" s="145"/>
      <c r="CA97" s="145"/>
      <c r="CB97" s="145"/>
      <c r="CC97" s="145"/>
      <c r="CD97" s="145"/>
      <c r="CE97" s="145"/>
      <c r="CF97" s="145"/>
      <c r="CG97" s="145"/>
      <c r="CH97" s="145"/>
      <c r="CI97" s="145"/>
      <c r="CJ97" s="145"/>
      <c r="CK97" s="145"/>
      <c r="CL97" s="145"/>
      <c r="CM97" s="145"/>
      <c r="CN97" s="145"/>
      <c r="CO97" s="145"/>
      <c r="CP97" s="145"/>
      <c r="CQ97" s="145"/>
      <c r="CR97" s="145"/>
      <c r="CS97" s="145"/>
      <c r="CT97" s="145"/>
      <c r="CU97" s="145"/>
      <c r="CV97" s="145"/>
      <c r="CW97" s="145"/>
      <c r="CX97" s="145"/>
      <c r="CY97" s="145"/>
      <c r="CZ97" s="145"/>
      <c r="DA97" s="145"/>
      <c r="DB97" s="145"/>
      <c r="DC97" s="145"/>
      <c r="DD97" s="145"/>
      <c r="DE97" s="145"/>
      <c r="DF97" s="145"/>
      <c r="DG97" s="145"/>
      <c r="DH97" s="145"/>
      <c r="DI97" s="145"/>
      <c r="DJ97" s="145"/>
      <c r="DK97" s="145"/>
      <c r="DL97" s="145"/>
      <c r="DM97" s="145"/>
      <c r="DN97" s="145"/>
      <c r="DO97" s="145"/>
      <c r="DP97" s="145"/>
      <c r="DQ97" s="145"/>
      <c r="DR97" s="145"/>
      <c r="DS97" s="145"/>
      <c r="DT97" s="145"/>
      <c r="DU97" s="145"/>
      <c r="DV97" s="145"/>
      <c r="DW97" s="145"/>
      <c r="DX97" s="145"/>
      <c r="DY97" s="145"/>
      <c r="DZ97" s="145"/>
      <c r="EA97" s="145"/>
      <c r="EB97" s="145"/>
      <c r="EC97" s="145"/>
      <c r="ED97" s="145"/>
      <c r="EE97" s="145"/>
      <c r="EF97" s="145"/>
      <c r="EG97" s="145"/>
      <c r="EH97" s="145"/>
      <c r="EI97" s="145"/>
      <c r="EJ97" s="145"/>
      <c r="EK97" s="145"/>
      <c r="EL97" s="145"/>
      <c r="EM97" s="145"/>
      <c r="EN97" s="145"/>
      <c r="EO97" s="145"/>
      <c r="EP97" s="145"/>
      <c r="EQ97" s="145"/>
      <c r="ER97" s="145"/>
      <c r="ES97" s="145"/>
      <c r="ET97" s="145"/>
      <c r="EU97" s="145"/>
      <c r="EV97" s="145"/>
      <c r="EW97" s="145"/>
      <c r="EX97" s="145"/>
      <c r="EY97" s="145"/>
    </row>
    <row r="98" spans="1:155">
      <c r="A98" s="209"/>
      <c r="B98" s="210" t="str">
        <f>[1]Constants!F253</f>
        <v>Third Party</v>
      </c>
      <c r="C98" s="211" t="e">
        <f>SUMIF([1]Conversion!C$14:C$114,$B98,[1]Conversion!AE$14:AE$114)</f>
        <v>#VALUE!</v>
      </c>
      <c r="D98" s="188"/>
      <c r="E98" s="212" t="e">
        <f t="shared" si="0"/>
        <v>#VALUE!</v>
      </c>
      <c r="F98" s="188"/>
      <c r="G98" s="188"/>
      <c r="H98" s="189"/>
      <c r="I98" s="145"/>
      <c r="J98" s="145"/>
      <c r="K98" s="145"/>
      <c r="L98" s="145"/>
      <c r="M98" s="145"/>
      <c r="N98" s="145"/>
      <c r="O98" s="145"/>
      <c r="P98" s="145"/>
      <c r="Q98" s="145"/>
      <c r="R98" s="145"/>
      <c r="S98" s="145"/>
      <c r="T98" s="145"/>
      <c r="U98" s="145"/>
      <c r="V98" s="145"/>
      <c r="W98" s="145"/>
      <c r="X98" s="145"/>
      <c r="Y98" s="145"/>
      <c r="Z98" s="145"/>
      <c r="AA98" s="145"/>
      <c r="AB98" s="145"/>
      <c r="AC98" s="145"/>
      <c r="AD98" s="145"/>
      <c r="AE98" s="145"/>
      <c r="AF98" s="145"/>
      <c r="AG98" s="145"/>
      <c r="AH98" s="145"/>
      <c r="AI98" s="145"/>
      <c r="AJ98" s="145"/>
      <c r="AK98" s="145"/>
      <c r="AL98" s="145"/>
      <c r="AM98" s="145"/>
      <c r="AN98" s="145"/>
      <c r="AO98" s="145"/>
      <c r="AP98" s="145"/>
      <c r="AQ98" s="145"/>
      <c r="AR98" s="145"/>
      <c r="AS98" s="145"/>
      <c r="AT98" s="145"/>
      <c r="AU98" s="145"/>
      <c r="AV98" s="145"/>
      <c r="AW98" s="145"/>
      <c r="AX98" s="145"/>
      <c r="AY98" s="145"/>
      <c r="AZ98" s="145"/>
      <c r="BA98" s="145"/>
      <c r="BB98" s="145"/>
      <c r="BC98" s="145"/>
      <c r="BD98" s="145"/>
      <c r="BE98" s="145"/>
      <c r="BF98" s="145"/>
      <c r="BG98" s="145"/>
      <c r="BH98" s="145"/>
      <c r="BI98" s="145"/>
      <c r="BJ98" s="145"/>
      <c r="BK98" s="145"/>
      <c r="BL98" s="145"/>
      <c r="BM98" s="145"/>
      <c r="BN98" s="145"/>
      <c r="BO98" s="145"/>
      <c r="BP98" s="145"/>
      <c r="BQ98" s="145"/>
      <c r="BR98" s="145"/>
      <c r="BS98" s="145"/>
      <c r="BT98" s="145"/>
      <c r="BU98" s="145"/>
      <c r="BV98" s="145"/>
      <c r="BW98" s="145"/>
      <c r="BX98" s="145"/>
      <c r="BY98" s="145"/>
      <c r="BZ98" s="145"/>
      <c r="CA98" s="145"/>
      <c r="CB98" s="145"/>
      <c r="CC98" s="145"/>
      <c r="CD98" s="145"/>
      <c r="CE98" s="145"/>
      <c r="CF98" s="145"/>
      <c r="CG98" s="145"/>
      <c r="CH98" s="145"/>
      <c r="CI98" s="145"/>
      <c r="CJ98" s="145"/>
      <c r="CK98" s="145"/>
      <c r="CL98" s="145"/>
      <c r="CM98" s="145"/>
      <c r="CN98" s="145"/>
      <c r="CO98" s="145"/>
      <c r="CP98" s="145"/>
      <c r="CQ98" s="145"/>
      <c r="CR98" s="145"/>
      <c r="CS98" s="145"/>
      <c r="CT98" s="145"/>
      <c r="CU98" s="145"/>
      <c r="CV98" s="145"/>
      <c r="CW98" s="145"/>
      <c r="CX98" s="145"/>
      <c r="CY98" s="145"/>
      <c r="CZ98" s="145"/>
      <c r="DA98" s="145"/>
      <c r="DB98" s="145"/>
      <c r="DC98" s="145"/>
      <c r="DD98" s="145"/>
      <c r="DE98" s="145"/>
      <c r="DF98" s="145"/>
      <c r="DG98" s="145"/>
      <c r="DH98" s="145"/>
      <c r="DI98" s="145"/>
      <c r="DJ98" s="145"/>
      <c r="DK98" s="145"/>
      <c r="DL98" s="145"/>
      <c r="DM98" s="145"/>
      <c r="DN98" s="145"/>
      <c r="DO98" s="145"/>
      <c r="DP98" s="145"/>
      <c r="DQ98" s="145"/>
      <c r="DR98" s="145"/>
      <c r="DS98" s="145"/>
      <c r="DT98" s="145"/>
      <c r="DU98" s="145"/>
      <c r="DV98" s="145"/>
      <c r="DW98" s="145"/>
      <c r="DX98" s="145"/>
      <c r="DY98" s="145"/>
      <c r="DZ98" s="145"/>
      <c r="EA98" s="145"/>
      <c r="EB98" s="145"/>
      <c r="EC98" s="145"/>
      <c r="ED98" s="145"/>
      <c r="EE98" s="145"/>
      <c r="EF98" s="145"/>
      <c r="EG98" s="145"/>
      <c r="EH98" s="145"/>
      <c r="EI98" s="145"/>
      <c r="EJ98" s="145"/>
      <c r="EK98" s="145"/>
      <c r="EL98" s="145"/>
      <c r="EM98" s="145"/>
      <c r="EN98" s="145"/>
      <c r="EO98" s="145"/>
      <c r="EP98" s="145"/>
      <c r="EQ98" s="145"/>
      <c r="ER98" s="145"/>
      <c r="ES98" s="145"/>
      <c r="ET98" s="145"/>
      <c r="EU98" s="145"/>
      <c r="EV98" s="145"/>
      <c r="EW98" s="145"/>
      <c r="EX98" s="145"/>
      <c r="EY98" s="145"/>
    </row>
    <row r="99" spans="1:155" ht="4.5" customHeight="1">
      <c r="A99" s="182"/>
      <c r="B99" s="183"/>
      <c r="C99" s="183"/>
      <c r="D99" s="183"/>
      <c r="E99" s="184"/>
      <c r="F99" s="183"/>
      <c r="G99" s="183"/>
      <c r="H99" s="185"/>
      <c r="I99" s="145"/>
      <c r="J99" s="145"/>
      <c r="K99" s="145"/>
      <c r="L99" s="145"/>
      <c r="M99" s="145"/>
      <c r="N99" s="145"/>
      <c r="O99" s="145"/>
      <c r="P99" s="145"/>
      <c r="Q99" s="145"/>
      <c r="R99" s="145"/>
      <c r="S99" s="145"/>
      <c r="T99" s="145"/>
      <c r="U99" s="145"/>
      <c r="V99" s="145"/>
      <c r="W99" s="145"/>
      <c r="X99" s="145"/>
      <c r="Y99" s="145"/>
      <c r="Z99" s="145"/>
      <c r="AA99" s="145"/>
      <c r="AB99" s="145"/>
      <c r="AC99" s="145"/>
      <c r="AD99" s="145"/>
      <c r="AE99" s="145"/>
      <c r="AF99" s="145"/>
      <c r="AG99" s="145"/>
      <c r="AH99" s="145"/>
      <c r="AI99" s="145"/>
      <c r="AJ99" s="145"/>
      <c r="AK99" s="145"/>
      <c r="AL99" s="145"/>
      <c r="AM99" s="145"/>
      <c r="AN99" s="145"/>
      <c r="AO99" s="145"/>
      <c r="AP99" s="145"/>
      <c r="AQ99" s="145"/>
      <c r="AR99" s="145"/>
      <c r="AS99" s="145"/>
      <c r="AT99" s="145"/>
      <c r="AU99" s="145"/>
      <c r="AV99" s="145"/>
      <c r="AW99" s="145"/>
      <c r="AX99" s="145"/>
      <c r="AY99" s="145"/>
      <c r="AZ99" s="145"/>
      <c r="BA99" s="145"/>
      <c r="BB99" s="145"/>
      <c r="BC99" s="145"/>
      <c r="BD99" s="145"/>
      <c r="BE99" s="145"/>
      <c r="BF99" s="145"/>
      <c r="BG99" s="145"/>
      <c r="BH99" s="145"/>
      <c r="BI99" s="145"/>
      <c r="BJ99" s="145"/>
      <c r="BK99" s="145"/>
      <c r="BL99" s="145"/>
      <c r="BM99" s="145"/>
      <c r="BN99" s="145"/>
      <c r="BO99" s="145"/>
      <c r="BP99" s="145"/>
      <c r="BQ99" s="145"/>
      <c r="BR99" s="145"/>
      <c r="BS99" s="145"/>
      <c r="BT99" s="145"/>
      <c r="BU99" s="145"/>
      <c r="BV99" s="145"/>
      <c r="BW99" s="145"/>
      <c r="BX99" s="145"/>
      <c r="BY99" s="145"/>
      <c r="BZ99" s="145"/>
      <c r="CA99" s="145"/>
      <c r="CB99" s="145"/>
      <c r="CC99" s="145"/>
      <c r="CD99" s="145"/>
      <c r="CE99" s="145"/>
      <c r="CF99" s="145"/>
      <c r="CG99" s="145"/>
      <c r="CH99" s="145"/>
      <c r="CI99" s="145"/>
      <c r="CJ99" s="145"/>
      <c r="CK99" s="145"/>
      <c r="CL99" s="145"/>
      <c r="CM99" s="145"/>
      <c r="CN99" s="145"/>
      <c r="CO99" s="145"/>
      <c r="CP99" s="145"/>
      <c r="CQ99" s="145"/>
      <c r="CR99" s="145"/>
      <c r="CS99" s="145"/>
      <c r="CT99" s="145"/>
      <c r="CU99" s="145"/>
      <c r="CV99" s="145"/>
      <c r="CW99" s="145"/>
      <c r="CX99" s="145"/>
      <c r="CY99" s="145"/>
      <c r="CZ99" s="145"/>
      <c r="DA99" s="145"/>
      <c r="DB99" s="145"/>
      <c r="DC99" s="145"/>
      <c r="DD99" s="145"/>
      <c r="DE99" s="145"/>
      <c r="DF99" s="145"/>
      <c r="DG99" s="145"/>
      <c r="DH99" s="145"/>
      <c r="DI99" s="145"/>
      <c r="DJ99" s="145"/>
      <c r="DK99" s="145"/>
      <c r="DL99" s="145"/>
      <c r="DM99" s="145"/>
      <c r="DN99" s="145"/>
      <c r="DO99" s="145"/>
      <c r="DP99" s="145"/>
      <c r="DQ99" s="145"/>
      <c r="DR99" s="145"/>
      <c r="DS99" s="145"/>
      <c r="DT99" s="145"/>
      <c r="DU99" s="145"/>
      <c r="DV99" s="145"/>
      <c r="DW99" s="145"/>
      <c r="DX99" s="145"/>
      <c r="DY99" s="145"/>
      <c r="DZ99" s="145"/>
      <c r="EA99" s="145"/>
      <c r="EB99" s="145"/>
      <c r="EC99" s="145"/>
      <c r="ED99" s="145"/>
      <c r="EE99" s="145"/>
      <c r="EF99" s="145"/>
      <c r="EG99" s="145"/>
      <c r="EH99" s="145"/>
      <c r="EI99" s="145"/>
      <c r="EJ99" s="145"/>
      <c r="EK99" s="145"/>
      <c r="EL99" s="145"/>
      <c r="EM99" s="145"/>
      <c r="EN99" s="145"/>
      <c r="EO99" s="145"/>
      <c r="EP99" s="145"/>
      <c r="EQ99" s="145"/>
      <c r="ER99" s="145"/>
      <c r="ES99" s="145"/>
      <c r="ET99" s="145"/>
      <c r="EU99" s="145"/>
      <c r="EV99" s="145"/>
      <c r="EW99" s="145"/>
      <c r="EX99" s="145"/>
      <c r="EY99" s="145"/>
    </row>
    <row r="100" spans="1:155">
      <c r="A100" s="145"/>
      <c r="B100" s="145"/>
      <c r="C100" s="211" t="e">
        <f>SUM(C87:C99)</f>
        <v>#VALUE!</v>
      </c>
      <c r="D100" s="145"/>
      <c r="E100" s="212" t="e">
        <f>SUM(E87:E99)</f>
        <v>#VALUE!</v>
      </c>
      <c r="F100" s="145"/>
      <c r="G100" s="145"/>
      <c r="H100" s="145"/>
      <c r="I100" s="145"/>
      <c r="J100" s="145"/>
      <c r="K100" s="145"/>
      <c r="L100" s="145"/>
      <c r="M100" s="145"/>
      <c r="N100" s="145"/>
      <c r="O100" s="145"/>
      <c r="P100" s="145"/>
      <c r="Q100" s="145"/>
      <c r="R100" s="145"/>
      <c r="S100" s="145"/>
      <c r="T100" s="145"/>
      <c r="U100" s="145"/>
      <c r="V100" s="145"/>
      <c r="W100" s="145"/>
      <c r="X100" s="145"/>
      <c r="Y100" s="145"/>
      <c r="Z100" s="145"/>
      <c r="AA100" s="145"/>
      <c r="AB100" s="145"/>
      <c r="AC100" s="145"/>
      <c r="AD100" s="145"/>
      <c r="AE100" s="145"/>
      <c r="AF100" s="145"/>
      <c r="AG100" s="145"/>
      <c r="AH100" s="145"/>
      <c r="AI100" s="145"/>
      <c r="AJ100" s="145"/>
      <c r="AK100" s="145"/>
      <c r="AL100" s="145"/>
      <c r="AM100" s="145"/>
      <c r="AN100" s="145"/>
      <c r="AO100" s="145"/>
      <c r="AP100" s="145"/>
      <c r="AQ100" s="145"/>
      <c r="AR100" s="145"/>
      <c r="AS100" s="145"/>
      <c r="AT100" s="145"/>
      <c r="AU100" s="145"/>
      <c r="AV100" s="145"/>
      <c r="AW100" s="145"/>
      <c r="AX100" s="145"/>
      <c r="AY100" s="145"/>
      <c r="AZ100" s="145"/>
      <c r="BA100" s="145"/>
      <c r="BB100" s="145"/>
      <c r="BC100" s="145"/>
      <c r="BD100" s="145"/>
      <c r="BE100" s="145"/>
      <c r="BF100" s="145"/>
      <c r="BG100" s="145"/>
      <c r="BH100" s="145"/>
      <c r="BI100" s="145"/>
      <c r="BJ100" s="145"/>
      <c r="BK100" s="145"/>
      <c r="BL100" s="145"/>
      <c r="BM100" s="145"/>
      <c r="BN100" s="145"/>
      <c r="BO100" s="145"/>
      <c r="BP100" s="145"/>
      <c r="BQ100" s="145"/>
      <c r="BR100" s="145"/>
      <c r="BS100" s="145"/>
      <c r="BT100" s="145"/>
      <c r="BU100" s="145"/>
      <c r="BV100" s="145"/>
      <c r="BW100" s="145"/>
      <c r="BX100" s="145"/>
      <c r="BY100" s="145"/>
      <c r="BZ100" s="145"/>
      <c r="CA100" s="145"/>
      <c r="CB100" s="145"/>
      <c r="CC100" s="145"/>
      <c r="CD100" s="145"/>
      <c r="CE100" s="145"/>
      <c r="CF100" s="145"/>
      <c r="CG100" s="145"/>
      <c r="CH100" s="145"/>
      <c r="CI100" s="145"/>
      <c r="CJ100" s="145"/>
      <c r="CK100" s="145"/>
      <c r="CL100" s="145"/>
      <c r="CM100" s="145"/>
      <c r="CN100" s="145"/>
      <c r="CO100" s="145"/>
      <c r="CP100" s="145"/>
      <c r="CQ100" s="145"/>
      <c r="CR100" s="145"/>
      <c r="CS100" s="145"/>
      <c r="CT100" s="145"/>
      <c r="CU100" s="145"/>
      <c r="CV100" s="145"/>
      <c r="CW100" s="145"/>
      <c r="CX100" s="145"/>
      <c r="CY100" s="145"/>
      <c r="CZ100" s="145"/>
      <c r="DA100" s="145"/>
      <c r="DB100" s="145"/>
      <c r="DC100" s="145"/>
      <c r="DD100" s="145"/>
      <c r="DE100" s="145"/>
      <c r="DF100" s="145"/>
      <c r="DG100" s="145"/>
      <c r="DH100" s="145"/>
      <c r="DI100" s="145"/>
      <c r="DJ100" s="145"/>
      <c r="DK100" s="145"/>
      <c r="DL100" s="145"/>
      <c r="DM100" s="145"/>
      <c r="DN100" s="145"/>
      <c r="DO100" s="145"/>
      <c r="DP100" s="145"/>
      <c r="DQ100" s="145"/>
      <c r="DR100" s="145"/>
      <c r="DS100" s="145"/>
      <c r="DT100" s="145"/>
      <c r="DU100" s="145"/>
      <c r="DV100" s="145"/>
      <c r="DW100" s="145"/>
      <c r="DX100" s="145"/>
      <c r="DY100" s="145"/>
      <c r="DZ100" s="145"/>
      <c r="EA100" s="145"/>
      <c r="EB100" s="145"/>
      <c r="EC100" s="145"/>
      <c r="ED100" s="145"/>
      <c r="EE100" s="145"/>
      <c r="EF100" s="145"/>
      <c r="EG100" s="145"/>
      <c r="EH100" s="145"/>
      <c r="EI100" s="145"/>
      <c r="EJ100" s="145"/>
      <c r="EK100" s="145"/>
      <c r="EL100" s="145"/>
      <c r="EM100" s="145"/>
      <c r="EN100" s="145"/>
      <c r="EO100" s="145"/>
      <c r="EP100" s="145"/>
      <c r="EQ100" s="145"/>
      <c r="ER100" s="145"/>
      <c r="ES100" s="145"/>
      <c r="ET100" s="145"/>
      <c r="EU100" s="145"/>
      <c r="EV100" s="145"/>
      <c r="EW100" s="145"/>
      <c r="EX100" s="145"/>
      <c r="EY100" s="213"/>
    </row>
    <row r="101" spans="1:155">
      <c r="A101" s="145"/>
      <c r="B101" s="145"/>
      <c r="C101" s="145"/>
      <c r="D101" s="145"/>
      <c r="E101" s="190"/>
      <c r="F101" s="145"/>
      <c r="G101" s="145"/>
      <c r="H101" s="145"/>
      <c r="I101" s="145"/>
      <c r="J101" s="145"/>
      <c r="K101" s="145"/>
      <c r="L101" s="145"/>
      <c r="M101" s="145"/>
      <c r="N101" s="145"/>
      <c r="O101" s="145"/>
      <c r="P101" s="145"/>
      <c r="Q101" s="145"/>
      <c r="R101" s="145"/>
      <c r="S101" s="145"/>
      <c r="T101" s="145"/>
      <c r="U101" s="145"/>
      <c r="V101" s="145"/>
      <c r="W101" s="145"/>
      <c r="X101" s="145"/>
      <c r="Y101" s="145"/>
      <c r="Z101" s="145"/>
      <c r="AA101" s="145"/>
      <c r="AB101" s="145"/>
      <c r="AC101" s="145"/>
      <c r="AD101" s="145"/>
      <c r="AE101" s="145"/>
      <c r="AF101" s="214">
        <f>[1]Timelines!AF21</f>
        <v>39722</v>
      </c>
      <c r="AG101" s="214">
        <f>[1]Timelines!AG21</f>
        <v>39753</v>
      </c>
      <c r="AH101" s="214">
        <f>[1]Timelines!AH21</f>
        <v>39783</v>
      </c>
      <c r="AI101" s="214">
        <f>[1]Timelines!AI21</f>
        <v>39814</v>
      </c>
      <c r="AJ101" s="214">
        <f>[1]Timelines!AJ21</f>
        <v>39845</v>
      </c>
      <c r="AK101" s="214">
        <f>[1]Timelines!AK21</f>
        <v>39873</v>
      </c>
      <c r="AL101" s="214">
        <f>[1]Timelines!AL21</f>
        <v>39904</v>
      </c>
      <c r="AM101" s="214">
        <f>[1]Timelines!AM21</f>
        <v>39934</v>
      </c>
      <c r="AN101" s="214">
        <f>[1]Timelines!AN21</f>
        <v>39965</v>
      </c>
      <c r="AO101" s="214">
        <f>[1]Timelines!AO21</f>
        <v>39995</v>
      </c>
      <c r="AP101" s="214">
        <f>[1]Timelines!AP21</f>
        <v>40026</v>
      </c>
      <c r="AQ101" s="214">
        <f>[1]Timelines!AQ21</f>
        <v>40057</v>
      </c>
      <c r="AR101" s="214">
        <f>[1]Timelines!AR21</f>
        <v>40087</v>
      </c>
      <c r="AS101" s="214">
        <f>[1]Timelines!AS21</f>
        <v>40118</v>
      </c>
      <c r="AT101" s="214">
        <f>[1]Timelines!AT21</f>
        <v>40148</v>
      </c>
      <c r="AU101" s="214">
        <f>[1]Timelines!AU21</f>
        <v>40179</v>
      </c>
      <c r="AV101" s="214">
        <f>[1]Timelines!AV21</f>
        <v>40210</v>
      </c>
      <c r="AW101" s="214">
        <f>[1]Timelines!AW21</f>
        <v>40238</v>
      </c>
      <c r="AX101" s="214">
        <f>[1]Timelines!AX21</f>
        <v>40269</v>
      </c>
      <c r="AY101" s="214">
        <f>[1]Timelines!AY21</f>
        <v>40299</v>
      </c>
      <c r="AZ101" s="214">
        <f>[1]Timelines!AZ21</f>
        <v>40330</v>
      </c>
      <c r="BA101" s="214">
        <f>[1]Timelines!BA21</f>
        <v>40360</v>
      </c>
      <c r="BB101" s="214">
        <f>[1]Timelines!BB21</f>
        <v>40391</v>
      </c>
      <c r="BC101" s="214">
        <f>[1]Timelines!BC21</f>
        <v>40422</v>
      </c>
      <c r="BD101" s="214">
        <f>[1]Timelines!BD21</f>
        <v>40452</v>
      </c>
      <c r="BE101" s="214">
        <f>[1]Timelines!BE21</f>
        <v>40483</v>
      </c>
      <c r="BF101" s="214">
        <f>[1]Timelines!BF21</f>
        <v>40513</v>
      </c>
      <c r="BG101" s="214">
        <f>[1]Timelines!BG21</f>
        <v>40544</v>
      </c>
      <c r="BH101" s="214">
        <f>[1]Timelines!BH21</f>
        <v>40575</v>
      </c>
      <c r="BI101" s="214">
        <f>[1]Timelines!BI21</f>
        <v>40603</v>
      </c>
      <c r="BJ101" s="214">
        <f>[1]Timelines!BJ21</f>
        <v>40634</v>
      </c>
      <c r="BK101" s="214">
        <f>[1]Timelines!BK21</f>
        <v>40664</v>
      </c>
      <c r="BL101" s="214">
        <f>[1]Timelines!BL21</f>
        <v>40695</v>
      </c>
      <c r="BM101" s="214">
        <f>[1]Timelines!BM21</f>
        <v>40725</v>
      </c>
      <c r="BN101" s="214">
        <f>[1]Timelines!BN21</f>
        <v>40756</v>
      </c>
      <c r="BO101" s="214">
        <f>[1]Timelines!BO21</f>
        <v>40787</v>
      </c>
      <c r="BP101" s="214">
        <f>[1]Timelines!BP21</f>
        <v>40817</v>
      </c>
      <c r="BQ101" s="214">
        <f>[1]Timelines!BQ21</f>
        <v>40848</v>
      </c>
      <c r="BR101" s="214">
        <f>[1]Timelines!BR21</f>
        <v>40878</v>
      </c>
      <c r="BS101" s="214">
        <f>[1]Timelines!BS21</f>
        <v>40909</v>
      </c>
      <c r="BT101" s="214">
        <f>[1]Timelines!BT21</f>
        <v>40940</v>
      </c>
      <c r="BU101" s="214">
        <f>[1]Timelines!BU21</f>
        <v>40969</v>
      </c>
      <c r="BV101" s="214">
        <f>[1]Timelines!BV21</f>
        <v>41000</v>
      </c>
      <c r="BW101" s="214">
        <f>[1]Timelines!BW21</f>
        <v>41030</v>
      </c>
      <c r="BX101" s="214">
        <f>[1]Timelines!BX21</f>
        <v>41061</v>
      </c>
      <c r="BY101" s="214">
        <f>[1]Timelines!BY21</f>
        <v>41091</v>
      </c>
      <c r="BZ101" s="214">
        <f>[1]Timelines!BZ21</f>
        <v>41122</v>
      </c>
      <c r="CA101" s="214">
        <f>[1]Timelines!CA21</f>
        <v>41153</v>
      </c>
      <c r="CB101" s="214">
        <f>[1]Timelines!CB21</f>
        <v>41183</v>
      </c>
      <c r="CC101" s="214">
        <f>[1]Timelines!CC21</f>
        <v>41214</v>
      </c>
      <c r="CD101" s="214">
        <f>[1]Timelines!CD21</f>
        <v>41244</v>
      </c>
      <c r="CE101" s="214">
        <f>[1]Timelines!CE21</f>
        <v>41275</v>
      </c>
      <c r="CF101" s="214">
        <f>[1]Timelines!CF21</f>
        <v>41306</v>
      </c>
      <c r="CG101" s="214">
        <f>[1]Timelines!CG21</f>
        <v>41334</v>
      </c>
      <c r="CH101" s="214">
        <f>[1]Timelines!CH21</f>
        <v>41365</v>
      </c>
      <c r="CI101" s="214">
        <f>[1]Timelines!CI21</f>
        <v>41395</v>
      </c>
      <c r="CJ101" s="214">
        <f>[1]Timelines!CJ21</f>
        <v>41426</v>
      </c>
      <c r="CK101" s="214">
        <f>[1]Timelines!CK21</f>
        <v>41456</v>
      </c>
      <c r="CL101" s="214">
        <f>[1]Timelines!CL21</f>
        <v>41487</v>
      </c>
      <c r="CM101" s="214">
        <f>[1]Timelines!CM21</f>
        <v>41518</v>
      </c>
      <c r="CN101" s="214">
        <f>[1]Timelines!CN21</f>
        <v>41548</v>
      </c>
      <c r="CO101" s="214">
        <f>[1]Timelines!CO21</f>
        <v>41579</v>
      </c>
      <c r="CP101" s="214">
        <f>[1]Timelines!CP21</f>
        <v>41609</v>
      </c>
      <c r="CQ101" s="214">
        <f>[1]Timelines!CQ21</f>
        <v>41640</v>
      </c>
      <c r="CR101" s="214">
        <f>[1]Timelines!CR21</f>
        <v>41671</v>
      </c>
      <c r="CS101" s="214">
        <f>[1]Timelines!CS21</f>
        <v>41699</v>
      </c>
      <c r="CT101" s="214">
        <f>[1]Timelines!CT21</f>
        <v>41730</v>
      </c>
      <c r="CU101" s="214">
        <f>[1]Timelines!CU21</f>
        <v>41760</v>
      </c>
      <c r="CV101" s="214">
        <f>[1]Timelines!CV21</f>
        <v>41791</v>
      </c>
      <c r="CW101" s="214">
        <f>[1]Timelines!CW21</f>
        <v>41821</v>
      </c>
      <c r="CX101" s="214">
        <f>[1]Timelines!CX21</f>
        <v>41852</v>
      </c>
      <c r="CY101" s="214">
        <f>[1]Timelines!CY21</f>
        <v>41883</v>
      </c>
      <c r="CZ101" s="214">
        <f>[1]Timelines!CZ21</f>
        <v>41913</v>
      </c>
      <c r="DA101" s="214">
        <f>[1]Timelines!DA21</f>
        <v>41944</v>
      </c>
      <c r="DB101" s="214">
        <f>[1]Timelines!DB21</f>
        <v>41974</v>
      </c>
      <c r="DC101" s="214">
        <f>[1]Timelines!DC21</f>
        <v>42005</v>
      </c>
      <c r="DD101" s="214">
        <f>[1]Timelines!DD21</f>
        <v>42036</v>
      </c>
      <c r="DE101" s="214">
        <f>[1]Timelines!DE21</f>
        <v>42064</v>
      </c>
      <c r="DF101" s="214">
        <f>[1]Timelines!DF21</f>
        <v>42095</v>
      </c>
      <c r="DG101" s="214">
        <f>[1]Timelines!DG21</f>
        <v>42125</v>
      </c>
      <c r="DH101" s="214">
        <f>[1]Timelines!DH21</f>
        <v>42156</v>
      </c>
      <c r="DI101" s="214">
        <f>[1]Timelines!DI21</f>
        <v>42186</v>
      </c>
      <c r="DJ101" s="214">
        <f>[1]Timelines!DJ21</f>
        <v>42217</v>
      </c>
      <c r="DK101" s="214">
        <f>[1]Timelines!DK21</f>
        <v>42248</v>
      </c>
      <c r="DL101" s="214">
        <f>[1]Timelines!DL21</f>
        <v>42278</v>
      </c>
      <c r="DM101" s="214">
        <f>[1]Timelines!DM21</f>
        <v>42309</v>
      </c>
      <c r="DN101" s="214">
        <f>[1]Timelines!DN21</f>
        <v>42339</v>
      </c>
      <c r="DO101" s="214">
        <f>[1]Timelines!DO21</f>
        <v>42370</v>
      </c>
      <c r="DP101" s="214">
        <f>[1]Timelines!DP21</f>
        <v>42401</v>
      </c>
      <c r="DQ101" s="214">
        <f>[1]Timelines!DQ21</f>
        <v>42430</v>
      </c>
      <c r="DR101" s="214">
        <f>[1]Timelines!DR21</f>
        <v>42461</v>
      </c>
      <c r="DS101" s="214">
        <f>[1]Timelines!DS21</f>
        <v>42491</v>
      </c>
      <c r="DT101" s="214">
        <f>[1]Timelines!DT21</f>
        <v>42522</v>
      </c>
      <c r="DU101" s="214">
        <f>[1]Timelines!DU21</f>
        <v>42552</v>
      </c>
      <c r="DV101" s="214">
        <f>[1]Timelines!DV21</f>
        <v>42583</v>
      </c>
      <c r="DW101" s="214">
        <f>[1]Timelines!DW21</f>
        <v>42614</v>
      </c>
      <c r="DX101" s="214">
        <f>[1]Timelines!DX21</f>
        <v>42644</v>
      </c>
      <c r="DY101" s="214">
        <f>[1]Timelines!DY21</f>
        <v>42675</v>
      </c>
      <c r="DZ101" s="214">
        <f>[1]Timelines!DZ21</f>
        <v>42705</v>
      </c>
      <c r="EA101" s="214">
        <f>[1]Timelines!EA21</f>
        <v>42736</v>
      </c>
      <c r="EB101" s="214">
        <f>[1]Timelines!EB21</f>
        <v>42767</v>
      </c>
      <c r="EC101" s="214">
        <f>[1]Timelines!EC21</f>
        <v>42795</v>
      </c>
      <c r="ED101" s="214">
        <f>[1]Timelines!ED21</f>
        <v>42826</v>
      </c>
      <c r="EE101" s="214">
        <f>[1]Timelines!EE21</f>
        <v>42856</v>
      </c>
      <c r="EF101" s="214">
        <f>[1]Timelines!EF21</f>
        <v>42887</v>
      </c>
      <c r="EG101" s="214">
        <f>[1]Timelines!EG21</f>
        <v>42917</v>
      </c>
      <c r="EH101" s="214">
        <f>[1]Timelines!EH21</f>
        <v>42948</v>
      </c>
      <c r="EI101" s="214">
        <f>[1]Timelines!EI21</f>
        <v>42979</v>
      </c>
      <c r="EJ101" s="214">
        <f>[1]Timelines!EJ21</f>
        <v>43009</v>
      </c>
      <c r="EK101" s="214">
        <f>[1]Timelines!EK21</f>
        <v>43040</v>
      </c>
      <c r="EL101" s="214">
        <f>[1]Timelines!EL21</f>
        <v>43070</v>
      </c>
      <c r="EM101" s="214">
        <f>[1]Timelines!EM21</f>
        <v>43101</v>
      </c>
      <c r="EN101" s="214">
        <f>[1]Timelines!EN21</f>
        <v>43132</v>
      </c>
      <c r="EO101" s="214">
        <f>[1]Timelines!EO21</f>
        <v>43160</v>
      </c>
      <c r="EP101" s="214">
        <f>[1]Timelines!EP21</f>
        <v>43191</v>
      </c>
      <c r="EQ101" s="214">
        <f>[1]Timelines!EQ21</f>
        <v>43221</v>
      </c>
      <c r="ER101" s="214">
        <f>[1]Timelines!ER21</f>
        <v>43252</v>
      </c>
      <c r="ES101" s="214">
        <f>[1]Timelines!ES21</f>
        <v>43282</v>
      </c>
      <c r="ET101" s="214">
        <f>[1]Timelines!ET21</f>
        <v>43313</v>
      </c>
      <c r="EU101" s="214">
        <f>[1]Timelines!EU21</f>
        <v>43344</v>
      </c>
      <c r="EV101" s="214">
        <f>[1]Timelines!EV21</f>
        <v>43374</v>
      </c>
      <c r="EW101" s="214">
        <f>[1]Timelines!EW21</f>
        <v>43405</v>
      </c>
      <c r="EX101" s="215">
        <f>[1]Timelines!EX21</f>
        <v>43435</v>
      </c>
      <c r="EY101" s="197"/>
    </row>
    <row r="102" spans="1:155" ht="4.5" customHeight="1">
      <c r="A102" s="182"/>
      <c r="B102" s="183"/>
      <c r="C102" s="183"/>
      <c r="D102" s="183"/>
      <c r="E102" s="184"/>
      <c r="F102" s="183"/>
      <c r="G102" s="183"/>
      <c r="H102" s="184"/>
      <c r="I102" s="183"/>
      <c r="J102" s="183"/>
      <c r="K102" s="183"/>
      <c r="L102" s="183"/>
      <c r="M102" s="183"/>
      <c r="N102" s="183"/>
      <c r="O102" s="183"/>
      <c r="P102" s="183"/>
      <c r="Q102" s="183"/>
      <c r="R102" s="183"/>
      <c r="S102" s="183"/>
      <c r="T102" s="183"/>
      <c r="U102" s="183"/>
      <c r="V102" s="183"/>
      <c r="W102" s="183"/>
      <c r="X102" s="183"/>
      <c r="Y102" s="183"/>
      <c r="Z102" s="183"/>
      <c r="AA102" s="183"/>
      <c r="AB102" s="183"/>
      <c r="AC102" s="183"/>
      <c r="AD102" s="183"/>
      <c r="AE102" s="183"/>
      <c r="AF102" s="183"/>
      <c r="AG102" s="183"/>
      <c r="AH102" s="183"/>
      <c r="AI102" s="183"/>
      <c r="AJ102" s="183"/>
      <c r="AK102" s="183"/>
      <c r="AL102" s="183"/>
      <c r="AM102" s="183"/>
      <c r="AN102" s="183"/>
      <c r="AO102" s="183"/>
      <c r="AP102" s="183"/>
      <c r="AQ102" s="183"/>
      <c r="AR102" s="183"/>
      <c r="AS102" s="183"/>
      <c r="AT102" s="183"/>
      <c r="AU102" s="183"/>
      <c r="AV102" s="183"/>
      <c r="AW102" s="183"/>
      <c r="AX102" s="183"/>
      <c r="AY102" s="183"/>
      <c r="AZ102" s="183"/>
      <c r="BA102" s="183"/>
      <c r="BB102" s="183"/>
      <c r="BC102" s="183"/>
      <c r="BD102" s="183"/>
      <c r="BE102" s="183"/>
      <c r="BF102" s="183"/>
      <c r="BG102" s="183"/>
      <c r="BH102" s="183"/>
      <c r="BI102" s="183"/>
      <c r="BJ102" s="183"/>
      <c r="BK102" s="183"/>
      <c r="BL102" s="183"/>
      <c r="BM102" s="183"/>
      <c r="BN102" s="183"/>
      <c r="BO102" s="183"/>
      <c r="BP102" s="183"/>
      <c r="BQ102" s="183"/>
      <c r="BR102" s="183"/>
      <c r="BS102" s="183"/>
      <c r="BT102" s="183"/>
      <c r="BU102" s="183"/>
      <c r="BV102" s="183"/>
      <c r="BW102" s="183"/>
      <c r="BX102" s="183"/>
      <c r="BY102" s="183"/>
      <c r="BZ102" s="183"/>
      <c r="CA102" s="183"/>
      <c r="CB102" s="183"/>
      <c r="CC102" s="183"/>
      <c r="CD102" s="183"/>
      <c r="CE102" s="183"/>
      <c r="CF102" s="183"/>
      <c r="CG102" s="183"/>
      <c r="CH102" s="183"/>
      <c r="CI102" s="183"/>
      <c r="CJ102" s="183"/>
      <c r="CK102" s="183"/>
      <c r="CL102" s="183"/>
      <c r="CM102" s="183"/>
      <c r="CN102" s="183"/>
      <c r="CO102" s="183"/>
      <c r="CP102" s="183"/>
      <c r="CQ102" s="183"/>
      <c r="CR102" s="183"/>
      <c r="CS102" s="183"/>
      <c r="CT102" s="183"/>
      <c r="CU102" s="183"/>
      <c r="CV102" s="183"/>
      <c r="CW102" s="183"/>
      <c r="CX102" s="183"/>
      <c r="CY102" s="183"/>
      <c r="CZ102" s="183"/>
      <c r="DA102" s="183"/>
      <c r="DB102" s="183"/>
      <c r="DC102" s="183"/>
      <c r="DD102" s="183"/>
      <c r="DE102" s="183"/>
      <c r="DF102" s="183"/>
      <c r="DG102" s="183"/>
      <c r="DH102" s="183"/>
      <c r="DI102" s="183"/>
      <c r="DJ102" s="183"/>
      <c r="DK102" s="183"/>
      <c r="DL102" s="183"/>
      <c r="DM102" s="183"/>
      <c r="DN102" s="183"/>
      <c r="DO102" s="183"/>
      <c r="DP102" s="183"/>
      <c r="DQ102" s="183"/>
      <c r="DR102" s="183"/>
      <c r="DS102" s="183"/>
      <c r="DT102" s="183"/>
      <c r="DU102" s="183"/>
      <c r="DV102" s="183"/>
      <c r="DW102" s="183"/>
      <c r="DX102" s="183"/>
      <c r="DY102" s="183"/>
      <c r="DZ102" s="183"/>
      <c r="EA102" s="183"/>
      <c r="EB102" s="183"/>
      <c r="EC102" s="183"/>
      <c r="ED102" s="183"/>
      <c r="EE102" s="183"/>
      <c r="EF102" s="183"/>
      <c r="EG102" s="183"/>
      <c r="EH102" s="183"/>
      <c r="EI102" s="183"/>
      <c r="EJ102" s="183"/>
      <c r="EK102" s="183"/>
      <c r="EL102" s="183"/>
      <c r="EM102" s="183"/>
      <c r="EN102" s="183"/>
      <c r="EO102" s="183"/>
      <c r="EP102" s="183"/>
      <c r="EQ102" s="183"/>
      <c r="ER102" s="183"/>
      <c r="ES102" s="183"/>
      <c r="ET102" s="183"/>
      <c r="EU102" s="183"/>
      <c r="EV102" s="183"/>
      <c r="EW102" s="183"/>
      <c r="EX102" s="183"/>
      <c r="EY102" s="216"/>
    </row>
    <row r="103" spans="1:155">
      <c r="A103" s="217">
        <v>1</v>
      </c>
      <c r="B103" s="218" t="str">
        <f ca="1">OFFSET(CosTop,$A$103,0)</f>
        <v>Raw Costs</v>
      </c>
      <c r="C103" s="211">
        <f>SUM(AF103:EY103)</f>
        <v>28624381.516423278</v>
      </c>
      <c r="D103" s="145"/>
      <c r="E103" s="211">
        <v>27742359.579195201</v>
      </c>
      <c r="F103" s="131">
        <v>0</v>
      </c>
      <c r="G103" s="145"/>
      <c r="H103" s="145"/>
      <c r="I103" s="145"/>
      <c r="J103" s="145"/>
      <c r="K103" s="145"/>
      <c r="L103" s="145"/>
      <c r="M103" s="145"/>
      <c r="N103" s="145"/>
      <c r="O103" s="145"/>
      <c r="P103" s="145"/>
      <c r="Q103" s="145"/>
      <c r="R103" s="145"/>
      <c r="S103" s="145"/>
      <c r="T103" s="145"/>
      <c r="U103" s="145"/>
      <c r="V103" s="145"/>
      <c r="W103" s="145"/>
      <c r="X103" s="145"/>
      <c r="Y103" s="145"/>
      <c r="Z103" s="145"/>
      <c r="AA103" s="145"/>
      <c r="AB103" s="145"/>
      <c r="AC103" s="145"/>
      <c r="AD103" s="145"/>
      <c r="AE103" s="145"/>
      <c r="AF103" s="219">
        <f>CHOOSE($A103,[1]Conversion!AF115,[1]Conversion!AF118)</f>
        <v>1212561.7945000001</v>
      </c>
      <c r="AG103" s="219">
        <f>CHOOSE($A103,[1]Conversion!AG115,[1]Conversion!AG118)</f>
        <v>269124.91619919933</v>
      </c>
      <c r="AH103" s="219">
        <f>CHOOSE($A103,[1]Conversion!AH115,[1]Conversion!AH118)</f>
        <v>1839712.6109375001</v>
      </c>
      <c r="AI103" s="219">
        <f>CHOOSE($A103,[1]Conversion!AI115,[1]Conversion!AI118)</f>
        <v>2730224.6109374999</v>
      </c>
      <c r="AJ103" s="219">
        <f>CHOOSE($A103,[1]Conversion!AJ115,[1]Conversion!AJ118)</f>
        <v>423110.61093750002</v>
      </c>
      <c r="AK103" s="219">
        <f>CHOOSE($A103,[1]Conversion!AK115,[1]Conversion!AK118)</f>
        <v>494709.61093750002</v>
      </c>
      <c r="AL103" s="219">
        <f>CHOOSE($A103,[1]Conversion!AL115,[1]Conversion!AL118)</f>
        <v>560462.04843750002</v>
      </c>
      <c r="AM103" s="219">
        <f>CHOOSE($A103,[1]Conversion!AM115,[1]Conversion!AM118)</f>
        <v>560462.04843750002</v>
      </c>
      <c r="AN103" s="219">
        <f>CHOOSE($A103,[1]Conversion!AN115,[1]Conversion!AN118)</f>
        <v>288934.54843750002</v>
      </c>
      <c r="AO103" s="219">
        <f>CHOOSE($A103,[1]Conversion!AO115,[1]Conversion!AO118)</f>
        <v>288934.54843750002</v>
      </c>
      <c r="AP103" s="219">
        <f>CHOOSE($A103,[1]Conversion!AP115,[1]Conversion!AP118)</f>
        <v>288934.54843750002</v>
      </c>
      <c r="AQ103" s="219">
        <f>CHOOSE($A103,[1]Conversion!AQ115,[1]Conversion!AQ118)</f>
        <v>288140.54843750002</v>
      </c>
      <c r="AR103" s="219">
        <f>CHOOSE($A103,[1]Conversion!AR115,[1]Conversion!AR118)</f>
        <v>288140.54843750002</v>
      </c>
      <c r="AS103" s="219">
        <f>CHOOSE($A103,[1]Conversion!AS115,[1]Conversion!AS118)</f>
        <v>493549.6521366993</v>
      </c>
      <c r="AT103" s="219">
        <f>CHOOSE($A103,[1]Conversion!AT115,[1]Conversion!AT118)</f>
        <v>507454.54843749997</v>
      </c>
      <c r="AU103" s="219">
        <f>CHOOSE($A103,[1]Conversion!AU115,[1]Conversion!AU118)</f>
        <v>313718.54843750002</v>
      </c>
      <c r="AV103" s="219">
        <f>CHOOSE($A103,[1]Conversion!AV115,[1]Conversion!AV118)</f>
        <v>323646.55940625007</v>
      </c>
      <c r="AW103" s="219">
        <f>CHOOSE($A103,[1]Conversion!AW115,[1]Conversion!AW118)</f>
        <v>323646.55940625007</v>
      </c>
      <c r="AX103" s="219">
        <f>CHOOSE($A103,[1]Conversion!AX115,[1]Conversion!AX118)</f>
        <v>293903.35940625001</v>
      </c>
      <c r="AY103" s="219">
        <f>CHOOSE($A103,[1]Conversion!AY115,[1]Conversion!AY118)</f>
        <v>293903.35940625001</v>
      </c>
      <c r="AZ103" s="219">
        <f>CHOOSE($A103,[1]Conversion!AZ115,[1]Conversion!AZ118)</f>
        <v>293903.35940625001</v>
      </c>
      <c r="BA103" s="219">
        <f>CHOOSE($A103,[1]Conversion!BA115,[1]Conversion!BA118)</f>
        <v>293903.35940625001</v>
      </c>
      <c r="BB103" s="219">
        <f>CHOOSE($A103,[1]Conversion!BB115,[1]Conversion!BB118)</f>
        <v>293903.35940625001</v>
      </c>
      <c r="BC103" s="219">
        <f>CHOOSE($A103,[1]Conversion!BC115,[1]Conversion!BC118)</f>
        <v>293903.35940625001</v>
      </c>
      <c r="BD103" s="219">
        <f>CHOOSE($A103,[1]Conversion!BD115,[1]Conversion!BD118)</f>
        <v>293903.35940625001</v>
      </c>
      <c r="BE103" s="219">
        <f>CHOOSE($A103,[1]Conversion!BE115,[1]Conversion!BE118)</f>
        <v>503420.64517943334</v>
      </c>
      <c r="BF103" s="219">
        <f>CHOOSE($A103,[1]Conversion!BF115,[1]Conversion!BF118)</f>
        <v>498821.35940625001</v>
      </c>
      <c r="BG103" s="219">
        <f>CHOOSE($A103,[1]Conversion!BG115,[1]Conversion!BG118)</f>
        <v>293903.35940625001</v>
      </c>
      <c r="BH103" s="219">
        <f>CHOOSE($A103,[1]Conversion!BH115,[1]Conversion!BH118)</f>
        <v>299781.42659437499</v>
      </c>
      <c r="BI103" s="219">
        <f>CHOOSE($A103,[1]Conversion!BI115,[1]Conversion!BI118)</f>
        <v>299781.42659437499</v>
      </c>
      <c r="BJ103" s="219">
        <f>CHOOSE($A103,[1]Conversion!BJ115,[1]Conversion!BJ118)</f>
        <v>299781.42659437499</v>
      </c>
      <c r="BK103" s="219">
        <f>CHOOSE($A103,[1]Conversion!BK115,[1]Conversion!BK118)</f>
        <v>299781.42659437499</v>
      </c>
      <c r="BL103" s="219">
        <f>CHOOSE($A103,[1]Conversion!BL115,[1]Conversion!BL118)</f>
        <v>299781.42659437499</v>
      </c>
      <c r="BM103" s="219">
        <f>CHOOSE($A103,[1]Conversion!BM115,[1]Conversion!BM118)</f>
        <v>299781.42659437499</v>
      </c>
      <c r="BN103" s="219">
        <f>CHOOSE($A103,[1]Conversion!BN115,[1]Conversion!BN118)</f>
        <v>299781.42659437499</v>
      </c>
      <c r="BO103" s="219">
        <f>CHOOSE($A103,[1]Conversion!BO115,[1]Conversion!BO118)</f>
        <v>299781.42659437499</v>
      </c>
      <c r="BP103" s="219">
        <f>CHOOSE($A103,[1]Conversion!BP115,[1]Conversion!BP118)</f>
        <v>299781.42659437499</v>
      </c>
      <c r="BQ103" s="219">
        <f>CHOOSE($A103,[1]Conversion!BQ115,[1]Conversion!BQ118)</f>
        <v>513489.05808302201</v>
      </c>
      <c r="BR103" s="219">
        <f>CHOOSE($A103,[1]Conversion!BR115,[1]Conversion!BR118)</f>
        <v>1344863.226594375</v>
      </c>
      <c r="BS103" s="219">
        <f>CHOOSE($A103,[1]Conversion!BS115,[1]Conversion!BS118)</f>
        <v>299781.42659437499</v>
      </c>
      <c r="BT103" s="219">
        <f>CHOOSE($A103,[1]Conversion!BT115,[1]Conversion!BT118)</f>
        <v>305777.05512626248</v>
      </c>
      <c r="BU103" s="219">
        <f>CHOOSE($A103,[1]Conversion!BU115,[1]Conversion!BU118)</f>
        <v>305777.05512626248</v>
      </c>
      <c r="BV103" s="219">
        <f>CHOOSE($A103,[1]Conversion!BV115,[1]Conversion!BV118)</f>
        <v>305777.05512626248</v>
      </c>
      <c r="BW103" s="219">
        <f>CHOOSE($A103,[1]Conversion!BW115,[1]Conversion!BW118)</f>
        <v>305777.05512626248</v>
      </c>
      <c r="BX103" s="219">
        <f>CHOOSE($A103,[1]Conversion!BX115,[1]Conversion!BX118)</f>
        <v>305777.05512626248</v>
      </c>
      <c r="BY103" s="219">
        <f>CHOOSE($A103,[1]Conversion!BY115,[1]Conversion!BY118)</f>
        <v>305777.05512626248</v>
      </c>
      <c r="BZ103" s="219">
        <f>CHOOSE($A103,[1]Conversion!BZ115,[1]Conversion!BZ118)</f>
        <v>305777.05512626248</v>
      </c>
      <c r="CA103" s="219">
        <f>CHOOSE($A103,[1]Conversion!CA115,[1]Conversion!CA118)</f>
        <v>305777.05512626248</v>
      </c>
      <c r="CB103" s="219">
        <f>CHOOSE($A103,[1]Conversion!CB115,[1]Conversion!CB118)</f>
        <v>305777.05512626248</v>
      </c>
      <c r="CC103" s="219">
        <f>CHOOSE($A103,[1]Conversion!CC115,[1]Conversion!CC118)</f>
        <v>523758.8392446824</v>
      </c>
      <c r="CD103" s="219">
        <f>CHOOSE($A103,[1]Conversion!CD115,[1]Conversion!CD118)</f>
        <v>518973.74232626247</v>
      </c>
      <c r="CE103" s="219">
        <f>CHOOSE($A103,[1]Conversion!CE115,[1]Conversion!CE118)</f>
        <v>305777.05512626248</v>
      </c>
      <c r="CF103" s="219">
        <f>CHOOSE($A103,[1]Conversion!CF115,[1]Conversion!CF118)</f>
        <v>311892.59622878773</v>
      </c>
      <c r="CG103" s="219">
        <f>CHOOSE($A103,[1]Conversion!CG115,[1]Conversion!CG118)</f>
        <v>311892.59622878773</v>
      </c>
      <c r="CH103" s="219">
        <f>CHOOSE($A103,[1]Conversion!CH115,[1]Conversion!CH118)</f>
        <v>311892.59622878773</v>
      </c>
      <c r="CI103" s="219">
        <f>CHOOSE($A103,[1]Conversion!CI115,[1]Conversion!CI118)</f>
        <v>311892.59622878773</v>
      </c>
      <c r="CJ103" s="219">
        <f>CHOOSE($A103,[1]Conversion!CJ115,[1]Conversion!CJ118)</f>
        <v>311892.59622878773</v>
      </c>
      <c r="CK103" s="219">
        <f>CHOOSE($A103,[1]Conversion!CK115,[1]Conversion!CK118)</f>
        <v>311892.59622878773</v>
      </c>
      <c r="CL103" s="219">
        <f>CHOOSE($A103,[1]Conversion!CL115,[1]Conversion!CL118)</f>
        <v>311892.59622878773</v>
      </c>
      <c r="CM103" s="219">
        <f>CHOOSE($A103,[1]Conversion!CM115,[1]Conversion!CM118)</f>
        <v>311892.59622878773</v>
      </c>
      <c r="CN103" s="219">
        <f>CHOOSE($A103,[1]Conversion!CN115,[1]Conversion!CN118)</f>
        <v>311892.59622878773</v>
      </c>
      <c r="CO103" s="219">
        <f>CHOOSE($A103,[1]Conversion!CO115,[1]Conversion!CO118)</f>
        <v>534234.01602957596</v>
      </c>
      <c r="CP103" s="219">
        <f>CHOOSE($A103,[1]Conversion!CP115,[1]Conversion!CP118)</f>
        <v>529353.21717278776</v>
      </c>
      <c r="CQ103" s="219">
        <f>CHOOSE($A103,[1]Conversion!CQ115,[1]Conversion!CQ118)</f>
        <v>311892.59622878773</v>
      </c>
      <c r="CR103" s="219">
        <f>CHOOSE($A103,[1]Conversion!CR115,[1]Conversion!CR118)</f>
        <v>318130.44815336354</v>
      </c>
      <c r="CS103" s="219">
        <f>CHOOSE($A103,[1]Conversion!CS115,[1]Conversion!CS118)</f>
        <v>318130.44815336354</v>
      </c>
      <c r="CT103" s="219">
        <f>CHOOSE($A103,[1]Conversion!CT115,[1]Conversion!CT118)</f>
        <v>0</v>
      </c>
      <c r="CU103" s="219">
        <f>CHOOSE($A103,[1]Conversion!CU115,[1]Conversion!CU118)</f>
        <v>0</v>
      </c>
      <c r="CV103" s="219">
        <f>CHOOSE($A103,[1]Conversion!CV115,[1]Conversion!CV118)</f>
        <v>0</v>
      </c>
      <c r="CW103" s="219">
        <f>CHOOSE($A103,[1]Conversion!CW115,[1]Conversion!CW118)</f>
        <v>0</v>
      </c>
      <c r="CX103" s="219">
        <f>CHOOSE($A103,[1]Conversion!CX115,[1]Conversion!CX118)</f>
        <v>0</v>
      </c>
      <c r="CY103" s="219">
        <f>CHOOSE($A103,[1]Conversion!CY115,[1]Conversion!CY118)</f>
        <v>0</v>
      </c>
      <c r="CZ103" s="219">
        <f>CHOOSE($A103,[1]Conversion!CZ115,[1]Conversion!CZ118)</f>
        <v>0</v>
      </c>
      <c r="DA103" s="219">
        <f>CHOOSE($A103,[1]Conversion!DA115,[1]Conversion!DA118)</f>
        <v>0</v>
      </c>
      <c r="DB103" s="219">
        <f>CHOOSE($A103,[1]Conversion!DB115,[1]Conversion!DB118)</f>
        <v>0</v>
      </c>
      <c r="DC103" s="219">
        <f>CHOOSE($A103,[1]Conversion!DC115,[1]Conversion!DC118)</f>
        <v>0</v>
      </c>
      <c r="DD103" s="219">
        <f>CHOOSE($A103,[1]Conversion!DD115,[1]Conversion!DD118)</f>
        <v>0</v>
      </c>
      <c r="DE103" s="219">
        <f>CHOOSE($A103,[1]Conversion!DE115,[1]Conversion!DE118)</f>
        <v>0</v>
      </c>
      <c r="DF103" s="219">
        <f>CHOOSE($A103,[1]Conversion!DF115,[1]Conversion!DF118)</f>
        <v>0</v>
      </c>
      <c r="DG103" s="219">
        <f>CHOOSE($A103,[1]Conversion!DG115,[1]Conversion!DG118)</f>
        <v>0</v>
      </c>
      <c r="DH103" s="219">
        <f>CHOOSE($A103,[1]Conversion!DH115,[1]Conversion!DH118)</f>
        <v>0</v>
      </c>
      <c r="DI103" s="219">
        <f>CHOOSE($A103,[1]Conversion!DI115,[1]Conversion!DI118)</f>
        <v>0</v>
      </c>
      <c r="DJ103" s="219">
        <f>CHOOSE($A103,[1]Conversion!DJ115,[1]Conversion!DJ118)</f>
        <v>0</v>
      </c>
      <c r="DK103" s="219">
        <f>CHOOSE($A103,[1]Conversion!DK115,[1]Conversion!DK118)</f>
        <v>0</v>
      </c>
      <c r="DL103" s="219">
        <f>CHOOSE($A103,[1]Conversion!DL115,[1]Conversion!DL118)</f>
        <v>0</v>
      </c>
      <c r="DM103" s="219">
        <f>CHOOSE($A103,[1]Conversion!DM115,[1]Conversion!DM118)</f>
        <v>0</v>
      </c>
      <c r="DN103" s="219">
        <f>CHOOSE($A103,[1]Conversion!DN115,[1]Conversion!DN118)</f>
        <v>0</v>
      </c>
      <c r="DO103" s="219">
        <f>CHOOSE($A103,[1]Conversion!DO115,[1]Conversion!DO118)</f>
        <v>0</v>
      </c>
      <c r="DP103" s="219">
        <f>CHOOSE($A103,[1]Conversion!DP115,[1]Conversion!DP118)</f>
        <v>0</v>
      </c>
      <c r="DQ103" s="219">
        <f>CHOOSE($A103,[1]Conversion!DQ115,[1]Conversion!DQ118)</f>
        <v>0</v>
      </c>
      <c r="DR103" s="219">
        <f>CHOOSE($A103,[1]Conversion!DR115,[1]Conversion!DR118)</f>
        <v>0</v>
      </c>
      <c r="DS103" s="219">
        <f>CHOOSE($A103,[1]Conversion!DS115,[1]Conversion!DS118)</f>
        <v>0</v>
      </c>
      <c r="DT103" s="219">
        <f>CHOOSE($A103,[1]Conversion!DT115,[1]Conversion!DT118)</f>
        <v>0</v>
      </c>
      <c r="DU103" s="219">
        <f>CHOOSE($A103,[1]Conversion!DU115,[1]Conversion!DU118)</f>
        <v>0</v>
      </c>
      <c r="DV103" s="219">
        <f>CHOOSE($A103,[1]Conversion!DV115,[1]Conversion!DV118)</f>
        <v>0</v>
      </c>
      <c r="DW103" s="219">
        <f>CHOOSE($A103,[1]Conversion!DW115,[1]Conversion!DW118)</f>
        <v>0</v>
      </c>
      <c r="DX103" s="219">
        <f>CHOOSE($A103,[1]Conversion!DX115,[1]Conversion!DX118)</f>
        <v>0</v>
      </c>
      <c r="DY103" s="219">
        <f>CHOOSE($A103,[1]Conversion!DY115,[1]Conversion!DY118)</f>
        <v>0</v>
      </c>
      <c r="DZ103" s="219">
        <f>CHOOSE($A103,[1]Conversion!DZ115,[1]Conversion!DZ118)</f>
        <v>0</v>
      </c>
      <c r="EA103" s="219">
        <f>CHOOSE($A103,[1]Conversion!EA115,[1]Conversion!EA118)</f>
        <v>0</v>
      </c>
      <c r="EB103" s="219">
        <f>CHOOSE($A103,[1]Conversion!EB115,[1]Conversion!EB118)</f>
        <v>0</v>
      </c>
      <c r="EC103" s="219">
        <f>CHOOSE($A103,[1]Conversion!EC115,[1]Conversion!EC118)</f>
        <v>0</v>
      </c>
      <c r="ED103" s="219">
        <f>CHOOSE($A103,[1]Conversion!ED115,[1]Conversion!ED118)</f>
        <v>0</v>
      </c>
      <c r="EE103" s="219">
        <f>CHOOSE($A103,[1]Conversion!EE115,[1]Conversion!EE118)</f>
        <v>0</v>
      </c>
      <c r="EF103" s="219">
        <f>CHOOSE($A103,[1]Conversion!EF115,[1]Conversion!EF118)</f>
        <v>0</v>
      </c>
      <c r="EG103" s="219">
        <f>CHOOSE($A103,[1]Conversion!EG115,[1]Conversion!EG118)</f>
        <v>0</v>
      </c>
      <c r="EH103" s="219">
        <f>CHOOSE($A103,[1]Conversion!EH115,[1]Conversion!EH118)</f>
        <v>0</v>
      </c>
      <c r="EI103" s="219">
        <f>CHOOSE($A103,[1]Conversion!EI115,[1]Conversion!EI118)</f>
        <v>0</v>
      </c>
      <c r="EJ103" s="219">
        <f>CHOOSE($A103,[1]Conversion!EJ115,[1]Conversion!EJ118)</f>
        <v>0</v>
      </c>
      <c r="EK103" s="219">
        <f>CHOOSE($A103,[1]Conversion!EK115,[1]Conversion!EK118)</f>
        <v>0</v>
      </c>
      <c r="EL103" s="219">
        <f>CHOOSE($A103,[1]Conversion!EL115,[1]Conversion!EL118)</f>
        <v>0</v>
      </c>
      <c r="EM103" s="219">
        <f>CHOOSE($A103,[1]Conversion!EM115,[1]Conversion!EM118)</f>
        <v>0</v>
      </c>
      <c r="EN103" s="219">
        <f>CHOOSE($A103,[1]Conversion!EN115,[1]Conversion!EN118)</f>
        <v>0</v>
      </c>
      <c r="EO103" s="219">
        <f>CHOOSE($A103,[1]Conversion!EO115,[1]Conversion!EO118)</f>
        <v>0</v>
      </c>
      <c r="EP103" s="219">
        <f>CHOOSE($A103,[1]Conversion!EP115,[1]Conversion!EP118)</f>
        <v>0</v>
      </c>
      <c r="EQ103" s="219">
        <f>CHOOSE($A103,[1]Conversion!EQ115,[1]Conversion!EQ118)</f>
        <v>0</v>
      </c>
      <c r="ER103" s="219">
        <f>CHOOSE($A103,[1]Conversion!ER115,[1]Conversion!ER118)</f>
        <v>0</v>
      </c>
      <c r="ES103" s="219">
        <f>CHOOSE($A103,[1]Conversion!ES115,[1]Conversion!ES118)</f>
        <v>0</v>
      </c>
      <c r="ET103" s="219">
        <f>CHOOSE($A103,[1]Conversion!ET115,[1]Conversion!ET118)</f>
        <v>0</v>
      </c>
      <c r="EU103" s="219">
        <f>CHOOSE($A103,[1]Conversion!EU115,[1]Conversion!EU118)</f>
        <v>0</v>
      </c>
      <c r="EV103" s="219">
        <f>CHOOSE($A103,[1]Conversion!EV115,[1]Conversion!EV118)</f>
        <v>0</v>
      </c>
      <c r="EW103" s="219">
        <f>CHOOSE($A103,[1]Conversion!EW115,[1]Conversion!EW118)</f>
        <v>0</v>
      </c>
      <c r="EX103" s="219">
        <f>CHOOSE($A103,[1]Conversion!EX115,[1]Conversion!EX118)</f>
        <v>0</v>
      </c>
      <c r="EY103" s="197"/>
    </row>
    <row r="104" spans="1:155">
      <c r="A104" s="220">
        <v>2</v>
      </c>
      <c r="B104" s="218" t="str">
        <f ca="1">OFFSET(PriTop,$A$104,0)</f>
        <v>Profiled</v>
      </c>
      <c r="C104" s="211">
        <f>SUM(AF104:EY104)</f>
        <v>35701684.273700699</v>
      </c>
      <c r="D104" s="145"/>
      <c r="E104" s="211">
        <v>34620250.344214618</v>
      </c>
      <c r="F104" s="131">
        <v>0</v>
      </c>
      <c r="G104" s="145"/>
      <c r="H104" s="145"/>
      <c r="I104" s="145"/>
      <c r="J104" s="145"/>
      <c r="K104" s="145"/>
      <c r="L104" s="145"/>
      <c r="M104" s="145"/>
      <c r="N104" s="145"/>
      <c r="O104" s="145"/>
      <c r="P104" s="145"/>
      <c r="Q104" s="145"/>
      <c r="R104" s="145"/>
      <c r="S104" s="145"/>
      <c r="T104" s="145"/>
      <c r="U104" s="145"/>
      <c r="V104" s="145"/>
      <c r="W104" s="145"/>
      <c r="X104" s="145"/>
      <c r="Y104" s="145"/>
      <c r="Z104" s="145"/>
      <c r="AA104" s="145"/>
      <c r="AB104" s="145"/>
      <c r="AC104" s="145"/>
      <c r="AD104" s="145"/>
      <c r="AE104" s="145"/>
      <c r="AF104" s="219">
        <f>CHOOSE($A104,'[1]Cost Plus'!AF115,'[1]Profile before CoM'!AF115,'[1]Profile with CoM'!AF115,'[1]Final Price'!AF115)</f>
        <v>0</v>
      </c>
      <c r="AG104" s="219">
        <f>CHOOSE($A104,'[1]Cost Plus'!AG115,'[1]Profile before CoM'!AG115,'[1]Profile with CoM'!AG115,'[1]Final Price'!AG115)</f>
        <v>49553.36538461539</v>
      </c>
      <c r="AH104" s="219">
        <f>CHOOSE($A104,'[1]Cost Plus'!AH115,'[1]Profile before CoM'!AH115,'[1]Profile with CoM'!AH115,'[1]Final Price'!AH115)</f>
        <v>499166.96031168418</v>
      </c>
      <c r="AI104" s="219">
        <f>CHOOSE($A104,'[1]Cost Plus'!AI115,'[1]Profile before CoM'!AI115,'[1]Profile with CoM'!AI115,'[1]Final Price'!AI115)</f>
        <v>3384989.3341097618</v>
      </c>
      <c r="AJ104" s="219">
        <f>CHOOSE($A104,'[1]Cost Plus'!AJ115,'[1]Profile before CoM'!AJ115,'[1]Profile with CoM'!AJ115,'[1]Final Price'!AJ115)</f>
        <v>437356.00077642762</v>
      </c>
      <c r="AK104" s="219">
        <f>CHOOSE($A104,'[1]Cost Plus'!AK115,'[1]Profile before CoM'!AK115,'[1]Profile with CoM'!AK115,'[1]Final Price'!AK115)</f>
        <v>1774901.6998950155</v>
      </c>
      <c r="AL104" s="219">
        <f>CHOOSE($A104,'[1]Cost Plus'!AL115,'[1]Profile before CoM'!AL115,'[1]Profile with CoM'!AL115,'[1]Final Price'!AL115)</f>
        <v>429074.18987899151</v>
      </c>
      <c r="AM104" s="219">
        <f>CHOOSE($A104,'[1]Cost Plus'!AM115,'[1]Profile before CoM'!AM115,'[1]Profile with CoM'!AM115,'[1]Final Price'!AM115)</f>
        <v>786420.34372514533</v>
      </c>
      <c r="AN104" s="219">
        <f>CHOOSE($A104,'[1]Cost Plus'!AN115,'[1]Profile before CoM'!AN115,'[1]Profile with CoM'!AN115,'[1]Final Price'!AN115)</f>
        <v>1148916.0428437339</v>
      </c>
      <c r="AO104" s="219">
        <f>CHOOSE($A104,'[1]Cost Plus'!AO115,'[1]Profile before CoM'!AO115,'[1]Profile with CoM'!AO115,'[1]Final Price'!AO115)</f>
        <v>395228.03603283758</v>
      </c>
      <c r="AP104" s="219">
        <f>CHOOSE($A104,'[1]Cost Plus'!AP115,'[1]Profile before CoM'!AP115,'[1]Profile with CoM'!AP115,'[1]Final Price'!AP115)</f>
        <v>395228.03603283758</v>
      </c>
      <c r="AQ104" s="219">
        <f>CHOOSE($A104,'[1]Cost Plus'!AQ115,'[1]Profile before CoM'!AQ115,'[1]Profile with CoM'!AQ115,'[1]Final Price'!AQ115)</f>
        <v>634750.65822835092</v>
      </c>
      <c r="AR104" s="219">
        <f>CHOOSE($A104,'[1]Cost Plus'!AR115,'[1]Profile before CoM'!AR115,'[1]Profile with CoM'!AR115,'[1]Final Price'!AR115)</f>
        <v>394210.08731488895</v>
      </c>
      <c r="AS104" s="219">
        <f>CHOOSE($A104,'[1]Cost Plus'!AS115,'[1]Profile before CoM'!AS115,'[1]Profile with CoM'!AS115,'[1]Final Price'!AS115)</f>
        <v>394210.08731488988</v>
      </c>
      <c r="AT104" s="219">
        <f>CHOOSE($A104,'[1]Cost Plus'!AT115,'[1]Profile before CoM'!AT115,'[1]Profile with CoM'!AT115,'[1]Final Price'!AT115)</f>
        <v>667916.81207450433</v>
      </c>
      <c r="AU104" s="219">
        <f>CHOOSE($A104,'[1]Cost Plus'!AU115,'[1]Profile before CoM'!AU115,'[1]Profile with CoM'!AU115,'[1]Final Price'!AU115)</f>
        <v>427376.24116104282</v>
      </c>
      <c r="AV104" s="219">
        <f>CHOOSE($A104,'[1]Cost Plus'!AV115,'[1]Profile before CoM'!AV115,'[1]Profile with CoM'!AV115,'[1]Final Price'!AV115)</f>
        <v>428145.47193027381</v>
      </c>
      <c r="AW104" s="219">
        <f>CHOOSE($A104,'[1]Cost Plus'!AW115,'[1]Profile before CoM'!AW115,'[1]Profile with CoM'!AW115,'[1]Final Price'!AW115)</f>
        <v>671893.25045591441</v>
      </c>
      <c r="AX104" s="219">
        <f>CHOOSE($A104,'[1]Cost Plus'!AX115,'[1]Profile before CoM'!AX115,'[1]Profile with CoM'!AX115,'[1]Final Price'!AX115)</f>
        <v>394979.31808411947</v>
      </c>
      <c r="AY104" s="219">
        <f>CHOOSE($A104,'[1]Cost Plus'!AY115,'[1]Profile before CoM'!AY115,'[1]Profile with CoM'!AY115,'[1]Final Price'!AY115)</f>
        <v>394979.31808411999</v>
      </c>
      <c r="AZ104" s="219">
        <f>CHOOSE($A104,'[1]Cost Plus'!AZ115,'[1]Profile before CoM'!AZ115,'[1]Profile with CoM'!AZ115,'[1]Final Price'!AZ115)</f>
        <v>640330.70041584922</v>
      </c>
      <c r="BA104" s="219">
        <f>CHOOSE($A104,'[1]Cost Plus'!BA115,'[1]Profile before CoM'!BA115,'[1]Profile with CoM'!BA115,'[1]Final Price'!BA115)</f>
        <v>394979.31808411999</v>
      </c>
      <c r="BB104" s="219">
        <f>CHOOSE($A104,'[1]Cost Plus'!BB115,'[1]Profile before CoM'!BB115,'[1]Profile with CoM'!BB115,'[1]Final Price'!BB115)</f>
        <v>394979.31808411999</v>
      </c>
      <c r="BC104" s="219">
        <f>CHOOSE($A104,'[1]Cost Plus'!BC115,'[1]Profile before CoM'!BC115,'[1]Profile with CoM'!BC115,'[1]Final Price'!BC115)</f>
        <v>640330.70041584945</v>
      </c>
      <c r="BD104" s="219">
        <f>CHOOSE($A104,'[1]Cost Plus'!BD115,'[1]Profile before CoM'!BD115,'[1]Profile with CoM'!BD115,'[1]Final Price'!BD115)</f>
        <v>394979.31808412075</v>
      </c>
      <c r="BE104" s="219">
        <f>CHOOSE($A104,'[1]Cost Plus'!BE115,'[1]Profile before CoM'!BE115,'[1]Profile with CoM'!BE115,'[1]Final Price'!BE115)</f>
        <v>394979.31808411947</v>
      </c>
      <c r="BF104" s="219">
        <f>CHOOSE($A104,'[1]Cost Plus'!BF115,'[1]Profile before CoM'!BF115,'[1]Profile with CoM'!BF115,'[1]Final Price'!BF115)</f>
        <v>640330.70041585003</v>
      </c>
      <c r="BG104" s="219">
        <f>CHOOSE($A104,'[1]Cost Plus'!BG115,'[1]Profile before CoM'!BG115,'[1]Profile with CoM'!BG115,'[1]Final Price'!BG115)</f>
        <v>391421.83259558596</v>
      </c>
      <c r="BH104" s="219">
        <f>CHOOSE($A104,'[1]Cost Plus'!BH115,'[1]Profile before CoM'!BH115,'[1]Profile with CoM'!BH115,'[1]Final Price'!BH115)</f>
        <v>392206.44798020227</v>
      </c>
      <c r="BI104" s="219">
        <f>CHOOSE($A104,'[1]Cost Plus'!BI115,'[1]Profile before CoM'!BI115,'[1]Profile with CoM'!BI115,'[1]Final Price'!BI115)</f>
        <v>640829.18207635591</v>
      </c>
      <c r="BJ104" s="219">
        <f>CHOOSE($A104,'[1]Cost Plus'!BJ115,'[1]Profile before CoM'!BJ115,'[1]Profile with CoM'!BJ115,'[1]Final Price'!BJ115)</f>
        <v>392206.44798020227</v>
      </c>
      <c r="BK104" s="219">
        <f>CHOOSE($A104,'[1]Cost Plus'!BK115,'[1]Profile before CoM'!BK115,'[1]Profile with CoM'!BK115,'[1]Final Price'!BK115)</f>
        <v>392206.44798020227</v>
      </c>
      <c r="BL104" s="219">
        <f>CHOOSE($A104,'[1]Cost Plus'!BL115,'[1]Profile before CoM'!BL115,'[1]Profile with CoM'!BL115,'[1]Final Price'!BL115)</f>
        <v>642464.85795856791</v>
      </c>
      <c r="BM104" s="219">
        <f>CHOOSE($A104,'[1]Cost Plus'!BM115,'[1]Profile before CoM'!BM115,'[1]Profile with CoM'!BM115,'[1]Final Price'!BM115)</f>
        <v>392206.44798020151</v>
      </c>
      <c r="BN104" s="219">
        <f>CHOOSE($A104,'[1]Cost Plus'!BN115,'[1]Profile before CoM'!BN115,'[1]Profile with CoM'!BN115,'[1]Final Price'!BN115)</f>
        <v>392206.44798020227</v>
      </c>
      <c r="BO104" s="219">
        <f>CHOOSE($A104,'[1]Cost Plus'!BO115,'[1]Profile before CoM'!BO115,'[1]Profile with CoM'!BO115,'[1]Final Price'!BO115)</f>
        <v>642464.85795856756</v>
      </c>
      <c r="BP104" s="219">
        <f>CHOOSE($A104,'[1]Cost Plus'!BP115,'[1]Profile before CoM'!BP115,'[1]Profile with CoM'!BP115,'[1]Final Price'!BP115)</f>
        <v>392206.44798020227</v>
      </c>
      <c r="BQ104" s="219">
        <f>CHOOSE($A104,'[1]Cost Plus'!BQ115,'[1]Profile before CoM'!BQ115,'[1]Profile with CoM'!BQ115,'[1]Final Price'!BQ115)</f>
        <v>392206.44798020227</v>
      </c>
      <c r="BR104" s="219">
        <f>CHOOSE($A104,'[1]Cost Plus'!BR115,'[1]Profile before CoM'!BR115,'[1]Profile with CoM'!BR115,'[1]Final Price'!BR115)</f>
        <v>642464.85795856814</v>
      </c>
      <c r="BS104" s="219">
        <f>CHOOSE($A104,'[1]Cost Plus'!BS115,'[1]Profile before CoM'!BS115,'[1]Profile with CoM'!BS115,'[1]Final Price'!BS115)</f>
        <v>388648.96249166876</v>
      </c>
      <c r="BT104" s="219">
        <f>CHOOSE($A104,'[1]Cost Plus'!BT115,'[1]Profile before CoM'!BT115,'[1]Profile with CoM'!BT115,'[1]Final Price'!BT115)</f>
        <v>389449.27018397563</v>
      </c>
      <c r="BU104" s="219">
        <f>CHOOSE($A104,'[1]Cost Plus'!BU115,'[1]Profile before CoM'!BU115,'[1]Profile with CoM'!BU115,'[1]Final Price'!BU115)</f>
        <v>643044.45896205236</v>
      </c>
      <c r="BV104" s="219">
        <f>CHOOSE($A104,'[1]Cost Plus'!BV115,'[1]Profile before CoM'!BV115,'[1]Profile with CoM'!BV115,'[1]Final Price'!BV115)</f>
        <v>389449.27018397563</v>
      </c>
      <c r="BW104" s="219">
        <f>CHOOSE($A104,'[1]Cost Plus'!BW115,'[1]Profile before CoM'!BW115,'[1]Profile with CoM'!BW115,'[1]Final Price'!BW115)</f>
        <v>389449.27018397563</v>
      </c>
      <c r="BX104" s="219">
        <f>CHOOSE($A104,'[1]Cost Plus'!BX115,'[1]Profile before CoM'!BX115,'[1]Profile with CoM'!BX115,'[1]Final Price'!BX115)</f>
        <v>644712.84836190823</v>
      </c>
      <c r="BY104" s="219">
        <f>CHOOSE($A104,'[1]Cost Plus'!BY115,'[1]Profile before CoM'!BY115,'[1]Profile with CoM'!BY115,'[1]Final Price'!BY115)</f>
        <v>389449.27018397563</v>
      </c>
      <c r="BZ104" s="219">
        <f>CHOOSE($A104,'[1]Cost Plus'!BZ115,'[1]Profile before CoM'!BZ115,'[1]Profile with CoM'!BZ115,'[1]Final Price'!BZ115)</f>
        <v>389449.27018397622</v>
      </c>
      <c r="CA104" s="219">
        <f>CHOOSE($A104,'[1]Cost Plus'!CA115,'[1]Profile before CoM'!CA115,'[1]Profile with CoM'!CA115,'[1]Final Price'!CA115)</f>
        <v>644712.84836190881</v>
      </c>
      <c r="CB104" s="219">
        <f>CHOOSE($A104,'[1]Cost Plus'!CB115,'[1]Profile before CoM'!CB115,'[1]Profile with CoM'!CB115,'[1]Final Price'!CB115)</f>
        <v>389449.27018397563</v>
      </c>
      <c r="CC104" s="219">
        <f>CHOOSE($A104,'[1]Cost Plus'!CC115,'[1]Profile before CoM'!CC115,'[1]Profile with CoM'!CC115,'[1]Final Price'!CC115)</f>
        <v>389449.27018397563</v>
      </c>
      <c r="CD104" s="219">
        <f>CHOOSE($A104,'[1]Cost Plus'!CD115,'[1]Profile before CoM'!CD115,'[1]Profile with CoM'!CD115,'[1]Final Price'!CD115)</f>
        <v>644712.84836190823</v>
      </c>
      <c r="CE104" s="219">
        <f>CHOOSE($A104,'[1]Cost Plus'!CE115,'[1]Profile before CoM'!CE115,'[1]Profile with CoM'!CE115,'[1]Final Price'!CE115)</f>
        <v>385891.78469544213</v>
      </c>
      <c r="CF104" s="219">
        <f>CHOOSE($A104,'[1]Cost Plus'!CF115,'[1]Profile before CoM'!CF115,'[1]Profile with CoM'!CF115,'[1]Final Price'!CF115)</f>
        <v>386708.09854159679</v>
      </c>
      <c r="CG104" s="219">
        <f>CHOOSE($A104,'[1]Cost Plus'!CG115,'[1]Profile before CoM'!CG115,'[1]Profile with CoM'!CG115,'[1]Final Price'!CG115)</f>
        <v>645375.19109523471</v>
      </c>
      <c r="CH104" s="219">
        <f>CHOOSE($A104,'[1]Cost Plus'!CH115,'[1]Profile before CoM'!CH115,'[1]Profile with CoM'!CH115,'[1]Final Price'!CH115)</f>
        <v>386708.09854159679</v>
      </c>
      <c r="CI104" s="219">
        <f>CHOOSE($A104,'[1]Cost Plus'!CI115,'[1]Profile before CoM'!CI115,'[1]Profile with CoM'!CI115,'[1]Final Price'!CI115)</f>
        <v>386708.09854159597</v>
      </c>
      <c r="CJ104" s="219">
        <f>CHOOSE($A104,'[1]Cost Plus'!CJ115,'[1]Profile before CoM'!CJ115,'[1]Profile with CoM'!CJ115,'[1]Final Price'!CJ115)</f>
        <v>647076.94828308921</v>
      </c>
      <c r="CK104" s="219">
        <f>CHOOSE($A104,'[1]Cost Plus'!CK115,'[1]Profile before CoM'!CK115,'[1]Profile with CoM'!CK115,'[1]Final Price'!CK115)</f>
        <v>386708.09854159679</v>
      </c>
      <c r="CL104" s="219">
        <f>CHOOSE($A104,'[1]Cost Plus'!CL115,'[1]Profile before CoM'!CL115,'[1]Profile with CoM'!CL115,'[1]Final Price'!CL115)</f>
        <v>386708.09854159597</v>
      </c>
      <c r="CM104" s="219">
        <f>CHOOSE($A104,'[1]Cost Plus'!CM115,'[1]Profile before CoM'!CM115,'[1]Profile with CoM'!CM115,'[1]Final Price'!CM115)</f>
        <v>647076.94828308863</v>
      </c>
      <c r="CN104" s="219">
        <f>CHOOSE($A104,'[1]Cost Plus'!CN115,'[1]Profile before CoM'!CN115,'[1]Profile with CoM'!CN115,'[1]Final Price'!CN115)</f>
        <v>386708.09854159597</v>
      </c>
      <c r="CO104" s="219">
        <f>CHOOSE($A104,'[1]Cost Plus'!CO115,'[1]Profile before CoM'!CO115,'[1]Profile with CoM'!CO115,'[1]Final Price'!CO115)</f>
        <v>386708.09854159679</v>
      </c>
      <c r="CP104" s="219">
        <f>CHOOSE($A104,'[1]Cost Plus'!CP115,'[1]Profile before CoM'!CP115,'[1]Profile with CoM'!CP115,'[1]Final Price'!CP115)</f>
        <v>647076.94828308793</v>
      </c>
      <c r="CQ104" s="219">
        <f>CHOOSE($A104,'[1]Cost Plus'!CQ115,'[1]Profile before CoM'!CQ115,'[1]Profile with CoM'!CQ115,'[1]Final Price'!CQ115)</f>
        <v>383150.61305306328</v>
      </c>
      <c r="CR104" s="219">
        <f>CHOOSE($A104,'[1]Cost Plus'!CR115,'[1]Profile before CoM'!CR115,'[1]Profile with CoM'!CR115,'[1]Final Price'!CR115)</f>
        <v>383983.25317613955</v>
      </c>
      <c r="CS104" s="219">
        <f>CHOOSE($A104,'[1]Cost Plus'!CS115,'[1]Profile before CoM'!CS115,'[1]Profile with CoM'!CS115,'[1]Final Price'!CS115)</f>
        <v>647823.68758085172</v>
      </c>
      <c r="CT104" s="219">
        <f>CHOOSE($A104,'[1]Cost Plus'!CT115,'[1]Profile before CoM'!CT115,'[1]Profile with CoM'!CT115,'[1]Final Price'!CT115)</f>
        <v>0</v>
      </c>
      <c r="CU104" s="219">
        <f>CHOOSE($A104,'[1]Cost Plus'!CU115,'[1]Profile before CoM'!CU115,'[1]Profile with CoM'!CU115,'[1]Final Price'!CU115)</f>
        <v>0</v>
      </c>
      <c r="CV104" s="219">
        <f>CHOOSE($A104,'[1]Cost Plus'!CV115,'[1]Profile before CoM'!CV115,'[1]Profile with CoM'!CV115,'[1]Final Price'!CV115)</f>
        <v>0</v>
      </c>
      <c r="CW104" s="219">
        <f>CHOOSE($A104,'[1]Cost Plus'!CW115,'[1]Profile before CoM'!CW115,'[1]Profile with CoM'!CW115,'[1]Final Price'!CW115)</f>
        <v>0</v>
      </c>
      <c r="CX104" s="219">
        <f>CHOOSE($A104,'[1]Cost Plus'!CX115,'[1]Profile before CoM'!CX115,'[1]Profile with CoM'!CX115,'[1]Final Price'!CX115)</f>
        <v>0</v>
      </c>
      <c r="CY104" s="219">
        <f>CHOOSE($A104,'[1]Cost Plus'!CY115,'[1]Profile before CoM'!CY115,'[1]Profile with CoM'!CY115,'[1]Final Price'!CY115)</f>
        <v>0</v>
      </c>
      <c r="CZ104" s="219">
        <f>CHOOSE($A104,'[1]Cost Plus'!CZ115,'[1]Profile before CoM'!CZ115,'[1]Profile with CoM'!CZ115,'[1]Final Price'!CZ115)</f>
        <v>0</v>
      </c>
      <c r="DA104" s="219">
        <f>CHOOSE($A104,'[1]Cost Plus'!DA115,'[1]Profile before CoM'!DA115,'[1]Profile with CoM'!DA115,'[1]Final Price'!DA115)</f>
        <v>0</v>
      </c>
      <c r="DB104" s="219">
        <f>CHOOSE($A104,'[1]Cost Plus'!DB115,'[1]Profile before CoM'!DB115,'[1]Profile with CoM'!DB115,'[1]Final Price'!DB115)</f>
        <v>0</v>
      </c>
      <c r="DC104" s="219">
        <f>CHOOSE($A104,'[1]Cost Plus'!DC115,'[1]Profile before CoM'!DC115,'[1]Profile with CoM'!DC115,'[1]Final Price'!DC115)</f>
        <v>0</v>
      </c>
      <c r="DD104" s="219">
        <f>CHOOSE($A104,'[1]Cost Plus'!DD115,'[1]Profile before CoM'!DD115,'[1]Profile with CoM'!DD115,'[1]Final Price'!DD115)</f>
        <v>0</v>
      </c>
      <c r="DE104" s="219">
        <f>CHOOSE($A104,'[1]Cost Plus'!DE115,'[1]Profile before CoM'!DE115,'[1]Profile with CoM'!DE115,'[1]Final Price'!DE115)</f>
        <v>0</v>
      </c>
      <c r="DF104" s="219">
        <f>CHOOSE($A104,'[1]Cost Plus'!DF115,'[1]Profile before CoM'!DF115,'[1]Profile with CoM'!DF115,'[1]Final Price'!DF115)</f>
        <v>0</v>
      </c>
      <c r="DG104" s="219">
        <f>CHOOSE($A104,'[1]Cost Plus'!DG115,'[1]Profile before CoM'!DG115,'[1]Profile with CoM'!DG115,'[1]Final Price'!DG115)</f>
        <v>0</v>
      </c>
      <c r="DH104" s="219">
        <f>CHOOSE($A104,'[1]Cost Plus'!DH115,'[1]Profile before CoM'!DH115,'[1]Profile with CoM'!DH115,'[1]Final Price'!DH115)</f>
        <v>0</v>
      </c>
      <c r="DI104" s="219">
        <f>CHOOSE($A104,'[1]Cost Plus'!DI115,'[1]Profile before CoM'!DI115,'[1]Profile with CoM'!DI115,'[1]Final Price'!DI115)</f>
        <v>0</v>
      </c>
      <c r="DJ104" s="219">
        <f>CHOOSE($A104,'[1]Cost Plus'!DJ115,'[1]Profile before CoM'!DJ115,'[1]Profile with CoM'!DJ115,'[1]Final Price'!DJ115)</f>
        <v>0</v>
      </c>
      <c r="DK104" s="219">
        <f>CHOOSE($A104,'[1]Cost Plus'!DK115,'[1]Profile before CoM'!DK115,'[1]Profile with CoM'!DK115,'[1]Final Price'!DK115)</f>
        <v>0</v>
      </c>
      <c r="DL104" s="219">
        <f>CHOOSE($A104,'[1]Cost Plus'!DL115,'[1]Profile before CoM'!DL115,'[1]Profile with CoM'!DL115,'[1]Final Price'!DL115)</f>
        <v>0</v>
      </c>
      <c r="DM104" s="219">
        <f>CHOOSE($A104,'[1]Cost Plus'!DM115,'[1]Profile before CoM'!DM115,'[1]Profile with CoM'!DM115,'[1]Final Price'!DM115)</f>
        <v>0</v>
      </c>
      <c r="DN104" s="219">
        <f>CHOOSE($A104,'[1]Cost Plus'!DN115,'[1]Profile before CoM'!DN115,'[1]Profile with CoM'!DN115,'[1]Final Price'!DN115)</f>
        <v>0</v>
      </c>
      <c r="DO104" s="219">
        <f>CHOOSE($A104,'[1]Cost Plus'!DO115,'[1]Profile before CoM'!DO115,'[1]Profile with CoM'!DO115,'[1]Final Price'!DO115)</f>
        <v>0</v>
      </c>
      <c r="DP104" s="219">
        <f>CHOOSE($A104,'[1]Cost Plus'!DP115,'[1]Profile before CoM'!DP115,'[1]Profile with CoM'!DP115,'[1]Final Price'!DP115)</f>
        <v>0</v>
      </c>
      <c r="DQ104" s="219">
        <f>CHOOSE($A104,'[1]Cost Plus'!DQ115,'[1]Profile before CoM'!DQ115,'[1]Profile with CoM'!DQ115,'[1]Final Price'!DQ115)</f>
        <v>0</v>
      </c>
      <c r="DR104" s="219">
        <f>CHOOSE($A104,'[1]Cost Plus'!DR115,'[1]Profile before CoM'!DR115,'[1]Profile with CoM'!DR115,'[1]Final Price'!DR115)</f>
        <v>0</v>
      </c>
      <c r="DS104" s="219">
        <f>CHOOSE($A104,'[1]Cost Plus'!DS115,'[1]Profile before CoM'!DS115,'[1]Profile with CoM'!DS115,'[1]Final Price'!DS115)</f>
        <v>0</v>
      </c>
      <c r="DT104" s="219">
        <f>CHOOSE($A104,'[1]Cost Plus'!DT115,'[1]Profile before CoM'!DT115,'[1]Profile with CoM'!DT115,'[1]Final Price'!DT115)</f>
        <v>0</v>
      </c>
      <c r="DU104" s="219">
        <f>CHOOSE($A104,'[1]Cost Plus'!DU115,'[1]Profile before CoM'!DU115,'[1]Profile with CoM'!DU115,'[1]Final Price'!DU115)</f>
        <v>0</v>
      </c>
      <c r="DV104" s="219">
        <f>CHOOSE($A104,'[1]Cost Plus'!DV115,'[1]Profile before CoM'!DV115,'[1]Profile with CoM'!DV115,'[1]Final Price'!DV115)</f>
        <v>0</v>
      </c>
      <c r="DW104" s="219">
        <f>CHOOSE($A104,'[1]Cost Plus'!DW115,'[1]Profile before CoM'!DW115,'[1]Profile with CoM'!DW115,'[1]Final Price'!DW115)</f>
        <v>0</v>
      </c>
      <c r="DX104" s="219">
        <f>CHOOSE($A104,'[1]Cost Plus'!DX115,'[1]Profile before CoM'!DX115,'[1]Profile with CoM'!DX115,'[1]Final Price'!DX115)</f>
        <v>0</v>
      </c>
      <c r="DY104" s="219">
        <f>CHOOSE($A104,'[1]Cost Plus'!DY115,'[1]Profile before CoM'!DY115,'[1]Profile with CoM'!DY115,'[1]Final Price'!DY115)</f>
        <v>0</v>
      </c>
      <c r="DZ104" s="219">
        <f>CHOOSE($A104,'[1]Cost Plus'!DZ115,'[1]Profile before CoM'!DZ115,'[1]Profile with CoM'!DZ115,'[1]Final Price'!DZ115)</f>
        <v>0</v>
      </c>
      <c r="EA104" s="219">
        <f>CHOOSE($A104,'[1]Cost Plus'!EA115,'[1]Profile before CoM'!EA115,'[1]Profile with CoM'!EA115,'[1]Final Price'!EA115)</f>
        <v>0</v>
      </c>
      <c r="EB104" s="219">
        <f>CHOOSE($A104,'[1]Cost Plus'!EB115,'[1]Profile before CoM'!EB115,'[1]Profile with CoM'!EB115,'[1]Final Price'!EB115)</f>
        <v>0</v>
      </c>
      <c r="EC104" s="219">
        <f>CHOOSE($A104,'[1]Cost Plus'!EC115,'[1]Profile before CoM'!EC115,'[1]Profile with CoM'!EC115,'[1]Final Price'!EC115)</f>
        <v>0</v>
      </c>
      <c r="ED104" s="219">
        <f>CHOOSE($A104,'[1]Cost Plus'!ED115,'[1]Profile before CoM'!ED115,'[1]Profile with CoM'!ED115,'[1]Final Price'!ED115)</f>
        <v>0</v>
      </c>
      <c r="EE104" s="219">
        <f>CHOOSE($A104,'[1]Cost Plus'!EE115,'[1]Profile before CoM'!EE115,'[1]Profile with CoM'!EE115,'[1]Final Price'!EE115)</f>
        <v>0</v>
      </c>
      <c r="EF104" s="219">
        <f>CHOOSE($A104,'[1]Cost Plus'!EF115,'[1]Profile before CoM'!EF115,'[1]Profile with CoM'!EF115,'[1]Final Price'!EF115)</f>
        <v>0</v>
      </c>
      <c r="EG104" s="219">
        <f>CHOOSE($A104,'[1]Cost Plus'!EG115,'[1]Profile before CoM'!EG115,'[1]Profile with CoM'!EG115,'[1]Final Price'!EG115)</f>
        <v>0</v>
      </c>
      <c r="EH104" s="219">
        <f>CHOOSE($A104,'[1]Cost Plus'!EH115,'[1]Profile before CoM'!EH115,'[1]Profile with CoM'!EH115,'[1]Final Price'!EH115)</f>
        <v>0</v>
      </c>
      <c r="EI104" s="219">
        <f>CHOOSE($A104,'[1]Cost Plus'!EI115,'[1]Profile before CoM'!EI115,'[1]Profile with CoM'!EI115,'[1]Final Price'!EI115)</f>
        <v>0</v>
      </c>
      <c r="EJ104" s="219">
        <f>CHOOSE($A104,'[1]Cost Plus'!EJ115,'[1]Profile before CoM'!EJ115,'[1]Profile with CoM'!EJ115,'[1]Final Price'!EJ115)</f>
        <v>0</v>
      </c>
      <c r="EK104" s="219">
        <f>CHOOSE($A104,'[1]Cost Plus'!EK115,'[1]Profile before CoM'!EK115,'[1]Profile with CoM'!EK115,'[1]Final Price'!EK115)</f>
        <v>0</v>
      </c>
      <c r="EL104" s="219">
        <f>CHOOSE($A104,'[1]Cost Plus'!EL115,'[1]Profile before CoM'!EL115,'[1]Profile with CoM'!EL115,'[1]Final Price'!EL115)</f>
        <v>0</v>
      </c>
      <c r="EM104" s="219">
        <f>CHOOSE($A104,'[1]Cost Plus'!EM115,'[1]Profile before CoM'!EM115,'[1]Profile with CoM'!EM115,'[1]Final Price'!EM115)</f>
        <v>0</v>
      </c>
      <c r="EN104" s="219">
        <f>CHOOSE($A104,'[1]Cost Plus'!EN115,'[1]Profile before CoM'!EN115,'[1]Profile with CoM'!EN115,'[1]Final Price'!EN115)</f>
        <v>0</v>
      </c>
      <c r="EO104" s="219">
        <f>CHOOSE($A104,'[1]Cost Plus'!EO115,'[1]Profile before CoM'!EO115,'[1]Profile with CoM'!EO115,'[1]Final Price'!EO115)</f>
        <v>0</v>
      </c>
      <c r="EP104" s="219">
        <f>CHOOSE($A104,'[1]Cost Plus'!EP115,'[1]Profile before CoM'!EP115,'[1]Profile with CoM'!EP115,'[1]Final Price'!EP115)</f>
        <v>0</v>
      </c>
      <c r="EQ104" s="219">
        <f>CHOOSE($A104,'[1]Cost Plus'!EQ115,'[1]Profile before CoM'!EQ115,'[1]Profile with CoM'!EQ115,'[1]Final Price'!EQ115)</f>
        <v>0</v>
      </c>
      <c r="ER104" s="219">
        <f>CHOOSE($A104,'[1]Cost Plus'!ER115,'[1]Profile before CoM'!ER115,'[1]Profile with CoM'!ER115,'[1]Final Price'!ER115)</f>
        <v>0</v>
      </c>
      <c r="ES104" s="219">
        <f>CHOOSE($A104,'[1]Cost Plus'!ES115,'[1]Profile before CoM'!ES115,'[1]Profile with CoM'!ES115,'[1]Final Price'!ES115)</f>
        <v>0</v>
      </c>
      <c r="ET104" s="219">
        <f>CHOOSE($A104,'[1]Cost Plus'!ET115,'[1]Profile before CoM'!ET115,'[1]Profile with CoM'!ET115,'[1]Final Price'!ET115)</f>
        <v>0</v>
      </c>
      <c r="EU104" s="219">
        <f>CHOOSE($A104,'[1]Cost Plus'!EU115,'[1]Profile before CoM'!EU115,'[1]Profile with CoM'!EU115,'[1]Final Price'!EU115)</f>
        <v>0</v>
      </c>
      <c r="EV104" s="219">
        <f>CHOOSE($A104,'[1]Cost Plus'!EV115,'[1]Profile before CoM'!EV115,'[1]Profile with CoM'!EV115,'[1]Final Price'!EV115)</f>
        <v>0</v>
      </c>
      <c r="EW104" s="219">
        <f>CHOOSE($A104,'[1]Cost Plus'!EW115,'[1]Profile before CoM'!EW115,'[1]Profile with CoM'!EW115,'[1]Final Price'!EW115)</f>
        <v>0</v>
      </c>
      <c r="EX104" s="219">
        <f>CHOOSE($A104,'[1]Cost Plus'!EX115,'[1]Profile before CoM'!EX115,'[1]Profile with CoM'!EX115,'[1]Final Price'!EX115)</f>
        <v>0</v>
      </c>
      <c r="EY104" s="197"/>
    </row>
    <row r="105" spans="1:155" ht="4.5" customHeight="1">
      <c r="A105" s="182"/>
      <c r="B105" s="183"/>
      <c r="C105" s="183"/>
      <c r="D105" s="183"/>
      <c r="E105" s="184"/>
      <c r="F105" s="183"/>
      <c r="G105" s="183"/>
      <c r="H105" s="184"/>
      <c r="I105" s="183"/>
      <c r="J105" s="183"/>
      <c r="K105" s="183"/>
      <c r="L105" s="183"/>
      <c r="M105" s="183"/>
      <c r="N105" s="183"/>
      <c r="O105" s="183"/>
      <c r="P105" s="183"/>
      <c r="Q105" s="183"/>
      <c r="R105" s="183"/>
      <c r="S105" s="183"/>
      <c r="T105" s="183"/>
      <c r="U105" s="183"/>
      <c r="V105" s="183"/>
      <c r="W105" s="183"/>
      <c r="X105" s="183"/>
      <c r="Y105" s="183"/>
      <c r="Z105" s="183"/>
      <c r="AA105" s="183"/>
      <c r="AB105" s="183"/>
      <c r="AC105" s="183"/>
      <c r="AD105" s="183"/>
      <c r="AE105" s="183"/>
      <c r="AF105" s="183"/>
      <c r="AG105" s="183"/>
      <c r="AH105" s="183"/>
      <c r="AI105" s="183"/>
      <c r="AJ105" s="183"/>
      <c r="AK105" s="183"/>
      <c r="AL105" s="183"/>
      <c r="AM105" s="183"/>
      <c r="AN105" s="183"/>
      <c r="AO105" s="183"/>
      <c r="AP105" s="183"/>
      <c r="AQ105" s="183"/>
      <c r="AR105" s="183"/>
      <c r="AS105" s="183"/>
      <c r="AT105" s="183"/>
      <c r="AU105" s="183"/>
      <c r="AV105" s="183"/>
      <c r="AW105" s="183"/>
      <c r="AX105" s="183"/>
      <c r="AY105" s="183"/>
      <c r="AZ105" s="183"/>
      <c r="BA105" s="183"/>
      <c r="BB105" s="183"/>
      <c r="BC105" s="183"/>
      <c r="BD105" s="183"/>
      <c r="BE105" s="183"/>
      <c r="BF105" s="183"/>
      <c r="BG105" s="183"/>
      <c r="BH105" s="183"/>
      <c r="BI105" s="183"/>
      <c r="BJ105" s="183"/>
      <c r="BK105" s="183"/>
      <c r="BL105" s="183"/>
      <c r="BM105" s="183"/>
      <c r="BN105" s="183"/>
      <c r="BO105" s="183"/>
      <c r="BP105" s="183"/>
      <c r="BQ105" s="183"/>
      <c r="BR105" s="183"/>
      <c r="BS105" s="183"/>
      <c r="BT105" s="183"/>
      <c r="BU105" s="183"/>
      <c r="BV105" s="183"/>
      <c r="BW105" s="183"/>
      <c r="BX105" s="183"/>
      <c r="BY105" s="183"/>
      <c r="BZ105" s="183"/>
      <c r="CA105" s="183"/>
      <c r="CB105" s="183"/>
      <c r="CC105" s="183"/>
      <c r="CD105" s="183"/>
      <c r="CE105" s="183"/>
      <c r="CF105" s="183"/>
      <c r="CG105" s="183"/>
      <c r="CH105" s="183"/>
      <c r="CI105" s="183"/>
      <c r="CJ105" s="183"/>
      <c r="CK105" s="183"/>
      <c r="CL105" s="183"/>
      <c r="CM105" s="183"/>
      <c r="CN105" s="183"/>
      <c r="CO105" s="183"/>
      <c r="CP105" s="183"/>
      <c r="CQ105" s="183"/>
      <c r="CR105" s="183"/>
      <c r="CS105" s="183"/>
      <c r="CT105" s="183"/>
      <c r="CU105" s="183"/>
      <c r="CV105" s="183"/>
      <c r="CW105" s="183"/>
      <c r="CX105" s="183"/>
      <c r="CY105" s="183"/>
      <c r="CZ105" s="183"/>
      <c r="DA105" s="183"/>
      <c r="DB105" s="183"/>
      <c r="DC105" s="183"/>
      <c r="DD105" s="183"/>
      <c r="DE105" s="183"/>
      <c r="DF105" s="183"/>
      <c r="DG105" s="183"/>
      <c r="DH105" s="183"/>
      <c r="DI105" s="183"/>
      <c r="DJ105" s="183"/>
      <c r="DK105" s="183"/>
      <c r="DL105" s="183"/>
      <c r="DM105" s="183"/>
      <c r="DN105" s="183"/>
      <c r="DO105" s="183"/>
      <c r="DP105" s="183"/>
      <c r="DQ105" s="183"/>
      <c r="DR105" s="183"/>
      <c r="DS105" s="183"/>
      <c r="DT105" s="183"/>
      <c r="DU105" s="183"/>
      <c r="DV105" s="183"/>
      <c r="DW105" s="183"/>
      <c r="DX105" s="183"/>
      <c r="DY105" s="183"/>
      <c r="DZ105" s="183"/>
      <c r="EA105" s="183"/>
      <c r="EB105" s="183"/>
      <c r="EC105" s="183"/>
      <c r="ED105" s="183"/>
      <c r="EE105" s="183"/>
      <c r="EF105" s="183"/>
      <c r="EG105" s="183"/>
      <c r="EH105" s="183"/>
      <c r="EI105" s="183"/>
      <c r="EJ105" s="183"/>
      <c r="EK105" s="183"/>
      <c r="EL105" s="183"/>
      <c r="EM105" s="183"/>
      <c r="EN105" s="183"/>
      <c r="EO105" s="183"/>
      <c r="EP105" s="183"/>
      <c r="EQ105" s="183"/>
      <c r="ER105" s="183"/>
      <c r="ES105" s="183"/>
      <c r="ET105" s="183"/>
      <c r="EU105" s="183"/>
      <c r="EV105" s="183"/>
      <c r="EW105" s="183"/>
      <c r="EX105" s="183"/>
      <c r="EY105" s="216"/>
    </row>
    <row r="106" spans="1:155">
      <c r="A106" s="145"/>
      <c r="B106" s="145"/>
      <c r="C106" s="145"/>
      <c r="D106" s="145"/>
      <c r="E106" s="190"/>
      <c r="F106" s="145"/>
      <c r="G106" s="145"/>
      <c r="H106" s="145"/>
      <c r="I106" s="145"/>
      <c r="J106" s="145"/>
      <c r="K106" s="145"/>
      <c r="L106" s="145"/>
      <c r="M106" s="145"/>
      <c r="N106" s="145"/>
      <c r="O106" s="145"/>
      <c r="P106" s="145"/>
      <c r="Q106" s="145"/>
      <c r="R106" s="145"/>
      <c r="S106" s="145"/>
      <c r="T106" s="145"/>
      <c r="U106" s="145"/>
      <c r="V106" s="145"/>
      <c r="W106" s="145"/>
      <c r="X106" s="145"/>
      <c r="Y106" s="145"/>
      <c r="Z106" s="145"/>
      <c r="AA106" s="145"/>
      <c r="AB106" s="145"/>
      <c r="AC106" s="145"/>
      <c r="AD106" s="145"/>
      <c r="AE106" s="145"/>
      <c r="AF106" s="145"/>
      <c r="AG106" s="145"/>
      <c r="AH106" s="145"/>
      <c r="AI106" s="145"/>
      <c r="AJ106" s="145"/>
      <c r="AK106" s="145"/>
      <c r="AL106" s="145"/>
      <c r="AM106" s="145"/>
      <c r="AN106" s="145"/>
      <c r="AO106" s="145"/>
      <c r="AP106" s="145"/>
      <c r="AQ106" s="145"/>
      <c r="AR106" s="145"/>
      <c r="AS106" s="145"/>
      <c r="AT106" s="145"/>
      <c r="AU106" s="145"/>
      <c r="AV106" s="145"/>
      <c r="AW106" s="145"/>
      <c r="AX106" s="145"/>
      <c r="AY106" s="145"/>
      <c r="AZ106" s="145"/>
      <c r="BA106" s="145"/>
      <c r="BB106" s="145"/>
      <c r="BC106" s="145"/>
      <c r="BD106" s="145"/>
      <c r="BE106" s="145"/>
      <c r="BF106" s="145"/>
      <c r="BG106" s="145"/>
      <c r="BH106" s="145"/>
      <c r="BI106" s="145"/>
      <c r="BJ106" s="145"/>
      <c r="BK106" s="145"/>
      <c r="BL106" s="145"/>
      <c r="BM106" s="145"/>
      <c r="BN106" s="145"/>
      <c r="BO106" s="145"/>
      <c r="BP106" s="145"/>
      <c r="BQ106" s="145"/>
      <c r="BR106" s="145"/>
      <c r="BS106" s="145"/>
      <c r="BT106" s="145"/>
      <c r="BU106" s="145"/>
      <c r="BV106" s="145"/>
      <c r="BW106" s="145"/>
      <c r="BX106" s="145"/>
      <c r="BY106" s="145"/>
      <c r="BZ106" s="145"/>
      <c r="CA106" s="145"/>
      <c r="CB106" s="145"/>
      <c r="CC106" s="145"/>
      <c r="CD106" s="145"/>
      <c r="CE106" s="145"/>
      <c r="CF106" s="145"/>
      <c r="CG106" s="145"/>
      <c r="CH106" s="145"/>
      <c r="CI106" s="145"/>
      <c r="CJ106" s="145"/>
      <c r="CK106" s="145"/>
      <c r="CL106" s="145"/>
      <c r="CM106" s="145"/>
      <c r="CN106" s="145"/>
      <c r="CO106" s="145"/>
      <c r="CP106" s="145"/>
      <c r="CQ106" s="145"/>
      <c r="CR106" s="145"/>
      <c r="CS106" s="145"/>
      <c r="CT106" s="145"/>
      <c r="CU106" s="145"/>
      <c r="CV106" s="145"/>
      <c r="CW106" s="145"/>
      <c r="CX106" s="145"/>
      <c r="CY106" s="145"/>
      <c r="CZ106" s="145"/>
      <c r="DA106" s="145"/>
      <c r="DB106" s="145"/>
      <c r="DC106" s="145"/>
      <c r="DD106" s="145"/>
      <c r="DE106" s="145"/>
      <c r="DF106" s="145"/>
      <c r="DG106" s="145"/>
      <c r="DH106" s="145"/>
      <c r="DI106" s="145"/>
      <c r="DJ106" s="145"/>
      <c r="DK106" s="145"/>
      <c r="DL106" s="145"/>
      <c r="DM106" s="145"/>
      <c r="DN106" s="145"/>
      <c r="DO106" s="145"/>
      <c r="DP106" s="145"/>
      <c r="DQ106" s="145"/>
      <c r="DR106" s="145"/>
      <c r="DS106" s="145"/>
      <c r="DT106" s="145"/>
      <c r="DU106" s="145"/>
      <c r="DV106" s="145"/>
      <c r="DW106" s="145"/>
      <c r="DX106" s="145"/>
      <c r="DY106" s="145"/>
      <c r="DZ106" s="145"/>
      <c r="EA106" s="145"/>
      <c r="EB106" s="145"/>
      <c r="EC106" s="145"/>
      <c r="ED106" s="145"/>
      <c r="EE106" s="145"/>
      <c r="EF106" s="145"/>
      <c r="EG106" s="145"/>
      <c r="EH106" s="145"/>
      <c r="EI106" s="145"/>
      <c r="EJ106" s="145"/>
      <c r="EK106" s="145"/>
      <c r="EL106" s="145"/>
      <c r="EM106" s="145"/>
      <c r="EN106" s="145"/>
      <c r="EO106" s="145"/>
      <c r="EP106" s="145"/>
      <c r="EQ106" s="145"/>
      <c r="ER106" s="145"/>
      <c r="ES106" s="145"/>
      <c r="ET106" s="145"/>
      <c r="EU106" s="145"/>
      <c r="EV106" s="145"/>
      <c r="EW106" s="145"/>
      <c r="EX106" s="145"/>
      <c r="EY106" s="197"/>
    </row>
    <row r="107" spans="1:155">
      <c r="EY107" s="197"/>
    </row>
    <row r="108" spans="1:155" s="181" customFormat="1" ht="12.75" customHeight="1">
      <c r="A108" s="221" t="s">
        <v>216</v>
      </c>
      <c r="B108" s="221"/>
      <c r="C108" s="221"/>
      <c r="D108" s="221"/>
      <c r="E108" s="221"/>
      <c r="F108" s="221"/>
      <c r="G108" s="221"/>
      <c r="H108" s="221"/>
      <c r="I108" s="221"/>
      <c r="J108" s="221"/>
      <c r="K108" s="221"/>
      <c r="L108" s="221"/>
      <c r="M108" s="221"/>
      <c r="N108" s="221"/>
      <c r="O108" s="221"/>
      <c r="P108" s="221"/>
      <c r="Q108" s="221"/>
      <c r="R108" s="221"/>
      <c r="S108" s="221"/>
      <c r="T108" s="221"/>
      <c r="U108" s="221"/>
      <c r="V108" s="221"/>
      <c r="W108" s="221"/>
      <c r="X108" s="221"/>
      <c r="Y108" s="221"/>
      <c r="Z108" s="221"/>
      <c r="AA108" s="221"/>
      <c r="AB108" s="221"/>
      <c r="AC108" s="221"/>
      <c r="AD108" s="221"/>
      <c r="AE108" s="221"/>
      <c r="AF108" s="221"/>
      <c r="AG108" s="221"/>
      <c r="AH108" s="221"/>
      <c r="AI108" s="221"/>
      <c r="AJ108" s="221"/>
      <c r="AK108" s="221"/>
      <c r="AL108" s="221"/>
      <c r="AM108" s="221"/>
      <c r="AN108" s="221"/>
      <c r="AO108" s="221"/>
      <c r="AP108" s="221"/>
      <c r="AQ108" s="221"/>
      <c r="AR108" s="221"/>
      <c r="AS108" s="221"/>
      <c r="AT108" s="221"/>
      <c r="AU108" s="221"/>
      <c r="AV108" s="221"/>
      <c r="AW108" s="221"/>
      <c r="AX108" s="221"/>
      <c r="AY108" s="221"/>
      <c r="AZ108" s="221"/>
      <c r="BA108" s="221"/>
      <c r="BB108" s="221"/>
      <c r="BC108" s="221"/>
      <c r="BD108" s="221"/>
      <c r="BE108" s="221"/>
      <c r="BF108" s="221"/>
      <c r="BG108" s="221"/>
      <c r="BH108" s="221"/>
      <c r="BI108" s="221"/>
      <c r="BJ108" s="221"/>
      <c r="BK108" s="221"/>
      <c r="BL108" s="221"/>
      <c r="BM108" s="221"/>
      <c r="BN108" s="221"/>
      <c r="BO108" s="221"/>
      <c r="BP108" s="221"/>
      <c r="BQ108" s="221"/>
      <c r="BR108" s="221"/>
      <c r="BS108" s="221"/>
      <c r="BT108" s="221"/>
      <c r="BU108" s="221"/>
      <c r="BV108" s="221"/>
      <c r="BW108" s="221"/>
      <c r="BX108" s="221"/>
      <c r="BY108" s="221"/>
      <c r="BZ108" s="221"/>
      <c r="CA108" s="221"/>
      <c r="CB108" s="221"/>
      <c r="CC108" s="221"/>
      <c r="CD108" s="221"/>
      <c r="CE108" s="221"/>
      <c r="CF108" s="221"/>
      <c r="CG108" s="221"/>
      <c r="CH108" s="221"/>
      <c r="CI108" s="221"/>
      <c r="CJ108" s="221"/>
      <c r="CK108" s="221"/>
      <c r="CL108" s="221"/>
      <c r="CM108" s="221"/>
      <c r="CN108" s="221"/>
      <c r="CO108" s="221"/>
      <c r="CP108" s="221"/>
      <c r="CQ108" s="221"/>
      <c r="CR108" s="221"/>
      <c r="CS108" s="221"/>
      <c r="CT108" s="221"/>
      <c r="CU108" s="221"/>
      <c r="CV108" s="221"/>
      <c r="CW108" s="221"/>
      <c r="CX108" s="221"/>
      <c r="CY108" s="221"/>
      <c r="CZ108" s="221"/>
      <c r="DA108" s="221"/>
      <c r="DB108" s="221"/>
      <c r="DC108" s="221"/>
      <c r="DD108" s="221"/>
      <c r="DE108" s="221"/>
      <c r="DF108" s="221"/>
      <c r="DG108" s="221"/>
      <c r="DH108" s="221"/>
      <c r="DI108" s="221"/>
      <c r="DJ108" s="221"/>
      <c r="DK108" s="221"/>
      <c r="DL108" s="221"/>
      <c r="DM108" s="221"/>
      <c r="DN108" s="221"/>
      <c r="DO108" s="221"/>
      <c r="DP108" s="221"/>
      <c r="DQ108" s="221"/>
      <c r="DR108" s="221"/>
      <c r="DS108" s="221"/>
      <c r="DT108" s="221"/>
      <c r="DU108" s="221"/>
      <c r="DV108" s="221"/>
      <c r="DW108" s="221"/>
      <c r="DX108" s="221"/>
      <c r="DY108" s="221"/>
      <c r="DZ108" s="221"/>
      <c r="EA108" s="221"/>
      <c r="EB108" s="221"/>
      <c r="EC108" s="221"/>
      <c r="ED108" s="221"/>
      <c r="EE108" s="221"/>
      <c r="EF108" s="221"/>
      <c r="EG108" s="221"/>
      <c r="EH108" s="221"/>
      <c r="EI108" s="221"/>
      <c r="EJ108" s="221"/>
      <c r="EK108" s="221"/>
      <c r="EL108" s="221"/>
      <c r="EM108" s="221"/>
      <c r="EN108" s="221"/>
      <c r="EO108" s="221"/>
      <c r="EP108" s="221"/>
      <c r="EQ108" s="221"/>
      <c r="ER108" s="221"/>
      <c r="ES108" s="221"/>
      <c r="ET108" s="221"/>
      <c r="EU108" s="221"/>
      <c r="EV108" s="221"/>
      <c r="EW108" s="221"/>
      <c r="EX108" s="221"/>
      <c r="EY108" s="221"/>
    </row>
    <row r="109" spans="1:155" ht="12.75" hidden="1" customHeight="1"/>
    <row r="110" spans="1:155" ht="12.75" hidden="1" customHeight="1"/>
    <row r="111" spans="1:155" ht="12.75" hidden="1" customHeight="1"/>
    <row r="112" spans="1:155" ht="12.75" hidden="1" customHeight="1"/>
    <row r="113" ht="12.75" hidden="1" customHeight="1"/>
    <row r="114" ht="12.75" hidden="1" customHeight="1"/>
    <row r="115" ht="12.75" hidden="1" customHeight="1"/>
    <row r="116" ht="12.75" hidden="1" customHeight="1"/>
    <row r="117" ht="12.75" hidden="1" customHeight="1"/>
    <row r="118" ht="12.75" hidden="1" customHeight="1"/>
    <row r="119" ht="12.75" hidden="1" customHeight="1"/>
    <row r="120" ht="12.75" hidden="1" customHeight="1"/>
    <row r="121" ht="12.75" hidden="1" customHeight="1"/>
    <row r="122" ht="12.75" hidden="1" customHeight="1"/>
    <row r="123" ht="12.75" hidden="1" customHeight="1"/>
    <row r="124" ht="12.75" hidden="1" customHeight="1"/>
    <row r="125" ht="12.75" hidden="1" customHeight="1"/>
    <row r="126" ht="12.75" hidden="1" customHeight="1"/>
    <row r="127" ht="12.75" hidden="1" customHeight="1"/>
    <row r="128" ht="12.75" hidden="1" customHeight="1"/>
    <row r="129" ht="12.75" hidden="1" customHeight="1"/>
    <row r="130" ht="12.75" hidden="1" customHeight="1"/>
    <row r="131" ht="12.75" hidden="1" customHeight="1"/>
    <row r="132" ht="12.75" hidden="1" customHeight="1"/>
    <row r="133" ht="12.75" hidden="1" customHeight="1"/>
    <row r="134" ht="12.75" hidden="1" customHeight="1"/>
    <row r="135" ht="12.75" hidden="1" customHeight="1"/>
    <row r="136" ht="12.75" hidden="1" customHeight="1"/>
    <row r="137" ht="12.75" hidden="1" customHeight="1"/>
    <row r="138" ht="12.75" hidden="1" customHeight="1"/>
    <row r="139" ht="12.75" hidden="1" customHeight="1"/>
    <row r="140" ht="12.75" hidden="1" customHeight="1"/>
    <row r="141" ht="12.75" hidden="1" customHeight="1"/>
    <row r="142" ht="12.75" hidden="1" customHeight="1"/>
    <row r="143" ht="12.75" hidden="1" customHeight="1"/>
    <row r="144" ht="12.75" hidden="1" customHeight="1"/>
    <row r="145" ht="12.75" hidden="1" customHeight="1"/>
    <row r="146" ht="12.75" hidden="1" customHeight="1"/>
    <row r="147" ht="12.75" hidden="1" customHeight="1"/>
    <row r="148" ht="12.75" hidden="1" customHeight="1"/>
    <row r="149"/>
    <row r="150"/>
    <row r="151"/>
    <row r="152" ht="12.75" hidden="1" customHeight="1"/>
    <row r="153" ht="12.75" hidden="1"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sheetData>
  <sheetProtection autoFilter="0"/>
  <conditionalFormatting sqref="C100 E100 C103:C104 E103:E104 C88:C98 E88:E98 K3:L6 F2:F3 I3:I6">
    <cfRule type="cellIs" dxfId="12" priority="5" stopIfTrue="1" operator="equal">
      <formula>"OFF"</formula>
    </cfRule>
    <cfRule type="cellIs" dxfId="11" priority="6" stopIfTrue="1" operator="equal">
      <formula>"ON"</formula>
    </cfRule>
  </conditionalFormatting>
  <conditionalFormatting sqref="F14:F16 C14:C16 I14:I16">
    <cfRule type="cellIs" dxfId="10" priority="7" stopIfTrue="1" operator="equal">
      <formula>"ON"</formula>
    </cfRule>
  </conditionalFormatting>
  <conditionalFormatting sqref="K16:L16">
    <cfRule type="expression" dxfId="9" priority="8" stopIfTrue="1">
      <formula>CheckCur&lt;&gt;0</formula>
    </cfRule>
  </conditionalFormatting>
  <conditionalFormatting sqref="E1 G1:EY1">
    <cfRule type="expression" dxfId="8" priority="9" stopIfTrue="1">
      <formula>ErrorsPresent&gt;0</formula>
    </cfRule>
    <cfRule type="expression" dxfId="7" priority="10" stopIfTrue="1">
      <formula>ErrorsPresent&lt;0</formula>
    </cfRule>
  </conditionalFormatting>
  <conditionalFormatting sqref="L14:L15">
    <cfRule type="expression" dxfId="6" priority="11" stopIfTrue="1">
      <formula>L14&gt;30</formula>
    </cfRule>
  </conditionalFormatting>
  <conditionalFormatting sqref="F1 F103:F104">
    <cfRule type="cellIs" dxfId="5" priority="12" stopIfTrue="1" operator="greaterThan">
      <formula>0</formula>
    </cfRule>
    <cfRule type="cellIs" dxfId="4" priority="13" stopIfTrue="1" operator="lessThan">
      <formula>0</formula>
    </cfRule>
  </conditionalFormatting>
  <conditionalFormatting sqref="A1:B1">
    <cfRule type="expression" dxfId="3" priority="1" stopIfTrue="1">
      <formula>ErrorsPresent&gt;0</formula>
    </cfRule>
    <cfRule type="expression" dxfId="2" priority="2" stopIfTrue="1">
      <formula>ErrorsPresent&lt;0</formula>
    </cfRule>
  </conditionalFormatting>
  <conditionalFormatting sqref="C1:D1">
    <cfRule type="expression" dxfId="1" priority="3" stopIfTrue="1">
      <formula>ErrorsPresent&gt;0</formula>
    </cfRule>
    <cfRule type="expression" dxfId="0" priority="4" stopIfTrue="1">
      <formula>ErrorsPresent&lt;0</formula>
    </cfRule>
  </conditionalFormatting>
  <dataValidations count="4">
    <dataValidation type="list" showInputMessage="1" showErrorMessage="1" errorTitle="Validation" error="30, 60 and 90 days are the only entries that are coded." sqref="L15">
      <formula1>"0,30,60,90,120"</formula1>
    </dataValidation>
    <dataValidation type="list" showInputMessage="1" showErrorMessage="1" errorTitle="Validation" error="&quot;Monthly, in advance&quot;, &quot;Monthly, in arrears&quot; and &quot;Quarterly, in arrears&quot; are the only entries that are coded." sqref="L14">
      <formula1>"0,30,60,90,120"</formula1>
    </dataValidation>
    <dataValidation type="list" allowBlank="1" showInputMessage="1" showErrorMessage="1" sqref="C14:C16 I14:I16 F14:F16">
      <formula1>"ON,OFF"</formula1>
    </dataValidation>
    <dataValidation type="list" allowBlank="1" showInputMessage="1" showErrorMessage="1" sqref="L16">
      <formula1>OFFSET(CurList,1,0,COUNTA(CurList),1)</formula1>
    </dataValidation>
  </dataValidations>
  <hyperlinks>
    <hyperlink ref="F1" location="PLA5A" tooltip="Hyperlink to &quot;Error Checks&quot; sheet" display="PLA5A"/>
  </hyperlinks>
  <pageMargins left="0.4" right="0.4" top="1" bottom="1" header="0.5" footer="0.5"/>
  <pageSetup scale="81" orientation="landscape" r:id="rId1"/>
  <headerFooter alignWithMargins="0">
    <oddHeader>&amp;LFUJITSU SERVICES&amp;RCOMMERCIAL IN CONFIDENCE</oddHeader>
    <oddFooter>&amp;L&amp;"Arial,Italic"&amp;F&amp;C&amp;"Arial,Italic"Printed on &amp;D at &amp;T&amp;R&amp;"Arial,Italic"Page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362" r:id="rId4" name="Drop Down 2">
              <controlPr defaultSize="0" autoLine="0" autoPict="0">
                <anchor moveWithCells="1" sizeWithCells="1">
                  <from>
                    <xdr:col>1</xdr:col>
                    <xdr:colOff>581025</xdr:colOff>
                    <xdr:row>36</xdr:row>
                    <xdr:rowOff>104775</xdr:rowOff>
                  </from>
                  <to>
                    <xdr:col>2</xdr:col>
                    <xdr:colOff>666750</xdr:colOff>
                    <xdr:row>37</xdr:row>
                    <xdr:rowOff>133350</xdr:rowOff>
                  </to>
                </anchor>
              </controlPr>
            </control>
          </mc:Choice>
        </mc:AlternateContent>
        <mc:AlternateContent xmlns:mc="http://schemas.openxmlformats.org/markup-compatibility/2006">
          <mc:Choice Requires="x14">
            <control shapeId="15363" r:id="rId5" name="Drop Down 3">
              <controlPr defaultSize="0" autoLine="0" autoPict="0">
                <anchor moveWithCells="1" sizeWithCells="1">
                  <from>
                    <xdr:col>5</xdr:col>
                    <xdr:colOff>314325</xdr:colOff>
                    <xdr:row>36</xdr:row>
                    <xdr:rowOff>104775</xdr:rowOff>
                  </from>
                  <to>
                    <xdr:col>7</xdr:col>
                    <xdr:colOff>542925</xdr:colOff>
                    <xdr:row>37</xdr:row>
                    <xdr:rowOff>133350</xdr:rowOff>
                  </to>
                </anchor>
              </controlPr>
            </control>
          </mc:Choice>
        </mc:AlternateContent>
        <mc:AlternateContent xmlns:mc="http://schemas.openxmlformats.org/markup-compatibility/2006">
          <mc:Choice Requires="x14">
            <control shapeId="15364" r:id="rId6" name="Button 4">
              <controlPr defaultSize="0" print="0" autoFill="0" autoPict="0">
                <anchor moveWithCells="1" sizeWithCells="1">
                  <from>
                    <xdr:col>0</xdr:col>
                    <xdr:colOff>200025</xdr:colOff>
                    <xdr:row>35</xdr:row>
                    <xdr:rowOff>38100</xdr:rowOff>
                  </from>
                  <to>
                    <xdr:col>1</xdr:col>
                    <xdr:colOff>266700</xdr:colOff>
                    <xdr:row>37</xdr:row>
                    <xdr:rowOff>123825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64</vt:i4>
      </vt:variant>
    </vt:vector>
  </HeadingPairs>
  <TitlesOfParts>
    <vt:vector size="74" baseType="lpstr">
      <vt:lpstr>Figure 13-1</vt:lpstr>
      <vt:lpstr>Figure 13-2</vt:lpstr>
      <vt:lpstr>Figure 13-3</vt:lpstr>
      <vt:lpstr>Figure 13-4</vt:lpstr>
      <vt:lpstr>Figure 13-6</vt:lpstr>
      <vt:lpstr>Figure 13-8</vt:lpstr>
      <vt:lpstr>Figure 13-9</vt:lpstr>
      <vt:lpstr>Figure 13-10</vt:lpstr>
      <vt:lpstr>Figure 13-11</vt:lpstr>
      <vt:lpstr>Figure 13-13</vt:lpstr>
      <vt:lpstr>_MSG01</vt:lpstr>
      <vt:lpstr>_MSG02</vt:lpstr>
      <vt:lpstr>_MSG03</vt:lpstr>
      <vt:lpstr>_MSG04</vt:lpstr>
      <vt:lpstr>_MSG05</vt:lpstr>
      <vt:lpstr>_MSG06</vt:lpstr>
      <vt:lpstr>_MSG08</vt:lpstr>
      <vt:lpstr>_MSG09</vt:lpstr>
      <vt:lpstr>_MSG10</vt:lpstr>
      <vt:lpstr>_PLA2</vt:lpstr>
      <vt:lpstr>_PLA4</vt:lpstr>
      <vt:lpstr>_PLA9</vt:lpstr>
      <vt:lpstr>_TOP01</vt:lpstr>
      <vt:lpstr>_TOP02</vt:lpstr>
      <vt:lpstr>'Figure 13-9'!Bookname</vt:lpstr>
      <vt:lpstr>Chartbit1</vt:lpstr>
      <vt:lpstr>Chartbit2</vt:lpstr>
      <vt:lpstr>Chartbit3</vt:lpstr>
      <vt:lpstr>CoMON</vt:lpstr>
      <vt:lpstr>CosBot</vt:lpstr>
      <vt:lpstr>CosDrop</vt:lpstr>
      <vt:lpstr>CostOfMoney</vt:lpstr>
      <vt:lpstr>CosTop</vt:lpstr>
      <vt:lpstr>Depreciation</vt:lpstr>
      <vt:lpstr>DepreciationOn</vt:lpstr>
      <vt:lpstr>Discount</vt:lpstr>
      <vt:lpstr>DisON</vt:lpstr>
      <vt:lpstr>FilenameIn</vt:lpstr>
      <vt:lpstr>Financing</vt:lpstr>
      <vt:lpstr>FINCB1</vt:lpstr>
      <vt:lpstr>FINFD1</vt:lpstr>
      <vt:lpstr>FINGD1</vt:lpstr>
      <vt:lpstr>FinON</vt:lpstr>
      <vt:lpstr>FINST1</vt:lpstr>
      <vt:lpstr>INbloc1</vt:lpstr>
      <vt:lpstr>Indexation</vt:lpstr>
      <vt:lpstr>IndexationImpact</vt:lpstr>
      <vt:lpstr>Indexed</vt:lpstr>
      <vt:lpstr>Invoicing</vt:lpstr>
      <vt:lpstr>Margin</vt:lpstr>
      <vt:lpstr>MargON</vt:lpstr>
      <vt:lpstr>MileON</vt:lpstr>
      <vt:lpstr>Milestones</vt:lpstr>
      <vt:lpstr>MLbloc1</vt:lpstr>
      <vt:lpstr>OutCur</vt:lpstr>
      <vt:lpstr>OverON</vt:lpstr>
      <vt:lpstr>OverProf</vt:lpstr>
      <vt:lpstr>OverProfOn</vt:lpstr>
      <vt:lpstr>PLA2A</vt:lpstr>
      <vt:lpstr>PLA4A</vt:lpstr>
      <vt:lpstr>PLA9A</vt:lpstr>
      <vt:lpstr>PLA9B</vt:lpstr>
      <vt:lpstr>PriBot</vt:lpstr>
      <vt:lpstr>PriDrop</vt:lpstr>
      <vt:lpstr>'Figure 13-10'!Print_Area</vt:lpstr>
      <vt:lpstr>'Figure 13-11'!Print_Area</vt:lpstr>
      <vt:lpstr>'Figure 13-13'!Print_Area</vt:lpstr>
      <vt:lpstr>'Figure 13-10'!Print_Titles</vt:lpstr>
      <vt:lpstr>'Figure 13-11'!Print_Titles</vt:lpstr>
      <vt:lpstr>PriTop</vt:lpstr>
      <vt:lpstr>Receivables</vt:lpstr>
      <vt:lpstr>ServiceCredits</vt:lpstr>
      <vt:lpstr>Servicing</vt:lpstr>
      <vt:lpstr>TotalCostOfMoneyTarget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Jack</dc:creator>
  <cp:lastModifiedBy>Jack</cp:lastModifiedBy>
  <dcterms:created xsi:type="dcterms:W3CDTF">2013-07-17T21:09:17Z</dcterms:created>
  <dcterms:modified xsi:type="dcterms:W3CDTF">2013-10-23T12:06:51Z</dcterms:modified>
</cp:coreProperties>
</file>