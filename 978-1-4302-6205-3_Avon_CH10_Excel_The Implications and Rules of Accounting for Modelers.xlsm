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195" windowWidth="7635" windowHeight="1560"/>
  </bookViews>
  <sheets>
    <sheet name="Figure 10-1" sheetId="11" r:id="rId1"/>
    <sheet name="Figure 10-2" sheetId="5" r:id="rId2"/>
    <sheet name="Figure 10-3" sheetId="7" r:id="rId3"/>
    <sheet name="Figure 10-5" sheetId="8" r:id="rId4"/>
    <sheet name="Figure 10-6" sheetId="10" r:id="rId5"/>
  </sheets>
  <calcPr calcId="144525"/>
</workbook>
</file>

<file path=xl/calcChain.xml><?xml version="1.0" encoding="utf-8"?>
<calcChain xmlns="http://schemas.openxmlformats.org/spreadsheetml/2006/main">
  <c r="F24" i="7" l="1"/>
  <c r="E24" i="7" l="1"/>
  <c r="E22" i="11"/>
  <c r="E13" i="11"/>
  <c r="E5" i="11"/>
  <c r="E7" i="11" s="1"/>
  <c r="E15" i="11" s="1"/>
  <c r="E24" i="11" s="1"/>
  <c r="E26" i="11" s="1"/>
  <c r="E28" i="11" s="1"/>
  <c r="E30" i="11" s="1"/>
  <c r="A10" i="8" l="1"/>
  <c r="A11" i="8"/>
  <c r="A7" i="8"/>
  <c r="A6" i="8"/>
  <c r="F7" i="8"/>
  <c r="F11" i="8"/>
  <c r="F10" i="8"/>
  <c r="F6" i="8"/>
  <c r="F23" i="8"/>
  <c r="F38" i="7"/>
  <c r="G38" i="7"/>
  <c r="H38" i="7"/>
  <c r="E38" i="7"/>
  <c r="A21" i="7"/>
  <c r="A20" i="7"/>
  <c r="A17" i="7"/>
  <c r="A18" i="7"/>
  <c r="A16" i="7"/>
  <c r="A13" i="7"/>
  <c r="A14" i="7"/>
  <c r="A12" i="7"/>
  <c r="A10" i="7"/>
  <c r="A9" i="7"/>
  <c r="A8" i="7"/>
  <c r="A7" i="7"/>
  <c r="F21" i="7"/>
  <c r="G21" i="7"/>
  <c r="H21" i="7"/>
  <c r="E21" i="7"/>
  <c r="F20" i="7"/>
  <c r="G20" i="7"/>
  <c r="H20" i="7"/>
  <c r="E20" i="7"/>
  <c r="F16" i="7"/>
  <c r="G16" i="7"/>
  <c r="H16" i="7"/>
  <c r="F17" i="7"/>
  <c r="G17" i="7"/>
  <c r="H17" i="7"/>
  <c r="F18" i="7"/>
  <c r="G18" i="7"/>
  <c r="H18" i="7"/>
  <c r="E17" i="7"/>
  <c r="E18" i="7"/>
  <c r="E16" i="7"/>
  <c r="F12" i="7"/>
  <c r="F32" i="7" s="1"/>
  <c r="G12" i="7"/>
  <c r="G32" i="7" s="1"/>
  <c r="H12" i="7"/>
  <c r="H32" i="7" s="1"/>
  <c r="F13" i="7"/>
  <c r="F33" i="7" s="1"/>
  <c r="G13" i="7"/>
  <c r="G33" i="7" s="1"/>
  <c r="H13" i="7"/>
  <c r="H33" i="7" s="1"/>
  <c r="F14" i="7"/>
  <c r="F34" i="7" s="1"/>
  <c r="G14" i="7"/>
  <c r="G34" i="7" s="1"/>
  <c r="H14" i="7"/>
  <c r="H34" i="7" s="1"/>
  <c r="E13" i="7"/>
  <c r="E33" i="7" s="1"/>
  <c r="E14" i="7"/>
  <c r="E34" i="7" s="1"/>
  <c r="E12" i="7"/>
  <c r="E32" i="7" s="1"/>
  <c r="E35" i="7" s="1"/>
  <c r="F10" i="7"/>
  <c r="G10" i="7"/>
  <c r="H10" i="7"/>
  <c r="E10" i="7"/>
  <c r="F9" i="7"/>
  <c r="G9" i="7"/>
  <c r="H9" i="7"/>
  <c r="E9" i="7"/>
  <c r="F8" i="7"/>
  <c r="G8" i="7"/>
  <c r="H8" i="7"/>
  <c r="E8" i="7"/>
  <c r="F7" i="7"/>
  <c r="G7" i="7"/>
  <c r="G24" i="7" s="1"/>
  <c r="H7" i="7"/>
  <c r="H24" i="7" s="1"/>
  <c r="E7" i="7"/>
  <c r="F8" i="8" l="1"/>
  <c r="F14" i="8"/>
  <c r="F16" i="8" s="1"/>
  <c r="F25" i="8" s="1"/>
  <c r="F27" i="8" s="1"/>
  <c r="F29" i="8" s="1"/>
  <c r="F31" i="8" s="1"/>
  <c r="E26" i="7"/>
  <c r="E28" i="7"/>
  <c r="H26" i="7"/>
  <c r="H28" i="7"/>
  <c r="G26" i="7"/>
  <c r="G28" i="7"/>
  <c r="F26" i="7"/>
  <c r="F28" i="7"/>
  <c r="G35" i="7"/>
  <c r="H35" i="7"/>
  <c r="F35" i="7"/>
</calcChain>
</file>

<file path=xl/sharedStrings.xml><?xml version="1.0" encoding="utf-8"?>
<sst xmlns="http://schemas.openxmlformats.org/spreadsheetml/2006/main" count="136" uniqueCount="89">
  <si>
    <t>Sales Revenue</t>
  </si>
  <si>
    <t>Less: Returns and Allowance</t>
  </si>
  <si>
    <t>Net Sales Revenue</t>
  </si>
  <si>
    <t>Gross Profit</t>
  </si>
  <si>
    <t>Operating Expenses</t>
  </si>
  <si>
    <t>Selling Expenses</t>
  </si>
  <si>
    <t>Direct Costs</t>
  </si>
  <si>
    <t>Supplies &amp; Services</t>
  </si>
  <si>
    <t>Insurance</t>
  </si>
  <si>
    <t>Risk</t>
  </si>
  <si>
    <t>Salaries</t>
  </si>
  <si>
    <t>Admin Expenses</t>
  </si>
  <si>
    <t>Overheads</t>
  </si>
  <si>
    <t>EBIT</t>
  </si>
  <si>
    <t>EBITDA</t>
  </si>
  <si>
    <t>Interest - Paid/(Received)</t>
  </si>
  <si>
    <t>Depreciation</t>
  </si>
  <si>
    <t>Corporation Tax</t>
  </si>
  <si>
    <t>NonSuch Financial Model</t>
  </si>
  <si>
    <t>Sales price</t>
  </si>
  <si>
    <t>Affects revenue</t>
  </si>
  <si>
    <t>% discounts given</t>
  </si>
  <si>
    <t>Affects allowances</t>
  </si>
  <si>
    <t>Affects returns</t>
  </si>
  <si>
    <t>1.00 Income</t>
  </si>
  <si>
    <t>2.00 Direct costs</t>
  </si>
  <si>
    <t>Purchase cost from supplier A</t>
  </si>
  <si>
    <t>Purchase cost from supplier B</t>
  </si>
  <si>
    <t>Purchase cost from supplier C</t>
  </si>
  <si>
    <t>Affects supplies and services</t>
  </si>
  <si>
    <t>Financial year</t>
  </si>
  <si>
    <t>Model Inputs</t>
  </si>
  <si>
    <t>Model Calculations</t>
  </si>
  <si>
    <t>1.01, 1.02</t>
  </si>
  <si>
    <t>Returned units</t>
  </si>
  <si>
    <t>Sales price x Number of units returned</t>
  </si>
  <si>
    <t>1.01, 1.03</t>
  </si>
  <si>
    <t>Discounts Given</t>
  </si>
  <si>
    <t>1.01, 1.02, 1.04</t>
  </si>
  <si>
    <t>Purchase costs</t>
  </si>
  <si>
    <t>Supplier A</t>
  </si>
  <si>
    <t>Supplier B</t>
  </si>
  <si>
    <t>Supplier C</t>
  </si>
  <si>
    <t>Unit Purchase price from Supplier A x Purchase cost from Supplier A</t>
  </si>
  <si>
    <t>Unit Purchase price from Supplier B x Purchase cost from Supplier B</t>
  </si>
  <si>
    <t>Unit Purchase price from Supplier C x Purchase cost from Supplier C</t>
  </si>
  <si>
    <t>Total</t>
  </si>
  <si>
    <t>2.01, 2.04</t>
  </si>
  <si>
    <t>2.02, 2.05</t>
  </si>
  <si>
    <t>2.03, 2.06</t>
  </si>
  <si>
    <t>Input Links</t>
  </si>
  <si>
    <t>Input ref:</t>
  </si>
  <si>
    <t>Notes &amp; Comments</t>
  </si>
  <si>
    <t>Affects revenue and returns</t>
  </si>
  <si>
    <t>2.08, 2.09</t>
  </si>
  <si>
    <t>Year 0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</si>
  <si>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</si>
  <si>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</si>
  <si>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</si>
  <si>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</si>
  <si>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</si>
  <si>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</si>
  <si>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</si>
  <si>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</si>
  <si>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</si>
  <si>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</si>
  <si>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</si>
  <si>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Year 12</t>
  </si>
  <si>
    <t>Income Statement for the Year Ending December 2013</t>
  </si>
  <si>
    <t>Direct Labor</t>
  </si>
  <si>
    <t>Profit Before Taxation</t>
  </si>
  <si>
    <t>Profit After Taxation</t>
  </si>
  <si>
    <t>Number of units returned</t>
  </si>
  <si>
    <t>Units purchased from supplier A</t>
  </si>
  <si>
    <t>Units purchased from supplier B</t>
  </si>
  <si>
    <t>Units purchased from supplier C</t>
  </si>
  <si>
    <t>Labor cost</t>
  </si>
  <si>
    <t>Affects direct labor</t>
  </si>
  <si>
    <t>Average labor rate x No of hours worked</t>
  </si>
  <si>
    <t>Direct labor</t>
  </si>
  <si>
    <t>Suppliers &amp; Cost (per unit)</t>
  </si>
  <si>
    <t>Average labor rate (per hour)</t>
  </si>
  <si>
    <t>No of hours worked</t>
  </si>
  <si>
    <t>Income Statement for Year Ending December 2013</t>
  </si>
  <si>
    <t>(In 1,000s)</t>
  </si>
  <si>
    <t>Sales units (in 1,000s)</t>
  </si>
  <si>
    <t>Suppliers &amp; Supplies (in units)</t>
  </si>
  <si>
    <t>Sales price x Sales units x % discounts given</t>
  </si>
  <si>
    <t>Sales price x Sales 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</si>
</sst>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u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3" fillId="3" borderId="4" applyNumberFormat="0" applyFont="0" applyAlignment="0" applyProtection="0"/>
    <xf numFmtId="0" fontId="5" fillId="0" borderId="0"/>
  </cellStyleXfs>
  <cellXfs count="41">
    <xf numFmtId="0" fontId="0" fillId="0" borderId="0" xfId="0"/>
    <xf numFmtId="0" fontId="2" fillId="0" borderId="0" xfId="0" applyFont="1"/>
    <xf numFmtId="3" fontId="0" fillId="0" borderId="0" xfId="0" applyNumberFormat="1"/>
    <xf numFmtId="0" fontId="1" fillId="0" borderId="0" xfId="0" applyFont="1"/>
    <xf numFmtId="0" fontId="0" fillId="0" borderId="0" xfId="0" applyAlignment="1">
      <alignment horizontal="left" indent="2"/>
    </xf>
    <xf numFmtId="0" fontId="4" fillId="0" borderId="0" xfId="0" applyFont="1"/>
    <xf numFmtId="3" fontId="0" fillId="0" borderId="2" xfId="0" applyNumberFormat="1" applyBorder="1"/>
    <xf numFmtId="0" fontId="2" fillId="0" borderId="0" xfId="0" applyFont="1" applyAlignment="1">
      <alignment horizontal="left"/>
    </xf>
    <xf numFmtId="3" fontId="2" fillId="0" borderId="0" xfId="0" applyNumberFormat="1" applyFont="1"/>
    <xf numFmtId="0" fontId="2" fillId="0" borderId="3" xfId="0" applyFont="1" applyBorder="1" applyAlignment="1">
      <alignment horizontal="left"/>
    </xf>
    <xf numFmtId="0" fontId="0" fillId="0" borderId="3" xfId="0" applyBorder="1"/>
    <xf numFmtId="3" fontId="2" fillId="0" borderId="3" xfId="0" applyNumberFormat="1" applyFont="1" applyBorder="1"/>
    <xf numFmtId="0" fontId="0" fillId="0" borderId="0" xfId="0" applyBorder="1"/>
    <xf numFmtId="0" fontId="2" fillId="0" borderId="3" xfId="0" applyFont="1" applyBorder="1"/>
    <xf numFmtId="0" fontId="6" fillId="0" borderId="0" xfId="0" applyFont="1"/>
    <xf numFmtId="0" fontId="7" fillId="5" borderId="0" xfId="0" applyFont="1" applyFill="1"/>
    <xf numFmtId="0" fontId="7" fillId="4" borderId="0" xfId="0" applyFont="1" applyFill="1"/>
    <xf numFmtId="0" fontId="6" fillId="4" borderId="0" xfId="0" applyFont="1" applyFill="1"/>
    <xf numFmtId="2" fontId="6" fillId="3" borderId="4" xfId="1" applyNumberFormat="1" applyFont="1"/>
    <xf numFmtId="3" fontId="6" fillId="3" borderId="4" xfId="1" applyNumberFormat="1" applyFont="1"/>
    <xf numFmtId="0" fontId="8" fillId="6" borderId="1" xfId="0" applyFont="1" applyFill="1" applyBorder="1"/>
    <xf numFmtId="0" fontId="6" fillId="0" borderId="0" xfId="0" applyFont="1" applyAlignment="1">
      <alignment horizontal="left" indent="2"/>
    </xf>
    <xf numFmtId="0" fontId="9" fillId="0" borderId="0" xfId="0" applyFont="1"/>
    <xf numFmtId="10" fontId="6" fillId="3" borderId="4" xfId="1" applyNumberFormat="1" applyFont="1"/>
    <xf numFmtId="17" fontId="2" fillId="0" borderId="1" xfId="0" applyNumberFormat="1" applyFont="1" applyBorder="1" applyAlignment="1">
      <alignment horizontal="center"/>
    </xf>
    <xf numFmtId="0" fontId="10" fillId="0" borderId="0" xfId="0" applyFont="1"/>
    <xf numFmtId="0" fontId="12" fillId="0" borderId="0" xfId="0" applyFont="1"/>
    <xf numFmtId="3" fontId="6" fillId="2" borderId="4" xfId="1" applyNumberFormat="1" applyFont="1" applyFill="1"/>
    <xf numFmtId="0" fontId="11" fillId="0" borderId="0" xfId="0" applyFont="1" applyAlignment="1">
      <alignment horizontal="left" indent="2"/>
    </xf>
    <xf numFmtId="3" fontId="11" fillId="2" borderId="4" xfId="1" applyNumberFormat="1" applyFont="1" applyFill="1"/>
    <xf numFmtId="17" fontId="2" fillId="0" borderId="0" xfId="0" applyNumberFormat="1" applyFont="1" applyBorder="1" applyAlignment="1">
      <alignment horizontal="center"/>
    </xf>
    <xf numFmtId="17" fontId="11" fillId="0" borderId="0" xfId="0" applyNumberFormat="1" applyFont="1" applyBorder="1" applyAlignment="1">
      <alignment horizontal="center"/>
    </xf>
    <xf numFmtId="4" fontId="6" fillId="0" borderId="5" xfId="0" applyNumberFormat="1" applyFont="1" applyBorder="1" applyAlignment="1">
      <alignment horizontal="center"/>
    </xf>
    <xf numFmtId="3" fontId="6" fillId="0" borderId="5" xfId="0" applyNumberFormat="1" applyFont="1" applyBorder="1" applyAlignment="1">
      <alignment horizontal="center"/>
    </xf>
    <xf numFmtId="10" fontId="6" fillId="0" borderId="5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3" fontId="0" fillId="0" borderId="0" xfId="0" applyNumberForma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6" borderId="5" xfId="0" applyFont="1" applyFill="1" applyBorder="1" applyAlignment="1">
      <alignment horizontal="center"/>
    </xf>
  </cellXfs>
  <cellStyles count="3">
    <cellStyle name="Normal" xfId="0" builtinId="0"/>
    <cellStyle name="Normal 2" xfId="2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600076</xdr:colOff>
      <xdr:row>4</xdr:row>
      <xdr:rowOff>47625</xdr:rowOff>
    </xdr:from>
    <xdr:to>
      <xdr:col>4</xdr:col>
      <xdr:colOff>314326</xdr:colOff>
      <xdr:row>7</xdr:row>
      <xdr:rowOff>85725</xdr:rowOff>
    </xdr:to>
    <xdr:sp macro="" textlink="">
      <xdr:nvSpPr>
        <xdr:cNvPr id="2" name="Rounded Rectangle 1"/>
        <xdr:cNvSpPr/>
      </xdr:nvSpPr>
      <xdr:spPr>
        <a:xfrm>
          <a:off x="1819276" y="809625"/>
          <a:ext cx="933450" cy="609600"/>
        </a:xfrm>
        <a:prstGeom prst="roundRect">
          <a:avLst/>
        </a:prstGeom>
        <a:ln w="952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Contract Start</a:t>
          </a:r>
        </a:p>
      </xdr:txBody>
    </xdr:sp>
    <xdr:clientData/>
  </xdr:twoCellAnchor>
  <xdr:twoCellAnchor>
    <xdr:from>
      <xdr:col>14</xdr:col>
      <xdr:colOff>219075</xdr:colOff>
      <xdr:row>4</xdr:row>
      <xdr:rowOff>57149</xdr:rowOff>
    </xdr:from>
    <xdr:to>
      <xdr:col>15</xdr:col>
      <xdr:colOff>571500</xdr:colOff>
      <xdr:row>7</xdr:row>
      <xdr:rowOff>57150</xdr:rowOff>
    </xdr:to>
    <xdr:sp macro="" textlink="">
      <xdr:nvSpPr>
        <xdr:cNvPr id="5" name="Rounded Rectangle 4"/>
        <xdr:cNvSpPr/>
      </xdr:nvSpPr>
      <xdr:spPr>
        <a:xfrm>
          <a:off x="8753475" y="819149"/>
          <a:ext cx="962025" cy="571501"/>
        </a:xfrm>
        <a:prstGeom prst="roundRect">
          <a:avLst/>
        </a:prstGeom>
        <a:ln w="952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Contract Termination</a:t>
          </a:r>
        </a:p>
      </xdr:txBody>
    </xdr:sp>
    <xdr:clientData/>
  </xdr:twoCellAnchor>
  <xdr:twoCellAnchor>
    <xdr:from>
      <xdr:col>4</xdr:col>
      <xdr:colOff>314326</xdr:colOff>
      <xdr:row>5</xdr:row>
      <xdr:rowOff>152400</xdr:rowOff>
    </xdr:from>
    <xdr:to>
      <xdr:col>14</xdr:col>
      <xdr:colOff>219075</xdr:colOff>
      <xdr:row>5</xdr:row>
      <xdr:rowOff>161925</xdr:rowOff>
    </xdr:to>
    <xdr:cxnSp macro="">
      <xdr:nvCxnSpPr>
        <xdr:cNvPr id="7" name="Elbow Connector 6"/>
        <xdr:cNvCxnSpPr>
          <a:stCxn id="2" idx="3"/>
          <a:endCxn id="5" idx="1"/>
        </xdr:cNvCxnSpPr>
      </xdr:nvCxnSpPr>
      <xdr:spPr>
        <a:xfrm flipV="1">
          <a:off x="2752726" y="1104900"/>
          <a:ext cx="6000749" cy="9525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590551</xdr:colOff>
      <xdr:row>7</xdr:row>
      <xdr:rowOff>142875</xdr:rowOff>
    </xdr:from>
    <xdr:to>
      <xdr:col>16</xdr:col>
      <xdr:colOff>19050</xdr:colOff>
      <xdr:row>10</xdr:row>
      <xdr:rowOff>0</xdr:rowOff>
    </xdr:to>
    <xdr:sp macro="" textlink="">
      <xdr:nvSpPr>
        <xdr:cNvPr id="13" name="Left-Right Arrow Callout 12"/>
        <xdr:cNvSpPr/>
      </xdr:nvSpPr>
      <xdr:spPr>
        <a:xfrm>
          <a:off x="1809751" y="1476375"/>
          <a:ext cx="7962899" cy="428625"/>
        </a:xfrm>
        <a:prstGeom prst="leftRightArrowCallout">
          <a:avLst/>
        </a:prstGeom>
        <a:solidFill>
          <a:schemeClr val="bg1">
            <a:lumMod val="9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Present Value Calculated</a:t>
          </a:r>
        </a:p>
      </xdr:txBody>
    </xdr:sp>
    <xdr:clientData/>
  </xdr:twoCellAnchor>
  <xdr:twoCellAnchor>
    <xdr:from>
      <xdr:col>6</xdr:col>
      <xdr:colOff>219075</xdr:colOff>
      <xdr:row>10</xdr:row>
      <xdr:rowOff>95250</xdr:rowOff>
    </xdr:from>
    <xdr:to>
      <xdr:col>12</xdr:col>
      <xdr:colOff>381000</xdr:colOff>
      <xdr:row>14</xdr:row>
      <xdr:rowOff>95250</xdr:rowOff>
    </xdr:to>
    <xdr:sp macro="" textlink="">
      <xdr:nvSpPr>
        <xdr:cNvPr id="14" name="Down Arrow Callout 13"/>
        <xdr:cNvSpPr/>
      </xdr:nvSpPr>
      <xdr:spPr>
        <a:xfrm>
          <a:off x="3876675" y="2000250"/>
          <a:ext cx="3819525" cy="762000"/>
        </a:xfrm>
        <a:prstGeom prst="downArrowCallout">
          <a:avLst>
            <a:gd name="adj1" fmla="val 25000"/>
            <a:gd name="adj2" fmla="val 21428"/>
            <a:gd name="adj3" fmla="val 25000"/>
            <a:gd name="adj4" fmla="val 64977"/>
          </a:avLst>
        </a:prstGeom>
        <a:solidFill>
          <a:schemeClr val="tx1"/>
        </a:solidFill>
        <a:ln w="952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chemeClr val="bg1"/>
              </a:solidFill>
            </a:rPr>
            <a:t>Total Value is booked in SPE</a:t>
          </a:r>
        </a:p>
      </xdr:txBody>
    </xdr:sp>
    <xdr:clientData/>
  </xdr:twoCellAnchor>
  <xdr:twoCellAnchor>
    <xdr:from>
      <xdr:col>3</xdr:col>
      <xdr:colOff>57150</xdr:colOff>
      <xdr:row>16</xdr:row>
      <xdr:rowOff>0</xdr:rowOff>
    </xdr:from>
    <xdr:to>
      <xdr:col>4</xdr:col>
      <xdr:colOff>295275</xdr:colOff>
      <xdr:row>24</xdr:row>
      <xdr:rowOff>19050</xdr:rowOff>
    </xdr:to>
    <xdr:sp macro="" textlink="">
      <xdr:nvSpPr>
        <xdr:cNvPr id="15" name="Rounded Rectangle 14"/>
        <xdr:cNvSpPr/>
      </xdr:nvSpPr>
      <xdr:spPr>
        <a:xfrm>
          <a:off x="1885950" y="3048000"/>
          <a:ext cx="847725" cy="1543050"/>
        </a:xfrm>
        <a:prstGeom prst="roundRect">
          <a:avLst/>
        </a:prstGeom>
        <a:ln w="952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Enron</a:t>
          </a:r>
        </a:p>
        <a:p>
          <a:pPr algn="ctr"/>
          <a:r>
            <a:rPr lang="en-GB" sz="1100"/>
            <a:t>Yr 0</a:t>
          </a:r>
        </a:p>
        <a:p>
          <a:pPr algn="ctr"/>
          <a:endParaRPr lang="en-GB" sz="1100"/>
        </a:p>
      </xdr:txBody>
    </xdr:sp>
    <xdr:clientData/>
  </xdr:twoCellAnchor>
  <xdr:twoCellAnchor>
    <xdr:from>
      <xdr:col>4</xdr:col>
      <xdr:colOff>352425</xdr:colOff>
      <xdr:row>16</xdr:row>
      <xdr:rowOff>0</xdr:rowOff>
    </xdr:from>
    <xdr:to>
      <xdr:col>5</xdr:col>
      <xdr:colOff>590550</xdr:colOff>
      <xdr:row>24</xdr:row>
      <xdr:rowOff>19050</xdr:rowOff>
    </xdr:to>
    <xdr:sp macro="" textlink="">
      <xdr:nvSpPr>
        <xdr:cNvPr id="16" name="Rounded Rectangle 15"/>
        <xdr:cNvSpPr/>
      </xdr:nvSpPr>
      <xdr:spPr>
        <a:xfrm>
          <a:off x="2790825" y="3048000"/>
          <a:ext cx="847725" cy="1543050"/>
        </a:xfrm>
        <a:prstGeom prst="roundRect">
          <a:avLst/>
        </a:prstGeom>
        <a:solidFill>
          <a:schemeClr val="tx1"/>
        </a:solidFill>
        <a:ln w="952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solidFill>
                <a:schemeClr val="bg1"/>
              </a:solidFill>
            </a:rPr>
            <a:t>Booked into Enron</a:t>
          </a:r>
        </a:p>
        <a:p>
          <a:pPr algn="ctr"/>
          <a:r>
            <a:rPr lang="en-GB" sz="1100">
              <a:solidFill>
                <a:schemeClr val="bg1"/>
              </a:solidFill>
            </a:rPr>
            <a:t>Yr 1</a:t>
          </a:r>
        </a:p>
        <a:p>
          <a:pPr algn="ctr"/>
          <a:endParaRPr lang="en-GB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0</xdr:colOff>
      <xdr:row>15</xdr:row>
      <xdr:rowOff>161925</xdr:rowOff>
    </xdr:from>
    <xdr:to>
      <xdr:col>16</xdr:col>
      <xdr:colOff>238125</xdr:colOff>
      <xdr:row>23</xdr:row>
      <xdr:rowOff>180975</xdr:rowOff>
    </xdr:to>
    <xdr:sp macro="" textlink="">
      <xdr:nvSpPr>
        <xdr:cNvPr id="18" name="Rounded Rectangle 17"/>
        <xdr:cNvSpPr/>
      </xdr:nvSpPr>
      <xdr:spPr>
        <a:xfrm>
          <a:off x="9144000" y="3019425"/>
          <a:ext cx="847725" cy="1543050"/>
        </a:xfrm>
        <a:prstGeom prst="roundRect">
          <a:avLst/>
        </a:prstGeom>
        <a:ln w="952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Enron</a:t>
          </a:r>
        </a:p>
        <a:p>
          <a:pPr algn="ctr"/>
          <a:r>
            <a:rPr lang="en-GB" sz="1100"/>
            <a:t>Yr 12</a:t>
          </a:r>
        </a:p>
        <a:p>
          <a:pPr algn="ctr"/>
          <a:endParaRPr lang="en-GB" sz="1100"/>
        </a:p>
      </xdr:txBody>
    </xdr:sp>
    <xdr:clientData/>
  </xdr:twoCellAnchor>
  <xdr:twoCellAnchor>
    <xdr:from>
      <xdr:col>6</xdr:col>
      <xdr:colOff>0</xdr:colOff>
      <xdr:row>16</xdr:row>
      <xdr:rowOff>0</xdr:rowOff>
    </xdr:from>
    <xdr:to>
      <xdr:col>7</xdr:col>
      <xdr:colOff>238125</xdr:colOff>
      <xdr:row>24</xdr:row>
      <xdr:rowOff>19050</xdr:rowOff>
    </xdr:to>
    <xdr:sp macro="" textlink="">
      <xdr:nvSpPr>
        <xdr:cNvPr id="19" name="Rounded Rectangle 18"/>
        <xdr:cNvSpPr/>
      </xdr:nvSpPr>
      <xdr:spPr>
        <a:xfrm>
          <a:off x="3657600" y="3048000"/>
          <a:ext cx="847725" cy="1543050"/>
        </a:xfrm>
        <a:prstGeom prst="roundRect">
          <a:avLst/>
        </a:prstGeom>
        <a:ln w="952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Enron</a:t>
          </a:r>
        </a:p>
        <a:p>
          <a:pPr algn="ctr"/>
          <a:r>
            <a:rPr lang="en-GB" sz="1100"/>
            <a:t>Yr 2</a:t>
          </a:r>
        </a:p>
        <a:p>
          <a:pPr algn="ctr"/>
          <a:endParaRPr lang="en-GB" sz="1100"/>
        </a:p>
      </xdr:txBody>
    </xdr:sp>
    <xdr:clientData/>
  </xdr:twoCellAnchor>
  <xdr:twoCellAnchor>
    <xdr:from>
      <xdr:col>7</xdr:col>
      <xdr:colOff>266700</xdr:colOff>
      <xdr:row>16</xdr:row>
      <xdr:rowOff>0</xdr:rowOff>
    </xdr:from>
    <xdr:to>
      <xdr:col>8</xdr:col>
      <xdr:colOff>504825</xdr:colOff>
      <xdr:row>24</xdr:row>
      <xdr:rowOff>19050</xdr:rowOff>
    </xdr:to>
    <xdr:sp macro="" textlink="">
      <xdr:nvSpPr>
        <xdr:cNvPr id="20" name="Rounded Rectangle 19"/>
        <xdr:cNvSpPr/>
      </xdr:nvSpPr>
      <xdr:spPr>
        <a:xfrm>
          <a:off x="4533900" y="3048000"/>
          <a:ext cx="847725" cy="1543050"/>
        </a:xfrm>
        <a:prstGeom prst="roundRect">
          <a:avLst/>
        </a:prstGeom>
        <a:ln w="952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Enron</a:t>
          </a:r>
        </a:p>
        <a:p>
          <a:pPr algn="ctr"/>
          <a:r>
            <a:rPr lang="en-GB" sz="1100"/>
            <a:t>Yr 3</a:t>
          </a:r>
        </a:p>
        <a:p>
          <a:pPr algn="ctr"/>
          <a:endParaRPr lang="en-GB" sz="1100"/>
        </a:p>
      </xdr:txBody>
    </xdr:sp>
    <xdr:clientData/>
  </xdr:twoCellAnchor>
  <xdr:twoCellAnchor>
    <xdr:from>
      <xdr:col>9</xdr:col>
      <xdr:colOff>57150</xdr:colOff>
      <xdr:row>19</xdr:row>
      <xdr:rowOff>123825</xdr:rowOff>
    </xdr:from>
    <xdr:to>
      <xdr:col>14</xdr:col>
      <xdr:colOff>485775</xdr:colOff>
      <xdr:row>20</xdr:row>
      <xdr:rowOff>142875</xdr:rowOff>
    </xdr:to>
    <xdr:sp macro="" textlink="">
      <xdr:nvSpPr>
        <xdr:cNvPr id="21" name="Right Arrow 20"/>
        <xdr:cNvSpPr/>
      </xdr:nvSpPr>
      <xdr:spPr>
        <a:xfrm>
          <a:off x="5543550" y="3743325"/>
          <a:ext cx="3476625" cy="209550"/>
        </a:xfrm>
        <a:prstGeom prst="rightArrow">
          <a:avLst/>
        </a:prstGeom>
        <a:solidFill>
          <a:schemeClr val="bg1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30"/>
  <sheetViews>
    <sheetView showGridLines="0" tabSelected="1" zoomScale="90" zoomScaleNormal="90" workbookViewId="0">
      <selection activeCell="H34" sqref="H34"/>
    </sheetView>
  </sheetViews>
  <sheetFormatPr defaultRowHeight="15" x14ac:dyDescent="0.25"/>
  <cols>
    <col min="1" max="1" width="5" customWidth="1"/>
    <col min="2" max="2" width="31.5703125" customWidth="1"/>
  </cols>
  <sheetData>
    <row r="2" spans="2:6" ht="18.75" x14ac:dyDescent="0.3">
      <c r="B2" s="3" t="s">
        <v>68</v>
      </c>
    </row>
    <row r="3" spans="2:6" x14ac:dyDescent="0.25">
      <c r="B3" s="1" t="s">
        <v>84</v>
      </c>
    </row>
    <row r="5" spans="2:6" x14ac:dyDescent="0.25">
      <c r="B5" t="s">
        <v>0</v>
      </c>
      <c r="E5" s="2">
        <f>40521</f>
        <v>40521</v>
      </c>
    </row>
    <row r="6" spans="2:6" x14ac:dyDescent="0.25">
      <c r="B6" s="4" t="s">
        <v>1</v>
      </c>
      <c r="E6" s="12">
        <v>340</v>
      </c>
    </row>
    <row r="7" spans="2:6" x14ac:dyDescent="0.25">
      <c r="B7" s="13" t="s">
        <v>2</v>
      </c>
      <c r="C7" s="13"/>
      <c r="D7" s="13"/>
      <c r="E7" s="11">
        <f>E5-E6</f>
        <v>40181</v>
      </c>
    </row>
    <row r="8" spans="2:6" x14ac:dyDescent="0.25">
      <c r="B8" s="5" t="s">
        <v>6</v>
      </c>
      <c r="D8" s="2"/>
      <c r="E8" s="2"/>
    </row>
    <row r="9" spans="2:6" x14ac:dyDescent="0.25">
      <c r="B9" s="4" t="s">
        <v>7</v>
      </c>
      <c r="D9" s="2"/>
      <c r="E9" s="2">
        <v>30250</v>
      </c>
    </row>
    <row r="10" spans="2:6" x14ac:dyDescent="0.25">
      <c r="B10" s="4" t="s">
        <v>69</v>
      </c>
      <c r="D10" s="2"/>
      <c r="E10" s="2">
        <v>6035</v>
      </c>
    </row>
    <row r="11" spans="2:6" x14ac:dyDescent="0.25">
      <c r="B11" s="4" t="s">
        <v>8</v>
      </c>
      <c r="D11" s="2"/>
      <c r="E11" s="2">
        <v>125</v>
      </c>
    </row>
    <row r="12" spans="2:6" x14ac:dyDescent="0.25">
      <c r="B12" s="4" t="s">
        <v>9</v>
      </c>
      <c r="D12" s="2"/>
      <c r="E12" s="6">
        <v>360</v>
      </c>
    </row>
    <row r="13" spans="2:6" x14ac:dyDescent="0.25">
      <c r="B13" s="4"/>
      <c r="D13" s="2"/>
      <c r="E13" s="2">
        <f>SUM(E9:E12)</f>
        <v>36770</v>
      </c>
    </row>
    <row r="14" spans="2:6" ht="6.75" customHeight="1" x14ac:dyDescent="0.25">
      <c r="F14" s="8"/>
    </row>
    <row r="15" spans="2:6" x14ac:dyDescent="0.25">
      <c r="B15" s="9" t="s">
        <v>3</v>
      </c>
      <c r="C15" s="10"/>
      <c r="D15" s="10"/>
      <c r="E15" s="11">
        <f>E7-E13</f>
        <v>3411</v>
      </c>
    </row>
    <row r="16" spans="2:6" ht="9" customHeight="1" x14ac:dyDescent="0.25"/>
    <row r="17" spans="2:5" x14ac:dyDescent="0.25">
      <c r="B17" s="5" t="s">
        <v>4</v>
      </c>
    </row>
    <row r="18" spans="2:5" x14ac:dyDescent="0.25">
      <c r="B18" s="4" t="s">
        <v>5</v>
      </c>
      <c r="E18" s="2">
        <v>290</v>
      </c>
    </row>
    <row r="19" spans="2:5" x14ac:dyDescent="0.25">
      <c r="B19" s="4" t="s">
        <v>10</v>
      </c>
      <c r="E19" s="2">
        <v>644</v>
      </c>
    </row>
    <row r="20" spans="2:5" x14ac:dyDescent="0.25">
      <c r="B20" s="4" t="s">
        <v>11</v>
      </c>
      <c r="E20" s="2">
        <v>540</v>
      </c>
    </row>
    <row r="21" spans="2:5" x14ac:dyDescent="0.25">
      <c r="B21" s="4" t="s">
        <v>12</v>
      </c>
      <c r="E21" s="6">
        <v>890</v>
      </c>
    </row>
    <row r="22" spans="2:5" x14ac:dyDescent="0.25">
      <c r="E22" s="8">
        <f>SUM(E18:E21)</f>
        <v>2364</v>
      </c>
    </row>
    <row r="23" spans="2:5" ht="6.75" customHeight="1" x14ac:dyDescent="0.25"/>
    <row r="24" spans="2:5" x14ac:dyDescent="0.25">
      <c r="B24" s="9" t="s">
        <v>14</v>
      </c>
      <c r="C24" s="10"/>
      <c r="D24" s="10"/>
      <c r="E24" s="11">
        <f>E15-E22</f>
        <v>1047</v>
      </c>
    </row>
    <row r="25" spans="2:5" x14ac:dyDescent="0.25">
      <c r="B25" s="4" t="s">
        <v>16</v>
      </c>
      <c r="E25" s="2">
        <v>195</v>
      </c>
    </row>
    <row r="26" spans="2:5" x14ac:dyDescent="0.25">
      <c r="B26" s="9" t="s">
        <v>13</v>
      </c>
      <c r="C26" s="10"/>
      <c r="D26" s="10"/>
      <c r="E26" s="11">
        <f>E24-E25</f>
        <v>852</v>
      </c>
    </row>
    <row r="27" spans="2:5" x14ac:dyDescent="0.25">
      <c r="B27" s="4" t="s">
        <v>15</v>
      </c>
      <c r="E27">
        <v>78</v>
      </c>
    </row>
    <row r="28" spans="2:5" x14ac:dyDescent="0.25">
      <c r="B28" s="7" t="s">
        <v>70</v>
      </c>
      <c r="E28" s="8">
        <f>E26-E27</f>
        <v>774</v>
      </c>
    </row>
    <row r="29" spans="2:5" x14ac:dyDescent="0.25">
      <c r="B29" s="4" t="s">
        <v>17</v>
      </c>
      <c r="E29" s="2">
        <v>73</v>
      </c>
    </row>
    <row r="30" spans="2:5" x14ac:dyDescent="0.25">
      <c r="B30" s="9" t="s">
        <v>71</v>
      </c>
      <c r="C30" s="10"/>
      <c r="D30" s="10"/>
      <c r="E30" s="11">
        <f>E28-E29</f>
        <v>701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63"/>
  <sheetViews>
    <sheetView showGridLines="0" workbookViewId="0">
      <selection activeCell="N33" sqref="N33"/>
    </sheetView>
  </sheetViews>
  <sheetFormatPr defaultRowHeight="12.75" x14ac:dyDescent="0.2"/>
  <cols>
    <col min="1" max="1" width="8.28515625" style="14" customWidth="1"/>
    <col min="2" max="2" width="9.140625" style="14"/>
    <col min="3" max="3" width="13.5703125" style="14" customWidth="1"/>
    <col min="4" max="4" width="16" style="14" customWidth="1"/>
    <col min="5" max="8" width="9.140625" style="14"/>
    <col min="9" max="9" width="3.28515625" style="14" customWidth="1"/>
    <col min="10" max="16384" width="9.140625" style="14"/>
  </cols>
  <sheetData>
    <row r="1" spans="1:13" x14ac:dyDescent="0.2">
      <c r="A1" s="15"/>
      <c r="B1" s="15" t="s">
        <v>18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1:13" ht="15" x14ac:dyDescent="0.25">
      <c r="B2" s="26" t="s">
        <v>31</v>
      </c>
    </row>
    <row r="5" spans="1:13" ht="15" x14ac:dyDescent="0.25">
      <c r="D5" s="24" t="s">
        <v>30</v>
      </c>
      <c r="E5" s="24">
        <v>41609</v>
      </c>
      <c r="F5" s="24">
        <v>41974</v>
      </c>
      <c r="G5" s="24">
        <v>42339</v>
      </c>
      <c r="H5" s="24">
        <v>42370</v>
      </c>
    </row>
    <row r="6" spans="1:13" x14ac:dyDescent="0.2">
      <c r="A6" s="17"/>
      <c r="B6" s="16" t="s">
        <v>24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</row>
    <row r="7" spans="1:13" x14ac:dyDescent="0.2">
      <c r="A7" s="20">
        <v>1.01</v>
      </c>
      <c r="C7" s="14" t="s">
        <v>19</v>
      </c>
      <c r="E7" s="18">
        <v>14.217000000000001</v>
      </c>
      <c r="F7" s="18">
        <v>14.217000000000001</v>
      </c>
      <c r="G7" s="18">
        <v>15</v>
      </c>
      <c r="H7" s="18">
        <v>15</v>
      </c>
      <c r="J7" s="25" t="s">
        <v>20</v>
      </c>
    </row>
    <row r="8" spans="1:13" x14ac:dyDescent="0.2">
      <c r="A8" s="20"/>
      <c r="J8" s="25"/>
    </row>
    <row r="9" spans="1:13" x14ac:dyDescent="0.2">
      <c r="A9" s="20">
        <v>1.02</v>
      </c>
      <c r="C9" s="14" t="s">
        <v>85</v>
      </c>
      <c r="E9" s="19">
        <v>2850</v>
      </c>
      <c r="F9" s="19">
        <v>2900</v>
      </c>
      <c r="G9" s="19">
        <v>2740</v>
      </c>
      <c r="H9" s="19">
        <v>2695</v>
      </c>
      <c r="J9" s="25" t="s">
        <v>53</v>
      </c>
    </row>
    <row r="10" spans="1:13" x14ac:dyDescent="0.2">
      <c r="A10" s="20"/>
      <c r="J10" s="25"/>
    </row>
    <row r="11" spans="1:13" x14ac:dyDescent="0.2">
      <c r="A11" s="20">
        <v>1.03</v>
      </c>
      <c r="C11" s="14" t="s">
        <v>72</v>
      </c>
      <c r="E11" s="19">
        <v>9</v>
      </c>
      <c r="F11" s="19">
        <v>15</v>
      </c>
      <c r="G11" s="19">
        <v>9</v>
      </c>
      <c r="H11" s="19">
        <v>6</v>
      </c>
      <c r="J11" s="25" t="s">
        <v>23</v>
      </c>
    </row>
    <row r="12" spans="1:13" x14ac:dyDescent="0.2">
      <c r="A12" s="20"/>
      <c r="J12" s="25"/>
    </row>
    <row r="13" spans="1:13" x14ac:dyDescent="0.2">
      <c r="A13" s="20">
        <v>1.04</v>
      </c>
      <c r="C13" s="14" t="s">
        <v>21</v>
      </c>
      <c r="E13" s="23">
        <v>5.2300000000000003E-3</v>
      </c>
      <c r="F13" s="23">
        <v>5.0000000000000001E-3</v>
      </c>
      <c r="G13" s="23">
        <v>5.0000000000000001E-3</v>
      </c>
      <c r="H13" s="23">
        <v>5.0000000000000001E-3</v>
      </c>
      <c r="J13" s="25" t="s">
        <v>22</v>
      </c>
    </row>
    <row r="14" spans="1:13" x14ac:dyDescent="0.2">
      <c r="A14" s="20"/>
    </row>
    <row r="15" spans="1:13" x14ac:dyDescent="0.2">
      <c r="A15" s="17"/>
      <c r="B15" s="16" t="s">
        <v>25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</row>
    <row r="16" spans="1:13" x14ac:dyDescent="0.2">
      <c r="A16" s="20"/>
      <c r="C16" s="22" t="s">
        <v>86</v>
      </c>
    </row>
    <row r="17" spans="1:10" x14ac:dyDescent="0.2">
      <c r="A17" s="20">
        <v>2.0099999999999998</v>
      </c>
      <c r="C17" s="21" t="s">
        <v>73</v>
      </c>
      <c r="E17" s="19">
        <v>605</v>
      </c>
      <c r="F17" s="19">
        <v>420</v>
      </c>
      <c r="G17" s="19">
        <v>500</v>
      </c>
      <c r="H17" s="19">
        <v>500</v>
      </c>
      <c r="J17" s="25" t="s">
        <v>29</v>
      </c>
    </row>
    <row r="18" spans="1:10" x14ac:dyDescent="0.2">
      <c r="A18" s="20">
        <v>2.02</v>
      </c>
      <c r="C18" s="21" t="s">
        <v>74</v>
      </c>
      <c r="E18" s="19">
        <v>500</v>
      </c>
      <c r="F18" s="19">
        <v>500</v>
      </c>
      <c r="G18" s="19">
        <v>100</v>
      </c>
      <c r="H18" s="19">
        <v>200</v>
      </c>
      <c r="J18" s="25" t="s">
        <v>29</v>
      </c>
    </row>
    <row r="19" spans="1:10" x14ac:dyDescent="0.2">
      <c r="A19" s="20">
        <v>2.0299999999999998</v>
      </c>
      <c r="C19" s="21" t="s">
        <v>75</v>
      </c>
      <c r="E19" s="19">
        <v>2000</v>
      </c>
      <c r="F19" s="19">
        <v>2000</v>
      </c>
      <c r="G19" s="19">
        <v>2000</v>
      </c>
      <c r="H19" s="19">
        <v>2000</v>
      </c>
      <c r="J19" s="25" t="s">
        <v>29</v>
      </c>
    </row>
    <row r="20" spans="1:10" x14ac:dyDescent="0.2">
      <c r="A20" s="20"/>
      <c r="J20" s="25"/>
    </row>
    <row r="21" spans="1:10" x14ac:dyDescent="0.2">
      <c r="A21" s="20"/>
      <c r="C21" s="22" t="s">
        <v>80</v>
      </c>
      <c r="J21" s="25"/>
    </row>
    <row r="22" spans="1:10" x14ac:dyDescent="0.2">
      <c r="A22" s="20">
        <v>2.04</v>
      </c>
      <c r="C22" s="21" t="s">
        <v>26</v>
      </c>
      <c r="E22" s="18">
        <v>10</v>
      </c>
      <c r="F22" s="18">
        <v>10</v>
      </c>
      <c r="G22" s="18">
        <v>10</v>
      </c>
      <c r="H22" s="18">
        <v>10</v>
      </c>
      <c r="J22" s="25" t="s">
        <v>29</v>
      </c>
    </row>
    <row r="23" spans="1:10" x14ac:dyDescent="0.2">
      <c r="A23" s="20">
        <v>2.0499999999999998</v>
      </c>
      <c r="C23" s="21" t="s">
        <v>27</v>
      </c>
      <c r="E23" s="18">
        <v>12</v>
      </c>
      <c r="F23" s="18">
        <v>12</v>
      </c>
      <c r="G23" s="18">
        <v>12</v>
      </c>
      <c r="H23" s="18">
        <v>12</v>
      </c>
      <c r="J23" s="25" t="s">
        <v>29</v>
      </c>
    </row>
    <row r="24" spans="1:10" x14ac:dyDescent="0.2">
      <c r="A24" s="20">
        <v>2.06</v>
      </c>
      <c r="C24" s="21" t="s">
        <v>28</v>
      </c>
      <c r="E24" s="18">
        <v>9.1</v>
      </c>
      <c r="F24" s="18">
        <v>9.1</v>
      </c>
      <c r="G24" s="18">
        <v>9.1</v>
      </c>
      <c r="H24" s="18">
        <v>9.1</v>
      </c>
      <c r="J24" s="25" t="s">
        <v>29</v>
      </c>
    </row>
    <row r="25" spans="1:10" x14ac:dyDescent="0.2">
      <c r="A25" s="20"/>
      <c r="J25" s="25"/>
    </row>
    <row r="26" spans="1:10" x14ac:dyDescent="0.2">
      <c r="A26" s="20">
        <v>2.0699999999999998</v>
      </c>
      <c r="C26" s="22" t="s">
        <v>79</v>
      </c>
      <c r="J26" s="25"/>
    </row>
    <row r="27" spans="1:10" x14ac:dyDescent="0.2">
      <c r="A27" s="20">
        <v>2.08</v>
      </c>
      <c r="C27" s="14" t="s">
        <v>81</v>
      </c>
      <c r="E27" s="18">
        <v>8.5</v>
      </c>
      <c r="F27" s="18">
        <v>8.7550000000000008</v>
      </c>
      <c r="G27" s="18">
        <v>9.0176500000000015</v>
      </c>
      <c r="H27" s="18">
        <v>9.2881795000000018</v>
      </c>
      <c r="J27" s="25" t="s">
        <v>77</v>
      </c>
    </row>
    <row r="28" spans="1:10" x14ac:dyDescent="0.2">
      <c r="A28" s="20">
        <v>2.09</v>
      </c>
      <c r="C28" s="14" t="s">
        <v>82</v>
      </c>
      <c r="E28" s="19">
        <v>710</v>
      </c>
      <c r="F28" s="19">
        <v>740</v>
      </c>
      <c r="G28" s="19">
        <v>650</v>
      </c>
      <c r="H28" s="19">
        <v>641</v>
      </c>
      <c r="J28" s="25" t="s">
        <v>77</v>
      </c>
    </row>
    <row r="29" spans="1:10" x14ac:dyDescent="0.2">
      <c r="A29" s="20"/>
    </row>
    <row r="30" spans="1:10" x14ac:dyDescent="0.2">
      <c r="A30" s="20"/>
    </row>
    <row r="31" spans="1:10" x14ac:dyDescent="0.2">
      <c r="A31" s="20"/>
    </row>
    <row r="32" spans="1:10" x14ac:dyDescent="0.2">
      <c r="A32" s="20"/>
    </row>
    <row r="33" spans="1:1" x14ac:dyDescent="0.2">
      <c r="A33" s="20"/>
    </row>
    <row r="34" spans="1:1" x14ac:dyDescent="0.2">
      <c r="A34" s="20"/>
    </row>
    <row r="35" spans="1:1" x14ac:dyDescent="0.2">
      <c r="A35" s="20"/>
    </row>
    <row r="36" spans="1:1" x14ac:dyDescent="0.2">
      <c r="A36" s="20"/>
    </row>
    <row r="37" spans="1:1" x14ac:dyDescent="0.2">
      <c r="A37" s="20"/>
    </row>
    <row r="38" spans="1:1" x14ac:dyDescent="0.2">
      <c r="A38" s="20"/>
    </row>
    <row r="39" spans="1:1" x14ac:dyDescent="0.2">
      <c r="A39" s="20"/>
    </row>
    <row r="40" spans="1:1" x14ac:dyDescent="0.2">
      <c r="A40" s="20"/>
    </row>
    <row r="41" spans="1:1" x14ac:dyDescent="0.2">
      <c r="A41" s="20"/>
    </row>
    <row r="42" spans="1:1" x14ac:dyDescent="0.2">
      <c r="A42" s="20"/>
    </row>
    <row r="43" spans="1:1" x14ac:dyDescent="0.2">
      <c r="A43" s="20"/>
    </row>
    <row r="44" spans="1:1" x14ac:dyDescent="0.2">
      <c r="A44" s="20"/>
    </row>
    <row r="45" spans="1:1" x14ac:dyDescent="0.2">
      <c r="A45" s="20"/>
    </row>
    <row r="46" spans="1:1" x14ac:dyDescent="0.2">
      <c r="A46" s="20"/>
    </row>
    <row r="47" spans="1:1" x14ac:dyDescent="0.2">
      <c r="A47" s="20"/>
    </row>
    <row r="48" spans="1:1" x14ac:dyDescent="0.2">
      <c r="A48" s="20"/>
    </row>
    <row r="49" spans="1:1" x14ac:dyDescent="0.2">
      <c r="A49" s="20"/>
    </row>
    <row r="50" spans="1:1" x14ac:dyDescent="0.2">
      <c r="A50" s="20"/>
    </row>
    <row r="51" spans="1:1" x14ac:dyDescent="0.2">
      <c r="A51" s="20"/>
    </row>
    <row r="52" spans="1:1" x14ac:dyDescent="0.2">
      <c r="A52" s="20"/>
    </row>
    <row r="53" spans="1:1" x14ac:dyDescent="0.2">
      <c r="A53" s="20"/>
    </row>
    <row r="54" spans="1:1" x14ac:dyDescent="0.2">
      <c r="A54" s="20"/>
    </row>
    <row r="55" spans="1:1" x14ac:dyDescent="0.2">
      <c r="A55" s="20"/>
    </row>
    <row r="56" spans="1:1" x14ac:dyDescent="0.2">
      <c r="A56" s="20"/>
    </row>
    <row r="57" spans="1:1" x14ac:dyDescent="0.2">
      <c r="A57" s="20"/>
    </row>
    <row r="58" spans="1:1" x14ac:dyDescent="0.2">
      <c r="A58" s="20"/>
    </row>
    <row r="59" spans="1:1" x14ac:dyDescent="0.2">
      <c r="A59" s="20"/>
    </row>
    <row r="60" spans="1:1" x14ac:dyDescent="0.2">
      <c r="A60" s="20"/>
    </row>
    <row r="61" spans="1:1" x14ac:dyDescent="0.2">
      <c r="A61" s="20"/>
    </row>
    <row r="62" spans="1:1" x14ac:dyDescent="0.2">
      <c r="A62" s="20"/>
    </row>
    <row r="63" spans="1:1" x14ac:dyDescent="0.2">
      <c r="A63" s="20"/>
    </row>
    <row r="64" spans="1:1" x14ac:dyDescent="0.2">
      <c r="A64" s="20"/>
    </row>
    <row r="65" spans="1:1" x14ac:dyDescent="0.2">
      <c r="A65" s="20"/>
    </row>
    <row r="66" spans="1:1" x14ac:dyDescent="0.2">
      <c r="A66" s="20"/>
    </row>
    <row r="67" spans="1:1" x14ac:dyDescent="0.2">
      <c r="A67" s="20"/>
    </row>
    <row r="68" spans="1:1" x14ac:dyDescent="0.2">
      <c r="A68" s="20"/>
    </row>
    <row r="69" spans="1:1" x14ac:dyDescent="0.2">
      <c r="A69" s="20"/>
    </row>
    <row r="70" spans="1:1" x14ac:dyDescent="0.2">
      <c r="A70" s="20"/>
    </row>
    <row r="71" spans="1:1" x14ac:dyDescent="0.2">
      <c r="A71" s="20"/>
    </row>
    <row r="72" spans="1:1" x14ac:dyDescent="0.2">
      <c r="A72" s="20"/>
    </row>
    <row r="73" spans="1:1" x14ac:dyDescent="0.2">
      <c r="A73" s="20"/>
    </row>
    <row r="74" spans="1:1" x14ac:dyDescent="0.2">
      <c r="A74" s="20"/>
    </row>
    <row r="75" spans="1:1" x14ac:dyDescent="0.2">
      <c r="A75" s="20"/>
    </row>
    <row r="76" spans="1:1" x14ac:dyDescent="0.2">
      <c r="A76" s="20"/>
    </row>
    <row r="77" spans="1:1" x14ac:dyDescent="0.2">
      <c r="A77" s="20"/>
    </row>
    <row r="78" spans="1:1" x14ac:dyDescent="0.2">
      <c r="A78" s="20"/>
    </row>
    <row r="79" spans="1:1" x14ac:dyDescent="0.2">
      <c r="A79" s="20"/>
    </row>
    <row r="80" spans="1:1" x14ac:dyDescent="0.2">
      <c r="A80" s="20"/>
    </row>
    <row r="81" spans="1:1" x14ac:dyDescent="0.2">
      <c r="A81" s="20"/>
    </row>
    <row r="82" spans="1:1" x14ac:dyDescent="0.2">
      <c r="A82" s="20"/>
    </row>
    <row r="83" spans="1:1" x14ac:dyDescent="0.2">
      <c r="A83" s="20"/>
    </row>
    <row r="84" spans="1:1" x14ac:dyDescent="0.2">
      <c r="A84" s="20"/>
    </row>
    <row r="85" spans="1:1" x14ac:dyDescent="0.2">
      <c r="A85" s="20"/>
    </row>
    <row r="86" spans="1:1" x14ac:dyDescent="0.2">
      <c r="A86" s="20"/>
    </row>
    <row r="87" spans="1:1" x14ac:dyDescent="0.2">
      <c r="A87" s="20"/>
    </row>
    <row r="88" spans="1:1" x14ac:dyDescent="0.2">
      <c r="A88" s="20"/>
    </row>
    <row r="89" spans="1:1" x14ac:dyDescent="0.2">
      <c r="A89" s="20"/>
    </row>
    <row r="90" spans="1:1" x14ac:dyDescent="0.2">
      <c r="A90" s="20"/>
    </row>
    <row r="91" spans="1:1" x14ac:dyDescent="0.2">
      <c r="A91" s="20"/>
    </row>
    <row r="92" spans="1:1" x14ac:dyDescent="0.2">
      <c r="A92" s="20"/>
    </row>
    <row r="93" spans="1:1" x14ac:dyDescent="0.2">
      <c r="A93" s="20"/>
    </row>
    <row r="94" spans="1:1" x14ac:dyDescent="0.2">
      <c r="A94" s="20"/>
    </row>
    <row r="95" spans="1:1" x14ac:dyDescent="0.2">
      <c r="A95" s="20"/>
    </row>
    <row r="96" spans="1:1" x14ac:dyDescent="0.2">
      <c r="A96" s="20"/>
    </row>
    <row r="97" spans="1:1" x14ac:dyDescent="0.2">
      <c r="A97" s="20"/>
    </row>
    <row r="98" spans="1:1" x14ac:dyDescent="0.2">
      <c r="A98" s="20"/>
    </row>
    <row r="99" spans="1:1" x14ac:dyDescent="0.2">
      <c r="A99" s="20"/>
    </row>
    <row r="100" spans="1:1" x14ac:dyDescent="0.2">
      <c r="A100" s="20"/>
    </row>
    <row r="101" spans="1:1" x14ac:dyDescent="0.2">
      <c r="A101" s="20"/>
    </row>
    <row r="102" spans="1:1" x14ac:dyDescent="0.2">
      <c r="A102" s="20"/>
    </row>
    <row r="103" spans="1:1" x14ac:dyDescent="0.2">
      <c r="A103" s="20"/>
    </row>
    <row r="104" spans="1:1" x14ac:dyDescent="0.2">
      <c r="A104" s="20"/>
    </row>
    <row r="105" spans="1:1" x14ac:dyDescent="0.2">
      <c r="A105" s="20"/>
    </row>
    <row r="106" spans="1:1" x14ac:dyDescent="0.2">
      <c r="A106" s="20"/>
    </row>
    <row r="107" spans="1:1" x14ac:dyDescent="0.2">
      <c r="A107" s="20"/>
    </row>
    <row r="108" spans="1:1" x14ac:dyDescent="0.2">
      <c r="A108" s="20"/>
    </row>
    <row r="109" spans="1:1" x14ac:dyDescent="0.2">
      <c r="A109" s="20"/>
    </row>
    <row r="110" spans="1:1" x14ac:dyDescent="0.2">
      <c r="A110" s="20"/>
    </row>
    <row r="111" spans="1:1" x14ac:dyDescent="0.2">
      <c r="A111" s="20"/>
    </row>
    <row r="112" spans="1:1" x14ac:dyDescent="0.2">
      <c r="A112" s="20"/>
    </row>
    <row r="113" spans="1:1" x14ac:dyDescent="0.2">
      <c r="A113" s="20"/>
    </row>
    <row r="114" spans="1:1" x14ac:dyDescent="0.2">
      <c r="A114" s="20"/>
    </row>
    <row r="115" spans="1:1" x14ac:dyDescent="0.2">
      <c r="A115" s="20"/>
    </row>
    <row r="116" spans="1:1" x14ac:dyDescent="0.2">
      <c r="A116" s="20"/>
    </row>
    <row r="117" spans="1:1" x14ac:dyDescent="0.2">
      <c r="A117" s="20"/>
    </row>
    <row r="118" spans="1:1" x14ac:dyDescent="0.2">
      <c r="A118" s="20"/>
    </row>
    <row r="119" spans="1:1" x14ac:dyDescent="0.2">
      <c r="A119" s="20"/>
    </row>
    <row r="120" spans="1:1" x14ac:dyDescent="0.2">
      <c r="A120" s="20"/>
    </row>
    <row r="121" spans="1:1" x14ac:dyDescent="0.2">
      <c r="A121" s="20"/>
    </row>
    <row r="122" spans="1:1" x14ac:dyDescent="0.2">
      <c r="A122" s="20"/>
    </row>
    <row r="123" spans="1:1" x14ac:dyDescent="0.2">
      <c r="A123" s="20"/>
    </row>
    <row r="124" spans="1:1" x14ac:dyDescent="0.2">
      <c r="A124" s="20"/>
    </row>
    <row r="125" spans="1:1" x14ac:dyDescent="0.2">
      <c r="A125" s="20"/>
    </row>
    <row r="126" spans="1:1" x14ac:dyDescent="0.2">
      <c r="A126" s="20"/>
    </row>
    <row r="127" spans="1:1" x14ac:dyDescent="0.2">
      <c r="A127" s="20"/>
    </row>
    <row r="128" spans="1:1" x14ac:dyDescent="0.2">
      <c r="A128" s="20"/>
    </row>
    <row r="129" spans="1:1" x14ac:dyDescent="0.2">
      <c r="A129" s="20"/>
    </row>
    <row r="130" spans="1:1" x14ac:dyDescent="0.2">
      <c r="A130" s="20"/>
    </row>
    <row r="131" spans="1:1" x14ac:dyDescent="0.2">
      <c r="A131" s="20"/>
    </row>
    <row r="132" spans="1:1" x14ac:dyDescent="0.2">
      <c r="A132" s="20"/>
    </row>
    <row r="133" spans="1:1" x14ac:dyDescent="0.2">
      <c r="A133" s="20"/>
    </row>
    <row r="134" spans="1:1" x14ac:dyDescent="0.2">
      <c r="A134" s="20"/>
    </row>
    <row r="135" spans="1:1" x14ac:dyDescent="0.2">
      <c r="A135" s="20"/>
    </row>
    <row r="136" spans="1:1" x14ac:dyDescent="0.2">
      <c r="A136" s="20"/>
    </row>
    <row r="137" spans="1:1" x14ac:dyDescent="0.2">
      <c r="A137" s="20"/>
    </row>
    <row r="138" spans="1:1" x14ac:dyDescent="0.2">
      <c r="A138" s="20"/>
    </row>
    <row r="139" spans="1:1" x14ac:dyDescent="0.2">
      <c r="A139" s="20"/>
    </row>
    <row r="140" spans="1:1" x14ac:dyDescent="0.2">
      <c r="A140" s="20"/>
    </row>
    <row r="141" spans="1:1" x14ac:dyDescent="0.2">
      <c r="A141" s="20"/>
    </row>
    <row r="142" spans="1:1" x14ac:dyDescent="0.2">
      <c r="A142" s="20"/>
    </row>
    <row r="143" spans="1:1" x14ac:dyDescent="0.2">
      <c r="A143" s="20"/>
    </row>
    <row r="144" spans="1:1" x14ac:dyDescent="0.2">
      <c r="A144" s="20"/>
    </row>
    <row r="145" spans="1:1" x14ac:dyDescent="0.2">
      <c r="A145" s="20"/>
    </row>
    <row r="146" spans="1:1" x14ac:dyDescent="0.2">
      <c r="A146" s="20"/>
    </row>
    <row r="147" spans="1:1" x14ac:dyDescent="0.2">
      <c r="A147" s="20"/>
    </row>
    <row r="148" spans="1:1" x14ac:dyDescent="0.2">
      <c r="A148" s="20"/>
    </row>
    <row r="149" spans="1:1" x14ac:dyDescent="0.2">
      <c r="A149" s="20"/>
    </row>
    <row r="150" spans="1:1" x14ac:dyDescent="0.2">
      <c r="A150" s="20"/>
    </row>
    <row r="151" spans="1:1" x14ac:dyDescent="0.2">
      <c r="A151" s="20"/>
    </row>
    <row r="152" spans="1:1" x14ac:dyDescent="0.2">
      <c r="A152" s="20"/>
    </row>
    <row r="153" spans="1:1" x14ac:dyDescent="0.2">
      <c r="A153" s="20"/>
    </row>
    <row r="154" spans="1:1" x14ac:dyDescent="0.2">
      <c r="A154" s="20"/>
    </row>
    <row r="155" spans="1:1" x14ac:dyDescent="0.2">
      <c r="A155" s="20"/>
    </row>
    <row r="156" spans="1:1" x14ac:dyDescent="0.2">
      <c r="A156" s="20"/>
    </row>
    <row r="157" spans="1:1" x14ac:dyDescent="0.2">
      <c r="A157" s="20"/>
    </row>
    <row r="158" spans="1:1" x14ac:dyDescent="0.2">
      <c r="A158" s="20"/>
    </row>
    <row r="159" spans="1:1" x14ac:dyDescent="0.2">
      <c r="A159" s="20"/>
    </row>
    <row r="160" spans="1:1" x14ac:dyDescent="0.2">
      <c r="A160" s="20"/>
    </row>
    <row r="161" spans="1:1" x14ac:dyDescent="0.2">
      <c r="A161" s="20"/>
    </row>
    <row r="162" spans="1:1" x14ac:dyDescent="0.2">
      <c r="A162" s="20"/>
    </row>
    <row r="163" spans="1:1" x14ac:dyDescent="0.2">
      <c r="A163" s="20"/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73"/>
  <sheetViews>
    <sheetView showGridLines="0" zoomScale="90" zoomScaleNormal="90" workbookViewId="0">
      <selection activeCell="F24" sqref="F24"/>
    </sheetView>
  </sheetViews>
  <sheetFormatPr defaultRowHeight="12.75" x14ac:dyDescent="0.2"/>
  <cols>
    <col min="1" max="1" width="13.5703125" style="14" customWidth="1"/>
    <col min="2" max="2" width="9.140625" style="14"/>
    <col min="3" max="3" width="13.5703125" style="14" customWidth="1"/>
    <col min="4" max="4" width="21.28515625" style="14" customWidth="1"/>
    <col min="5" max="8" width="9.140625" style="14"/>
    <col min="9" max="9" width="3.28515625" style="14" customWidth="1"/>
    <col min="10" max="16384" width="9.140625" style="14"/>
  </cols>
  <sheetData>
    <row r="1" spans="1:15" x14ac:dyDescent="0.2">
      <c r="A1" s="15"/>
      <c r="B1" s="15" t="s">
        <v>18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 ht="15" x14ac:dyDescent="0.25">
      <c r="B2" s="26" t="s">
        <v>32</v>
      </c>
    </row>
    <row r="5" spans="1:15" ht="15" x14ac:dyDescent="0.25">
      <c r="D5" s="24" t="s">
        <v>30</v>
      </c>
      <c r="E5" s="24">
        <v>41609</v>
      </c>
      <c r="F5" s="24">
        <v>41974</v>
      </c>
      <c r="G5" s="24">
        <v>42339</v>
      </c>
      <c r="H5" s="24">
        <v>42370</v>
      </c>
    </row>
    <row r="6" spans="1:15" x14ac:dyDescent="0.2">
      <c r="A6" s="17"/>
      <c r="B6" s="16" t="s">
        <v>50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</row>
    <row r="7" spans="1:15" x14ac:dyDescent="0.2">
      <c r="A7" s="20">
        <f>'Figure 10-2'!A7</f>
        <v>1.01</v>
      </c>
      <c r="C7" s="14" t="s">
        <v>19</v>
      </c>
      <c r="D7" s="31"/>
      <c r="E7" s="32">
        <f>'Figure 10-2'!E7</f>
        <v>14.217000000000001</v>
      </c>
      <c r="F7" s="32">
        <f>'Figure 10-2'!F7</f>
        <v>14.217000000000001</v>
      </c>
      <c r="G7" s="32">
        <f>'Figure 10-2'!G7</f>
        <v>15</v>
      </c>
      <c r="H7" s="32">
        <f>'Figure 10-2'!H7</f>
        <v>15</v>
      </c>
    </row>
    <row r="8" spans="1:15" x14ac:dyDescent="0.2">
      <c r="A8" s="20">
        <f>'Figure 10-2'!A9</f>
        <v>1.02</v>
      </c>
      <c r="C8" s="14" t="s">
        <v>85</v>
      </c>
      <c r="D8" s="31"/>
      <c r="E8" s="33">
        <f>'Figure 10-2'!E9</f>
        <v>2850</v>
      </c>
      <c r="F8" s="33">
        <f>'Figure 10-2'!F9</f>
        <v>2900</v>
      </c>
      <c r="G8" s="33">
        <f>'Figure 10-2'!G9</f>
        <v>2740</v>
      </c>
      <c r="H8" s="33">
        <f>'Figure 10-2'!H9</f>
        <v>2695</v>
      </c>
    </row>
    <row r="9" spans="1:15" x14ac:dyDescent="0.2">
      <c r="A9" s="20">
        <f>'Figure 10-2'!A11</f>
        <v>1.03</v>
      </c>
      <c r="C9" s="14" t="s">
        <v>72</v>
      </c>
      <c r="D9" s="31"/>
      <c r="E9" s="33">
        <f>'Figure 10-2'!E11</f>
        <v>9</v>
      </c>
      <c r="F9" s="33">
        <f>'Figure 10-2'!F11</f>
        <v>15</v>
      </c>
      <c r="G9" s="33">
        <f>'Figure 10-2'!G11</f>
        <v>9</v>
      </c>
      <c r="H9" s="33">
        <f>'Figure 10-2'!H11</f>
        <v>6</v>
      </c>
    </row>
    <row r="10" spans="1:15" x14ac:dyDescent="0.2">
      <c r="A10" s="20">
        <f>'Figure 10-2'!A13</f>
        <v>1.04</v>
      </c>
      <c r="C10" s="14" t="s">
        <v>21</v>
      </c>
      <c r="D10" s="31"/>
      <c r="E10" s="34">
        <f>'Figure 10-2'!E13</f>
        <v>5.2300000000000003E-3</v>
      </c>
      <c r="F10" s="34">
        <f>'Figure 10-2'!F13</f>
        <v>5.0000000000000001E-3</v>
      </c>
      <c r="G10" s="34">
        <f>'Figure 10-2'!G13</f>
        <v>5.0000000000000001E-3</v>
      </c>
      <c r="H10" s="34">
        <f>'Figure 10-2'!H13</f>
        <v>5.0000000000000001E-3</v>
      </c>
    </row>
    <row r="11" spans="1:15" ht="15" x14ac:dyDescent="0.25">
      <c r="A11" s="20"/>
      <c r="D11" s="30"/>
      <c r="E11" s="30"/>
      <c r="F11" s="30"/>
      <c r="G11" s="30"/>
      <c r="H11" s="30"/>
    </row>
    <row r="12" spans="1:15" ht="15" x14ac:dyDescent="0.25">
      <c r="A12" s="20">
        <f>'Figure 10-2'!A17</f>
        <v>2.0099999999999998</v>
      </c>
      <c r="C12" s="14" t="s">
        <v>73</v>
      </c>
      <c r="D12" s="30"/>
      <c r="E12" s="33">
        <f>'Figure 10-2'!E17</f>
        <v>605</v>
      </c>
      <c r="F12" s="33">
        <f>'Figure 10-2'!F17</f>
        <v>420</v>
      </c>
      <c r="G12" s="33">
        <f>'Figure 10-2'!G17</f>
        <v>500</v>
      </c>
      <c r="H12" s="33">
        <f>'Figure 10-2'!H17</f>
        <v>500</v>
      </c>
    </row>
    <row r="13" spans="1:15" ht="15" x14ac:dyDescent="0.25">
      <c r="A13" s="20">
        <f>'Figure 10-2'!A18</f>
        <v>2.02</v>
      </c>
      <c r="C13" s="14" t="s">
        <v>74</v>
      </c>
      <c r="D13" s="30"/>
      <c r="E13" s="33">
        <f>'Figure 10-2'!E18</f>
        <v>500</v>
      </c>
      <c r="F13" s="33">
        <f>'Figure 10-2'!F18</f>
        <v>500</v>
      </c>
      <c r="G13" s="33">
        <f>'Figure 10-2'!G18</f>
        <v>100</v>
      </c>
      <c r="H13" s="33">
        <f>'Figure 10-2'!H18</f>
        <v>200</v>
      </c>
    </row>
    <row r="14" spans="1:15" ht="15" x14ac:dyDescent="0.25">
      <c r="A14" s="20">
        <f>'Figure 10-2'!A19</f>
        <v>2.0299999999999998</v>
      </c>
      <c r="C14" s="14" t="s">
        <v>75</v>
      </c>
      <c r="D14" s="30"/>
      <c r="E14" s="33">
        <f>'Figure 10-2'!E19</f>
        <v>2000</v>
      </c>
      <c r="F14" s="33">
        <f>'Figure 10-2'!F19</f>
        <v>2000</v>
      </c>
      <c r="G14" s="33">
        <f>'Figure 10-2'!G19</f>
        <v>2000</v>
      </c>
      <c r="H14" s="33">
        <f>'Figure 10-2'!H19</f>
        <v>2000</v>
      </c>
    </row>
    <row r="15" spans="1:15" ht="15" x14ac:dyDescent="0.25">
      <c r="A15" s="20"/>
      <c r="D15" s="30"/>
      <c r="E15" s="30"/>
      <c r="F15" s="30"/>
      <c r="G15" s="30"/>
      <c r="H15" s="30"/>
    </row>
    <row r="16" spans="1:15" x14ac:dyDescent="0.2">
      <c r="A16" s="20">
        <f>'Figure 10-2'!A22</f>
        <v>2.04</v>
      </c>
      <c r="C16" s="14" t="s">
        <v>26</v>
      </c>
      <c r="E16" s="32">
        <f>'Figure 10-2'!E22</f>
        <v>10</v>
      </c>
      <c r="F16" s="32">
        <f>'Figure 10-2'!F22</f>
        <v>10</v>
      </c>
      <c r="G16" s="32">
        <f>'Figure 10-2'!G22</f>
        <v>10</v>
      </c>
      <c r="H16" s="32">
        <f>'Figure 10-2'!H22</f>
        <v>10</v>
      </c>
    </row>
    <row r="17" spans="1:15" x14ac:dyDescent="0.2">
      <c r="A17" s="20">
        <f>'Figure 10-2'!A23</f>
        <v>2.0499999999999998</v>
      </c>
      <c r="C17" s="14" t="s">
        <v>27</v>
      </c>
      <c r="E17" s="32">
        <f>'Figure 10-2'!E23</f>
        <v>12</v>
      </c>
      <c r="F17" s="32">
        <f>'Figure 10-2'!F23</f>
        <v>12</v>
      </c>
      <c r="G17" s="32">
        <f>'Figure 10-2'!G23</f>
        <v>12</v>
      </c>
      <c r="H17" s="32">
        <f>'Figure 10-2'!H23</f>
        <v>12</v>
      </c>
    </row>
    <row r="18" spans="1:15" x14ac:dyDescent="0.2">
      <c r="A18" s="20">
        <f>'Figure 10-2'!A24</f>
        <v>2.06</v>
      </c>
      <c r="C18" s="14" t="s">
        <v>28</v>
      </c>
      <c r="E18" s="32">
        <f>'Figure 10-2'!E24</f>
        <v>9.1</v>
      </c>
      <c r="F18" s="32">
        <f>'Figure 10-2'!F24</f>
        <v>9.1</v>
      </c>
      <c r="G18" s="32">
        <f>'Figure 10-2'!G24</f>
        <v>9.1</v>
      </c>
      <c r="H18" s="32">
        <f>'Figure 10-2'!H24</f>
        <v>9.1</v>
      </c>
    </row>
    <row r="19" spans="1:15" ht="15" x14ac:dyDescent="0.25">
      <c r="A19" s="20"/>
      <c r="D19" s="30"/>
      <c r="E19" s="30"/>
      <c r="F19" s="30"/>
      <c r="G19" s="30"/>
      <c r="H19" s="30"/>
    </row>
    <row r="20" spans="1:15" ht="15" x14ac:dyDescent="0.25">
      <c r="A20" s="20">
        <f>'Figure 10-2'!A27</f>
        <v>2.08</v>
      </c>
      <c r="C20" s="14" t="s">
        <v>81</v>
      </c>
      <c r="D20" s="30"/>
      <c r="E20" s="32">
        <f>'Figure 10-2'!E27</f>
        <v>8.5</v>
      </c>
      <c r="F20" s="32">
        <f>'Figure 10-2'!F27</f>
        <v>8.7550000000000008</v>
      </c>
      <c r="G20" s="32">
        <f>'Figure 10-2'!G27</f>
        <v>9.0176500000000015</v>
      </c>
      <c r="H20" s="32">
        <f>'Figure 10-2'!H27</f>
        <v>9.2881795000000018</v>
      </c>
    </row>
    <row r="21" spans="1:15" ht="15" x14ac:dyDescent="0.25">
      <c r="A21" s="20">
        <f>'Figure 10-2'!A28</f>
        <v>2.09</v>
      </c>
      <c r="C21" s="14" t="s">
        <v>82</v>
      </c>
      <c r="D21" s="30"/>
      <c r="E21" s="33">
        <f>'Figure 10-2'!E28</f>
        <v>710</v>
      </c>
      <c r="F21" s="33">
        <f>'Figure 10-2'!F28</f>
        <v>740</v>
      </c>
      <c r="G21" s="33">
        <f>'Figure 10-2'!G28</f>
        <v>650</v>
      </c>
      <c r="H21" s="33">
        <f>'Figure 10-2'!H28</f>
        <v>641</v>
      </c>
    </row>
    <row r="22" spans="1:15" ht="15" x14ac:dyDescent="0.25">
      <c r="A22" s="20"/>
      <c r="D22" s="30"/>
      <c r="E22" s="30"/>
      <c r="F22" s="30"/>
      <c r="G22" s="30"/>
      <c r="H22" s="30"/>
    </row>
    <row r="23" spans="1:15" x14ac:dyDescent="0.2">
      <c r="A23" s="17"/>
      <c r="B23" s="16" t="s">
        <v>24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</row>
    <row r="24" spans="1:15" x14ac:dyDescent="0.2">
      <c r="A24" s="20" t="s">
        <v>33</v>
      </c>
      <c r="C24" s="14" t="s">
        <v>19</v>
      </c>
      <c r="E24" s="27">
        <f>E7*E8</f>
        <v>40518.450000000004</v>
      </c>
      <c r="F24" s="27">
        <f>F7*F8</f>
        <v>41229.300000000003</v>
      </c>
      <c r="G24" s="27">
        <f t="shared" ref="G24:H24" si="0">G7*G8</f>
        <v>41100</v>
      </c>
      <c r="H24" s="27">
        <f t="shared" si="0"/>
        <v>40425</v>
      </c>
      <c r="J24" s="25" t="s">
        <v>88</v>
      </c>
    </row>
    <row r="25" spans="1:15" x14ac:dyDescent="0.2">
      <c r="A25" s="20"/>
      <c r="J25" s="25"/>
    </row>
    <row r="26" spans="1:15" x14ac:dyDescent="0.2">
      <c r="A26" s="20" t="s">
        <v>36</v>
      </c>
      <c r="C26" s="14" t="s">
        <v>34</v>
      </c>
      <c r="E26" s="27">
        <f>E7*E9</f>
        <v>127.953</v>
      </c>
      <c r="F26" s="27">
        <f t="shared" ref="F26:H26" si="1">F7*F9</f>
        <v>213.255</v>
      </c>
      <c r="G26" s="27">
        <f t="shared" si="1"/>
        <v>135</v>
      </c>
      <c r="H26" s="27">
        <f t="shared" si="1"/>
        <v>90</v>
      </c>
      <c r="J26" s="25" t="s">
        <v>35</v>
      </c>
    </row>
    <row r="27" spans="1:15" x14ac:dyDescent="0.2">
      <c r="A27" s="20"/>
      <c r="J27" s="25"/>
    </row>
    <row r="28" spans="1:15" x14ac:dyDescent="0.2">
      <c r="A28" s="20" t="s">
        <v>38</v>
      </c>
      <c r="C28" s="14" t="s">
        <v>37</v>
      </c>
      <c r="E28" s="27">
        <f>E7*E8*E10</f>
        <v>211.91149350000003</v>
      </c>
      <c r="F28" s="27">
        <f>F7*F8*F10</f>
        <v>206.14650000000003</v>
      </c>
      <c r="G28" s="27">
        <f>G7*G8*G10</f>
        <v>205.5</v>
      </c>
      <c r="H28" s="27">
        <f>H7*H8*H10</f>
        <v>202.125</v>
      </c>
      <c r="J28" s="25" t="s">
        <v>87</v>
      </c>
    </row>
    <row r="29" spans="1:15" x14ac:dyDescent="0.2">
      <c r="A29" s="20"/>
    </row>
    <row r="30" spans="1:15" x14ac:dyDescent="0.2">
      <c r="A30" s="17"/>
      <c r="B30" s="16" t="s">
        <v>25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</row>
    <row r="31" spans="1:15" x14ac:dyDescent="0.2">
      <c r="A31" s="20"/>
      <c r="C31" s="22" t="s">
        <v>39</v>
      </c>
    </row>
    <row r="32" spans="1:15" x14ac:dyDescent="0.2">
      <c r="A32" s="20" t="s">
        <v>47</v>
      </c>
      <c r="C32" s="21" t="s">
        <v>40</v>
      </c>
      <c r="E32" s="27">
        <f>E12*E16</f>
        <v>6050</v>
      </c>
      <c r="F32" s="27">
        <f t="shared" ref="F32:H32" si="2">F12*F16</f>
        <v>4200</v>
      </c>
      <c r="G32" s="27">
        <f t="shared" si="2"/>
        <v>5000</v>
      </c>
      <c r="H32" s="27">
        <f t="shared" si="2"/>
        <v>5000</v>
      </c>
      <c r="J32" s="25" t="s">
        <v>43</v>
      </c>
    </row>
    <row r="33" spans="1:10" x14ac:dyDescent="0.2">
      <c r="A33" s="20" t="s">
        <v>48</v>
      </c>
      <c r="C33" s="21" t="s">
        <v>41</v>
      </c>
      <c r="E33" s="27">
        <f t="shared" ref="E33:H34" si="3">E13*E17</f>
        <v>6000</v>
      </c>
      <c r="F33" s="27">
        <f t="shared" si="3"/>
        <v>6000</v>
      </c>
      <c r="G33" s="27">
        <f t="shared" si="3"/>
        <v>1200</v>
      </c>
      <c r="H33" s="27">
        <f t="shared" si="3"/>
        <v>2400</v>
      </c>
      <c r="J33" s="25" t="s">
        <v>44</v>
      </c>
    </row>
    <row r="34" spans="1:10" x14ac:dyDescent="0.2">
      <c r="A34" s="20" t="s">
        <v>49</v>
      </c>
      <c r="C34" s="21" t="s">
        <v>42</v>
      </c>
      <c r="E34" s="27">
        <f t="shared" si="3"/>
        <v>18200</v>
      </c>
      <c r="F34" s="27">
        <f t="shared" si="3"/>
        <v>18200</v>
      </c>
      <c r="G34" s="27">
        <f t="shared" si="3"/>
        <v>18200</v>
      </c>
      <c r="H34" s="27">
        <f t="shared" si="3"/>
        <v>18200</v>
      </c>
      <c r="J34" s="25" t="s">
        <v>45</v>
      </c>
    </row>
    <row r="35" spans="1:10" x14ac:dyDescent="0.2">
      <c r="A35" s="20"/>
      <c r="C35" s="28" t="s">
        <v>46</v>
      </c>
      <c r="E35" s="29">
        <f>SUM(E32:E34)</f>
        <v>30250</v>
      </c>
      <c r="F35" s="29">
        <f t="shared" ref="F35:H35" si="4">SUM(F32:F34)</f>
        <v>28400</v>
      </c>
      <c r="G35" s="29">
        <f t="shared" si="4"/>
        <v>24400</v>
      </c>
      <c r="H35" s="29">
        <f t="shared" si="4"/>
        <v>25600</v>
      </c>
    </row>
    <row r="36" spans="1:10" x14ac:dyDescent="0.2">
      <c r="A36" s="20"/>
      <c r="J36" s="25"/>
    </row>
    <row r="37" spans="1:10" x14ac:dyDescent="0.2">
      <c r="A37" s="20"/>
      <c r="C37" s="22" t="s">
        <v>79</v>
      </c>
      <c r="J37" s="25"/>
    </row>
    <row r="38" spans="1:10" x14ac:dyDescent="0.2">
      <c r="A38" s="20" t="s">
        <v>54</v>
      </c>
      <c r="C38" s="14" t="s">
        <v>76</v>
      </c>
      <c r="E38" s="27">
        <f>E20*E21</f>
        <v>6035</v>
      </c>
      <c r="F38" s="27">
        <f t="shared" ref="F38:H38" si="5">F20*F21</f>
        <v>6478.7000000000007</v>
      </c>
      <c r="G38" s="27">
        <f t="shared" si="5"/>
        <v>5861.4725000000008</v>
      </c>
      <c r="H38" s="27">
        <f t="shared" si="5"/>
        <v>5953.723059500001</v>
      </c>
      <c r="J38" s="25" t="s">
        <v>78</v>
      </c>
    </row>
    <row r="39" spans="1:10" x14ac:dyDescent="0.2">
      <c r="A39" s="20"/>
    </row>
    <row r="40" spans="1:10" x14ac:dyDescent="0.2">
      <c r="A40" s="20"/>
    </row>
    <row r="41" spans="1:10" x14ac:dyDescent="0.2">
      <c r="A41" s="20"/>
    </row>
    <row r="42" spans="1:10" x14ac:dyDescent="0.2">
      <c r="A42" s="20"/>
    </row>
    <row r="43" spans="1:10" x14ac:dyDescent="0.2">
      <c r="A43" s="20"/>
    </row>
    <row r="44" spans="1:10" x14ac:dyDescent="0.2">
      <c r="A44" s="20"/>
    </row>
    <row r="45" spans="1:10" x14ac:dyDescent="0.2">
      <c r="A45" s="20"/>
    </row>
    <row r="46" spans="1:10" x14ac:dyDescent="0.2">
      <c r="A46" s="20"/>
    </row>
    <row r="47" spans="1:10" x14ac:dyDescent="0.2">
      <c r="A47" s="20"/>
    </row>
    <row r="48" spans="1:10" x14ac:dyDescent="0.2">
      <c r="A48" s="20"/>
    </row>
    <row r="49" spans="1:1" x14ac:dyDescent="0.2">
      <c r="A49" s="20"/>
    </row>
    <row r="50" spans="1:1" x14ac:dyDescent="0.2">
      <c r="A50" s="20"/>
    </row>
    <row r="51" spans="1:1" x14ac:dyDescent="0.2">
      <c r="A51" s="20"/>
    </row>
    <row r="52" spans="1:1" x14ac:dyDescent="0.2">
      <c r="A52" s="20"/>
    </row>
    <row r="53" spans="1:1" x14ac:dyDescent="0.2">
      <c r="A53" s="20"/>
    </row>
    <row r="54" spans="1:1" x14ac:dyDescent="0.2">
      <c r="A54" s="20"/>
    </row>
    <row r="55" spans="1:1" x14ac:dyDescent="0.2">
      <c r="A55" s="20"/>
    </row>
    <row r="56" spans="1:1" x14ac:dyDescent="0.2">
      <c r="A56" s="20"/>
    </row>
    <row r="57" spans="1:1" x14ac:dyDescent="0.2">
      <c r="A57" s="20"/>
    </row>
    <row r="58" spans="1:1" x14ac:dyDescent="0.2">
      <c r="A58" s="20"/>
    </row>
    <row r="59" spans="1:1" x14ac:dyDescent="0.2">
      <c r="A59" s="20"/>
    </row>
    <row r="60" spans="1:1" x14ac:dyDescent="0.2">
      <c r="A60" s="20"/>
    </row>
    <row r="61" spans="1:1" x14ac:dyDescent="0.2">
      <c r="A61" s="20"/>
    </row>
    <row r="62" spans="1:1" x14ac:dyDescent="0.2">
      <c r="A62" s="20"/>
    </row>
    <row r="63" spans="1:1" x14ac:dyDescent="0.2">
      <c r="A63" s="20"/>
    </row>
    <row r="64" spans="1:1" x14ac:dyDescent="0.2">
      <c r="A64" s="20"/>
    </row>
    <row r="65" spans="1:1" x14ac:dyDescent="0.2">
      <c r="A65" s="20"/>
    </row>
    <row r="66" spans="1:1" x14ac:dyDescent="0.2">
      <c r="A66" s="20"/>
    </row>
    <row r="67" spans="1:1" x14ac:dyDescent="0.2">
      <c r="A67" s="20"/>
    </row>
    <row r="68" spans="1:1" x14ac:dyDescent="0.2">
      <c r="A68" s="20"/>
    </row>
    <row r="69" spans="1:1" x14ac:dyDescent="0.2">
      <c r="A69" s="20"/>
    </row>
    <row r="70" spans="1:1" x14ac:dyDescent="0.2">
      <c r="A70" s="20"/>
    </row>
    <row r="71" spans="1:1" x14ac:dyDescent="0.2">
      <c r="A71" s="20"/>
    </row>
    <row r="72" spans="1:1" x14ac:dyDescent="0.2">
      <c r="A72" s="20"/>
    </row>
    <row r="73" spans="1:1" x14ac:dyDescent="0.2">
      <c r="A73" s="20"/>
    </row>
    <row r="74" spans="1:1" x14ac:dyDescent="0.2">
      <c r="A74" s="20"/>
    </row>
    <row r="75" spans="1:1" x14ac:dyDescent="0.2">
      <c r="A75" s="20"/>
    </row>
    <row r="76" spans="1:1" x14ac:dyDescent="0.2">
      <c r="A76" s="20"/>
    </row>
    <row r="77" spans="1:1" x14ac:dyDescent="0.2">
      <c r="A77" s="20"/>
    </row>
    <row r="78" spans="1:1" x14ac:dyDescent="0.2">
      <c r="A78" s="20"/>
    </row>
    <row r="79" spans="1:1" x14ac:dyDescent="0.2">
      <c r="A79" s="20"/>
    </row>
    <row r="80" spans="1:1" x14ac:dyDescent="0.2">
      <c r="A80" s="20"/>
    </row>
    <row r="81" spans="1:1" x14ac:dyDescent="0.2">
      <c r="A81" s="20"/>
    </row>
    <row r="82" spans="1:1" x14ac:dyDescent="0.2">
      <c r="A82" s="20"/>
    </row>
    <row r="83" spans="1:1" x14ac:dyDescent="0.2">
      <c r="A83" s="20"/>
    </row>
    <row r="84" spans="1:1" x14ac:dyDescent="0.2">
      <c r="A84" s="20"/>
    </row>
    <row r="85" spans="1:1" x14ac:dyDescent="0.2">
      <c r="A85" s="20"/>
    </row>
    <row r="86" spans="1:1" x14ac:dyDescent="0.2">
      <c r="A86" s="20"/>
    </row>
    <row r="87" spans="1:1" x14ac:dyDescent="0.2">
      <c r="A87" s="20"/>
    </row>
    <row r="88" spans="1:1" x14ac:dyDescent="0.2">
      <c r="A88" s="20"/>
    </row>
    <row r="89" spans="1:1" x14ac:dyDescent="0.2">
      <c r="A89" s="20"/>
    </row>
    <row r="90" spans="1:1" x14ac:dyDescent="0.2">
      <c r="A90" s="20"/>
    </row>
    <row r="91" spans="1:1" x14ac:dyDescent="0.2">
      <c r="A91" s="20"/>
    </row>
    <row r="92" spans="1:1" x14ac:dyDescent="0.2">
      <c r="A92" s="20"/>
    </row>
    <row r="93" spans="1:1" x14ac:dyDescent="0.2">
      <c r="A93" s="20"/>
    </row>
    <row r="94" spans="1:1" x14ac:dyDescent="0.2">
      <c r="A94" s="20"/>
    </row>
    <row r="95" spans="1:1" x14ac:dyDescent="0.2">
      <c r="A95" s="20"/>
    </row>
    <row r="96" spans="1:1" x14ac:dyDescent="0.2">
      <c r="A96" s="20"/>
    </row>
    <row r="97" spans="1:1" x14ac:dyDescent="0.2">
      <c r="A97" s="20"/>
    </row>
    <row r="98" spans="1:1" x14ac:dyDescent="0.2">
      <c r="A98" s="20"/>
    </row>
    <row r="99" spans="1:1" x14ac:dyDescent="0.2">
      <c r="A99" s="20"/>
    </row>
    <row r="100" spans="1:1" x14ac:dyDescent="0.2">
      <c r="A100" s="20"/>
    </row>
    <row r="101" spans="1:1" x14ac:dyDescent="0.2">
      <c r="A101" s="20"/>
    </row>
    <row r="102" spans="1:1" x14ac:dyDescent="0.2">
      <c r="A102" s="20"/>
    </row>
    <row r="103" spans="1:1" x14ac:dyDescent="0.2">
      <c r="A103" s="20"/>
    </row>
    <row r="104" spans="1:1" x14ac:dyDescent="0.2">
      <c r="A104" s="20"/>
    </row>
    <row r="105" spans="1:1" x14ac:dyDescent="0.2">
      <c r="A105" s="20"/>
    </row>
    <row r="106" spans="1:1" x14ac:dyDescent="0.2">
      <c r="A106" s="20"/>
    </row>
    <row r="107" spans="1:1" x14ac:dyDescent="0.2">
      <c r="A107" s="20"/>
    </row>
    <row r="108" spans="1:1" x14ac:dyDescent="0.2">
      <c r="A108" s="20"/>
    </row>
    <row r="109" spans="1:1" x14ac:dyDescent="0.2">
      <c r="A109" s="20"/>
    </row>
    <row r="110" spans="1:1" x14ac:dyDescent="0.2">
      <c r="A110" s="20"/>
    </row>
    <row r="111" spans="1:1" x14ac:dyDescent="0.2">
      <c r="A111" s="20"/>
    </row>
    <row r="112" spans="1:1" x14ac:dyDescent="0.2">
      <c r="A112" s="20"/>
    </row>
    <row r="113" spans="1:1" x14ac:dyDescent="0.2">
      <c r="A113" s="20"/>
    </row>
    <row r="114" spans="1:1" x14ac:dyDescent="0.2">
      <c r="A114" s="20"/>
    </row>
    <row r="115" spans="1:1" x14ac:dyDescent="0.2">
      <c r="A115" s="20"/>
    </row>
    <row r="116" spans="1:1" x14ac:dyDescent="0.2">
      <c r="A116" s="20"/>
    </row>
    <row r="117" spans="1:1" x14ac:dyDescent="0.2">
      <c r="A117" s="20"/>
    </row>
    <row r="118" spans="1:1" x14ac:dyDescent="0.2">
      <c r="A118" s="20"/>
    </row>
    <row r="119" spans="1:1" x14ac:dyDescent="0.2">
      <c r="A119" s="20"/>
    </row>
    <row r="120" spans="1:1" x14ac:dyDescent="0.2">
      <c r="A120" s="20"/>
    </row>
    <row r="121" spans="1:1" x14ac:dyDescent="0.2">
      <c r="A121" s="20"/>
    </row>
    <row r="122" spans="1:1" x14ac:dyDescent="0.2">
      <c r="A122" s="20"/>
    </row>
    <row r="123" spans="1:1" x14ac:dyDescent="0.2">
      <c r="A123" s="20"/>
    </row>
    <row r="124" spans="1:1" x14ac:dyDescent="0.2">
      <c r="A124" s="20"/>
    </row>
    <row r="125" spans="1:1" x14ac:dyDescent="0.2">
      <c r="A125" s="20"/>
    </row>
    <row r="126" spans="1:1" x14ac:dyDescent="0.2">
      <c r="A126" s="20"/>
    </row>
    <row r="127" spans="1:1" x14ac:dyDescent="0.2">
      <c r="A127" s="20"/>
    </row>
    <row r="128" spans="1:1" x14ac:dyDescent="0.2">
      <c r="A128" s="20"/>
    </row>
    <row r="129" spans="1:1" x14ac:dyDescent="0.2">
      <c r="A129" s="20"/>
    </row>
    <row r="130" spans="1:1" x14ac:dyDescent="0.2">
      <c r="A130" s="20"/>
    </row>
    <row r="131" spans="1:1" x14ac:dyDescent="0.2">
      <c r="A131" s="20"/>
    </row>
    <row r="132" spans="1:1" x14ac:dyDescent="0.2">
      <c r="A132" s="20"/>
    </row>
    <row r="133" spans="1:1" x14ac:dyDescent="0.2">
      <c r="A133" s="20"/>
    </row>
    <row r="134" spans="1:1" x14ac:dyDescent="0.2">
      <c r="A134" s="20"/>
    </row>
    <row r="135" spans="1:1" x14ac:dyDescent="0.2">
      <c r="A135" s="20"/>
    </row>
    <row r="136" spans="1:1" x14ac:dyDescent="0.2">
      <c r="A136" s="20"/>
    </row>
    <row r="137" spans="1:1" x14ac:dyDescent="0.2">
      <c r="A137" s="20"/>
    </row>
    <row r="138" spans="1:1" x14ac:dyDescent="0.2">
      <c r="A138" s="20"/>
    </row>
    <row r="139" spans="1:1" x14ac:dyDescent="0.2">
      <c r="A139" s="20"/>
    </row>
    <row r="140" spans="1:1" x14ac:dyDescent="0.2">
      <c r="A140" s="20"/>
    </row>
    <row r="141" spans="1:1" x14ac:dyDescent="0.2">
      <c r="A141" s="20"/>
    </row>
    <row r="142" spans="1:1" x14ac:dyDescent="0.2">
      <c r="A142" s="20"/>
    </row>
    <row r="143" spans="1:1" x14ac:dyDescent="0.2">
      <c r="A143" s="20"/>
    </row>
    <row r="144" spans="1:1" x14ac:dyDescent="0.2">
      <c r="A144" s="20"/>
    </row>
    <row r="145" spans="1:1" x14ac:dyDescent="0.2">
      <c r="A145" s="20"/>
    </row>
    <row r="146" spans="1:1" x14ac:dyDescent="0.2">
      <c r="A146" s="20"/>
    </row>
    <row r="147" spans="1:1" x14ac:dyDescent="0.2">
      <c r="A147" s="20"/>
    </row>
    <row r="148" spans="1:1" x14ac:dyDescent="0.2">
      <c r="A148" s="20"/>
    </row>
    <row r="149" spans="1:1" x14ac:dyDescent="0.2">
      <c r="A149" s="20"/>
    </row>
    <row r="150" spans="1:1" x14ac:dyDescent="0.2">
      <c r="A150" s="20"/>
    </row>
    <row r="151" spans="1:1" x14ac:dyDescent="0.2">
      <c r="A151" s="20"/>
    </row>
    <row r="152" spans="1:1" x14ac:dyDescent="0.2">
      <c r="A152" s="20"/>
    </row>
    <row r="153" spans="1:1" x14ac:dyDescent="0.2">
      <c r="A153" s="20"/>
    </row>
    <row r="154" spans="1:1" x14ac:dyDescent="0.2">
      <c r="A154" s="20"/>
    </row>
    <row r="155" spans="1:1" x14ac:dyDescent="0.2">
      <c r="A155" s="20"/>
    </row>
    <row r="156" spans="1:1" x14ac:dyDescent="0.2">
      <c r="A156" s="20"/>
    </row>
    <row r="157" spans="1:1" x14ac:dyDescent="0.2">
      <c r="A157" s="20"/>
    </row>
    <row r="158" spans="1:1" x14ac:dyDescent="0.2">
      <c r="A158" s="20"/>
    </row>
    <row r="159" spans="1:1" x14ac:dyDescent="0.2">
      <c r="A159" s="20"/>
    </row>
    <row r="160" spans="1:1" x14ac:dyDescent="0.2">
      <c r="A160" s="20"/>
    </row>
    <row r="161" spans="1:1" x14ac:dyDescent="0.2">
      <c r="A161" s="20"/>
    </row>
    <row r="162" spans="1:1" x14ac:dyDescent="0.2">
      <c r="A162" s="20"/>
    </row>
    <row r="163" spans="1:1" x14ac:dyDescent="0.2">
      <c r="A163" s="20"/>
    </row>
    <row r="164" spans="1:1" x14ac:dyDescent="0.2">
      <c r="A164" s="20"/>
    </row>
    <row r="165" spans="1:1" x14ac:dyDescent="0.2">
      <c r="A165" s="20"/>
    </row>
    <row r="166" spans="1:1" x14ac:dyDescent="0.2">
      <c r="A166" s="20"/>
    </row>
    <row r="167" spans="1:1" x14ac:dyDescent="0.2">
      <c r="A167" s="20"/>
    </row>
    <row r="168" spans="1:1" x14ac:dyDescent="0.2">
      <c r="A168" s="20"/>
    </row>
    <row r="169" spans="1:1" x14ac:dyDescent="0.2">
      <c r="A169" s="20"/>
    </row>
    <row r="170" spans="1:1" x14ac:dyDescent="0.2">
      <c r="A170" s="20"/>
    </row>
    <row r="171" spans="1:1" x14ac:dyDescent="0.2">
      <c r="A171" s="20"/>
    </row>
    <row r="172" spans="1:1" x14ac:dyDescent="0.2">
      <c r="A172" s="20"/>
    </row>
    <row r="173" spans="1:1" x14ac:dyDescent="0.2">
      <c r="A173" s="20"/>
    </row>
  </sheetData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1"/>
  <sheetViews>
    <sheetView showGridLines="0" zoomScale="90" zoomScaleNormal="90" workbookViewId="0">
      <selection activeCell="M34" sqref="M34"/>
    </sheetView>
  </sheetViews>
  <sheetFormatPr defaultRowHeight="15" x14ac:dyDescent="0.25"/>
  <cols>
    <col min="1" max="1" width="27.28515625" customWidth="1"/>
    <col min="2" max="2" width="2.85546875" customWidth="1"/>
    <col min="3" max="3" width="31.5703125" customWidth="1"/>
    <col min="7" max="7" width="3.7109375" customWidth="1"/>
    <col min="8" max="8" width="18.5703125" customWidth="1"/>
  </cols>
  <sheetData>
    <row r="1" spans="1:11" x14ac:dyDescent="0.25">
      <c r="A1" s="15"/>
      <c r="B1" s="15"/>
      <c r="C1" s="15" t="s">
        <v>18</v>
      </c>
      <c r="D1" s="15"/>
      <c r="E1" s="15"/>
      <c r="F1" s="15"/>
      <c r="G1" s="15"/>
      <c r="H1" s="15"/>
      <c r="I1" s="15"/>
      <c r="J1" s="15"/>
      <c r="K1" s="15"/>
    </row>
    <row r="2" spans="1:11" ht="18.75" x14ac:dyDescent="0.3">
      <c r="C2" s="3" t="s">
        <v>83</v>
      </c>
    </row>
    <row r="3" spans="1:11" x14ac:dyDescent="0.25">
      <c r="C3" s="1" t="s">
        <v>84</v>
      </c>
    </row>
    <row r="5" spans="1:11" x14ac:dyDescent="0.25">
      <c r="A5" s="35" t="s">
        <v>51</v>
      </c>
      <c r="H5" s="35" t="s">
        <v>52</v>
      </c>
    </row>
    <row r="6" spans="1:11" x14ac:dyDescent="0.25">
      <c r="A6" s="20" t="str">
        <f>'Figure 10-3'!A24</f>
        <v>1.01, 1.02</v>
      </c>
      <c r="C6" t="s">
        <v>0</v>
      </c>
      <c r="F6" s="2">
        <f>'Figure 10-3'!E24</f>
        <v>40518.450000000004</v>
      </c>
      <c r="H6" s="20"/>
    </row>
    <row r="7" spans="1:11" x14ac:dyDescent="0.25">
      <c r="A7" s="20" t="str">
        <f>'Figure 10-3'!A26</f>
        <v>1.01, 1.03</v>
      </c>
      <c r="C7" s="4" t="s">
        <v>1</v>
      </c>
      <c r="F7" s="36">
        <f>'Figure 10-3'!E26+'Figure 10-3'!E28</f>
        <v>339.86449350000004</v>
      </c>
      <c r="H7" s="20"/>
    </row>
    <row r="8" spans="1:11" x14ac:dyDescent="0.25">
      <c r="C8" s="13" t="s">
        <v>2</v>
      </c>
      <c r="D8" s="13"/>
      <c r="E8" s="13"/>
      <c r="F8" s="11">
        <f>F6-F7</f>
        <v>40178.585506500007</v>
      </c>
    </row>
    <row r="9" spans="1:11" x14ac:dyDescent="0.25">
      <c r="C9" s="5" t="s">
        <v>6</v>
      </c>
      <c r="E9" s="2"/>
      <c r="F9" s="2"/>
    </row>
    <row r="10" spans="1:11" x14ac:dyDescent="0.25">
      <c r="A10" s="20" t="str">
        <f>'Figure 10-3'!A32&amp;", "&amp;'Figure 10-3'!A33&amp;", "&amp;'Figure 10-3'!A34</f>
        <v>2.01, 2.04, 2.02, 2.05, 2.03, 2.06</v>
      </c>
      <c r="C10" s="4" t="s">
        <v>7</v>
      </c>
      <c r="E10" s="2"/>
      <c r="F10" s="2">
        <f>'Figure 10-3'!E35</f>
        <v>30250</v>
      </c>
      <c r="H10" s="20"/>
    </row>
    <row r="11" spans="1:11" x14ac:dyDescent="0.25">
      <c r="A11" s="20" t="str">
        <f>'Figure 10-3'!A38</f>
        <v>2.08, 2.09</v>
      </c>
      <c r="C11" s="4" t="s">
        <v>69</v>
      </c>
      <c r="E11" s="2"/>
      <c r="F11" s="2">
        <f>'Figure 10-3'!E38</f>
        <v>6035</v>
      </c>
      <c r="H11" s="20"/>
    </row>
    <row r="12" spans="1:11" x14ac:dyDescent="0.25">
      <c r="A12" s="20"/>
      <c r="C12" s="4" t="s">
        <v>8</v>
      </c>
      <c r="E12" s="2"/>
      <c r="F12" s="2">
        <v>125</v>
      </c>
      <c r="H12" s="20"/>
    </row>
    <row r="13" spans="1:11" x14ac:dyDescent="0.25">
      <c r="A13" s="20"/>
      <c r="C13" s="4" t="s">
        <v>9</v>
      </c>
      <c r="E13" s="2"/>
      <c r="F13" s="6">
        <v>360</v>
      </c>
      <c r="H13" s="20"/>
    </row>
    <row r="14" spans="1:11" x14ac:dyDescent="0.25">
      <c r="C14" s="4"/>
      <c r="E14" s="2"/>
      <c r="F14" s="2">
        <f>SUM(F10:F13)</f>
        <v>36770</v>
      </c>
    </row>
    <row r="15" spans="1:11" ht="6.75" customHeight="1" x14ac:dyDescent="0.25">
      <c r="G15" s="8"/>
    </row>
    <row r="16" spans="1:11" x14ac:dyDescent="0.25">
      <c r="C16" s="9" t="s">
        <v>3</v>
      </c>
      <c r="D16" s="10"/>
      <c r="E16" s="10"/>
      <c r="F16" s="11">
        <f>F8-F14</f>
        <v>3408.5855065000069</v>
      </c>
    </row>
    <row r="17" spans="1:8" ht="9" customHeight="1" x14ac:dyDescent="0.25"/>
    <row r="18" spans="1:8" x14ac:dyDescent="0.25">
      <c r="C18" s="5" t="s">
        <v>4</v>
      </c>
    </row>
    <row r="19" spans="1:8" x14ac:dyDescent="0.25">
      <c r="A19" s="20"/>
      <c r="C19" s="4" t="s">
        <v>5</v>
      </c>
      <c r="F19" s="2">
        <v>290</v>
      </c>
      <c r="H19" s="20"/>
    </row>
    <row r="20" spans="1:8" x14ac:dyDescent="0.25">
      <c r="A20" s="20"/>
      <c r="C20" s="4" t="s">
        <v>10</v>
      </c>
      <c r="F20" s="2">
        <v>644</v>
      </c>
      <c r="H20" s="20"/>
    </row>
    <row r="21" spans="1:8" x14ac:dyDescent="0.25">
      <c r="A21" s="20"/>
      <c r="C21" s="4" t="s">
        <v>11</v>
      </c>
      <c r="F21" s="2">
        <v>540</v>
      </c>
      <c r="H21" s="20"/>
    </row>
    <row r="22" spans="1:8" x14ac:dyDescent="0.25">
      <c r="A22" s="20"/>
      <c r="C22" s="4" t="s">
        <v>12</v>
      </c>
      <c r="F22" s="6">
        <v>890</v>
      </c>
      <c r="H22" s="20"/>
    </row>
    <row r="23" spans="1:8" x14ac:dyDescent="0.25">
      <c r="F23" s="8">
        <f>SUM(F19:F22)</f>
        <v>2364</v>
      </c>
    </row>
    <row r="24" spans="1:8" ht="6.75" customHeight="1" x14ac:dyDescent="0.25"/>
    <row r="25" spans="1:8" x14ac:dyDescent="0.25">
      <c r="C25" s="9" t="s">
        <v>14</v>
      </c>
      <c r="D25" s="10"/>
      <c r="E25" s="10"/>
      <c r="F25" s="11">
        <f>F16-F23</f>
        <v>1044.5855065000069</v>
      </c>
    </row>
    <row r="26" spans="1:8" x14ac:dyDescent="0.25">
      <c r="A26" s="20"/>
      <c r="C26" s="4" t="s">
        <v>16</v>
      </c>
      <c r="F26" s="2">
        <v>195</v>
      </c>
      <c r="H26" s="20"/>
    </row>
    <row r="27" spans="1:8" x14ac:dyDescent="0.25">
      <c r="C27" s="9" t="s">
        <v>13</v>
      </c>
      <c r="D27" s="10"/>
      <c r="E27" s="10"/>
      <c r="F27" s="11">
        <f>F25-F26</f>
        <v>849.58550650000689</v>
      </c>
    </row>
    <row r="28" spans="1:8" x14ac:dyDescent="0.25">
      <c r="A28" s="20"/>
      <c r="C28" s="4" t="s">
        <v>15</v>
      </c>
      <c r="F28">
        <v>78</v>
      </c>
      <c r="H28" s="20"/>
    </row>
    <row r="29" spans="1:8" x14ac:dyDescent="0.25">
      <c r="C29" s="7" t="s">
        <v>70</v>
      </c>
      <c r="F29" s="8">
        <f>F27-F28</f>
        <v>771.58550650000689</v>
      </c>
    </row>
    <row r="30" spans="1:8" x14ac:dyDescent="0.25">
      <c r="A30" s="20"/>
      <c r="C30" s="4" t="s">
        <v>17</v>
      </c>
      <c r="F30" s="2">
        <v>73</v>
      </c>
      <c r="H30" s="20"/>
    </row>
    <row r="31" spans="1:8" x14ac:dyDescent="0.25">
      <c r="C31" s="9" t="s">
        <v>71</v>
      </c>
      <c r="D31" s="10"/>
      <c r="E31" s="10"/>
      <c r="F31" s="11">
        <f>F29-F30</f>
        <v>698.58550650000689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2:P14"/>
  <sheetViews>
    <sheetView showGridLines="0" workbookViewId="0">
      <selection activeCell="S29" sqref="S29"/>
    </sheetView>
  </sheetViews>
  <sheetFormatPr defaultRowHeight="15" x14ac:dyDescent="0.25"/>
  <sheetData>
    <row r="2" spans="4:16" x14ac:dyDescent="0.25">
      <c r="D2" s="40" t="s">
        <v>55</v>
      </c>
      <c r="E2" s="40" t="s">
        <v>56</v>
      </c>
      <c r="F2" s="40" t="s">
        <v>57</v>
      </c>
      <c r="G2" s="40" t="s">
        <v>58</v>
      </c>
      <c r="H2" s="40" t="s">
        <v>59</v>
      </c>
      <c r="I2" s="40" t="s">
        <v>60</v>
      </c>
      <c r="J2" s="40" t="s">
        <v>61</v>
      </c>
      <c r="K2" s="40" t="s">
        <v>62</v>
      </c>
      <c r="L2" s="40" t="s">
        <v>63</v>
      </c>
      <c r="M2" s="40" t="s">
        <v>64</v>
      </c>
      <c r="N2" s="40" t="s">
        <v>65</v>
      </c>
      <c r="O2" s="40" t="s">
        <v>66</v>
      </c>
      <c r="P2" s="40" t="s">
        <v>67</v>
      </c>
    </row>
    <row r="3" spans="4:16" x14ac:dyDescent="0.25"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</row>
    <row r="4" spans="4:16" x14ac:dyDescent="0.25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4:16" x14ac:dyDescent="0.25"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4:16" x14ac:dyDescent="0.25"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4:16" x14ac:dyDescent="0.25"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</row>
    <row r="8" spans="4:16" x14ac:dyDescent="0.25"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</row>
    <row r="9" spans="4:16" x14ac:dyDescent="0.25"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</row>
    <row r="10" spans="4:16" x14ac:dyDescent="0.25"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</row>
    <row r="11" spans="4:16" x14ac:dyDescent="0.25"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</row>
    <row r="12" spans="4:16" x14ac:dyDescent="0.25"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</row>
    <row r="13" spans="4:16" x14ac:dyDescent="0.25"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4:16" x14ac:dyDescent="0.25"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Figure 10-1</vt:lpstr>
      <vt:lpstr>Figure 10-2</vt:lpstr>
      <vt:lpstr>Figure 10-3</vt:lpstr>
      <vt:lpstr>Figure 10-5</vt:lpstr>
      <vt:lpstr>Figure 10-6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</dc:creator>
  <cp:lastModifiedBy>Jack</cp:lastModifiedBy>
  <dcterms:created xsi:type="dcterms:W3CDTF">2013-06-27T08:02:59Z</dcterms:created>
  <dcterms:modified xsi:type="dcterms:W3CDTF">2013-10-18T12:41:43Z</dcterms:modified>
</cp:coreProperties>
</file>